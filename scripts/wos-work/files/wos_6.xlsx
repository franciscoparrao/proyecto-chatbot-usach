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vedrecs" sheetId="1" r:id="rId4"/>
  </sheets>
  <definedNames/>
  <calcPr/>
</workbook>
</file>

<file path=xl/sharedStrings.xml><?xml version="1.0" encoding="utf-8"?>
<sst xmlns="http://schemas.openxmlformats.org/spreadsheetml/2006/main" count="65758" uniqueCount="9251">
  <si>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</si>
  <si>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</si>
  <si>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</si>
  <si>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</si>
  <si>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</si>
  <si>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</si>
  <si>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</si>
  <si>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</si>
  <si>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</si>
  <si>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</si>
  <si>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</si>
  <si>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</si>
  <si>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</si>
  <si>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</si>
  <si>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</si>
  <si>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</si>
  <si>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</si>
  <si>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</si>
  <si>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</si>
  <si>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</si>
  <si>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</si>
  <si>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</si>
  <si>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</si>
  <si>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</si>
  <si>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</si>
  <si>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</si>
  <si>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</si>
  <si>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</si>
  <si>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</si>
  <si>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</si>
  <si>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</si>
  <si>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</si>
  <si>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</si>
  <si>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</si>
  <si>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</si>
  <si>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</si>
  <si>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</si>
  <si>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</si>
  <si>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</si>
  <si>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</si>
  <si>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</si>
  <si>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</si>
  <si>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</si>
  <si>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</si>
  <si>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</si>
  <si>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</si>
  <si>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</si>
  <si>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</si>
  <si>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</si>
  <si>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</si>
  <si>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</si>
  <si>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</si>
  <si>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</si>
  <si>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</si>
  <si>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</si>
  <si>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</si>
  <si>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</si>
  <si>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</si>
  <si>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</si>
  <si>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</si>
  <si>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</si>
  <si>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</si>
  <si>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</si>
  <si>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</si>
  <si>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</si>
  <si>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</si>
  <si>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</si>
  <si>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</si>
  <si>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</si>
  <si>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</si>
  <si>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</si>
  <si>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</si>
  <si>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</si>
  <si>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Henríquez, HR; Prokopczyk, A</t>
  </si>
  <si>
    <t/>
  </si>
  <si>
    <t>Henriquez, Hernan R.; Prokopczyk, Andrea</t>
  </si>
  <si>
    <t>Controllability and stabilizability of linear time-varying distributed hereditary control systems</t>
  </si>
  <si>
    <t>MATHEMATICAL METHODS IN THE APPLIED SCIENCES</t>
  </si>
  <si>
    <t>This paper is concerned with the controllability and stabilizability problem for control systems described by a time-varying linear abstract differential equation with distributed delay in the state variables. An approximate controllability property is established, and for periodic systems, the stabilization problem is studied. Assuming that the semigroup of operators associated with the uncontrolled and non delayed equation is compact, and using the characterization of the asymptotic stability in terms of the spectrum of the monodromy operator of the uncontrolled system, it is shown that the approximate controllability property is a sufficient condition for the existence of a periodic feedback control law that stabilizes the system. The result is extended to include some systems which are asymptotically periodic. Copyright (c) 2014 John Wiley &amp; Sons, Ltd.</t>
  </si>
  <si>
    <t>Arita, Andréa/U-9223-2017</t>
  </si>
  <si>
    <t>Prokopczyk Arita, Andrea Cristina/0000-0001-5112-6234</t>
  </si>
  <si>
    <t>0170-4214</t>
  </si>
  <si>
    <t>1099-1476</t>
  </si>
  <si>
    <t>JUL 30</t>
  </si>
  <si>
    <t>10.1002/mma.3219</t>
  </si>
  <si>
    <t>WOS:000356817700013</t>
  </si>
  <si>
    <t>B</t>
  </si>
  <si>
    <t>Pascha, KS</t>
  </si>
  <si>
    <t>Jeska, S; Pascha, KS</t>
  </si>
  <si>
    <t>Saleh Pascha, Khaled</t>
  </si>
  <si>
    <t>Austria Center Vienna - The Wave</t>
  </si>
  <si>
    <t>EMERGENT TIMBER TECHNOLOGIES: MATERIALS, STRUCTURES, ENGINEERING, PROJECTS</t>
  </si>
  <si>
    <t>978-3-0382-1616-2; 978-3-0382-1502-8</t>
  </si>
  <si>
    <t>WOS:000541676300010</t>
  </si>
  <si>
    <t>Vargas, JP; Koppe, JC; Pérez, S; Hurtado, JP</t>
  </si>
  <si>
    <t>Vargas, Juan P.; Koppe, Jair C.; Perez, Sebastian; Hurtado, Juan P.</t>
  </si>
  <si>
    <t>Planning Tunnel Construction Using Markov Chain Monte Carlo (MCMC)</t>
  </si>
  <si>
    <t>MATHEMATICAL PROBLEMS IN ENGINEERING</t>
  </si>
  <si>
    <t>Tunnels, drifts, drives, and other types of underground excavation are very common in mining as well as in the construction of roads, railways, dams, and other civil engineering projects. Planning is essential to the success of tunnel excavation, and construction time is one of the most important factors to be taken into account. This paper proposes a simulation algorithm based on a stochastic numerical method, the Markov chain Monte Carlo method, that can provide the best estimate of the opening excavation times for the classic method of drilling and blasting. Taking account of technical considerations that affect the tunnel excavation cycle, the simulation is developed through a computational algorithm. Using the Markov chain Monte Carlo method, the unit operations involved in the underground excavation cycle are identified and assigned probability distributions that, with random number input, make it possible to simulate the total excavation time. The results obtained with this method are compared with a real case of tunneling excavation. By incorporating variability in the planning, it is possible to determine with greater certainty the ranges over which the execution times of the unit operations fluctuate. In addition, the financial risks associated with planning errors can be reduced and the exploitation of resources maximized.</t>
  </si>
  <si>
    <t>Hurtado Cruz, Juan Pablo/K-2568-2013; Vargas, Juan Pablo/N-2185-2015</t>
  </si>
  <si>
    <t>Hurtado Cruz, Juan Pablo/0000-0001-7602-8278; Perez Cortes, Sebastian Alexander/0000-0003-0366-1747; Vargas, Juan Pablo/0000-0002-0783-0221</t>
  </si>
  <si>
    <t>1024-123X</t>
  </si>
  <si>
    <t>1563-5147</t>
  </si>
  <si>
    <t>10.1155/2015/797953</t>
  </si>
  <si>
    <t>WOS:000362783100001</t>
  </si>
  <si>
    <t>Montero, M; Winkler, MI</t>
  </si>
  <si>
    <t>Montero, Maritza; Ines Winkler, Maria</t>
  </si>
  <si>
    <t>IBERIAN AND LATIN AMERICAN ETHICS IN COMMUNITY PSYCHOLOGY: THE CONTRADICTION BETWEEN FACTS AND ACADEMICIAN'S PERCEPTION</t>
  </si>
  <si>
    <t>JOURNAL OF COMMUNITY PSYCHOLOGY</t>
  </si>
  <si>
    <t>Changes in practices, action, roles, and professional functions confronted by community psychology (CP) bring new challenges to the discipline. We consulted 15 CP academicians about future challenges in CP practice, research, and education, mainly regarding ethics and values. A Delphi panel was applied to them. Qualitative and quantitative results were obtained from 3 circulations in response to 4 questions concerning the most relevant problems in CP and its training: basic competences, ethical aspects, and challenges. Results show relevant answers pointing out tasks already in practice within PC, as well as new subjects in, and for, intervention. High consensus presents as future ethic challenge, political engagement, and critical standing practices developed around Latin America and other places around the world. Superposing of CP and social psychology, definitions were also found, posing problems of identity, roles, and functions. Academic biases of participants limit the results obtained, presenting known problems already found in published papers. (C) 2014 Wiley Periodicals, Inc.</t>
  </si>
  <si>
    <t>0090-4392</t>
  </si>
  <si>
    <t>1520-6629</t>
  </si>
  <si>
    <t>NOV</t>
  </si>
  <si>
    <t>10.1002/jcop.21667</t>
  </si>
  <si>
    <t>WOS:000343875800008</t>
  </si>
  <si>
    <t>Carvajal-Schiaffino, R; Firinguetti-Limone, L</t>
  </si>
  <si>
    <t>Carvajal-Schiaffino, R.; Firinguetti-Limone, L.</t>
  </si>
  <si>
    <t>Petri Net Based Modelling of a Career Syllabus</t>
  </si>
  <si>
    <t>INTERNATIONAL JOURNAL OF COMPUTERS COMMUNICATIONS &amp; CONTROL</t>
  </si>
  <si>
    <t>A syllabus is a set of courses, their prerequisites and a set of rules defining the continuance of a student in an academic program. The manual verification of the possible contradictions between prerequisites and the set of rules is a difficult task due to the large number of possible cases. In this article we present the different stages in the verification of a syllabus, its modelling and analysis using Petri nets, and suggested ways in which this may be used by the university administration in the decision making process.</t>
  </si>
  <si>
    <t>1841-9836</t>
  </si>
  <si>
    <t>1841-9844</t>
  </si>
  <si>
    <t>AUG</t>
  </si>
  <si>
    <t>10.15837/ijccc.2014.4.559</t>
  </si>
  <si>
    <t>WOS:000337771000002</t>
  </si>
  <si>
    <t>Arias, P; Gamboa, J; López-Sarrión, J</t>
  </si>
  <si>
    <t>Arias, Paola; Gamboa, Jorge; Lopez-Sarrion, Justo</t>
  </si>
  <si>
    <t>Cosmic neutrino background as a ferromagnet</t>
  </si>
  <si>
    <t>PHYSICS LETTERS B</t>
  </si>
  <si>
    <t>If cosmic background neutrinos interact very weakly with each other, through spin-spin interactions, then they may have experienced a phase transition, leading to a ferromagnetic ordering. The small magnetic field resulting from ferromagnetic ordering - if present before galaxy formation - could act as a primordial seed of the magnetic fields observed in several galaxies. Our findings suggest that the magnetization could occur in the right epoch, if the exchange boson of neutrino-neutrino interaction is a massless boson beyond the Standard Model, with a coupling constant of 2.2 x 10(-13)(m(v)/10(-4) eV)(2) &lt; g &lt; 2.3 x 10(-7). The estimation of the magnetic seed is 2.3 x 10(-27) G less than or similar to B-CNB less than or similar to 6.8 x 10(-10) G. (C) 2014 The Authors. Published by Elsevier B.V.</t>
  </si>
  <si>
    <t>Gamboa, Jorge/R-8744-2019; Arias, Paola/Q-5912-2017</t>
  </si>
  <si>
    <t>Arias, Paola/0000-0001-5551-9182; Lopez Sarrion, Justo Javier/0000-0002-2868-194X; Gamboa, Jorge/0000-0001-7992-7199</t>
  </si>
  <si>
    <t>0370-2693</t>
  </si>
  <si>
    <t>1873-2445</t>
  </si>
  <si>
    <t>10.1016/j.physletb.2014.06.034</t>
  </si>
  <si>
    <t>WOS:000340048900030</t>
  </si>
  <si>
    <t>Kern, J; Jamett, M; Urrea, C; Torres, H</t>
  </si>
  <si>
    <t>Kern, J.; Jamett, M.; Urrea, C.; Torres, H.</t>
  </si>
  <si>
    <t>Development of a neural controller applied in a 5 DOF robot redundant</t>
  </si>
  <si>
    <t>IEEE LATIN AMERICA TRANSACTIONS</t>
  </si>
  <si>
    <t>In this paper the development of a neural controller implemented in a five Degrees Of Freedom (DOF) redundant robot is presented. The design of the control law considers the robotic system inverse model, including the performance of the actuators for the five joints, obtained through a feedforward neural network with backpropagation learning algorithm. This inverse structure is weighted by desired acceleration and derivative proportional feedback loops to provide the appropriate supply voltage to the servo motors of the robotic manipulator. Tracking tests are performed to a path in Cartesian space using a simulator developed using MatLab/Simulink software tools. It assesses the neural controller performance versus classical computed torque controller, comparing the results of curves in the joint space and Cartesian through RMS errors indices of Cartesian and joint positions.</t>
  </si>
  <si>
    <t>Torres, Hugo/AAC-2017-2020; Jamett, Marcela/HLH-3427-2023; Claudio, URREA/KWU-1600-2024</t>
  </si>
  <si>
    <t>Torres Salamea, Hugo Marcelo/0000-0001-7814-6251; Urrea, Claudio/0000-0001-7197-8928</t>
  </si>
  <si>
    <t>1548-0992</t>
  </si>
  <si>
    <t>MAR</t>
  </si>
  <si>
    <t>10.1109/TLA.2014.6749524</t>
  </si>
  <si>
    <t>WOS:000332341500005</t>
  </si>
  <si>
    <t>C</t>
  </si>
  <si>
    <t>Acuña, G; Curilem, M</t>
  </si>
  <si>
    <t>Mehdi, D; Aitouch, A; Quevedo, J</t>
  </si>
  <si>
    <t>Acuna, Gonzalo; Curilem, Millaray</t>
  </si>
  <si>
    <t>Time-Variant Parameter Estimation using a SVM Gray-Box Model: Application to a CSTR Process</t>
  </si>
  <si>
    <t>2013 3D INTERNATIONAL CONFERENCE ON SYSTEMS AND CONTROL (ICSC)</t>
  </si>
  <si>
    <t>3d International Conference on Systems and Control (ICSC)</t>
  </si>
  <si>
    <t>OCT 29-31, 2013</t>
  </si>
  <si>
    <t>Algiers, ALGERIA</t>
  </si>
  <si>
    <t>IEEE Control Syst Soc,Univ Sci &amp; Technol Houari Boumediene,Soc Sci Dev &amp; New Technologies</t>
  </si>
  <si>
    <t>Gray-Box models (GBM) which combine a priori knowledge of a process -e.g. first principle equations-with a black-box modeling technique are useful when some parameters of the first-principle model -normally time-variant parameters cannot be easily determined. In this case the black-box part of the GBM can be used to model the influence of input and state variables on the evolution of those parameters. The most commonly used black-box technique for GBM is Artificial Neural Networks (ANN). However Support Vector Machine (SVM) has shown its usefulness by improving over the performance of different supervised learning methods, either as classification models or as regression models. In this paper, a kind of SVM -the Least-Square Support Vector Machine (LSSVM)- is used to develop a GBM for a Continuous Stirred Tank Reactor (CSTR) process. The aim of the present work is then to build a GBM to estimate a time-varying parameter, rho, of the CSTR process. Good results confirm that SVM can be effectively used for developing GBM to estimate time-varying parameters of non-linear processes like CSTR.</t>
  </si>
  <si>
    <t>978-1-4799-0275-0</t>
  </si>
  <si>
    <t>WOS:000351821600067</t>
  </si>
  <si>
    <t>Medina, M; Giesen, R; Muñoz, JC</t>
  </si>
  <si>
    <t>Medina, Marcos; Giesen, Ricardo; Carlos Munoz, Juan</t>
  </si>
  <si>
    <t>Model for the Optimal Location of Bus Stops and Its Application to a Public Transport Corridor in Santiago, Chile</t>
  </si>
  <si>
    <t>TRANSPORTATION RESEARCH RECORD</t>
  </si>
  <si>
    <t>The location and number of bus stops are key to the operational efficiency of the services that use them; these criteria affect commercial speed, reliability, and passenger access times. In the defining of the number of stops, a trade-off arises between reduced access time, which widens a route's coverage area, and both the operational speed of the route and the users' in-vehicle travel time. In this study, a model for optimally locating stops was developed, and the model was applied to the Grecia Avenue public transport corridor in the city of Santiago, Chile. The proposed model uses a continuous and multiperiod approximation of corridor demand; this approximation allows for the determination of the density of stops, which minimizes the sum of operator costs and total costs to passengers. The model simultaneously solves for the optimal stop density and the headway between successive buses. The actual stop locations of the Grecia Avenue corridor were compared with the optimal locations suggested by the model, and many similarities were found.</t>
  </si>
  <si>
    <t>Munoz, Juan/D-2604-2011; Giesen, Ricardo/F-9734-2013; Medina-Tapia, Marcos/F-8779-2016</t>
  </si>
  <si>
    <t>Giesen, Ricardo/0000-0001-5785-374X; Medina-Tapia, Marcos/0000-0002-3961-5075</t>
  </si>
  <si>
    <t>0361-1981</t>
  </si>
  <si>
    <t>2169-4052</t>
  </si>
  <si>
    <t>10.3141/2352-10</t>
  </si>
  <si>
    <t>WOS:000334567100010</t>
  </si>
  <si>
    <t>Páucar, MV; Valencia, SM</t>
  </si>
  <si>
    <t>Villalta Paucar, Marco; Martinic Valencia, Sergio</t>
  </si>
  <si>
    <t>Didactic Interaction and Cognitive Processes. An approach from the Practice and Teaching Speech</t>
  </si>
  <si>
    <t>UNIVERSITAS PSYCHOLOGICA</t>
  </si>
  <si>
    <t>This article analyze the discourse and practice of teachers in the didactics interaction associated with cognitive types at classroom. It's used qualitative analysis of interviews - Content Analysis of discourse-, and quantitative analysis of teacher-students dialogic structures, from 32 classes of 8 teachers with practices to promote learning. The results indicate effective teachers in vulnerable social contexts: 1) Repeatedly explains the class content; 2) The content is orders in a gradual process of complexity, 3) They have two goals in the classroom: making learning, and train students in civic values, and 4) The percentage of dialogic structures of low cognitive demand, are majority in these teachers. These results are discussed.</t>
  </si>
  <si>
    <t>Martinic, Sergio/C-2391-2009; Villalta Paucar, Marco Antonio/B-9555-2012</t>
  </si>
  <si>
    <t>Martinic, Sergio/0000-0003-2587-2414; Villalta Paucar, Marco Antonio/0000-0002-7553-925X</t>
  </si>
  <si>
    <t>1657-9267</t>
  </si>
  <si>
    <t>JAN-MAR</t>
  </si>
  <si>
    <t>WOS:000319508500020</t>
  </si>
  <si>
    <t>Khezzar, L; Siginer, D; Vinogradov, I</t>
  </si>
  <si>
    <t>Khezzar, Lyes; Siginer, Dennis; Vinogradov, Igor</t>
  </si>
  <si>
    <t>Natural convection of power law fluids in inclined cavities</t>
  </si>
  <si>
    <t>INTERNATIONAL JOURNAL OF THERMAL SCIENCES</t>
  </si>
  <si>
    <t>Steady two-dimensional natural convection in rectangular two-dimensional cavities filled with non-Newtonian power law-Boussinesq fluids is numerically investigated. The conservation equations of mass, momentum and energy are solved using the finite volume method for varying inclination angles between 0 degrees and 90 degrees and two cavity height based Rayleigh numbers, Ra = 10(4) and 10(5), a Prandtl number of Pr = 10(2) and three cavity aspect ratios of 1, 4 and 8. For the vertical inclination of 90 degrees, computations were performed for two Rayleigh numbers Ra = 10(4) and 10(5) and three Prandtl numbers of Pr = 10(2), 10(3) and 10(4). In all of the numerical experiments, the channel is heated from below and cooled from the top with insulated side walls and the inclination angle is varied. A comprehensive comparison between the Newtonian and the non-Newtonian cases is presented based on the dependence of the average Nusselt number (Nu) over bar on the angle of inclination together with the Rayleigh number, Prandtl number, power law index n and aspect ratio dependent flow configurations which undergo several exchange of stability as the angle of inclination phi is gradually increased from the horizontal resulting in a rather sudden drop in the heat transfer rate triggered by the last loss of stability and transition to a single cell configuration. A correlation relating (Nu) over bar to the power law index n for vertically heated cavities for the range 10(4) &lt;= Ra &lt;= 10(5) and 10(2) &lt;= Pr &lt;= 10(4) and valid for aspect ratios 4 &lt;= AR &lt;= 8 is given. (C) 2011 Elsevier Masson SAS. All rights reserved.</t>
  </si>
  <si>
    <t>KHEZZAR, Lyes/LDF-3636-2024</t>
  </si>
  <si>
    <t>1290-0729</t>
  </si>
  <si>
    <t>1778-4166</t>
  </si>
  <si>
    <t>10.1016/j.ijthermalsci.2011.10.020</t>
  </si>
  <si>
    <t>WOS:000300271600002</t>
  </si>
  <si>
    <t>Lizama, C; de Souza, JC</t>
  </si>
  <si>
    <t>Lizama, Carlos; de Souza, Julio Cesar</t>
  </si>
  <si>
    <t>The complex inversion formula in UMD spaces for families of bounded operators</t>
  </si>
  <si>
    <t>APPLICABLE ANALYSIS</t>
  </si>
  <si>
    <t>In this article, we prove that in UMD Banach spaces the complex inversion formula of the Laplace transform is valid, in the strong sense, for wide classes of families of bounded linear operators. Our approach allows us to recover (in a unified way) known results about C-0-semigroups, cosine functions and resolvent families as well as to prove new results for k-convoluted semigroups and integrated semigroups, among others.</t>
  </si>
  <si>
    <t>de Souza, Julio/AFR-0795-2022; Lizama, Carlos/E-5909-2011</t>
  </si>
  <si>
    <t>Lizama, Carlos/0000-0002-9807-1100</t>
  </si>
  <si>
    <t>0003-6811</t>
  </si>
  <si>
    <t>1563-504X</t>
  </si>
  <si>
    <t>10.1080/00036811.2011.556625</t>
  </si>
  <si>
    <t>WOS:000304275000006</t>
  </si>
  <si>
    <t>Dela Bianca, ACC; Wandalsen, GF; Mallol, J; Solé, D</t>
  </si>
  <si>
    <t>Cavalcanti Dela Bianca, Ana Caroline; Wandalsen, Gustavo Falbo; Mallol, Javier; Sole, Dirceu</t>
  </si>
  <si>
    <t>Prevalence and severity of wheezing in the first year of life</t>
  </si>
  <si>
    <t>JORNAL BRASILEIRO DE PNEUMOLOGIA</t>
  </si>
  <si>
    <t>Objective: To determine the prevalence and severity of wheezing in infants, using the standardized protocol devised for the Estudio Internacional de Sibilancias en Lactantes (EISL, International Study of Wheezing in Infants), as well as to determine the relationship between such wheezing and physician-diagnosed asthma, in the first year of life. Methods: Between March of 2005 and August of 2006, the EISL questionnaire was administered to the parents or legal guardians of infants undergoing routine procedures or immunization at public primary health care clinics in the southern part of the city of Sao Paulo, Brazil. Results: Our sample comprised 1,014 infants (mean age = 5.0 +/- 3.0 months), 467 (46.0%) of whom had at least one wheezing episode, 270 (26.6%) having three or more such episodes, in their first year of life. The use of inhaled beta(2) agonists, inhaled corticosteroids, or antileukotrienes, as well as the occurrence of nocturnal symptoms, difficulty breathing, pneumonia, emergency room visits, and hospitalization due to severe wheezing, was significantly more common among those with recurrent wheezing (p &lt; 0.05). Physician-diagnosed asthma was reported for 35 (7.5%) of the 467 wheezing infants and was found to be associated with the use of inhaled corticosteroids, difficulty breathing during the attacks, and six or more wheezing episodes in the first year of life. However, less than 40% of those infants were treated with inhaled corticosteroids or antileukotrienes. Conclusions: In this study, the prevalence of wheezing episodes among infants in their first year of life was high and had an early onset. The proportion of infants diagnosed with and treated for asthma was low.</t>
  </si>
  <si>
    <t>Wandalsen, Gustavo/D-8412-2013; Solé, Dirceu/JAO-0340-2023</t>
  </si>
  <si>
    <t>Mallol, Javier/0000-0003-2528-8672</t>
  </si>
  <si>
    <t>1806-3713</t>
  </si>
  <si>
    <t>1806-3756</t>
  </si>
  <si>
    <t>JUL-AUG</t>
  </si>
  <si>
    <t>10.1590/S1806-37132010000400003</t>
  </si>
  <si>
    <t>WOS:000281227400003</t>
  </si>
  <si>
    <t>García-Huidobro, M; Yarer, CS</t>
  </si>
  <si>
    <t>Garcia-Huidobro, Marta; Yarer, Cecilia S.</t>
  </si>
  <si>
    <t>ON QUASILINEAR BREZIS-NIRENBERG TYPE PROBLEMS WITH WEIGHTS</t>
  </si>
  <si>
    <t>ADVANCES IN DIFFERENTIAL EQUATIONS</t>
  </si>
  <si>
    <t>In this paper we study Brezis-Nirenberg type results for radial solutions of a qumilinear elliptic equation of the form {-Delta(p)u = lambda C(vertical bar x)vertical bar u vertical bar(p-2) u + B(vertical bar x vertical bar)vertical bar u vertical bar(q-2)u, a.e. x is an element of B-R(0) subset of R-N, R &gt; 0, u = 0, on partial derivative B-R(0), where lambda is an element of R, q &gt;= p &gt; 1, Delta(p)u = div(vertical bar del(u)vertical bar(p-2)del u), B-R(0) denotes the ball of radius R &gt; 0 centered at 0 in R-N, and the weights B, C are appropriate positive measurable radially symmetric functions.</t>
  </si>
  <si>
    <t>García-Huidobro, Marta/JJE-8451-2023</t>
  </si>
  <si>
    <t>1079-9389</t>
  </si>
  <si>
    <t>MAY-JUN</t>
  </si>
  <si>
    <t>5-6</t>
  </si>
  <si>
    <t>WOS:000276265500001</t>
  </si>
  <si>
    <t>Millán, G; Kaschel, H; Lefranc, G</t>
  </si>
  <si>
    <t>Millan, Ginno; Kaschel, Hector; Lefranc, Gaston</t>
  </si>
  <si>
    <t>A Simple Model for the Generation of LRD Self-similar Traffic Using Piecewise Affine Chaotic One-dimensional Maps</t>
  </si>
  <si>
    <t>STUDIES IN INFORMATICS AND CONTROL</t>
  </si>
  <si>
    <t>A qualitative and quantitative extension of the chaotic models used to generate self-similar traffic with long range dependence LRD is presented by means of the formulation of a model that considers the use of piecewise affine one-dimensional maps. Based on the disaggregation of the temporal series generated, a valid explanation of the behavior of the values of Hurst's exponents is proposed and the feasibility of their control from the parameters of the proposed model is shown.</t>
  </si>
  <si>
    <t>Millán, Ginno/AAP-8680-2020</t>
  </si>
  <si>
    <t>Kaschel, Hector/0000-0002-0868-7834</t>
  </si>
  <si>
    <t>1220-1766</t>
  </si>
  <si>
    <t>WOS:000276058500007</t>
  </si>
  <si>
    <t>Lacoste, P</t>
  </si>
  <si>
    <t>Lacoste, Pablo</t>
  </si>
  <si>
    <t>Parrales, Braceros and cepas de cabeza: the Art of Cultivating Vineyards in Mendoza and San Juan (1561-1869)</t>
  </si>
  <si>
    <t>HISTORIA-SANTIAGO</t>
  </si>
  <si>
    <t>Parrales, braceros and gobelet were the three most utilized methods to cultivate grapevines in Mendoza and San Juan, since the founding of the capital of Cuyo Province in Chile's Reign. These methods prevailed from the Spanish conquest of the area, in 1561, until the impact of French-like methods in Argentina's vine-growing in the 1870s. This topic is relevant because Argentina is today the main wine producer in Latin America and the fifth largest producer in the world. This work has been prepared based on original sources from archives located in Mendoza, San Juan and Santiago, with the processing of more than 400,000 data regarding vineyards, vines and stocks of wine. This study demonstrates that 97 percent of the stocks of wine were cultivated in vineyards and only 3 percent by using parrales encatrados. Among the former, three fourths used the sistema de vaso, gobelet or cepas de cabeza, as it was called in America; The rest used an embracerado system, where vine shoots were led with willow and poplar sticks. In general, black grapes were cultivated with cepas de cabeza and muscatel wine using the bracero or parral encatrado system.</t>
  </si>
  <si>
    <t>Lacoste, Pablo/0000-0003-1876-8141</t>
  </si>
  <si>
    <t>0717-7194</t>
  </si>
  <si>
    <t>JAN-JUN</t>
  </si>
  <si>
    <t>WOS:000280172200001</t>
  </si>
  <si>
    <t>Maerker, M; Castro, CP; Pelacani, S; Baeuerle, MVS</t>
  </si>
  <si>
    <t>Maerker, Michael; Castro, Carmen Paz; Pelacani, Samanta; Baeuerle, Maria Victoria Soto</t>
  </si>
  <si>
    <t>Assessment of soil degradation susceptibility in the Chacabuco Province of central Chile using a morphometry based response units approach</t>
  </si>
  <si>
    <t>GEOGRAFIA FISICA E DINAMICA QUATERNARIA</t>
  </si>
  <si>
    <t>In this study the intensity and distribution of degradation processes in the Chacabuco Province of Chile was assessed focusing on water related degradation processes. The assessment is based on a morphometry based response units approach. Therefore a detailed DEM with 25 resolution was generated and analyzed. The combination of different indices allowed a separation of the terrain in different terrain units with specific degradation potential. The information is further used to identify areas that are suitable for the deposition of heavy metal rich sewage sludge of the Santiago metropolitan area. The study shows that, with a detailed geomorphological description and terrain analysis, areas susceptible to degradation processes can be identified. Hence, in a further step a classification and regression tree approach was used to derive a model to predict the degradation susceptibilities in the Chacabuco Province. The analysis was calibrated with exiting information on the geomorphology as well as intensity and distribution of degradation processes in the Metropolitan Region of Santiago, Chile.</t>
  </si>
  <si>
    <t>Maerker, Michael/C-5181-2016</t>
  </si>
  <si>
    <t>Maerker, Michael/0000-0003-0632-1422</t>
  </si>
  <si>
    <t>0391-9838</t>
  </si>
  <si>
    <t>WOS:000257994200006</t>
  </si>
  <si>
    <t>Rodríguez, H; Ontiveros, B; Soto, I; Carrasco, R</t>
  </si>
  <si>
    <t>Leitgeb, E; Kogler, W; Ghassemlooy, Z</t>
  </si>
  <si>
    <t>Rodriguez, H.; Ontiveros, B.; Soto, I.; Carrasco, R.</t>
  </si>
  <si>
    <t>A public key encryption model for wireless sensor networks</t>
  </si>
  <si>
    <t>CSNDSP 08: PROCEEDINGS OF THE SIXTH INTERNATIONAL SYMPOSIUM ON COMMUNICATION SYSTEMS, NETWORKS AND DIGITAL SIGNAL PROCESSING</t>
  </si>
  <si>
    <t>6th International Symposium on Communication Systems, Networks and Digital Signal Processing</t>
  </si>
  <si>
    <t>JUL 23-25, 2008</t>
  </si>
  <si>
    <t>Graz Univ Technol, Graz, AUSTRIA</t>
  </si>
  <si>
    <t>Graz Univ Technol, Dept Broadband Commun,IEEE,IEEE Austrian Sect,IEEE Student Branch Graz,IEEE Commun Chapter,OVE, Austrian Electrotech Assoc,SoftMoto,EURASIP,Inst Engn Engn &amp; Technol,EPCOS,Stadt Graz,Das Land Steiermark,SATNEX,Photeon Technol,Austria Microsyst,Infineon,NXP,Telekom Austria</t>
  </si>
  <si>
    <t>Graz Univ Technol</t>
  </si>
  <si>
    <t>In this paper, we propose a public key encryption scheme for wireless sensor networks. This scheme is based on elliptic curves defined over binary finite field and code Low Density Parity Check. A simplified model of the Communication system is presented using Petri nets and also performance results for one peer to peer link are included.</t>
  </si>
  <si>
    <t>; Ghassemlooy, Zabih/G-9521-2014</t>
  </si>
  <si>
    <t>Soto, Ismael/0000-0002-5501-5651; Ghassemlooy, Zabih/0000-0002-5780-9703</t>
  </si>
  <si>
    <t>978-1-4244-1875-6</t>
  </si>
  <si>
    <t>+</t>
  </si>
  <si>
    <t>10.1109/CSNDSP.2008.4610789</t>
  </si>
  <si>
    <t>WOS:000259386600081</t>
  </si>
  <si>
    <t>Fernandez, AM; Vera-Villarroel, P; Sierra, JC; Zubeidat, I</t>
  </si>
  <si>
    <t>Fernandez, Ana Maria; Vera-Villarroel, Pablo; Sierra, Juan Carlos; Zubeidat, Ihab</t>
  </si>
  <si>
    <t>Distress in response to emotional and sexual infidelity: Evidence of evolved gender differences in Spanish students</t>
  </si>
  <si>
    <t>JOURNAL OF PSYCHOLOGY</t>
  </si>
  <si>
    <t>The authors studied gender differences in response to hypothetical infidelity in Spanish students. Using a forced-choice methodology, the authors asked a sample of 266 participants to indicate which kind of infidelity would be more distressing: emotional or sexual. Men were significantly more distressed by sexual infidelity than were women, and women were significantly more distressed by emotional infidelity than were men. Results supported the hypothesis that particular infidelity types, which resemble adaptive problems that human beings faced in the past, contribute to the psychology of jealousy. The results are consistent with previous cross-cultural research.</t>
  </si>
  <si>
    <t>Fernandez, Ana Maria/E-6429-2011; Sierra, Juan Carlos/G-3044-2010; Vera-Villarroel, Pablo/A-1134-2011</t>
  </si>
  <si>
    <t>Fernandez, Ana Maria/0000-0003-4132-5891; Sierra, Juan Carlos/0000-0002-5593-9803; Vera-Villarroel, Pablo/0000-0001-9187-8414</t>
  </si>
  <si>
    <t>0022-3980</t>
  </si>
  <si>
    <t>1940-1019</t>
  </si>
  <si>
    <t>JAN</t>
  </si>
  <si>
    <t>10.3200/JRLP.141.1.17-24</t>
  </si>
  <si>
    <t>WOS:000244048800002</t>
  </si>
  <si>
    <t>Yévenes, A; Espinoza, R; Rivas-Pardo, JA; Villarreal, JM; González-Nilo, FD; Cardemil, E</t>
  </si>
  <si>
    <t>Yevenes, Alejandro; Espinoza, Rodrigo; Rivas-Pardo, Jaime A.; Villarreal, Jos M.; Gonzalez-Nilo, Fernando D.; Cardemil, Emilio</t>
  </si>
  <si>
    <t>Site-directed mutagenesis study of the microenvironment characteristics of Lys213 of Saccharomyces cerevisiae phosphoenolpyruvate carboxykinase</t>
  </si>
  <si>
    <t>BIOCHIMIE</t>
  </si>
  <si>
    <t>Saccharomyces cerevisiae phosphoenolpyruvate (PEP) carboxykinase catalyzes the reversible formation of oxaloacetate and adenosine triphosphate from PEP, adenosine diphosphate and carbon dioxide, and uses Mn2+ as the activating metal ion. Comparison with the crystalline structure of homologous Escherichia coli PEP carboxykinase [Tari et al. Nature Struct. Biol. 4 (1997) 990-994] shows that Lys(213) is one of the ligands to Mn2+ at the enzyme active site. Coordination of Mn2+ to a lysyl residue is infrequent and suggests a low pK(a) value for the epsilon-NH2 group of Lys(213). In this work, we evaluate the role of neighboring Phe(416) in contributing to provide a low polarity microenvironment suitable to keep the epsilon-NH2 of Lys(213) in the unprotonated form. Mutation Phe416Tyr shows that the introduction of a hydroxyl group in the lateral chain of the residue produces a substantial loss in the enzyme affinity for Mn2+, suggesting an increase of the pK(a) of Lys(213). A study of the effect of pH on K-m for Mn2+ indicate that the affinity of recombinant wild type enzyme for the metal ion is dependent on deprotonation of a group with pK(a) of 7.1 +/- 0.2, compatible with the low pK(a) expected for Lys(213). This pKa value increases at least 1.5 pH units upon Phe416Tyr mutation, in agreement with the expected effect of an increase in the polarity of Lys(213) microenvironment. Theoretical calculations of the pK(a) of Lys(213) indicate a value of 6.5 +/- 0.9, and it increases to 8.2 +/- 1.6 upon Phe416Tyr mutation. Additionally, mutation Phe416Tyr causes a loss of 1.3 kcal mol(-1) in the affinity of the enzyme for PEP, an effect perhaps related to the close proximity of Phe(416) to Arg(70), a residue previously shown to be important for PEP binding. (c) 2006 Elsevier SAS. All rights reserved.</t>
  </si>
  <si>
    <t>Villarreal, José/AAI-8508-2021; Gonzalez Nilo, Fernando Danilo/M-5671-2016</t>
  </si>
  <si>
    <t>Villarreal Ascencio, Jose Miguel/0000-0002-7974-2263; Gonzalez Nilo, Fernando Danilo/0000-0001-6857-3575; Yevenes, Alejandro/0000-0003-3799-1509; Rivas Pardo, Andres/0000-0002-8304-3238</t>
  </si>
  <si>
    <t>0300-9084</t>
  </si>
  <si>
    <t>1638-6183</t>
  </si>
  <si>
    <t>JUN</t>
  </si>
  <si>
    <t>10.1016/j.biochi.2005.12.002</t>
  </si>
  <si>
    <t>WOS:000239617600011</t>
  </si>
  <si>
    <t>Henríquez, HR; Castillo, G</t>
  </si>
  <si>
    <t>The Kneser property for the second order functional abstract Cauchy problem</t>
  </si>
  <si>
    <t>INTEGRAL EQUATIONS AND OPERATOR THEORY</t>
  </si>
  <si>
    <t>In this work we establish existence of mild solutions for a class of abstract semi-linear functional differential equations of second order and we prove that the set consisting of the mild solutions for these problems is connected.</t>
  </si>
  <si>
    <t>0378-620X</t>
  </si>
  <si>
    <t>1420-8989</t>
  </si>
  <si>
    <t>10.1007/s00020-002-1266-9</t>
  </si>
  <si>
    <t>WOS:000231771200005</t>
  </si>
  <si>
    <t>Ardiles, P; Trollund, E; Isaacs, M; Armijo, F; Canales, JC; Aguirre, MJ; Canales, MJ</t>
  </si>
  <si>
    <t>Electrocataltyic oxidation of hydrazine at polymeric iron-tetraaminophthalocyanine modified electrodes</t>
  </si>
  <si>
    <t>JOURNAL OF MOLECULAR CATALYSIS A-CHEMICAL</t>
  </si>
  <si>
    <t>Electrocatalytic hydrazine oxidation was studied by using a glassy carbon electrode coated with monomeric and polymeric Fe-tetraaminophthalocyanine. The polymeric complex-modified electrode is a better catalyst than the monomer-modified electrode. It presents higher activity at lower potentials and a very good reproducibility. A linear correlation between I,, and hydrazine concentration in a wide range, from 1 x 10(-6) to 1 x 10(-2) M at pH 13 for the polymer-modified electrode was obtained. The open circuit measurements for the polymer-modified electrode in aqueous solution in both presence and absence of hydrazine show that an electronic transfer occurs without an applied potential, from the hydrazine to the Fe (II) metal center. The kinetic electro-oxidation parameters for the polymer-modified electrode were investigated and a probable mechanism operating at pH 13 is proposed. (C) 2001 Elsevier Science B.V. All rights reserved.</t>
  </si>
  <si>
    <t>Armijo, Francisco/G-3391-2013; Aguirre, Maria/A-3935-2013; Isaacs, Mauricio/N-3027-2013</t>
  </si>
  <si>
    <t>Aguirre, Maria/0000-0003-1134-4469; Canales Villalobos, Juan Carlos/0009-0006-3215-4997; Isaacs Casanova, Mauricio/0000-0003-0503-0949; Armijo, Francisco/0000-0002-2479-6280</t>
  </si>
  <si>
    <t>1381-1169</t>
  </si>
  <si>
    <t>JAN 8</t>
  </si>
  <si>
    <t>1-2</t>
  </si>
  <si>
    <t>10.1016/S1381-1169(00)00411-8</t>
  </si>
  <si>
    <t>WOS:000166375300022</t>
  </si>
  <si>
    <t>Vera-Villarroel, PE; Alarcón, S</t>
  </si>
  <si>
    <t>Excitatory and inhibitory conditioning of two physiological responses in a group of rats</t>
  </si>
  <si>
    <t>PSICOTHEMA</t>
  </si>
  <si>
    <t>A differential conditioning of 120 essays was carried out in a four-day period in a group of rats. The stimuli were the following: a light (CS-), a tone (CS+) and an electric discharge (US). After six days, the subjects we re randomly subdivided into different groups. Each of the groups was submitted in the trial phase to 15 occurrences of one of the following stimuli: CS+, CS-, US, CS+/CS- and the context. No significant differences were found at the lymphocyte response level (p&lt;0,05). Regarding the protein amount, almost all groups showed higher indexes than the control group. However, only the group submitted to the excitatory stimulus show differences when compared with the control group. In the discussion over the results, two main factors are stressed: the significance of contextual clues in the modification of physiological responses and the importance of inhibitory stimuli in balancing the effects of excitatory conditioning.</t>
  </si>
  <si>
    <t>Vera-Villarroel, Pablo/A-1134-2011</t>
  </si>
  <si>
    <t>Vera-Villarroel, Pablo/0000-0001-9187-8414</t>
  </si>
  <si>
    <t>0214-9915</t>
  </si>
  <si>
    <t>WOS:000088499600021</t>
  </si>
  <si>
    <t>Bustos, RO; Romo, CR; Healy, MG</t>
  </si>
  <si>
    <t>Purification of trypsin-like enzymes from Antarctic krill processing wastewater</t>
  </si>
  <si>
    <t>PROCESS BIOCHEMISTRY</t>
  </si>
  <si>
    <t>The presence of trypsin-like enzymes was evaluated in different waste fractions produced during mechanical peeling of Antarctic krill (Euphausia superba) using N-alpha-benzoylarginine p-nitroanilide as substrate. The enzymes were highly concentrated in the exudate (drip) obtained after thawing 25 kg of frozen krill blocks. They presented an unusually high stability in this material, retaining over 40% of the initial activity after 60 days of storage at 45 degrees C. From this wastewater, trypsin-like enzymes were purified 140-fold in one step by affinity chromatography on p-aminobenzamidine Sepharose 4B. The purified enzymes migrated as a broad band in polyacrylamide gel electrophoresis and presented a molecular weight between 32 000 and 33 000. The use of krill processing wastewater as a source for commercial production of trypsin-like enzymes is discussed. (C) 1999 Elsevier Science Ltd. All rights reserved.</t>
  </si>
  <si>
    <t>Bustos, Ruben/AAM-2029-2020; Healy, Mark/C-1400-2009</t>
  </si>
  <si>
    <t>Bustos, Ruben/0000-0003-0183-0324</t>
  </si>
  <si>
    <t>1359-5113</t>
  </si>
  <si>
    <t>3-4</t>
  </si>
  <si>
    <t>10.1016/S0032-9592(99)00075-8</t>
  </si>
  <si>
    <t>WOS:000083653200014</t>
  </si>
  <si>
    <t>Soto-Suazo, M; Abrahamsohn, PA; Pereda, J; Zorn, TMT</t>
  </si>
  <si>
    <t>Distribution and space-time relationship of proteoglycans in the extracellular matrix of the migratory pathway of primordial germ cells in mouse embryos</t>
  </si>
  <si>
    <t>TISSUE &amp; CELL</t>
  </si>
  <si>
    <t>Joint Meeting of the Brazilian-Society-of-Electron-Microscopy-and-Microanalysis / Brazilian-Cell-Biology-Society</t>
  </si>
  <si>
    <t>DEC, 1998</t>
  </si>
  <si>
    <t>SAO PAULO, BRAZIL</t>
  </si>
  <si>
    <t>Brazilian Soc Electron Microscopy &amp; Microanal,Brazilian Cell Biol Soc</t>
  </si>
  <si>
    <t>In this paper we present an in situ ultrastructural cytochemical study on the distribution and spatial-temporal expression of proteoglycans (PGs) in the extracellular matrix of the migratory pathway of mouse primordial germ cells (PGCs) during the different phases of migration, by the use of the cationic dye ruthenium hexammine trichloride (RHT). Embryos of 9, 10, 11 and 12 days of development were used, The treatment with RHT revealed PGs as electron dense layers, granules, and filaments. Whereas granules prevailed in the extracellular spaces of the migratory route during the whole migratory process, the amount of filamentous structures increased during the migration phase of PGCs. At the end of the migratory process the surface of the PGCs lost its reaction by RHT, There were differences in the size of the granules of PGs at the initial migratory period (9-day-old embryos) as compared with the other days of gestation. There was a strong reaction for PGs in the extracellular spaces, expressed as a meshwork of granules interconnected by filaments, as well as reaction on the basement membranes during the peak of the PGCs migration in 10-day-old embryos. These results support the hypothesis that these molecules may have an important role in the migration of PGCs, although the precise mechanism involved in this process is not yet clear.</t>
  </si>
  <si>
    <t>Zorn, Telma/C-4065-2008</t>
  </si>
  <si>
    <t>0040-8166</t>
  </si>
  <si>
    <t>10.1054/tice.1999.0041</t>
  </si>
  <si>
    <t>WOS:000082021600007</t>
  </si>
  <si>
    <t>S</t>
  </si>
  <si>
    <t>Ordoñez, S; Martinez, V; Iturriza, I; Castro, F</t>
  </si>
  <si>
    <t>Salgado, L; Filho, FA</t>
  </si>
  <si>
    <t>Influence of the SiO2 additions on the Si3N4 decomposition reaction during sintering cycles without pressure</t>
  </si>
  <si>
    <t>ADVANCED POWDER TECHNOLOGY</t>
  </si>
  <si>
    <t>MATERIALS SCIENCE FORUM</t>
  </si>
  <si>
    <t>1st International Latin American Conference on Powder Technology</t>
  </si>
  <si>
    <t>NOV 10-12, 1997</t>
  </si>
  <si>
    <t>ABC,IPEN,MPIF,SINTERCONSULT,FAPESP,CNPq,FINEP</t>
  </si>
  <si>
    <t>In the present work, the influence of the SiO2 addition on the decomposition reaction is studied. with this aim a wide composition range is covered, going from a content of silica barely superior to the commercial powder until reaching the necessary amount to get the stoichiometric ratio for the silicon oxynitride formation. The results obtained for sintering without pressure of Si3N4 with SiO2 additions are analyzed in function of the weight loss and these show that it is not the Si3N4 decomposition the only reaction responsible for the weight loss. The weight loss rate increase with SiO2 content. Additionally, sintering cycles without pressure in nitrogen atmosphere using powder beds (50 wt.% Si3N4 + 50 wt.% BN) were made. The use of nitrogen atmosphere and powder beds tends to avoid the Si3N4 decomposition.</t>
  </si>
  <si>
    <t>Iturriza, Inigo/ABK-3882-2022</t>
  </si>
  <si>
    <t>Inigo, Iturriza/0000-0003-1662-4945</t>
  </si>
  <si>
    <t>0255-5476</t>
  </si>
  <si>
    <t>0-87849-825-7</t>
  </si>
  <si>
    <t>299-3</t>
  </si>
  <si>
    <t>10.4028/www.scientific.net/MSF.299-300.171</t>
  </si>
  <si>
    <t>WOS:000079831600023</t>
  </si>
  <si>
    <t>Pizarro, M; Lissi, E; Reyes, J; Holmgren, J</t>
  </si>
  <si>
    <t>Effects of vitamin E supplementation on urinary luminescence in patients with Duchenne muscular dystrophy</t>
  </si>
  <si>
    <t>REVISTA MEDICA DE CHILE</t>
  </si>
  <si>
    <t>Background: Urinary luminescence is increased in patients with Duchenne muscular dystrophy, probably due to the higher oxidative stress present in this disease. Aim: To asses the effects of vitamin E supplementation on urinary luminescence in children with Duchenne muscular dystrophy. Patients and methods: Eighteen children with muscular dystrophy aged 12.2 years old and nine control children aged 10 years old, received 400 IU/day of vitamin E during one month. Prior to supplementation and twice a week thereafter, spot urine samples were obtained to measure urinary luminescence in a scintillation counter. Results: There was a wide variability in urinary luminescence within and between children. Mean values decreased after vitamin E supplementation in six of nine controls and in 12 of 18 children with muscular dystrophy. Conclusions: Vitamin E supplementation significantly decreases urinary luminescence in healthy children and in patients with Duchenne muscular dystrophy. Therefore, it could be useful for the treatment of this disease.</t>
  </si>
  <si>
    <t>0034-9887</t>
  </si>
  <si>
    <t>OCT</t>
  </si>
  <si>
    <t>WOS:000077387700004</t>
  </si>
  <si>
    <t>Mallol, J; Robertson, CE; Cook, D; Kaymakci, B</t>
  </si>
  <si>
    <t>Nebulized gentamicin in children with cystic fibrosis: Enhancing antibiotic lung deposition by increasing flow rate and fill volume</t>
  </si>
  <si>
    <t>JOURNAL OF AEROSOL MEDICINE-DEPOSITION CLEARANCE AND EFFECTS IN THE LUNG</t>
  </si>
  <si>
    <t>The aim of this study was to determine the influence of altering the nebulizer flow rate and volume fill on intrapulmonary deposition of nebulized gentamicin in adolescents with cystic fibrosis (CF). A single group of individuals inhaled randomly from two nebulization systems in a cross-over fashion, For System A, gentamicin 80 mg labeled with 4 mCi Tc 99m DTPA, diluted to 2 mi were placed in a jet nebulizer (JN) driven by an airflow of 5.5 l/min, For System B, the volume fill was 4 mi and the flow 10 l/min, The mass median diameter (MMD) of aerosol in System A and B was 4.4 m and 3.1 m, respectively, The nebulizer in System B released twice the volume (3.47 +/- 0.04 mi) of gentamicin solution compared to System A (1.71 +/- 0.03 mi) during similar nebulization time, Intrathoracic deposition was 4.0 +/- 2.7% for System A and 7.1 +/- 2.8% for System B. Lung deposition in patients inhaling from System A and B was 3.2 +/- 1.8% and 6.2 +/- 2.1%, respectively (p &lt; 0.05). This study demonstrates that operating conditions of the JN can markedly affect the dose of antibiotic deposited in the lung, Thus, using greater volume fill and higher flow rate markedly increases the intra pulmonary deposition of antibiotic in adolescents.</t>
  </si>
  <si>
    <t>0894-2684</t>
  </si>
  <si>
    <t>WIN</t>
  </si>
  <si>
    <t>10.1089/jam.1997.10.331</t>
  </si>
  <si>
    <t>WOS:000071044800004</t>
  </si>
  <si>
    <t>Rabagliati, FM; Aravena, M; Lillo, I; Ayal, HA; Rivas, BL; Canessa, GS</t>
  </si>
  <si>
    <t>Block copolymers .1. Poly(p-benzamide)-b-poly(propylene oxide)</t>
  </si>
  <si>
    <t>POLYMER BULLETIN</t>
  </si>
  <si>
    <t>The preparation of acid chloride of poly(propylene oxide), PPO, the synthesis of prepolymer poly(p-benzamide), and of block copolymers of poly(p-benzamide)-b-poly(propylene oxide) are reported. The preparation of prepolymer poly(p-benzamide), PBA, and activated PPO, as well as PBA-PPO block copolymer are discussed according to their FTIR spectra.</t>
  </si>
  <si>
    <t>Rivas, Bernabé/D-9945-2015</t>
  </si>
  <si>
    <t>0170-0839</t>
  </si>
  <si>
    <t>SEP</t>
  </si>
  <si>
    <t>10.1007/BF00318067</t>
  </si>
  <si>
    <t>WOS:A1996VC91300010</t>
  </si>
  <si>
    <t>BRUNSER, O; ESPINOZA, J; ARAYA, M; CRUCHET, S; GIL, A</t>
  </si>
  <si>
    <t>EFFECT OF DIETARY NUCLEOTIDE SUPPLEMENTATION ON DIARRHEAL DISEASE IN INFANTS</t>
  </si>
  <si>
    <t>ACTA PAEDIATRICA</t>
  </si>
  <si>
    <t>The effects of a nucleotide-supplemented formula on diarrhoeal disease was studied in 141 infants (group 1) who belonged to the low socioeconomic stratum; 148 controls (group 2) received the same formula but unsupplemented. Group 1 experienced less episodes of diarrhoea (109 versus 140), including less first episodes (74 versus 102; chi-square = 8.19, p &lt; 0.004; odds ratio 2.01) and for a lesser number of days (807 versus 996 days); 45.0% and 31.1% of infants in groups 1 and 2, respectively, never developed episodes of diarrhoea. There were no differences in the clinical characteristics of the episodes or in the enteropathogens isolated from symptomatic or asymptomatic infants. The mechanisms through which nucleotides decrease the incidence of diarrhoeal disease in infants remain unclear.</t>
  </si>
  <si>
    <t>obrunser, Oscar/A-3966-2008; Gil, Angel/L-2275-2014</t>
  </si>
  <si>
    <t>Gil, Angel/0000-0001-7663-0939</t>
  </si>
  <si>
    <t>0803-5253</t>
  </si>
  <si>
    <t>FEB</t>
  </si>
  <si>
    <t>10.1111/j.1651-2227.1994.tb13048.x</t>
  </si>
  <si>
    <t>WOS:A1994NB06600016</t>
  </si>
  <si>
    <t>VENEGAS, M; MATSUHIRO, B; EDDING, ME</t>
  </si>
  <si>
    <t>ALGINATE COMPOSITION OF LESSONIA-TRABECULATA (PHAEOPHYTA, LAMINARIALES) GROWING IN EXPOSED AND SHELTERED HABITATS</t>
  </si>
  <si>
    <t>BOTANICA MARINA</t>
  </si>
  <si>
    <t>Lessonia trabeculata forms extensive kelp beds in Chilean subtidal environments. It commonly occurs in wave exposed habitats, and occasionally in sheltered habitats. Different hydrodynamic regimes produce morphologically and physiologically distinct plants. This study investigated alginate composition in Lessonia trabeculata growing in two habitats which differed in intensity of water movement. Blades of sporophytes at an exposed beach (El Frances) were significantly narrower and thicker (P &lt; 0.05) than those from a protected bay (La Herradura). Alginates from blades at the exposed site showed a significantly lower M/G ratio (P &lt; 0.05) and a higher percentage of guluronic blocks than those from the protected site. Stipes and holdfasts showed insignificant differences in M/G ratio and in block composition between the two sites. A transplant experiment showed that the blades of sporophytes from El Frances transplanted to La Herradura Bay were significantly higher in M/G ratio and content of MM blocks. In sporophytes transplanted from La Herradura to El Frances the M/G ratio decreased significantly (P &lt; 0.05) and showed an increase in content of GG blocks. Differences in M/G ratio and block composition between populations of Lessonia trabeculata appear to arise as an adaptative response to hydrodynamic activity of the habitat, realized through modifications in alginic acid biosynthesis.</t>
  </si>
  <si>
    <t>0006-8055</t>
  </si>
  <si>
    <t>10.1515/botm.1993.36.1.47</t>
  </si>
  <si>
    <t>WOS:A1993KW91500008</t>
  </si>
  <si>
    <t>ABUIN, EB; LISSI, EA; NUNEZ, R; OLEA, A</t>
  </si>
  <si>
    <t>STUDY OF AQUEOUS TETRADECYLTRIMETHYLAMMONIUM BROMIDE-BRIJ-35 SOLUTIONS BY ION ACTIVITY MEASUREMENTS</t>
  </si>
  <si>
    <t>LANGMUIR</t>
  </si>
  <si>
    <t>Olea, Andres/AAF-6955-2019</t>
  </si>
  <si>
    <t>Olea, Andres/0000-0001-8007-6264</t>
  </si>
  <si>
    <t>0743-7463</t>
  </si>
  <si>
    <t>10.1021/la00087a031</t>
  </si>
  <si>
    <t>WOS:A1989U745300032</t>
  </si>
  <si>
    <t>MILETTA, PD</t>
  </si>
  <si>
    <t>AN EVOLUTION EQUATION WITH NON-LOCAL NON-LINEARITIES - EXISTENCE, UNIQUENESS AND ASYMPTOTIC-BEHAVIOR</t>
  </si>
  <si>
    <t>10.1002/mma.1670100406</t>
  </si>
  <si>
    <t>WOS:A1988P898900005</t>
  </si>
  <si>
    <t>ESCUDEY, M; MORA, MD; SALAZAR, I; GALINDO, YG</t>
  </si>
  <si>
    <t>DESCRIPTION OF SURFACE-CHARGE OF NONCRYSTALLINE IRON-OXIDE BY IONIZATION AND COMPLEXATION MODELS</t>
  </si>
  <si>
    <t>BOLETIN DE LA SOCIEDAD CHILENA DE QUIMICA</t>
  </si>
  <si>
    <t>0366-1644</t>
  </si>
  <si>
    <t>DEC</t>
  </si>
  <si>
    <t>WOS:A1987L154000005</t>
  </si>
  <si>
    <t>SARIEGO, R; CARKOVIC, I; MARTINEZ, M; VALDERRAMA, M</t>
  </si>
  <si>
    <t>RHODIUM(I) COMPLEXES IN HYDROGEN TRANSFER-REACTIONS TO KETONES AND ALDEHYDES</t>
  </si>
  <si>
    <t>JOURNAL OF MOLECULAR CATALYSIS</t>
  </si>
  <si>
    <t>0304-5102</t>
  </si>
  <si>
    <t>MAY</t>
  </si>
  <si>
    <t>10.1016/0304-5102(86)87021-3</t>
  </si>
  <si>
    <t>WOS:A1986C372600003</t>
  </si>
  <si>
    <t>COSTAMAGNA, JA; GRANIFO, J</t>
  </si>
  <si>
    <t>ORGANOMETALLIC COMPOUNDS</t>
  </si>
  <si>
    <t>INORGANIC SYNTHESES</t>
  </si>
  <si>
    <t>0073-8077</t>
  </si>
  <si>
    <t>10.1002/9780470132548.ch1</t>
  </si>
  <si>
    <t>WOS:A1985AQF1500001</t>
  </si>
  <si>
    <t>NEGRETE, R; BACKHOUSE, N; CASSELS, BK</t>
  </si>
  <si>
    <t>LEAF ALKALOIDS OF SOPHORA-MACROCARPA</t>
  </si>
  <si>
    <t>JOURNAL OF NATURAL PRODUCTS</t>
  </si>
  <si>
    <t>Cassels, Bruce/H-6937-2013</t>
  </si>
  <si>
    <t>0163-3864</t>
  </si>
  <si>
    <t>10.1021/np50023a028</t>
  </si>
  <si>
    <t>WOS:A1982PR49800028</t>
  </si>
  <si>
    <t>URZUA, A; SALGADO, G; CASSELS, BK; ECKHARDT, G</t>
  </si>
  <si>
    <t>ARISTOLOCHIC ACIDS IN ARISTOLOCHIA-CHILENSIS</t>
  </si>
  <si>
    <t>PLANTA MEDICA</t>
  </si>
  <si>
    <t>The major components of the acid fraction of the leaves and tender stems of [the medicinal plant] A. chilensis Miers are aristolochic acids I and Ia. Aristolochic acid Ia was isolated from plant material for the first time and its PMR spectrum is discussed.</t>
  </si>
  <si>
    <t>SALGADO, Gilmar/AAQ-8734-2020; Cassels, Bruce/H-6937-2013</t>
  </si>
  <si>
    <t>Urzua, Alejandro/0000-0003-2638-0921</t>
  </si>
  <si>
    <t>0032-0943</t>
  </si>
  <si>
    <t>1439-0221</t>
  </si>
  <si>
    <t>10.1055/s-2007-971242</t>
  </si>
  <si>
    <t>WOS:A1982NR41300013</t>
  </si>
  <si>
    <t>Quevedo, O</t>
  </si>
  <si>
    <t>Quevedo, Osvaldo</t>
  </si>
  <si>
    <t>Ideological Struggle Inside Ortúzar Commission: Authoritarians versus Moderates</t>
  </si>
  <si>
    <t>REVISTA ESTUDIOS SOCIO-JURIDICOS</t>
  </si>
  <si>
    <t>This study examines the political and ideological stances of the jurists responsible for drafting Pinochet's Constitution. Through a rigorous analysis of primary sources and the application of Critical Discourse Analysis to the corpus, two principal ideological positions are identified and scrutinized: one authoritarian and dominant, and the other moderate. The authoritarian stance represents a coalition between Catholic conservatism and neoliberal monetarism, while the moderate position reflects a continuity of the democratic and republican principles characteristic of the Chilean developmental state period (1938-1973). The findings are discussed in terms of their sociopolitical and historiographical significance.</t>
  </si>
  <si>
    <t>0124-0579</t>
  </si>
  <si>
    <t>2145-4531</t>
  </si>
  <si>
    <t>10.12804/revistas.urosario.edu.co/sociojuridicos/a.14762</t>
  </si>
  <si>
    <t>WOS:001474177800002</t>
  </si>
  <si>
    <t>Bruna, JE; Muñoz-Shugulí, C; Espinoza, L; Herrera, A; Rodríguez-Mercadoz, FJ; Ganga, MA; Guarda, A; Galotto, MJ</t>
  </si>
  <si>
    <t>Bruna, Julio E.; Munoz-Shuguli, Cristina; Espinoza, Lisette; Herrera, Andrea; Rodriguez-Mercadoz, Francisco J.; Ganga, Maria Angelica; Guarda, Abel; Galotto, Ma. Jose</t>
  </si>
  <si>
    <t>Poly(lactic acid) and copper-modified montmorillonite nanocomposite films for antimicrobial food packaging</t>
  </si>
  <si>
    <t>JOURNAL OF APPLIED POLYMER SCIENCE</t>
  </si>
  <si>
    <t>Polymer-based nanocomposites loaded with metal nanoparticles are an interesting alternative for the development of antimicrobial food packaging. However, affinity and dispersion of metal nanoparticles could be improved using nanoclays. Therefore, nanocomposite films based on poly(lactic acid) (PLA) and copper modified-montmorillonite were developed by melt-extrusion technique. Copper-modified montmorillonite at different valence states (MtCu(2+) and MtCu(0)) were prepared. The nanocomposites were evaluated by means of their structural, optical, thermal and antimicrobial properties. Results showed that both nanoclays were intercalated in PLA but MtCu(2+) was better dispersed. Therefore, color change Delta E &lt; 2, higher thermal stability and higher elongation at break was evidenced for MtCu(2+)/PLA in comparison to pure PLA. Contrary, MtCu(0) showed the displacement of Cu-0 nanoparticles to the polymer matrix. These free nanoparticles were agglomerated and they leaded on a Delta E &gt; 9 for MtCu(0)/PLA nanocomposites compared with PLA. Moreover, Cu-0 nanoparticles in the matrix accelerated the thermal degradation and decreased the ductility of nanocomposites. On the other hand, both nanocomposites were able to reduce over 2 log(10) of Escherichia coli growth and MtCu(2+)/PLA showed a higher antimicrobial activity against Listeria innocua. These results showed the potential of nanocomposite films based on PLA and copper-modified montmorillonite for antimicrobial food packaging applications.</t>
  </si>
  <si>
    <t>bruna, julio/AAM-6867-2021; Ganga, Maria/S-8176-2019; Rodríguez, Francisco/I-5283-2018; Muñoz-Shugulí, Cristina/AAO-4231-2020</t>
  </si>
  <si>
    <t>Munoz Shuguli, Cristina Alejandra/0000-0003-0052-7411; Bruna, Julio E./0000-0001-9656-6022; Rodriguez-Mercado, Francisco/0000-0002-0530-6653</t>
  </si>
  <si>
    <t>0021-8995</t>
  </si>
  <si>
    <t>1097-4628</t>
  </si>
  <si>
    <t>JAN 20</t>
  </si>
  <si>
    <t>10.1002/app.56406</t>
  </si>
  <si>
    <t>NOV 2024</t>
  </si>
  <si>
    <t>WOS:001358581800001</t>
  </si>
  <si>
    <t>Jia, JP; Wang, GL; Xiao, LP; Sun, SF; Ren, ZH; Xiao, WD; Sánchez, J; Sun, RC</t>
  </si>
  <si>
    <t>Jia, Jie-Ping; Wang, Guan-Long; Xiao, Ling -Ping; Sun, Shao-Fei; Ren, Zhi-Hong; Xiao, Wei-Dong; Sanchez, Julio; Sun, Run-Cang</t>
  </si>
  <si>
    <t>Bifunctional nanocomposites formed from magnetic lignin-derived carbon and molybdenum disulfide for efficient pollutant removal</t>
  </si>
  <si>
    <t>SEPARATION AND PURIFICATION TECHNOLOGY</t>
  </si>
  <si>
    <t>The development of inexpensive and robust bifunctional nanocomposites toward efficient pollutant removal is crucial for wastewater remediation. Herein, we report a novel strategy for fabrication of magnetic nanocomposites loaded with molybdenum disulfide (Fe3O4/PLC-MoS2) using lignin biomacromolecules for efficient pollutant removal. The Fe3O4/PLC-MoS2 exhibit excellent pollutant removal capacity: The adsorption capacity of Pb(II) achieve 236.1 mg/g and the methylene blue (MB) degradation rate is up to 90.0 % within 20 min. The adsorption mechanism reveal that the enhanced removal properties is due to that the S atoms on the loaded MoS2 could convert into soluble sulfide and react with Pb(II) to form white precipitate beta-Pb3O2SO4. Moreover, the experiments results demonstrate that the Fe3O4/PLC-MoS2 has a low bandgap, which can activate PMS to produce reactive oxygen species and degrade MB molecules efficiently. Notably, the Fe3O4/PLC-MoS2 demonstrate continued outstanding wastewater remediation capabilities even in scenarios where Pb(II) and MB coexisted. Overall, this study offers a viable and eco-friendly design of dual function removal material by using lignin waste toward promising implications for wastewater treatment.</t>
  </si>
  <si>
    <t>Sanchez, Julio/AEO-4360-2022; Xiao, W/AAF-6354-2021; Sun, Run-Cang/Z-3747-2019; Xiao, Ling-Ping/C-1259-2011</t>
  </si>
  <si>
    <t>Sanchez, Julio/0000-0003-4245-0096; Xiao, Ling-Ping/0000-0003-4088-6101</t>
  </si>
  <si>
    <t>1383-5866</t>
  </si>
  <si>
    <t>1873-3794</t>
  </si>
  <si>
    <t>DEC 18</t>
  </si>
  <si>
    <t>10.1016/j.seppur.2024.128010</t>
  </si>
  <si>
    <t>MAY 2024</t>
  </si>
  <si>
    <t>WOS:001244178400001</t>
  </si>
  <si>
    <t>Barriga, CA; Rodriguez, C; Ferreira, RA; Cardenas-mancilla, MH</t>
  </si>
  <si>
    <t>Barriga, Carmen A.; Rodriguez, Cristina; Ferreira, Roberto A.; Cardenas-mancilla, Marcos H.</t>
  </si>
  <si>
    <t>Formation of teacher expectations: Previous student performance and teacher characteristics as explanatory factors</t>
  </si>
  <si>
    <t>REVISTA ESPANOLA DE PEDAGOGIA</t>
  </si>
  <si>
    <t>Although the effect of teacher expectations on students' academic performance has been verified, few studies have focused on establishing which factors affect the formation of these expectations, especially ones that consider previous student performance and the professional experience of the teacher as explanatory factors. The aim of this study was to examine the effect of these factors on the formation of teacher expectations. The sample comprised 21 teachers from 11 schools, with low, medium, and high experience levels, as well as 363 firstyear primary -school students from Chile (ages 6-7), whose academic performance was measured at the start of the school year. Teacher expectations were measured part -way through the school year. A mixed ANOVA analysis made it possible to assess whether teacher expectation varies depending on previous performance and teacher experience. The results indicated that previous performance and teacher experience both have a significant effect on how expectations form. However, the effect of experience varies depending on the different dimensions of the expectations.</t>
  </si>
  <si>
    <t>Cárdenas-Mancilla, Marcos/JUV-2013-2023</t>
  </si>
  <si>
    <t>0034-9461</t>
  </si>
  <si>
    <t>2174-0909</t>
  </si>
  <si>
    <t>MAY-AUG</t>
  </si>
  <si>
    <t>10.22550/2174-0909.4042</t>
  </si>
  <si>
    <t>WOS:001241198900008</t>
  </si>
  <si>
    <t>Alvarez, E; Lizama, C</t>
  </si>
  <si>
    <t>Alvarez, Edgardo; Lizama, Carlos</t>
  </si>
  <si>
    <t>A characterization of Lp-maximal regularity for time-fractional systems in UMD spaces and applications</t>
  </si>
  <si>
    <t>JOURNAL OF DIFFERENTIAL EQUATIONS</t>
  </si>
  <si>
    <t>In this article we provide new insights into the well-posedness and maximal regularity of systems of abstract evolution equations, in the framework of periodic Lebesgue spaces of vector-valued functions. Our abstract model is flexible enough as to admit time-fractional derivatives in the sense of Liouville-Grunwald. We characterize the maximal regularity property solely in terms of R-boundedness of a block operatorvalued symbol, and provide corresponding estimates. In addition, we show practical criteria that imply the R-boundedness part of the characterization. We apply these criteria to show that the Keller-Segel system, as well as a reactor model system, have Lq - Lp maximal regularity. (c) 2024 Elsevier Inc. All rights reserved.</t>
  </si>
  <si>
    <t>Lizama, Carlos/E-5909-2011</t>
  </si>
  <si>
    <t>0022-0396</t>
  </si>
  <si>
    <t>1090-2732</t>
  </si>
  <si>
    <t>APR 25</t>
  </si>
  <si>
    <t>10.1016/j.jde.2024.01.021</t>
  </si>
  <si>
    <t>JAN 2024</t>
  </si>
  <si>
    <t>WOS:001174656600001</t>
  </si>
  <si>
    <t>Mei, YD; Wang, R; Liu, ER; Soto, I</t>
  </si>
  <si>
    <t>Mei, Yidan; Wang, Rui; Liu, Erwu; Soto, Ismael</t>
  </si>
  <si>
    <t>Multi-User Tracking in Reconfigurable Intelligent Surface Aided Near-Field Wireless Communications System</t>
  </si>
  <si>
    <t>APPLIED SCIENCES-BASEL</t>
  </si>
  <si>
    <t>An uplink multi-user tracking problem aided by multiple passive reconfigurable intelligent surfaces (RISs) is addressed in this work. Under a near-field circumstance, a multi-antenna base station (BS) localizes multiple moving single-antenna users by processing the received signals transmitted by users and reflected by RISs. Considering the users' mobility and the potential obstruction of line-of-sight paths, a multi-user tracking system based on the extended Kalman filter (EKF) which fully exploits the temporal correlations between each user's coordinate changes is designed. Then, the Bayesian Cramer-Rao bound (BCRB) of tracking errors is derived in a pattern consistent with the EKF process. Subsequently, an optimization scheme for passive phase shift design at the RISs is devised by minimizing the derived BCRB and is solved using the Gradient Descent method. Numerical results indicate that the accuracy of our tracking algorithm can approach the BCRB. With abundant RISs deployed and optimized, high-precision multi-user tracking via a single BS can be realized even in harsh localization environments.</t>
  </si>
  <si>
    <t>Soto, Ismael/0000-0002-5501-5651</t>
  </si>
  <si>
    <t>2076-3417</t>
  </si>
  <si>
    <t>10.3390/app14010205</t>
  </si>
  <si>
    <t>WOS:001139218400001</t>
  </si>
  <si>
    <t>Suazo, A; Tapia, F; Aroca, G; Quintero, J</t>
  </si>
  <si>
    <t>Suazo, Andres; Tapia, Fidel; Aroca, German; Quintero, Julian</t>
  </si>
  <si>
    <t>Techno-Economic and Life Cycle Assessment of a Small-Scale Integrated Biorefinery for Butyric-Acid Production in Chile</t>
  </si>
  <si>
    <t>FERMENTATION-BASEL</t>
  </si>
  <si>
    <t>This study evaluates the techno-economic and environmental feasibility of a small-scale biorefinery in Chile's La Araucania Region, which utilizes wheat straw as feedstock to produce butyric acid using Clostridium tyrobutyricum. Two scenarios were considered; the standalone wheat straw biorefinery and its integration with the anaerobic digestion of pig manure for biogas production, coupled with a cogeneration system, using the xylo-oligosaccharides and lignin obtained in the pretreatment. The simulations were carried out using Aspen Plus, while the Aspen Process Economic Analyzer was used to perform the economic evaluation. The simulation results were validated with experimental data from the literature. An economic assessment was performed considering the different processes involved. A cradle-to-gate life-cycle analysis (LCA) was also applied to evaluate the different environmental impacts. Both studied scenarios were economically feasible, with the highest butyric acid production cost being USD 2.97/kgbutyricacid; however, this value is still higher compared to corn-based biorefineries. Annexed biogas production increased the costs and was less economically attractive. Nonetheless, the integrations with biogas production had lower environmental impacts, except in the photochemical oxidant formation category, which was higher because of the combustion gases obtained by the cogeneration system. A lower carbon footprint (23.5 kg CO2-eq. per ton of wheat straw) was obtained for the scenario including biogas production.</t>
  </si>
  <si>
    <t>Quintero, Julian/KHY-7891-2024; Aroca, German/ABG-6714-2020; Quintero, Julian/I-6335-2016</t>
  </si>
  <si>
    <t>SUAZO SANCHEZ, ANDRES IGNACIO/0000-0001-5955-9333; Quintero, Julian/0000-0003-1224-5649</t>
  </si>
  <si>
    <t>2311-5637</t>
  </si>
  <si>
    <t>10.3390/fermentation10010001</t>
  </si>
  <si>
    <t>WOS:001148842300001</t>
  </si>
  <si>
    <t>Loyola, CZ; Gatica, A; Troncoso, N; Orellana, W; Tasca, F</t>
  </si>
  <si>
    <t>Loyola, Cesar Zuniga; Gatica, Angelica; Troncoso, Nicolas; Orellana, Walter; Tasca, Federico</t>
  </si>
  <si>
    <t>On the effects of Br-, ClO4- , NO3- anions on the oxygen reduction reaction electrocatalysis at Fe phthalocyanine modified electrodes</t>
  </si>
  <si>
    <t>ELECTROCHIMICA ACTA</t>
  </si>
  <si>
    <t>Fe phthalocyanine with carbon nanotubes (FePc-CNT) has been used as catalysts for ORR using the following supporting electrolyte: 0.1 M NaOH, 1 M NaOH, 1 M HNO3, 1 M HClO4, and 1 M HBr. The thermodynamic and kinetic information was acquired from cyclic voltammetry in N2 saturated media, and then polarization curves saturating with O2. The rate-determining step is modulated by the formal potential (E0'Fe(III)/(II)) in basic media, coherent with the inner sphere electron transfer mechanism. However, in strong acid electrolytes, the Tafel slope value is - -0.090 V dec- 1 at low overpotentials and - -0.120 V dec- 1 at high overpotentials indicating that a poisoning process is hampering the ORR, and causing an outer sphere electron transfer mechanism. Impedance spectroscopy and poisoning test (recovery of the activity of the catalyst in NaOH after initial use in acid) support the thesis of ion adsorption/poisoning for the low electrocatalytic activity of FePc based catalysts in acid media.</t>
  </si>
  <si>
    <t>Orellana, Walter/ABA-6452-2021; Zúñiga-Loyola, César/AAN-5621-2021; Tasca, Federico/J-4134-2015</t>
  </si>
  <si>
    <t>Tasca, Federico/0000-0002-4111-4624; Orellana, Walter/0000-0002-6897-3875; Zuniga-Loyola, Cesar/0000-0002-0894-3383</t>
  </si>
  <si>
    <t>0013-4686</t>
  </si>
  <si>
    <t>1873-3859</t>
  </si>
  <si>
    <t>JAN 1</t>
  </si>
  <si>
    <t>10.1016/j.electacta.2023.143416</t>
  </si>
  <si>
    <t>NOV 2023</t>
  </si>
  <si>
    <t>WOS:001112492500001</t>
  </si>
  <si>
    <t>Vallejos-Vidal, E; Santillán-Araneda, MJ; Guerra-Arredondo, S; Goldstein, M; Reichel-Fuentes, K; Vidal, M; Maisey, K; Reyes-Lopez, FE</t>
  </si>
  <si>
    <t>Vallejos-Vidal, Eva; Santillan-Araneda, Maria J.; Guerra-Arredondo, Silvana; Goldstein, Merari; Reichel-Fuentes, Karina; Vidal, Mabel; Maisey, Kevin; Reyes-Lopez, Felipe E.</t>
  </si>
  <si>
    <t>EVALUATING THE EFFECT OF DIFFERENT TYPES OF VACUTAINER BLOOD COLLECTION TUBES ON THE VIABILITY OF SALMONID LEUKOCYTES POPULATIONS</t>
  </si>
  <si>
    <t>DEVELOPMENTAL AND COMPARATIVE IMMUNOLOGY</t>
  </si>
  <si>
    <t>15th Congress of the International-Society-of-Developmental-and-Comparative-Immunology (ISDCI)</t>
  </si>
  <si>
    <t>AUG 28-SEP 01, 2023</t>
  </si>
  <si>
    <t>Wageningen, NETHERLANDS</t>
  </si>
  <si>
    <t>Int Soc Dev &amp; Comparat Immunol</t>
  </si>
  <si>
    <t>Reyes-López, Felipe/S-1760-2018; Vidal, Mabel/F-9968-2016; Maisey, Kevin/AAP-2886-2021; Vallejos-Vidal, Eva/R-9606-2019</t>
  </si>
  <si>
    <t>Vallejos-Vidal, Eva/0000-0002-3091-2700</t>
  </si>
  <si>
    <t>0145-305X</t>
  </si>
  <si>
    <t>1879-0089</t>
  </si>
  <si>
    <t>WOS:001058416200096</t>
  </si>
  <si>
    <t>Monasterio, A; Núñez, E; Brossard, N; Vega, R; Osorio, FA</t>
  </si>
  <si>
    <t>Monasterio, Angela; Nunez, Emerson; Brossard, Natalia; Vega, Ricardo; Osorio, Fernando A.</t>
  </si>
  <si>
    <t>Mechanical and Surface Properties of Edible Coatings Elaborated with Nanoliposomes Encapsulating Grape Seed Tannins and Polysaccharides</t>
  </si>
  <si>
    <t>POLYMERS</t>
  </si>
  <si>
    <t>Edible composite coatings (ECC) formulated from biopolymers that incorporate antioxidant molecules represent an innovative alternative to improve food texture and provide health benefits. Tannins have aroused great interest due to their ability to stabilize suspensions and counteract the effects of free radicals. The mechanical and surface properties are crucial to establishing its quality and applicability. In this study, the objective was to analyze the mechanical and surface properties of ECC made with nanoliposomes that encapsulate grape seed tannins (TLS) and polysaccharides such as hydroxypropylmethylcellulose (HPMC) and kappa carrageenan (KCG) for their future direct application in foods susceptible to oxidation. The inclusion of HPMC or KCG affected the density, showing values in the range of 1010 to 1050 [kg/m3], evidencing significant changes (p &lt; 0.05) in the surface tension in the TLS/FS-HPMC and TLS/FS mixtures. KCG and in the dispersion coefficients, with values in the range of -2.9 to -17.6 [mN/m] in HPS (S1) and -17.6 to -40.9 [mN/m] in PDMS (S2). The TLS/FS-HPMC coating showed higher stiffness and elastic recovery capacity than the TLS/FS-KCG coating, suggesting that the presence of TLS influenced the stiffness of the polymer. HPMC is recommended as a suitable polymer for coating solids, while KCG is more appropriate for suspensions. These findings provide valuable information for directly applying these ECC compounds to food products, potentially offering better preservation and health benefits.</t>
  </si>
  <si>
    <t>Brossard, Natalia/ABH-2990-2021; osorio, fernando/AAY-7304-2021</t>
  </si>
  <si>
    <t>Nunez Ferrada, Emerson Andres/0000-0002-5335-6065; Monasterio, Angela/0000-0001-7309-0746; osorio, fernando/0000-0001-7206-0924; Brossard, Natalia/0000-0001-7444-8869</t>
  </si>
  <si>
    <t>2073-4360</t>
  </si>
  <si>
    <t>10.3390/polym15183774</t>
  </si>
  <si>
    <t>WOS:001075543200001</t>
  </si>
  <si>
    <t>Milla, LA; Corral, L; Rivera, J; Zuniga, N; Pino, G; Nunez-Parra, A; Rio, CCDA</t>
  </si>
  <si>
    <t>Milla, Luis A.; Corral, Lucia; Rivera, Jhanpool; Zuniga, Nolberto; Pino, Gabriela; Nunez-Parra, Alexia; Cea-Del Rio, Christian A.</t>
  </si>
  <si>
    <t>Neurodevelopment and early pharmacological interventions in Fragile X Syndrome</t>
  </si>
  <si>
    <t>FRONTIERS IN NEUROSCIENCE</t>
  </si>
  <si>
    <t>Fragile X Syndrome (FXS) is a neurodevelopmental disorder and the leading monogenic cause of autism and intellectual disability. For years, several efforts have been made to develop an effective therapeutic approach to phenotypically rescue patients from the disorder, with some even advancing to late phases of clinical trials. Unfortunately, none of these attempts have completely succeeded, bringing urgency to further expand and refocus research on FXS therapeutics. FXS arises at early stages of postnatal development due to the mutation and transcriptional silencing of the Fragile X Messenger Ribonucleoprotein 1 gene (FMR1) and consequent loss of the Fragile X Messenger Ribonucleoprotein (FMRP) expression. Importantly, FMRP expression is critical for the normal adult nervous system function, particularly during specific windows of embryogenic and early postnatal development. Cellular proliferation, migration, morphology, axonal guidance, synapse formation, and in general, neuronal network establishment and maturation are abnormally regulated in FXS, underlying the cognitive and behavioral phenotypes of the disorder. In this review, we highlight the relevance of therapeutically intervening during critical time points of development, such as early postnatal periods in infants and young children and discuss past and current clinical trials in FXS and their potential to specifically target those periods. We also discuss potential benefits, limitations, and disadvantages of these pharmacological tools based on preclinical and clinical research.</t>
  </si>
  <si>
    <t>Rio, Christian/T-1356-2019; pino, gabriela/KSL-8089-2024; Milla, Luis/AAU-5222-2020</t>
  </si>
  <si>
    <t>Nunez-Parra, Alexia/0000-0003-0239-2493; Milla, Luis/0000-0001-9738-6234; Cea-Del Rio, Christian/0000-0002-4658-2427</t>
  </si>
  <si>
    <t>1662-453X</t>
  </si>
  <si>
    <t>AUG 2</t>
  </si>
  <si>
    <t>10.3389/fnins.2023.1213410</t>
  </si>
  <si>
    <t>WOS:001048857000001</t>
  </si>
  <si>
    <t>Aguirre, A; Codina, R; Baiges, J</t>
  </si>
  <si>
    <t>Aguirre, A.; Codina, R.; Baiges, J.</t>
  </si>
  <si>
    <t>A variational multiscale stabilized finite element formulation for Reissner-Mindlin plates and Timoshenko beams</t>
  </si>
  <si>
    <t>FINITE ELEMENTS IN ANALYSIS AND DESIGN</t>
  </si>
  <si>
    <t>The theories for thick plates and beams, namely Reissner-Mindlin's and Timoshenko's theories, are well known to suffer numerical locking when approximated using the standard Galerkin finite element method for small thicknesses. This occurs when the same interpolations are used for displacement and rotations, reason for which stabilization becomes necessary. To overcome this problem, a Variational Multiscale stabilization method is analyzed in this paper. In this framework, two different approaches are presented: the Algebraic Sub-Grid Scale formulation and the Orthogonal Sub-Grid Scale formulation. Stability and convergence is proved for both approaches, explaining why the latter performs much better. Although the numerical examples show that the Algebraic Sub-Grid Scale approach is in some cases able to overcome the numerical locking, it is highly sensitive to stabilization parameters and presents difficulties to converge optimally with respect to the element size in the L2 norm. In this regard, the Orthogonal Sub-Grid Scale approach, which considers the space of the sub-grid scales to be orthogonal to the finite element space, is shown to be stable and optimally convergent independently of the thickness of the solid. The final formulation is similar to approaches developed previously, thus justifying them in the frame of the Variational Multiscale concept.</t>
  </si>
  <si>
    <t>Baiges, Joan/D-3433-2014; Codina, Ramon/I-2311-2014</t>
  </si>
  <si>
    <t>Aguirre, Alejandro/0000-0003-0638-5258; Codina, Ramon/0000-0002-7412-778X</t>
  </si>
  <si>
    <t>0168-874X</t>
  </si>
  <si>
    <t>1872-6925</t>
  </si>
  <si>
    <t>MAY 1</t>
  </si>
  <si>
    <t>10.1016/j.finel.2023.103908</t>
  </si>
  <si>
    <t>JAN 2023</t>
  </si>
  <si>
    <t>WOS:000925327700001</t>
  </si>
  <si>
    <t>Vallejos, RA; Joffily, M</t>
  </si>
  <si>
    <t>Vallejos, Rolando Alvarez; Joffily, Mariana</t>
  </si>
  <si>
    <t>The history of present times in Chile and the 50th anniversary of the coup</t>
  </si>
  <si>
    <t>TEMPO E ARGUMENTO</t>
  </si>
  <si>
    <t>Joffily, Mariana/KMY-8207-2024</t>
  </si>
  <si>
    <t>2175-1803</t>
  </si>
  <si>
    <t>e0301</t>
  </si>
  <si>
    <t>10.5965/2175180315402023e0301</t>
  </si>
  <si>
    <t>WOS:001161165700001</t>
  </si>
  <si>
    <t>Vásquez, FEP</t>
  </si>
  <si>
    <t>Penaglia Vasquez, Francesco Emmanuel</t>
  </si>
  <si>
    <t>The Prolonged Chilean Sociopolitical Crisis: Analysis and Interpretations 1997-2020</t>
  </si>
  <si>
    <t>REVISTA DEL CLAD REFORMA Y DEMOCRACIA</t>
  </si>
  <si>
    <t>This paper undertakes a theoretical review of the main interpretations made by the social and human sciences on the Chilean popular revolt of 2019-2020 and its antecedents framed in a prolonged sociopolitical crisis. To this end, the paper is structured in four sections. First, a contextual characterization of the popular revolt is carried out, placing it as an exceptional phenomenon in recent history. Second, a review of early analyzes (1997-2005) is presented, in which the literature begins to account for social tensions and problems. Third, a review of the analyzes framed in the appearance of social conflict in Chile in the period 2011-2018 is performed to, finally, identify the readings specifically focused on the 2019-2020 revolt. The research was based on the review of 135 books, essays, academic articles and reports, in addition to a score of press releases and reports. From this, a grouping process was conducted around the central theses presented by the authors. This work allows us to identify three aspects: 1) the central nodes of analytical proposals on the phenomenon in each period, 2) the analytical continuities and discontinuities between periods, and 3) the central nodes of the current debate. This proposal combines the presentation of interpretations, together with the characterization of events and antecedents that allow the contextual framing of the discussions.</t>
  </si>
  <si>
    <t>Penaglia Vásquez, Francesco/LWH-9316-2024</t>
  </si>
  <si>
    <t>1315-2378</t>
  </si>
  <si>
    <t>WOS:001195440000004</t>
  </si>
  <si>
    <t>Abejón, R; Casado-Coterillo, C; Garea, A</t>
  </si>
  <si>
    <t>Abejon, Ricardo; Casado-Coterillo, Clara; Garea, Aurora</t>
  </si>
  <si>
    <t>Techno-Economic Optimization of Multistage Membrane Processes with Innovative Hollow Fiber Modules for the Production of High-Purity CO2 and CH4 from Different Sources</t>
  </si>
  <si>
    <t>INDUSTRIAL &amp; ENGINEERING CHEMISTRY RESEARCH</t>
  </si>
  <si>
    <t>Within the current climate emergency framework and in order to avoid the most severe consequences of global warming, membrane separation processes have become critical for the implementation of carbon capture, storage, and utilization technologies. Mixtures of CO2 and CH4 are relevant energy resources, and the design of innovative membranes specifically designed to improve their separation is a hot topic. This work investigated the potential of modified polydimethylsiloxane and ionic liquidchitosan composite membranes for separation of CO2 and CH4 mixtures from different sources, such as biogas upgrading, natural gas sweetening, or CO2 enhanced oil recovery. The techno-economic optimization of multistage processes at a real industrial scale was carried out, paying special attention to the identification of the optimal configuration of the hollow fiber modules and the selection of the best membrane scheme. The results demonstrated that a high initial content of CH4 in the feed stream (like in the case of natural gas sweetening) might imply a great challenge for the separation performance, where only membranes with exceptional selectivity might achieve the requirements in a two-stage process. The effective lifetime of the membranes is a key parameter for the successful implementation of innovative membranes in order to avoid severe economic penalties due to excessively frequent membrane replacement. The scale of the process had a great influence on the economic competitiveness of the process, but large-scale installations can operate under competitive conditions with total costs below 0.050 US$ per m(3) STP of treated feed gas.</t>
  </si>
  <si>
    <t>Abejon, Ricardo/I-7171-2019; Garea, Aurora/V-1560-2019; Casado-Coterillo, Clara/F-2983-2010</t>
  </si>
  <si>
    <t>ABEJON, Ricardo/0000-0002-8030-7752; Casado-Coterillo, Clara/0000-0002-4454-7652</t>
  </si>
  <si>
    <t>0888-5885</t>
  </si>
  <si>
    <t>JUN 15</t>
  </si>
  <si>
    <t>10.1021/acs.iecr.2c01138</t>
  </si>
  <si>
    <t>WOS:000812438600001</t>
  </si>
  <si>
    <t>Gallegos, CA; Henríquez, HR; Mesquita, JG</t>
  </si>
  <si>
    <t>Gallegos, Claudio A.; Henriquez, Hernan R.; Mesquita, Jaqueline G.</t>
  </si>
  <si>
    <t>Measure functional differential equations with infinite time-dependent delay</t>
  </si>
  <si>
    <t>MATHEMATISCHE NACHRICHTEN</t>
  </si>
  <si>
    <t>In this work, we introduce the measure functional differential equations (MFDEs) with infinite time-dependent delay, and we study the correspondence between the solutions of these equations and the solutions of the generalized ordinary differential equations (GODEs, for short) in Banach spaces. Using the theory of GODEs, we obtain results concerning the existence and uniqueness of solutions and continuous dependence on parameters for MFDEs with infinite time-dependent delay. We develop the theory in the context of phase spaces defined axiomatically. Our results in this paper generalize several previous works on MFDEs with infinite time-independent delay.</t>
  </si>
  <si>
    <t>Mesquita, Jaqueline/A-2356-2012</t>
  </si>
  <si>
    <t>Gallegos, Claudio A./0000-0002-6410-8470</t>
  </si>
  <si>
    <t>0025-584X</t>
  </si>
  <si>
    <t>1522-2616</t>
  </si>
  <si>
    <t>JUL</t>
  </si>
  <si>
    <t>10.1002/mana.201900512</t>
  </si>
  <si>
    <t>JUN 2022</t>
  </si>
  <si>
    <t>WOS:000806865800001</t>
  </si>
  <si>
    <t>Sandoval, MA; Calzadilla, W; Salazar, R</t>
  </si>
  <si>
    <t>Sandoval, Miguel A.; Calzadilla, Wendy; Salazar, Ricardo</t>
  </si>
  <si>
    <t>Influence of reactor design on the electrochemical oxidation and disinfection of wastewaters using boron-doped diamond electrodes</t>
  </si>
  <si>
    <t>CURRENT OPINION IN ELECTROCHEMISTRY</t>
  </si>
  <si>
    <t>Electrochemical oxidation is the most popular electrochemical advanced oxidation process within the scientific community owing to its simplicity and high effectiveness to treat different wastewaters. Electrode material and reactor design are important factors that influence the removal efficiency of pollutants. This work presents an overview of recent applications of electrochemical oxidation process for contaminant mineralization and water disinfection using electrochemical reactors, in batch and continuous mode of operation, fitted with boron-doped diamond electrodes. In addition, recent advances in the use of flow-through reactors (continuous single-pass and recirculation) are presented. Geometrical aspects, operating conditions, and energy consumption are provided and discussed.</t>
  </si>
  <si>
    <t>Calzadilla, Wendy/KHY-6999-2024; Salazar, Ricardo/L-7870-2013; Sandoval, Miguel A/JCF-1838-2023</t>
  </si>
  <si>
    <t>Calzadilla, Wendy/0000-0002-1082-7875; Salazar-Gonzalez, Ricardo/0000-0003-2180-6022</t>
  </si>
  <si>
    <t>2451-9103</t>
  </si>
  <si>
    <t>10.1016/j.coelec.2022.100939</t>
  </si>
  <si>
    <t>FEB 2022</t>
  </si>
  <si>
    <t>WOS:000819856600012</t>
  </si>
  <si>
    <t>El Aiss, H; Barbosa, KA; Peters, AA</t>
  </si>
  <si>
    <t>El Aiss, Hicham; Barbosa, Karina A.; Peters, Andres A.</t>
  </si>
  <si>
    <t>Nonlinear Time-Delay Observer-Based Control to Estimate Vehicle States: Lateral Vehicle Model</t>
  </si>
  <si>
    <t>IEEE ACCESS</t>
  </si>
  <si>
    <t>This paper deals with the state estimation and control problem for nonlinear lateral vehicle dynamics with time delays. First, a novel time-varying delay vehicle model described as a Takagi-Sugeno fuzzy model is presented. In particular, it is considered that the lateral force contains an air resistance term which is assumed to be a quadratic function of the lateral vehicle velocity. A time-varying delay has been included in the vehicle states by a simple formula in order to capture brake actuation aspects or other practical aspects that may generate a delayed response, while the nonlinear part of the vehicle model is described as a Lipschitz function. A Takagi-Sugeno time-delay observer-based control that satisfies the Lipschitz condition is proposed to get closed-loop stability conditions. These results generalize existing ones in the literature on lateral dynamics control. Additionally, we provide a new methodology for the controller and observer gains design that can be cast as linear matrix inequality constraints. Finally, we illustrate our results with numerical examples, which also reveal the negative effect of not considering the presence of delays in the controller design.</t>
  </si>
  <si>
    <t>El Aiss, Hicham/AAD-6510-2022; Barbosa, Karina/A-2236-2014; Peters, Andres/U-2037-2019</t>
  </si>
  <si>
    <t>Barbosa, Karina A./0000-0001-7183-2662; Peters, Andres/0000-0003-3282-770X</t>
  </si>
  <si>
    <t>2169-3536</t>
  </si>
  <si>
    <t>10.1109/ACCESS.2022.3210566</t>
  </si>
  <si>
    <t>WOS:000873762800001</t>
  </si>
  <si>
    <t>Cárdenas, M; Correa, F; Lara, K; Pino, M</t>
  </si>
  <si>
    <t>Cardenas, Marcela; Correa, Francisco; Lara, Kristiansen; Pino, Miguel</t>
  </si>
  <si>
    <t>Integrable Systems and Spacetime Dynamics</t>
  </si>
  <si>
    <t>PHYSICAL REVIEW LETTERS</t>
  </si>
  <si>
    <t>It is shown that the Ablowitz-Kaup-Newell-Segur (AKNS) integrable hierarchy can be obtained as the dynamical equations of three-dimensional general relativity with a negative cosmological constant. This geometrization of the AKNS system is possible through the construction of novel boundary conditions for the gravitational field. These are invariant under an asymptotic symmetry group characterized by an infinite set of AKNS commuting conserved charges. Gravitational configurations are studied by means of SL(2, R) conjugacy classes. Conical singularities and black hole solutions are included in the boundary conditions.</t>
  </si>
  <si>
    <t>Pino, Miguel/G-7510-2015; Correa, Francisco/S-4564-2018</t>
  </si>
  <si>
    <t>Lara, Kristiansen/0000-0002-4480-1964; Correa, Francisco/0000-0003-1735-2822; Pino, Miguel/0000-0002-7612-4515; Cardenas, Marcela/0000-0002-1897-890X</t>
  </si>
  <si>
    <t>0031-9007</t>
  </si>
  <si>
    <t>1079-7114</t>
  </si>
  <si>
    <t>OCT 12</t>
  </si>
  <si>
    <t>10.1103/PhysRevLett.127.161601</t>
  </si>
  <si>
    <t>WOS:000707495700003</t>
  </si>
  <si>
    <t>Olivares, MJ; Flores, A; von Bernhardi, R; Eugenín, J</t>
  </si>
  <si>
    <t>Olivares, M. J.; Flores, A.; von Bernhardi, R.; Eugenin, J.</t>
  </si>
  <si>
    <t>Astrocytic contribution to glutamate-related central respiratory chemoreception in vertebrates</t>
  </si>
  <si>
    <t>RESPIRATORY PHYSIOLOGY &amp; NEUROBIOLOGY</t>
  </si>
  <si>
    <t>Central respiratory chemoreceptors play a key role in the respiratory homeostasis by sensing CO2 and H+ in brain and activating the respiratory neural network. This ability of specific brain regions to respond to acidosis and hypercapnia is based on neuronal and glial mechanisms. Several decades ago, glutamatergic transmission was proposed to be involved as a main mechanism in central chemoreception. However, a complete identification of mechanism has been elusive. At the rostral medulla, chemosensitive neurons of the retrotrapezoid nucleus (RTN) are glutamatergic and they are stimulated by ATP released by RTN astrocytes in response to hypercapnia. In addition, recent findings show that caudal medullary astrocytes in brainstem can also contribute as CO2 and H+ sensors that release D-serine and glutamate, both gliotransmitters able to activate the respiratory neural network. In this review, we describe the mammalian astrocytic glutamatergic contribution to the central respiratory chemoreception trying to trace in vertebrates the emergence of several components involved in this process.</t>
  </si>
  <si>
    <t>von Bernhardi, Rommy/IAO-3764-2023; Flores, Antonio/KIB-7860-2024; Olivares, María/M-9606-2017</t>
  </si>
  <si>
    <t>von Bernhardi, Rommy/0000-0002-9022-7676</t>
  </si>
  <si>
    <t>1569-9048</t>
  </si>
  <si>
    <t>1878-1519</t>
  </si>
  <si>
    <t>10.1016/j.resp.2021.103744</t>
  </si>
  <si>
    <t>AUG 2021</t>
  </si>
  <si>
    <t>WOS:000703591200005</t>
  </si>
  <si>
    <t>Quijada-Maldonado, E; Olea, F; Sepúlveda, R; Castillo, J; Cabezas, R; Merlet, G; Romero, J</t>
  </si>
  <si>
    <t>Quijada-Maldonado, Esteban; Olea, Felipe; Sepulveda, Rossana; Castillo, Jonathan; Cabezas, Rene; Merlet, Gaston; Romero, Julio</t>
  </si>
  <si>
    <t>Possibilities and challenges for ionic liquids in hydrometallurgy</t>
  </si>
  <si>
    <t>Hydrometallurgy is an efficient way of recovering metal ions from mineral ores where the most important steps are the leaching of the minerals, the recovery and purification of metal ions by solvent extraction (SX), and the final electrowinning (EW) process. Ionic liquids (ILs) have been extensively applied in the above mentioned process technologies with the aim to make them environmentally friendly by replacing organic volatile solvents which generate large amounts of residues and losses by evaporation with ILs which can be reutilized due to their negligible vapor pressure. This article intends to present a comprehensive review about the most important factors that make ILs solvents better performers than organic solvents in these processes, including the environmental impact of ILs when they are incorrectly handled and the possible solutions in case of loss of solvents or spills. Finally, the challenges that ILs require to overcome before their use at an industrial scale are extensively discussed, considering the possibilities that these solvents have in applications like urban mining or hydro metallurgy of refractory minerals.</t>
  </si>
  <si>
    <t>Cabezas, Rene/AAY-2094-2020; Olea, Felipe/AAK-5089-2021; Romero, Julio/I-6705-2013; Castillo, Jonathan/AAB-8092-2019; Merlet Venturelli, Gaston/B-4109-2019</t>
  </si>
  <si>
    <t>Quijada-Maldonado, Esteban/0000-0003-1411-4327; Cabezas, Rene/0000-0002-4162-3429; Olea Chandia, Felipe/0000-0002-6349-6184; Sepulveda Rivera, Rossana Daniela/0000-0003-0288-8130; Romero, Julio/0000-0002-1229-1592; Merlet Venturelli, Gaston/0000-0003-2602-6471; Castillo, Jonathan/0000-0002-7794-4291</t>
  </si>
  <si>
    <t>NOV 15</t>
  </si>
  <si>
    <t>10.1016/j.seppur.2020.117289</t>
  </si>
  <si>
    <t>WOS:000564725900010</t>
  </si>
  <si>
    <t>Báez-Grez, R; Pino-Rios, R</t>
  </si>
  <si>
    <t>Baez-Grez, Rodrigo; Pino-Rios, Ricardo</t>
  </si>
  <si>
    <t>Borataalkene or boratabenzene? Understanding the aromaticity of 9-borataphenanthrene anions and its central ring</t>
  </si>
  <si>
    <t>NEW JOURNAL OF CHEMISTRY</t>
  </si>
  <si>
    <t>The recently synthesized 9-borataphenanthrene anion (1) shows a reactivity in its central ring that resembles both a cycloalkene and an aromatic ring. Computational studies using the magnetic approach support these results. However, due to the limitations that the use of a single criterion can offer, a complete analysis was performed using multiple aromaticity criteria including magnetic, geometric, electron delocalization, reactivity and orbital localization in order to elucidate the nature of the six-membered rings in 1. Our results show that the outer rings in 1 exhibit an aromatic character similar to benzene, while the central ring is better described as an (cyclo)alkene. Additionally, it is shown that assessments using various criteria allow a complete understanding of aromaticity in polycyclic systems.</t>
  </si>
  <si>
    <t>Báez-Grez, Rodrigo/AAM-4876-2021</t>
  </si>
  <si>
    <t>Baez-Grez, Rodrigo/0000-0001-9303-1559; Pino Rios, Ricardo/0000-0003-4756-1115</t>
  </si>
  <si>
    <t>1144-0546</t>
  </si>
  <si>
    <t>1369-9261</t>
  </si>
  <si>
    <t>NOV 7</t>
  </si>
  <si>
    <t>10.1039/d0nj03942j</t>
  </si>
  <si>
    <t>WOS:000582432400046</t>
  </si>
  <si>
    <t>Giannotti, E; Braithwaite, S</t>
  </si>
  <si>
    <t>Giannotti, Emanuel; Braithwaite, Santiago</t>
  </si>
  <si>
    <t>URBAN SQUATTING DURINGTHE POPULAR UNITY. NEW PERSPECTIVES ON HOUSING STRUGGLES IN SANTIAGO DE CHILE</t>
  </si>
  <si>
    <t>HISTORIA 396</t>
  </si>
  <si>
    <t>This research aims to contribute to a more complex understanding of the housing struggles during the Popular Unity government, through the study of the illegal housing occupations. A press analysis and a review of the ministerial archives allowed us to identify the squatting of 81 housing projects in Santiago. The characteristics of these illegal occupations, the actors involved, and their relationship with political parties and the government, has revealed unexpected dynamics that are noticeably different from the most well-known land seizures. These findings open questions about the involvement of low-income sectors and the middle classes in social conflicts.</t>
  </si>
  <si>
    <t>Braithwaite, Santiago/LKK-4048-2024</t>
  </si>
  <si>
    <t>0719-0719</t>
  </si>
  <si>
    <t>0719-7969</t>
  </si>
  <si>
    <t>JUL-DEC</t>
  </si>
  <si>
    <t>WOS:000609453900006</t>
  </si>
  <si>
    <t>Dammert, L; Erlandsen, M</t>
  </si>
  <si>
    <t>Dammert, Lucia; Erlandsen, Matthias</t>
  </si>
  <si>
    <t>Migration, Fears and the Media in the Presidential Election in Chile (2017)</t>
  </si>
  <si>
    <t>REVISTA CS EN CIENCIAS SOCIALES</t>
  </si>
  <si>
    <t>Migration has been defined as the threatening other in Latin America; Chile is no exception. Based on the conceptualization of the imagined community, this article analyzes the importance and characteristics of press media coverage on migration and punitive populism in the framework of the Presidential election of 2017 in Chile. A random sample of all the informative pieces of the two main newspapers throughout 2017 was analyzed. Migration has become a topic of national debate. The media show a political discourse focused on punitive populism, the unnecessary generalization of stigmatizing images, and the consolidation of a metaphor that links migration with danger, mainly criminality. The more chronic-oriented than analysis-oriented characteristic of the coverage makes it possible to emphasize in the threatening and politically profitable images. Possibly trying to protect that community that the political discourse constantly highlights.</t>
  </si>
  <si>
    <t>Dammert, Lucia/U-2327-2019; Erlandsen, Matthias/GYR-1028-2022</t>
  </si>
  <si>
    <t>2011-0324</t>
  </si>
  <si>
    <t>10.18046/recs.i31.3730</t>
  </si>
  <si>
    <t>WOS:000530911100003</t>
  </si>
  <si>
    <t>Gutiérrez, PS</t>
  </si>
  <si>
    <t>Seguel Gutierrez, Pablo</t>
  </si>
  <si>
    <t>The organization of repression and intelligence in the Chilean military dictatorship. From the military takeover of the territory to the emergence of the National Intelligence Directorate: Metropolitan Region, 1973-1977</t>
  </si>
  <si>
    <t>IZQUIERDAS</t>
  </si>
  <si>
    <t>The emergence of the organizational background of the DINA since October 1973, made a difference in the development of repressive and intelligence practices implemented by the military and police forces, changing from an organization based on the territorial military control to a development of strategic intelligence criteria. This paper describes and analyses the organizational changes adopted by the DINA in this process, which characterize it as a secret political intelligence service that became a state and parastatal organization. For these reasons, they mixed legal and illegal repertories of action and a compartmentalized, hermetic and highly hierarchical structure organization that allowed them to systematically develop state terrorism in order to consolidate the military dictatorship.</t>
  </si>
  <si>
    <t>Gutiérrez, Paola/GRY-2079-2022</t>
  </si>
  <si>
    <t>0718-5049</t>
  </si>
  <si>
    <t>WOS:000614863100030</t>
  </si>
  <si>
    <t>Squella, MJC; Parada, ES; San Juan, JMC; Ayala, VM; Squella, MJC</t>
  </si>
  <si>
    <t>Clunes Squella, Maria Jose; Sepulveda Parada, Elena; Contreras San Juan, Jose Mauricio; Morales Ayala, Veronica; Clunes Squella, Maria Jose</t>
  </si>
  <si>
    <t>Focused Implementation in Sexual Education in Municipal Schools of Santiago de Chile</t>
  </si>
  <si>
    <t>INTERNATIONAL JOURNAL OF SEXUAL HEALTH</t>
  </si>
  <si>
    <t>1931-7611</t>
  </si>
  <si>
    <t>1931-762X</t>
  </si>
  <si>
    <t>SEP 23</t>
  </si>
  <si>
    <t>A601</t>
  </si>
  <si>
    <t>A602</t>
  </si>
  <si>
    <t>WOS:000489340404162</t>
  </si>
  <si>
    <t>Vásquez-Martínez, Y; Torrent, C; Toledo, G; Cabezas, F; Espinosa, V; Montoya-K, M; Mejias, S; Cortez-San Martín, M; Sepúlveda-Boza, S; Mascayano, C</t>
  </si>
  <si>
    <t>Vasquez-Martinez, Yesseny; Torrent, Claudia; Toledo, Giannina; Cabezas, Francisco; Espinosa, Victoria; Montoya-K, Margarita; Mejias, Sophia; Cortez-San Martin, Marcelo; Sepulveda-Boza, Silvia; Mascayano, Carolina</t>
  </si>
  <si>
    <t>New antibacterial and 5-lipoxygenase activities of synthetic benzyl phenyl ketones: Biological and docking studies</t>
  </si>
  <si>
    <t>BIOORGANIC CHEMISTRY</t>
  </si>
  <si>
    <t>We investigated twelve benzyl phenyl ketone derivatives which are synthetic precursors of isoflavonoids that are shown be good 5-hLOX inhibitors, especially those that have the catechol group, but these precursors never have been assayed as 5-hLOX inhibitors being a novelty as inhibitors of the enzyme, due to sharing important structural characteristics. Screening assays, half maximal inhibitory concentration (IC50) and kinetic assays of all the studied molecules (5 mu g/ml in media assay) showed that 1-(2,4-dihydroxy-3-methylphenyl)-2-(3-chlorophenyl)-ethanone (K205; IC50 = 3.5 mu M; K-i = 4.8 mu M) and 1-(2,4-dihydroxy-3-methylphenyl)-2-(2-nitrophenyl)-ethanone (K206; IC50 = 2.3 mu M; K-i = 0.7 mu M) were potent, selective, competitive and nonredox inhibitors of 5-hLOX. Antioxidant behavior was also assayed by DPPH, FRAP, and assessing ROS production, and those with antibacterial and antiproliferative properties relating to 1-(2,4-dihydroxy-3-methylphenyl)-2-(2-chlorophenyl)-ethanone (K208) established it as the most interesting and relevant compound studied, as it showed nearly 100% inhibition of bacterial growth of Escherichia coli (E. coli) and Staphylococcus aureus (S. aureus). Finally, docking studies were done that helped to characterize how the inhibitor structures correlated to decreased 5-hLOX activity.</t>
  </si>
  <si>
    <t>Mascayano Collado, Carolina Lorena/0000-0002-3488-9309; Montoya, Margarita/0000-0002-6268-1118; Vasquez Martinez, Yesseny Amneris/0000-0002-4184-9815</t>
  </si>
  <si>
    <t>0045-2068</t>
  </si>
  <si>
    <t>1090-2120</t>
  </si>
  <si>
    <t>10.1016/j.bioorg.2018.10.050</t>
  </si>
  <si>
    <t>WOS:000455479600039</t>
  </si>
  <si>
    <t>Arias, P; Gamboa, J; Méndez, F; Valenzuela, D</t>
  </si>
  <si>
    <t>Arias, Paola; Gamboa, J.; Mendez, F.; Valenzuela, David</t>
  </si>
  <si>
    <t>Meissner effect from Landau problem</t>
  </si>
  <si>
    <t>MODERN PHYSICS LETTERS A</t>
  </si>
  <si>
    <t>The Landau problem for inhomogeneous magnetic fields is examined in a very general context and several interesting analogies with the Nielsen-Olesen vortices are established. Firstly, we show that the Landau problem with non-homogeneous magnetic fields exhibits Meissner effect that is unstable unless two-body interactions are added and vortices emerge. Using the scaling freedom, we can write the Schrodinger equation in terms of the scales ratio kappa = E/m proportional to 1-T/T-c where the last identification is realized simply by using the Ginzburg-Landau theory. We find our equations are valid in the superconducting regime, and it is not possible for the Cooper pairs amplitude to reach to a constant, nonzero value, and therefore the theory is unstable. The supersymmetric quantum mechanics version, by completeness, is also considered.</t>
  </si>
  <si>
    <t>Arias, Paola/0000-0001-5551-9182; Gamboa, Jorge/0000-0001-7992-7199; Valenzuela, David/0000-0002-6104-1936</t>
  </si>
  <si>
    <t>0217-7323</t>
  </si>
  <si>
    <t>1793-6632</t>
  </si>
  <si>
    <t>DEC 28</t>
  </si>
  <si>
    <t>10.1142/S0217732318502413</t>
  </si>
  <si>
    <t>WOS:000455806900007</t>
  </si>
  <si>
    <t>Palza, H; Zapata, P; Sagredo, C</t>
  </si>
  <si>
    <t>Palza, Humberto; Zapata, Paula; Sagredo, Christian</t>
  </si>
  <si>
    <t>Shape memory composites based on a thermoplastic elastomer polyethylene with carbon nanostructures stimulated by heat and solar radiation having piezoresistive behavior</t>
  </si>
  <si>
    <t>POLYMER INTERNATIONAL</t>
  </si>
  <si>
    <t>A thermoplastic elastomer polyethylene (TEPE) based on an ethylene/1-butene copolymer having shape memory effect (SME) without any chemical modification is presented and the effect of adding either carbon nanotubes or thermally reduced graphite oxide is analyzed. For electrical percolated samples, the development of a polymer sensor that changes its electrical conductivity under solar radiation triggered by SME is further presented. Our results showed that programmed samples recovered their permanent shape showing SME under a direct heating stimulus at 60 degrees C. The addition of carbon nanostructures increased the times needed to reach 100% recovery as compared with pure TEPE. Noteworthy, the SME was also stimulated remotely by solar radiation increasing the sample temperature. Composites presented a faster SME under this remote radiation process as compared with pure TEPE due to their higher radiation absorption. Percolated TEPE/carbon nanotube composites displayed further a decrease in the electrical resistivity during SME under this solar radiation. Finally, our results showed that the glass transition also triggered the SME in these samples allowing the development of triple shape memory polyethylenes without any chemical crosslinking process. Based on these findings, a simple route was developed to produce double, or even triple, shape memory piezoresistive polyethylenes that can be activated remotely by solar radiation. (c) 2018 Society of Chemical Industry</t>
  </si>
  <si>
    <t>Palza, Humberto/H-2782-2014</t>
  </si>
  <si>
    <t>Palza, Humberto/0000-0001-5246-6791; Zapata, Paula Andrea/0000-0003-3361-6226</t>
  </si>
  <si>
    <t>0959-8103</t>
  </si>
  <si>
    <t>1097-0126</t>
  </si>
  <si>
    <t>10.1002/pi.5610</t>
  </si>
  <si>
    <t>WOS:000438218900010</t>
  </si>
  <si>
    <t>Venegas, T; Vasco, DA; García, FE; Salinas, C</t>
  </si>
  <si>
    <t>Venegas, Tomas; Vasco, Diego A.; Garcia, Fabian E.; Salinas, Carlos</t>
  </si>
  <si>
    <t>Effect of the insulation level on the thermal response of a PCM-modified envelope of a dwelling in Chile</t>
  </si>
  <si>
    <t>APPLIED THERMAL ENGINEERING</t>
  </si>
  <si>
    <t>Chile exhibits a continuous growth of energy demand, and for this reason energy saving approaches in the commercial, public, and residential sectors, which share 21% of the final energy consumption in Chile, have been encouraged. One of the solutions to increase energy savings in buildings and dwellings is to increase the thermal performance of their envelope. The use of phase change materials (PCMs) has gained attention during recent years, especially in northern climates, since they can be used to enhance the thermal inertia of light building materials. Usually, the thermal envelope of a dwelling in Chile is made of brick or wood together with light building materials such like fiber-cement, plasterboard, and thermal insulating materials as polystyrene foam. The experimental part of this work deals with the thermal characterization of an organic PCM (hexadecane), which has a relatively low phase transition temperature. The characterization involves the measurement of density, thermal conductivity, and heat capacity as a function of temperature, and the determination of phase change temperature and latent heat. The thermophysical properties were implemented in a set of thermal simulations of an actual project dwelling located in Santiago and Puerto Montt. The numerical results in terms of heat storage and temperature profiles in the envelope, and heating and cooling demands are shown for different insulation levels.</t>
  </si>
  <si>
    <t>Salinas, Carlos/D-8689-2012; Vasco, Diego/Y-2934-2019</t>
  </si>
  <si>
    <t>Vasco, Diego Andres/0000-0001-7456-4683</t>
  </si>
  <si>
    <t>1359-4311</t>
  </si>
  <si>
    <t>10.1016/j.applthermaleng.2018.05.083</t>
  </si>
  <si>
    <t>WOS:000440958800009</t>
  </si>
  <si>
    <t>Abadias, L; Alvarez, E; Lizama, C</t>
  </si>
  <si>
    <t>Abadias, Luciano; Alvarez, Edgardo; Lizama, Carlos</t>
  </si>
  <si>
    <t>REGULARITY PROPERTIES OF MILD SOLUTIONS FOR A CLASS OF VOLTERRA EQUATIONS WITH CRITICAL NONLINEARITIES</t>
  </si>
  <si>
    <t>JOURNAL OF INTEGRAL EQUATIONS AND APPLICATIONS</t>
  </si>
  <si>
    <t>We study a class of abstract nonlinear integral equations of convolution type defined on a Banach space. We prove the existence of a unique, locally mild solution and an extension property when the nonlinear term satisfies a local Lipschitz condition. Moreover, we guarantee the existence of the global mild solution and blow up profiles for a large class of kernels and nonlinearities. If the nonlinearity has critical growth, we prove the existence of the local epsilon-mild solution. Our results improve and extend recent results for special classes of kernels corresponding to nonlocal in time equations. We give an example to illustrate the application of the theorems so obtained.</t>
  </si>
  <si>
    <t>Alvarez, Edgardo/0000-0003-2699-398X</t>
  </si>
  <si>
    <t>0897-3962</t>
  </si>
  <si>
    <t>1938-2626</t>
  </si>
  <si>
    <t>SUM</t>
  </si>
  <si>
    <t>10.1216/JIE-2018-30-2-219</t>
  </si>
  <si>
    <t>WOS:000449646400001</t>
  </si>
  <si>
    <t>Abadías, L; Lizama, C; Murillo-Arcila, M</t>
  </si>
  <si>
    <t>Abadias, Luciano; Lizama, Carlos; Murillo-Arcila, Marina</t>
  </si>
  <si>
    <t>HOLDER REGULARITY FOR THE MOORE-GIBSON-THOMPSON EQUATION WITH INFINITE DELAY</t>
  </si>
  <si>
    <t>COMMUNICATIONS ON PURE AND APPLIED ANALYSIS</t>
  </si>
  <si>
    <t>We characterize the well-posedness of a third order in time equation with infinite delay in Holder spaces, solely in terms of spectral properties concerning the data of the problem. Our analysis includes the case of the linearized Kuznetzov and Westerwelt equations. We show in case of the Laplacian operator the new and surprising fact that for the standard memory kernel g(t) = t(v-1)/Gamma(v)e(-at) the third order problem is ill- posed whenever 0 &lt; v &lt;= 1 and alpha is inversely proportional to one of the terms of the given model.</t>
  </si>
  <si>
    <t>Lizama, Carlos/E-5909-2011; Murillo, Marina/ABI-7284-2020</t>
  </si>
  <si>
    <t>murillo arcila, marina/0000-0001-6589-0452</t>
  </si>
  <si>
    <t>1534-0392</t>
  </si>
  <si>
    <t>1553-5258</t>
  </si>
  <si>
    <t>10.3934/cpaa.2018015</t>
  </si>
  <si>
    <t>WOS:000417130200015</t>
  </si>
  <si>
    <t>Firoozabadi, AD; Durney, H; Soto, I; Olave, MS</t>
  </si>
  <si>
    <t>IEEE</t>
  </si>
  <si>
    <t>Firoozabadi, Ali Dehghan; Durney, Hugo; Soto, Ismael; Olave, Miguel Sanhueza</t>
  </si>
  <si>
    <t>3D Localization of Multiple Simultaneous Speakers with Discrete Wavelet Transform and Proposed 3D Nested Microphone Array</t>
  </si>
  <si>
    <t>2018 26TH EUROPEAN SIGNAL PROCESSING CONFERENCE (EUSIPCO)</t>
  </si>
  <si>
    <t>European Signal Processing Conference</t>
  </si>
  <si>
    <t>European Signal Processing Conference (EUSIPCO)</t>
  </si>
  <si>
    <t>SEP 03-07, 2018</t>
  </si>
  <si>
    <t>Rome, ITALY</t>
  </si>
  <si>
    <t>European Assoc Signal Processing,IEEE Signal Processing Soc,ROMA TRE Univ Degli Studi,MathWorks,Amazon Devices</t>
  </si>
  <si>
    <t>Multiple sound source localization is one of the important topic in speech processing. GCC function is used as a traditional algorithm for sound source localization. This function estimates DOA for multiple speakers by calculation the cross-correlation between microphone signals but its accuracy decreases in adverse conditions. The aim of proposed method in this paper is localization of multiple simultaneous speakers in undesirable condition. The proposed method is based on novel 3D nested microphone array in combination with obtained information of Discrete Wavelet Transform (DWT) and subband processing. The proposed 3D nested microphone array prepares the condition for 3D localization and eliminates the spatial aliasing between microphone signals. Also, we propose the DWT for extraction the information of speech signal. Since, the spectral information of speech signal concentrates on low frequencies, we propose a structure of filter bank based on DWT to increase the frequency resolution on low frequencies. The performed evaluation on real and simulated data shows the superiority of our proposed method in comparison with Fullband and subband processing with uniform filters and uniform microphone array.</t>
  </si>
  <si>
    <t>Sanhueza Olave, Miguel/JFS-4364-2023; Dehghan Firoozabadi, Ali/AAD-4858-2019</t>
  </si>
  <si>
    <t>2076-1465</t>
  </si>
  <si>
    <t>978-90-827970-1-5</t>
  </si>
  <si>
    <t>WOS:000455614900072</t>
  </si>
  <si>
    <t>Lizama, C; Poblete, F</t>
  </si>
  <si>
    <t>Lizama, Carlos; Poblete, Felipe</t>
  </si>
  <si>
    <t>A characterization of well-posedness for abstract Cauchy problems with finite delay</t>
  </si>
  <si>
    <t>JOURNAL OF MATHEMATICAL ANALYSIS AND APPLICATIONS</t>
  </si>
  <si>
    <t>Let A be a closed operator defined on a Banach space X and F be a bounded operator denned on a appropriate phase space. In this paper, we characterize the well-posedness of the first order abstract Cauchy problem with finite delay, {u'(t) = Au(t) + Fu (t) , t &gt;0; u(0) = x; u(t) = phi(t),-r&lt; t&lt; 0 solely in terms of a strongly continuous one-parameter family {G(t)}(t &gt;= 0) of bounded linear operators that satisfy the functional equation G(t + s)x = G(t)G(s)x + integral(0)(-r) G(t + m)[SG(s +.)x](m)dm for all t, s &gt;0, x is an element of X. In case F = 0 this property reduces to the characterization of well-posedness for the first order abstract Cauchy problem in terms of the functional equation that satisfy the C-0-semigroup generated by A. (c) 2017 Elsevier Inc. All rights reserved.</t>
  </si>
  <si>
    <t>Poblete, Felipe/E-5670-2014; Lizama, Carlos/E-5909-2011</t>
  </si>
  <si>
    <t>Lizama, Carlos/0000-0002-9807-1100; Poblete, Felipe/0009-0004-1219-3839</t>
  </si>
  <si>
    <t>0022-247X</t>
  </si>
  <si>
    <t>1096-0813</t>
  </si>
  <si>
    <t>10.1016/j.jmaa.2017.08.023</t>
  </si>
  <si>
    <t>WOS:000412152100024</t>
  </si>
  <si>
    <t>Guilarte, JM; Plyushchay, MS</t>
  </si>
  <si>
    <t>Mateos Guilarte, Juan; Plyushchay, Mikhail S.</t>
  </si>
  <si>
    <t>Perfectly invisible PT-symmetric zero-gap systems, conformal field theoretical kinks, and exotic nonlinear supersymmetry</t>
  </si>
  <si>
    <t>JOURNAL OF HIGH ENERGY PHYSICS</t>
  </si>
  <si>
    <t>We investigate a special class of the PT-symmetric quantum models being perfectly invisible zero-gap systems with a unique bound state at the very edge of continuous spectrum of scattering states. The family includes the PT-regularized two particle Calogero systems (conformal quantum mechanics models of de Alfaro-Fubini-Furlan) and their rational extensions whose potentials satisfy equations of the KdV hierarchy and exhibit, particularly, a behaviour typical for extreme waves. We show that the two simplest Hamiltonians from the Calogero subfamily determine the fluctuation spectra around the PT-regularized kinks arising as traveling waves in the field-theoretical Liouville and SU(3) conformal Tocla systems. Peculiar properties of the quantum systems are reflected in the associated exotic nonlinear supersymmetry in the unbroken or partially broken phases. The conventional N = 2 supersymmetry is extended here to the Art 4 nonlinear super symmetry that involves two bosonic generators composed from Lax-Novikov integrals of the subsystems, one of which is the central charge of the superalgebra. Jordan states are shown to play an essential role in the construction.</t>
  </si>
  <si>
    <t>Mateos Guilarte, Juan/D-8199-2018</t>
  </si>
  <si>
    <t>Mateos Guilarte, Juan/0000-0001-7928-9086</t>
  </si>
  <si>
    <t>1029-8479</t>
  </si>
  <si>
    <t>DEC 12</t>
  </si>
  <si>
    <t>10.1007/JHEP12(2017)061</t>
  </si>
  <si>
    <t>WOS:000417810000002</t>
  </si>
  <si>
    <t>Merino, RA; Canales, AT</t>
  </si>
  <si>
    <t>Armas Merino, Rodolfo; Torres Canales, Adrian</t>
  </si>
  <si>
    <t>An analysis of essential health research in Chile</t>
  </si>
  <si>
    <t>Essential research studies of health problems affecting the majority of the population, aiming at actions that are feasible to be taken, efficiently and effectively implementing there and seeking solutions to unsolved problems. This is a complex process, which requires long lasting participation and coordinated interaction between different relevant sectors, namely the academic world, health policymakers and health-related industries. An analysis of essential health research in Chile is presented, considering factors such as shared efforts between the academic and health care sectors and the role of the Ministry of Health in research promotion. The following suggestions are made: 1) The Ministry of Health, along with universities, should stimulate, guide and monitor research activities that enrich and update the work on priority health issues; 2) To strengthen the capacity building of clinical or public health specialists by training them in applied research within medical centers, mainly teaching centers; 3) To assess the performance of National Fund for Health Research and Development (FONIS) and, if necessary, increase its resources to stimulate applied research in health; 4) To establish priorities for essential research, more specific than those proposed in 2010; 5) To reactivate the National Council for Health Research (CONIS) as an autonomous entity that coordinates applied research within the Ministry of Health.</t>
  </si>
  <si>
    <t>0717-6163</t>
  </si>
  <si>
    <t>WOS:000411759700010</t>
  </si>
  <si>
    <t>Palominos, F; Díaz, H; Córdova, F; Cañete, L; Durán, C</t>
  </si>
  <si>
    <t>Palominos, F.; Diaz, H.; Cordova, F.; Canete, L.; Duran, C.</t>
  </si>
  <si>
    <t>A Solution for Problems in the Organization, Storage and Processing of Large Data Banks of Physiological Variables</t>
  </si>
  <si>
    <t>The proliferation and popularization of new instruments for measuring different types of electrophysiological variables have generated the need to store huge volumes of information, corresponding to the records obtained by applying this instruments on experimental subjects. Together with this must be added the data derived from the analysis and purification processes. Moreover, several stages involved in the processing of data is associated with one or more specific methods related to the area of research and to the treatment at which the base information (RAW) is subjected. As a result of this and with the passage of time, various problems occur, which are the most obvious consequence of that data and metadata derived from the treatment processes and analysis and can end up accumulating and requiring more storage space than the base data. In addition, the enormous amount of information, as it increases over time, can lead to the loss of the link between the processed data, the methods of treatment used, and the analysis performed so that eventually all becomes simply a huge repository of biometric data, devoid of meaning and sense. This paper presents an approach founded on a data model that can adequately handle different types of chronologies of physiological and emotional information, ensuring confidentiality of information according to the experimental protocols and relevant ethical requirements, linking the information with the methods of treatment used and the technical and scientific documents derived from the analysis. Consequently, the need to generate specific data model is justified by the fact that the tools currently associated with the storage of large volumes of information are not able to take care of the semantic elements that make up the metadata and information relating to the analysis of base records of physiological information. This work is an extension of our paper [25].(a)</t>
  </si>
  <si>
    <t>Duran, Claudia/S-1175-2019; Palominos, Fredi/U-4690-2019; Arratia, Lucio/AAV-6112-2020; CORDOVA, FELISA/S-1093-2019</t>
  </si>
  <si>
    <t>CORDOVA, FELISA/0000-0002-5557-8569; Canete Arratia, Lucio/0000-0002-1191-8728; Palominos, Fredi/0000-0002-6119-4991</t>
  </si>
  <si>
    <t>APR</t>
  </si>
  <si>
    <t>WOS:000395506500010</t>
  </si>
  <si>
    <t>Sanhueza, L; Melo, R; Montero, R; Maisey, K; Mendoza, L; Wilkens, M</t>
  </si>
  <si>
    <t>Sanhueza, Loreto; Melo, Ricardo; Montero, Ruth; Maisey, Kevin; Mendoza, Leonora; Wilkens, Marcela</t>
  </si>
  <si>
    <t>Synergistic interactions between phenolic compounds identified in grape pomace extract with antibiotics of different classes against Staphylococcus aureus and Escherichia coli</t>
  </si>
  <si>
    <t>PLOS ONE</t>
  </si>
  <si>
    <t>Synergy could be an effective strategy to potentiate and recover antibiotics nowadays useless in clinical treatments against multi-resistant bacteria. In this study, synergic interactions between antibiotics and grape pomace extract that contains high concentration of phenolic compounds were evaluated by the checkerboard method in clinical isolates of Staphylococcus aureus and Escherichia coli. To define which component of the extract is responsible for the synergic effect, phenolic compounds were identified by RP-HPLC and their relative abundance was determined. Combinations of extract with pure compounds identified there in were also evaluated. Results showed that the grape pomace extract combined with representatives of different classes of antibiotics as beta-lactam, quinolone, fluoroquinolone, tetracycline and amphenicol act in synergy in all S. aureus and E. coli strains tested with FICI values varying from 0.031 to 0.155. The minimal inhibitory concentration (MIC) was reduced 4 to 75 times. The most abundant phenolic compounds identified in the extract were quercetin, gallic acid, protocatechuic acid and luteolin with relative abundance of 26.3, 24.4, 16.7 and 11.4%, respectively. All combinations of the extract with the components also showed synergy with FICI values varying from 0.031 to 0.5 and MIC reductions of 4 to 125 times with both bacteria strains. The relative abundance of phenolic compounds has no correlation with the obtained synergic effect, suggesting that the mechanism by which the synergic effect occurs is by a multi-objective action. It was also shown that combinations of grape pomace extract with antibiotics are not toxic for the HeLa cell line at concentrations in which the synergistic effect was observed (47 mu g/mL of extract and 0.6-375 mu g/mL antibiotics). Therefore, these combinations are good candidates for testing in animal models in order to enhance the effect of antibiotics of different classes and thus restore the currently unused clinical antibiotics due to the phenomenon of resistance. Moreover, the use of grape pomace is a good and low-cost alternative for this purpose being a waste residue of the wine industry.</t>
  </si>
  <si>
    <t>Maisey, Kevin/AAP-2886-2021; Wilkens, Marcela/G-5928-2019</t>
  </si>
  <si>
    <t>Montero, Ruth Tamara/0000-0002-3019-1800; Maisey, Kevin/0000-0002-7423-6329</t>
  </si>
  <si>
    <t>1932-6203</t>
  </si>
  <si>
    <t>FEB 24</t>
  </si>
  <si>
    <t>e0172273</t>
  </si>
  <si>
    <t>10.1371/journal.pone.0172273</t>
  </si>
  <si>
    <t>WOS:000394688200061</t>
  </si>
  <si>
    <t>Duran, CA; Palominos, F; Cordova, FM</t>
  </si>
  <si>
    <t>Ahuja, V; Shi, Y; Khazanchi, D; Abidi, N; Tian, Y; Berg, D; Tien, JM</t>
  </si>
  <si>
    <t>Duran, Claudia A.; Palominos, Fredi; Cordova, Felisa M.</t>
  </si>
  <si>
    <t>Applying multi-criteria analysis in a port system</t>
  </si>
  <si>
    <t>5TH INTERNATIONAL CONFERENCE ON INFORMATION TECHNOLOGY AND QUANTITATIVE MANAGEMENT, ITQM 2017</t>
  </si>
  <si>
    <t>Procedia Computer Science</t>
  </si>
  <si>
    <t>5th International Conference on Information Technology and Quantitative Management (ITQM)</t>
  </si>
  <si>
    <t>DEC 08-10, 2017</t>
  </si>
  <si>
    <t>New Delhi, INDIA</t>
  </si>
  <si>
    <t>Int Acad Informat Technol &amp; Quantitat Management,Jaypee Business Sch,Chinese Acad Sci, Res Ctr Fictitious Econ &amp; Data Sci,Chinese Acad Sci, Key Lab Big Data Min &amp; Knowledge Management,Univ Chinese Acad Sci, Sch Econ &amp; Management,Chinese Acad Sci, Inst Policy &amp; Management,Univ Nebraska Omaha,Chinese Acad Management,Grad Sch Management Technol,Hoseo Univ,Chinese Assoc Artificial Intelligence</t>
  </si>
  <si>
    <t>This work presents a study developed in a medium port system composed of 50 public and private actors interacting with their macro-environment, which can generate strategic synergistic relationships. In order to determine these synergistic links between their components, the strategic phrases contained in their missions are analysed and classified according to the multi criteria that are part of the macro-environment of each port actor: political, economic, social, technological, environmental, risk and learning. Likewise, new characterizations and classifications are proposed for groups and sub-groups of port actors. From absolute frequencies, Contingency Tables and the Chi-square test, quantitative results are obtained, which show the potential cases of strategic synergistic relations in the port system and the behavior of each group and sub-group of actors, as well as dependence / independence between every pair of criteria. Finally, it is verified that it is possible to use quantitative methods to analyze the strategic synergistic relationships between the actors of the port system. (C) 2017 The Authors. Published by Elsevier B.V.</t>
  </si>
  <si>
    <t>CORDOVA, FELISA/S-1093-2019; Duran, Claudia/S-1175-2019; Palominos, Fredi/U-4690-2019</t>
  </si>
  <si>
    <t>Palominos, Fredi/0000-0002-6119-4991; CORDOVA, FELISA/0000-0002-5557-8569; Duran, Claudia/0000-0002-0903-4333</t>
  </si>
  <si>
    <t>1877-0509</t>
  </si>
  <si>
    <t>10.1016/j.procs.2017.11.396</t>
  </si>
  <si>
    <t>WOS:000426698300063</t>
  </si>
  <si>
    <t>Mera, MJ; Martínez-Zelaya, G; Bilbao, MA; Garrido, A</t>
  </si>
  <si>
    <t>Jose Mera, Maria; Martinez-Zelaya, Gonzalo; Angeles Bilbao, M.; Garrido, Amanda</t>
  </si>
  <si>
    <t>Chileans Facing Immigration: Relations Between Orientations of acculturation, perception of threat and Social well-being in the Great Concepcion</t>
  </si>
  <si>
    <t>In Chile, the sustained increase of migratory flows is producing an important impact on building new forms of social relations. Acculturation processes have been studied from immigrant's perspective by numerous studies, but host majority members has received less attention from scholars. This study aimed to verify relations between acculturation preferences of N=553 Chilean participants, their social well-being and perceived threat. Results showed that, contrary as expected, individualism was positively linked with better social functioning and less perceived threat than integrationism, suggesting the impact of neoliberal ideology on post-dictatorial Chilean culture.</t>
  </si>
  <si>
    <t>Mera-Lemp, María/P-7051-2016; Martinez-Zelaya, Gonzalo/E-5926-2016; Bilbao, M. Angeles/K-8367-2014; Wlodarczyk, Anna/K-4968-2014; Bobowik, Magdalena/K-3857-2014</t>
  </si>
  <si>
    <t>Martinez-Zelaya, Gonzalo/0000-0002-9848-3666; Bilbao, M. Angeles/0000-0002-5984-4908; Wlodarczyk, Anna/0000-0003-2106-5324; Mera-Lemp, Maria Jose/0000-0001-5763-6913; Bobowik, Magdalena/0000-0002-2341-0665; Lay Lisboa, Siu/0000-0002-9294-4337; Garrido Leiva, Amanda/0000-0003-4214-8276</t>
  </si>
  <si>
    <t>10.11144/Javeriana.upsy16-5.cier</t>
  </si>
  <si>
    <t>WOS:000423549900003</t>
  </si>
  <si>
    <t>Rivas, BL; Sánchez, J</t>
  </si>
  <si>
    <t>Cheng, HN; Maryanoff, CA; Miller, BD; Schmidt, DG</t>
  </si>
  <si>
    <t>Rivas, Bernabe L.; Sanchez, Julio</t>
  </si>
  <si>
    <t>Soluble Polymer Containing an N-Methyl-D-glucamine Ligand for the Removal of Pollutant Oxy-Anions from Water</t>
  </si>
  <si>
    <t>STEREOCHEMISTRY AND GLOBAL CONNECTIVITY: THE LEGACY OF ERNEST L ELIEL, VOL 1</t>
  </si>
  <si>
    <t>ACS Symposium Series</t>
  </si>
  <si>
    <t>Symposium on Connectivity and the Global Reach of Chemistry: Honoring the Life and Scientific Contributions of Ernest L. Eliel / ACS Fall Natl Meeting</t>
  </si>
  <si>
    <t>AUG 21-25, 2016</t>
  </si>
  <si>
    <t>Philadelphia, PA</t>
  </si>
  <si>
    <t>Amer Chem Soc, Div OLrgan Chem</t>
  </si>
  <si>
    <t>The ability of a water-soluble poly(glycidyl methacrylate-N-methyl-D-glucamine) polymer, P(GM-NMG), to interact with and remove arsenate, chromate, and borate from water was evaluated. The monomer GM-NMG was prepared in the laboratory and subsequently polymerized. The polymer was purified, characterized, and used as a sorbent of anions by polymer enhanced ultrafiltration. Removal experiments were conducted as a function of pH, polymer concentration, and effect of interfering ions. In addition, the maximum retention capacity of P(GM-NMG) was studied using an enrichment method. The results demonstrated that P(GM-NMG) can remove arsenate and chromate at acidic pHs and borate at basic pHs. Moreover, an increase in the concentration of P(GM-NMG) was determined to produce a higher removal of arsenic, but the retention reached a critical point in the case of chromium and boron. The presence of interfering ions slightly decreased the removal of arsenic and chromium, but not borate. The maximum retention capacity was 46.0 mg As/g polymer, 21.0 mg Cr/g polymer and 12.4 mg B/g polymer.</t>
  </si>
  <si>
    <t>Rivas, Bernabé/D-9945-2015; Sanchez, Julio/AEO-4360-2022</t>
  </si>
  <si>
    <t>0097-6156</t>
  </si>
  <si>
    <t>978-0-8412-3238-9</t>
  </si>
  <si>
    <t>WOS:000417768900010</t>
  </si>
  <si>
    <t>Sepúlveda, JM; Banguera, LA</t>
  </si>
  <si>
    <t>Fertsch, M; Stachowiak, A; Mrugalska, B; OleskowSzlapka, J; Hadas, L; Cyplik, P; GolinskaDawson, P</t>
  </si>
  <si>
    <t>Sepulveda, J. M.; Banguera, L. A.</t>
  </si>
  <si>
    <t>A MODEL FOR DESIGN OF A REVERSE LOGISTICS NETWORK UNDER EXTENDED PRODUCER RESPONSIBILITY</t>
  </si>
  <si>
    <t>24TH INTERNATIONAL CONFERENCE ON PRODUCTION RESEARCH (ICPR)</t>
  </si>
  <si>
    <t>DEStech Transactions on Engineering and Technology Research</t>
  </si>
  <si>
    <t>24th International Conference on Production Research (ICPR)</t>
  </si>
  <si>
    <t>JUL 30-AUG 03, 2017</t>
  </si>
  <si>
    <t>Posnan, POLAND</t>
  </si>
  <si>
    <t>The paper develops a mixed integer linear programming model for capacitated facility location which allows the optimal design of a reverse logistics network and illustrates its application in the case of out-of-use tires. These tires are generated in service networks and garages, as in many large cities, and their use includes the possible production of raw materials derived from rubber and the use as fuel for certain industries such as cement. Optimal flows are generated, configuration of collection and recycling facilities is determined, and estimation of the monetary transfers necessary for the feasible operation of the system is estimated. The model must meet recycling targets and minimize the cost of fines in case of infeasibility, through relaxation of constraints.</t>
  </si>
  <si>
    <t>Sepulveda, Juan M./0000-0003-3755-0981</t>
  </si>
  <si>
    <t>2475-885X</t>
  </si>
  <si>
    <t>978-1-60595-507-0</t>
  </si>
  <si>
    <t>WOS:000426981800012</t>
  </si>
  <si>
    <t>Feron, S; Heinrichs, H; Cordero, RR</t>
  </si>
  <si>
    <t>Feron, Sarah; Heinrichs, Harald; Cordero, Raul R.</t>
  </si>
  <si>
    <t>Sustainability of rural electrification programs based on off-grid photovoltaic (PV) systems in Chile</t>
  </si>
  <si>
    <t>ENERGY SUSTAINABILITY AND SOCIETY</t>
  </si>
  <si>
    <t>Background: Mainly based on expanding the grid, Chile has reached an impressive electrification rate. However, due to unviable grid expansion to islands and remote areas of the country, the government started implementing off-grid electrification programs. In this paper, we assess the sustainability of rural electrification efforts in Chile paying special attention to off-grid photovoltaic (PV) programs. Methods: Our assessment of the rural electrification efforts in Chile takes into account four dimensions of sustainability (institutional, economic, environmental, and socio-cultural). It is based on an extensive qualitative document analysis, complemented by semi-structured interviews to key stakeholders. Results: We found that, despite several successful pilot off-grid PV projects, the deployment of off-grid PV solutions for rural electrification lagged behind the enormous solar potential of the country. Part of the problem is that decisions favoring other technologies have been made without considering costs over the lifetime and environmental co-impacts. Moreover, the social acceptance of off-grid PV solutions has been seriously compromised due to problems regarding the accuracy (systems were unable to meet the user's needs) and reliability (systems often failed due to lack of mandatory standards and the uncertain maintenance). Conclusions: Although Chile has conducted remarkable efforts on electrification during the last 20 years, the indigenous communities still have less access to electricity. This disparity is a major drawback that underscores the need for adjusting the electrification approach (which means that the communities or the local authorities have to request electrification at first place) adopted by the Ministry of Energy in rural electrification. Indeed, this approach favors better organized communities leaving behind others-normally the poorest indigenous communities. Moreover, major progress on cultural justice, equity, and environmental awareness is needed for ensuring the sustainability of rural electrification efforts in Chile.</t>
  </si>
  <si>
    <t>Cordero, Raul/M-7979-2017</t>
  </si>
  <si>
    <t>Cordero, Raul R./0000-0001-7607-7993; Feron, Sarah/0000-0002-0572-5639</t>
  </si>
  <si>
    <t>2192-0567</t>
  </si>
  <si>
    <t>NOV 14</t>
  </si>
  <si>
    <t>10.1186/s13705-016-0098-4</t>
  </si>
  <si>
    <t>WOS:000387954600001</t>
  </si>
  <si>
    <t>Montalvo, S; Prades, H; González, M; Perez, P; Guerrero, L; Huilinir, C</t>
  </si>
  <si>
    <t>Montalvo, S.; Prades, H.; Gonzalez, M.; Perez, P.; Guerrero, L.; Huilinir, C.</t>
  </si>
  <si>
    <t>ANAEROBIC DIGESTION OF WASTEWATER WITH HIGH SULFATE CONCENTRATION USING MICRO-AERATION AND NATURAL ZEOLITES</t>
  </si>
  <si>
    <t>BRAZILIAN JOURNAL OF CHEMICAL ENGINEERING</t>
  </si>
  <si>
    <t>11th Latin American Symposium on Anaerobic Digestion (DAAL)</t>
  </si>
  <si>
    <t>Havana, CUBA</t>
  </si>
  <si>
    <t>The behavior of anaerobic digestion in batch and UASB reactors using a microaerobic process and natural zeolites was studied. Laboratory assays were carried out across 4 sets of variables: different COD/SO42- ratios, different airflow levels, with and without natural zeolites and room and mesophilic controlled temperatures. The microaerobic process demonstrated hydrogen sulfide removal levels exceeding 90% in most cases, while maintaining the flammable condition of the generated biogas. The level of COD removal exceeded 75% in UASB reactors despite their operation under very low hydraulic retention times (2.8-4.8 hours). The effectiveness of natural zeolites in accelerating UASB reactor startup was demonstrated. Results showing the positive influence of zeolites on the granulation process in UASB reactors were also achieved.</t>
  </si>
  <si>
    <t>Huilinir, Cesar/IYS-6899-2023; Rodríguez, Mauricio/P-7333-2015</t>
  </si>
  <si>
    <t>Huilinir, Cesar/0000-0002-3487-684X</t>
  </si>
  <si>
    <t>0104-6632</t>
  </si>
  <si>
    <t>1678-4383</t>
  </si>
  <si>
    <t>OCT-DEC</t>
  </si>
  <si>
    <t>10.1590/0104-6632.20160334s20150261</t>
  </si>
  <si>
    <t>WOS:000396935700006</t>
  </si>
  <si>
    <t>Azurdia-Meza, CA; Estevez, C; Firoozabadi, AD; Soto, I</t>
  </si>
  <si>
    <t>Azurdia-Meza, Cesar A.; Estevez, Claudio; Dehghan Firoozabadi, Ali; Soto, Ismael</t>
  </si>
  <si>
    <t>Evaluation of the Sinc Parametric Linear Combination Pulse in Digital Communication Systems</t>
  </si>
  <si>
    <t>2016 8TH IEEE LATIN-AMERICAN CONFERENCE ON COMMUNICATIONS (LATINCOM)</t>
  </si>
  <si>
    <t>IEEE Latin American Conference on Communications</t>
  </si>
  <si>
    <t>8th IEEE Latin-American Conference on Communications (LATINCOM)</t>
  </si>
  <si>
    <t>NOV 15-17, 2016</t>
  </si>
  <si>
    <t>Medellin, COLOMBIA</t>
  </si>
  <si>
    <t>Digital baseband communication systems are characterized by having a filter at the transmitter and receiver side to band limit the transmitted signals and diminish the effects to intersymbol interference (ISI). The impulse response of the sinc parametric linear combination pulse (SPLCP) is derived in the time domain, whereas its frequency response is also evaluated. The SPCLP is evaluated at the transmitter and receiver side by using different evaluation tools. Eye diagrams are presented to visually evaluate the susceptibility of the transmission system to ISI, and the maximum distortion is estimated as a quantitative measure of performance. The SPLCP outperforms other existing pulses in terms of bit error rate (BER), for various roll-off factors and symbol timing errors.</t>
  </si>
  <si>
    <t>Meza, Cesar/D-6948-2014; Dehghan Firoozabadi, Ali/AAD-4858-2019; Estevez, Claudio/I-1741-2013</t>
  </si>
  <si>
    <t>2330-989X</t>
  </si>
  <si>
    <t>978-1-5090-5137-3</t>
  </si>
  <si>
    <t>WOS:000405491400014</t>
  </si>
  <si>
    <t>Méndez, F; Sepúlveda, F</t>
  </si>
  <si>
    <t>Mendez, Fabio; Sepulveda, Facundo</t>
  </si>
  <si>
    <t>A COMPARATIVE STUDY OF TRAINING IN THE PRIVATE AND PUBLIC SECTORS: EVIDENCE FROM THE UNITED KINGDOM AND THE UNITED STATES</t>
  </si>
  <si>
    <t>CONTEMPORARY ECONOMIC POLICY</t>
  </si>
  <si>
    <t>Formal training programs are one of the main channels through which workers become more productive and experience wage growth. So far, however, most of the results on the effects of employer-provided training come from studying the training received by private sector workers only. We extend the literature by identifying and comparing the effects of private-employer-provided and public-employer-provided training in the United States and the United Kingdom. We address this question using two independent data sets from the British Household Panels Surveys and the American National Longitudinal Survey of Youth of 1979.</t>
  </si>
  <si>
    <t>1074-3529</t>
  </si>
  <si>
    <t>1465-7287</t>
  </si>
  <si>
    <t>10.1111/coep.12120</t>
  </si>
  <si>
    <t>WOS:000369078900007</t>
  </si>
  <si>
    <t>Vallejo, G; Fernández, P; Cuesta, M; Livacic-Rojas, PE</t>
  </si>
  <si>
    <t>Vallejo, Guillermo; Fernandez, Paula; Cuesta, Marcelino; Livacic-Rojas, Pablo E.</t>
  </si>
  <si>
    <t>Effects of Modeling the Heterogeneity on Inferences Drawn from Multilevel Designs</t>
  </si>
  <si>
    <t>MULTIVARIATE BEHAVIORAL RESEARCH</t>
  </si>
  <si>
    <t>This article uses Monte Carlo techniques to examine the effect of heterogeneity of variance in multilevel analyses in terms of relative bias, coverage probability, and root mean square error (RMSE). For all simulated data sets, the parameters were estimated using the restricted maximum-likelihood (REML) method both assuming homogeneity and incorporating heterogeneity into multilevel models. We find that (a) the estimates for the fixed parameters are unbiased, but the associated standard errors are frequently biased when heterogeneity is ignored; by contrast, the standard errors of the fixed effects are almost always accurate when heterogeneity is considered; (b) the estimates for the random parameters are slightly overestimated; (c) both the homogeneous and heterogeneous models produce standard errors of the variance component estimates that are underestimated; however, taking heterogeneity into account, the REML-estimations give correct estimates of the standard errors at the lowest level and lead to less underestimated standard errors at the highest level; and (d) from the RMSE point of view, REML accounting for heterogeneity outperforms REML assuming homogeneity; a considerable improvement has been particularly detected for the fixed parameters. Based on this, we conclude that the solution presented can be uniformly adopted. We illustrate the process using a real dataset.</t>
  </si>
  <si>
    <t>Cuesta, Marcelino/AAP-4347-2020; Vallejo, Guillermo/B-8233-2011; Cuesta, Marcelino/L-3705-2014; Fernandez, Paula/I-1881-2015</t>
  </si>
  <si>
    <t>Cuesta, Marcelino/0000-0002-1060-9536; Vallejo, Guillermo/0000-0002-8010-6854; Fernandez, Paula/0000-0003-0140-7702</t>
  </si>
  <si>
    <t>0027-3171</t>
  </si>
  <si>
    <t>1532-7906</t>
  </si>
  <si>
    <t>JAN 2</t>
  </si>
  <si>
    <t>10.1080/00273171.2014.955604</t>
  </si>
  <si>
    <t>WOS:000349540600005</t>
  </si>
  <si>
    <t>Neira, H; Fierro, JM</t>
  </si>
  <si>
    <t>Neira, Hernan; Manuel Fierro, Juan</t>
  </si>
  <si>
    <t>Umpteenth trip to Eldorado of the Guirigai Theatre: renovation of the street theatre in a colonial contrautopia</t>
  </si>
  <si>
    <t>BULLETIN HISPANIQUE</t>
  </si>
  <si>
    <t>Enesimo viaje a Eldorado (Umpteenth Journey to Eldorado, 1985) by the Spanish theater company Guirigai may be interpreted from the cultural discontent in relation to Franco's regime, from the perspective of the celebrations of the 5th centenary of 1492, and mainly from the theatrical culture. These perspectives bring out one of the most original plays of Spanish drama of the 1980's.</t>
  </si>
  <si>
    <t>0007-4640</t>
  </si>
  <si>
    <t>WOS:000352041300021</t>
  </si>
  <si>
    <t>Mellado, C; Rafter, K</t>
  </si>
  <si>
    <t>Mellado, Claudia; Rafter, Kevin</t>
  </si>
  <si>
    <t>Understanding the influence of journalists and politicians on content: A cross-longitudinal analysis of Chilean political news coverage</t>
  </si>
  <si>
    <t>INTERNATIONAL COMMUNICATION GAZETTE</t>
  </si>
  <si>
    <t>By means of a cross-longitudinal quantitative content analysis of the Chilean national press, this article analyses the changes in reporting styles and the framing of politics in news coverage between 2006 and 2011, exploring whether the features of political reporting found in studies of Western countries are evident in the case of Chile. According to the data, while politicians trigger the majority of political news stories, political coverage originates significantly more from events than from statements or issues. Likewise, although framing politics as a game is a dominant and significant characteristic of the Chilean press, there is a systematic increase in the public policy frame. The results also indicate low levels of interventionism in covering political news, showing the practice of journalism where politicians have a strong influence on news content. The research allows for discussion on how politicians are adapting to the needs of the media and presents a deeper understanding of the characteristics that define political journalism in new democracies.</t>
  </si>
  <si>
    <t>Mellado, Claudia/0000-0002-9281-1526; Rafter, Kevin/0000-0001-9914-5223</t>
  </si>
  <si>
    <t>1748-0485</t>
  </si>
  <si>
    <t>1748-0493</t>
  </si>
  <si>
    <t>10.1177/1748048514538928</t>
  </si>
  <si>
    <t>WOS:000354690700001</t>
  </si>
  <si>
    <t>Corrotea, Y; Sánchez, K; Rubio, MA; Richter, P</t>
  </si>
  <si>
    <t>Corrotea, Yanina; Sanchez, Karen; Angelica Rubio, M.; Richter, Pablo</t>
  </si>
  <si>
    <t>EXTRACTION OF POLYCYCLIC AROMATIC HYDROCARBONS FROM WATER SAMPLES INTO A ROTATING-DISK MICROEXTRACTOR AND THE SUBSEQUENT DETERMINATION BY GAS CHROMATOGRAPHY-MASS SPECTROMETRY</t>
  </si>
  <si>
    <t>JOURNAL OF THE CHILEAN CHEMICAL SOCIETY</t>
  </si>
  <si>
    <t>The rotating disk sorptive extraction (RDSE) technique was applied in this study to the extraction of 16 polycyclic aromatic hydrocarbons (PAHs) in real water samples. The sorptive and desorptive behavior of the analytes were studied by using a rotating disk coated with polydimethylsiloxane (PDMS) on one of its surfaces. The optimal conditions for extractions of all analytes were: rotational velocity of the disk: 1250 rpm; sample volume: 20 mL; matrix modifier: 20 % MeOH and extraction time: 30 min. A desorption time of 10 min at 1250 rpm was used for the analytes using 5 mL of methanol. PAHs were measured in the extract by gas chromatography coupled to mass spectrometry (GC-MS). Under these conditions, recoveries ranging from 84 to 100 % were obtained in drinking water enriched with the analytes, and the precision, expressed as relative standard deviation, was between 2 and 20%. The detection limit of the method was between 8 and 115 ng L-1 depending on the analyte. The method was applied to the analysis of water samples obtained from a lagoon in Curauma, Chile, obtaining quantitative recoveries.</t>
  </si>
  <si>
    <t>Bajo, Maria/ABF-6991-2020</t>
  </si>
  <si>
    <t>Richter, Pablo/0000-0002-7978-0657</t>
  </si>
  <si>
    <t>0717-9707</t>
  </si>
  <si>
    <t>10.4067/S0717-97072014000200017</t>
  </si>
  <si>
    <t>WOS:000342613100017</t>
  </si>
  <si>
    <t>Plyushchay, MS; Wipf, A</t>
  </si>
  <si>
    <t>Plyushchay, Mikhail S.; Wipf, Andreas</t>
  </si>
  <si>
    <t>Particle in a self-dual dyon background: Hidden free nature and exotic superconformal symmetry</t>
  </si>
  <si>
    <t>PHYSICAL REVIEW D</t>
  </si>
  <si>
    <t>We show that a nonrelativistic particle in a combined field of a magnetic monopole and 1/r(2) potential reveals a hidden, partially free dynamics when the strength of the central potential and the charge-monopole coupling constant are mutually fitted to each other. In this case the system admits both a conserved Laplace`-Runge`-Lenz vector and a dynamical conformal symmetry. The supersymmetrically extended system corresponds then to a background of a self-dual or anti-self-dual dyon. It is described by a quadratically extended Lie superalgebra D(2, 1;alpha) with alpha = 1/2, in which the bosonic set of generators is enlarged by a generalized Laplace`-Runge`-Lenz vector and its dynamical integral counterpart related to Galilei symmetry, as well as by the chiral Z(2)-grading operator. The odd part of the nonlinear superalgebra comprises a complete set of 24 = 2 x 3 x 4 fermionic generators. Here a usual duplication comes from the Z(2)-grading structure; the second factor can be associated with a triad of scalar integrals-the Hamiltonian, the generator of special conformal transformations, and the squared total angular momentum vector, while the quadruplication is generated by a chiral spin vector integral which exits due to the (anti-)self-dual nature of the electromagnetic background.</t>
  </si>
  <si>
    <t>Wipf, Andreas/AAK-9423-2020</t>
  </si>
  <si>
    <t>1550-7998</t>
  </si>
  <si>
    <t>1550-2368</t>
  </si>
  <si>
    <t>FEB 25</t>
  </si>
  <si>
    <t>10.1103/PhysRevD.89.045017</t>
  </si>
  <si>
    <t>WOS:000332172200013</t>
  </si>
  <si>
    <t>Nuñez, B; Adasme, P; Soto, I; Cheng, JQ; Letournel, M; Lisser, A</t>
  </si>
  <si>
    <t>Nunez, Belarmino; Adasme, Pablo; Soto, Ismael; Cheng, Jianqiang; Letournel, Marc; Lisser, Abdel</t>
  </si>
  <si>
    <t>A Chance Constrained Approach for Uplink Wireless OFDMA Networks</t>
  </si>
  <si>
    <t>2014 9TH INTERNATIONAL SYMPOSIUM ON COMMUNICATION SYSTEMS, NETWORKS &amp; DIGITAL SIGNAL PROCESSING (CSNDSP)</t>
  </si>
  <si>
    <t>9th International Symposium on Communication Systems, Networks &amp; Digital Signal Processing (CSNDSP)</t>
  </si>
  <si>
    <t>JUL 23-25, 2014</t>
  </si>
  <si>
    <t>Manchester, ENGLAND</t>
  </si>
  <si>
    <t>In this paper, we compare individual and joint probabilistic constraints for a resource allocation problem in an uplink (UL) wireless OFDMA network. For this purpose, we formulate the problem as a stochastic linear programming (SLP) problem. Then, we transform this model into equivalent deterministic Second-Order Cone Programming (SOCP) problems. All models are intended to maximize the bit rates throughput of the network subject to subcarrier and power user constraints. Our preliminary numerical results show that the joint chance constraint formulation is slightly conservative than the individual probabilistic one. Finally, we show that our approximation of the deterministic joint probabilistic model is very tight.</t>
  </si>
  <si>
    <t>Adasme, Pablo/U-1735-2019</t>
  </si>
  <si>
    <t>Adasme, Pablo/0000-0003-2500-3294</t>
  </si>
  <si>
    <t>978-1-4799-2581-0</t>
  </si>
  <si>
    <t>WOS:000354963600141</t>
  </si>
  <si>
    <t>Liberona, D; Ruiz, M; Fuenzalida, D</t>
  </si>
  <si>
    <t>Uden, L; Herrera, F; Perez, JB; Rodriguea, JMC</t>
  </si>
  <si>
    <t>Liberona, Dario; Ruiz, Manuel; Fuenzalida, Darcy</t>
  </si>
  <si>
    <t>Customer Knowledge Management in the Age of Social Networks</t>
  </si>
  <si>
    <t>7TH INTERNATIONAL CONFERENCE ON KNOWLEDGE MANAGEMENT IN ORGANIZATIONS: SERVICE AND CLOUD COMPUTING</t>
  </si>
  <si>
    <t>Advances in Intelligent Systems and Computing</t>
  </si>
  <si>
    <t>7th International Conference on Knowledge Management in Organizations (KMO 2012)</t>
  </si>
  <si>
    <t>JUL 11-13, 2012</t>
  </si>
  <si>
    <t>Salamanca, SPAIN</t>
  </si>
  <si>
    <t>Knowledge is increasingly being recognized as a vital organizational resource that provides competitive advantage (Davenport, T. &amp; Prusak, L. 1998, Edvinsson, L. &amp; Malone, M. 1997., Stewart, T. 1997, Argote, L. and P. Ingram 2000, Choo 1998). Managing knowledge assets can be a challenge for organization, specially their external Knowledge like their customer base information. The use of information technology (IT) in knowledge management (KM), is an essential consideration for any company wishing to take advantage of modern technologies to manage their knowledge assets. IT tools have been recently created to listen and learn from customers in the public and private social networks. This paper presents research about KM IT tools and social monitoring tools, a survey and interviews have been conducted to identify the technologies that are currently used to manage customer knowledge in Chilean companies and how valuable is this Knowledge for companies. A questionnaire was distributed among Chilean organizations in order to obtain general data about the level of use and the benefits of using such tools. This approach was supplemented by interviews to reveal richer data about the nature of IT for Customer KM (CKM), in organizations. The research revealed that conventional technologies, such as the telephone, are used more frequently, than more radical IT tools, such as social CRM and social listening tools, but great importance and attention to this new tools is taking place. In Chilean organizations, the potential benefits of IT for Customer KM, are not fully exploited and many have expressed a need for greater implementation of social analysis tools and Customer Knowledge Management practices.</t>
  </si>
  <si>
    <t>Fuenzalida, Darcy/AED-1560-2022</t>
  </si>
  <si>
    <t>Fuenzalida O'Shee, Darcy/0000-0001-5536-4758</t>
  </si>
  <si>
    <t>2194-5357</t>
  </si>
  <si>
    <t>2194-5365</t>
  </si>
  <si>
    <t>978-3-642-30866-6</t>
  </si>
  <si>
    <t>WOS:000312508900032</t>
  </si>
  <si>
    <t>Mahn, A; Lienqueo, ME; Quilodrán, C; Olivera-Nappa, A</t>
  </si>
  <si>
    <t>Mahn, Andrea; Elena Lienqueo, Maria; Quilodran, Claudia; Olivera-Nappa, Alvaro</t>
  </si>
  <si>
    <t>Purification of transthyretin as nutritional biomarker of selenium status</t>
  </si>
  <si>
    <t>JOURNAL OF SEPARATION SCIENCE</t>
  </si>
  <si>
    <t>Transthyretin has been proposed as nutritional biomarker of selenium intake. Previous transthyretin purification methods used different procedures to isolate transthyretin either from plasma or from pathological urine of humans. In general, the procedure for purification of transthyretin is laborious and expensive, and extensive sample recycling is necessary for purification in appreciable amounts. This work proposes a new, promissory, and cheap two-step process to purify transthyretin from blood plasma, composed by a first aqueous two-phase system fractionation followed by affinity chromatography, using thyroxine-immobilized on epoxy-activated Sepharose CL-6B. The aqueous two-phase system fractionation was demonstrated to perform better than commercial immunoaffinity-based kits for albumin depletion in blood plasma samples and is an effective first step for transthyretin purification. Thyroxine affinity chromatography was designed to bind transthyretin with high affinity, and was demonstrated to be useful to purify transthyretin, but was unable to completely resolve transthyretin from thyroxine-binding globulin and serum albumin, although the relative amount of albumin was lowered in the eluates. This purification process could be used in nutritional diagnosis tools or as a first step in structural and functional studies.</t>
  </si>
  <si>
    <t>lienqueo, maria/AAA-1408-2021; Olivera-Nappa, Alvaro/H-3769-2013</t>
  </si>
  <si>
    <t>Olivera-Nappa, Alvaro/0000-0001-6053-7019</t>
  </si>
  <si>
    <t>1615-9306</t>
  </si>
  <si>
    <t>1615-9314</t>
  </si>
  <si>
    <t>SI</t>
  </si>
  <si>
    <t>10.1002/jssc.201200646</t>
  </si>
  <si>
    <t>WOS:000311415200018</t>
  </si>
  <si>
    <t>Rodríguez, FJ; Coloma, A; Galotto, MJ; Guarda, A; Bruna, JE</t>
  </si>
  <si>
    <t>Rodriguez, Francisco J.; Coloma, Alejandro; Galotto, Maria J.; Guarda, Abel; Bruna, Julio E.</t>
  </si>
  <si>
    <t>Effect of organoclay content and molecular weight on cellulose acetate nanocomposites properties</t>
  </si>
  <si>
    <t>POLYMER DEGRADATION AND STABILITY</t>
  </si>
  <si>
    <t>3rd International Conference on Biodegradable and Biobased Polymers (BIOPOL)</t>
  </si>
  <si>
    <t>AUG 29-31, 2011</t>
  </si>
  <si>
    <t>Strasbourg, FRANCE</t>
  </si>
  <si>
    <t>Univ Strasbourg</t>
  </si>
  <si>
    <t>Nanocomposites based on cellulose acetate (CA), a commercial organoclay (Cloisite30B) and triethyl citrate (TEC) were obtained using a solution casting method. Different nanocomposites were prepared according to different organoclay contents (2.5, 5.0, 7.5 and 10.0 wt.%) and molecular weight of cellulose acetate (Mn 30,000 and 50,000). The properties of the nanocomposites were evaluated by means of opacity index. X-ray diffraction (XRD), differential scanning calorimetry (DSC), mechanical (modulus of elasticity, tensile strength and elongation at break), scanning electron microscopy (SEM) and oxygen transmission rate (OTR) measurements. All obtained nanocomposites showed the intercalation of polymer inside the clay structure which was slightly favored for nanocomposites with CA 30,000. Important changes on the opacity index, mechanical properties, glass transition and melting temperatures, crystalline fraction, oxygen permeability and fracture morphology of nanocomposite films were observed according to the increase of organoclay content. On the other hand, intercalation level and oxygen permeability showed some differences with the molecular weight of cellulose acetate. (C) 2012 Elsevier Ltd. All rights reserved.</t>
  </si>
  <si>
    <t>bruna, julio/AAM-6867-2021; Rodríguez, Francisco/I-5283-2018</t>
  </si>
  <si>
    <t>Rodriguez-Mercado, Francisco/0000-0002-0530-6653; Bruna, Julio E./0000-0001-9656-6022; Coloma Paxi, Alejandro/0000-0002-2678-5104</t>
  </si>
  <si>
    <t>0141-3910</t>
  </si>
  <si>
    <t>1873-2321</t>
  </si>
  <si>
    <t>10.1016/j.polymdegradstab.2012.06.003</t>
  </si>
  <si>
    <t>WOS:000309087900018</t>
  </si>
  <si>
    <t>Corral, E; Reascos, M; Preiss, Y; Rompel, SM; Sepulveda, W</t>
  </si>
  <si>
    <t>Corral, Edgardo; Reascos, Mauricio; Preiss, Yudith; Rompel, Shanna M.; Sepulveda, Waldo</t>
  </si>
  <si>
    <t>Treatment of fetal goitrous hypothyroidism: value of direct intramuscular L-thyroxine therapy</t>
  </si>
  <si>
    <t>PRENATAL DIAGNOSIS</t>
  </si>
  <si>
    <t>Preiss, Yudith/JXN-5386-2024</t>
  </si>
  <si>
    <t>0197-3851</t>
  </si>
  <si>
    <t>1097-0223</t>
  </si>
  <si>
    <t>10.1002/pd.2560</t>
  </si>
  <si>
    <t>WOS:000282079600015</t>
  </si>
  <si>
    <t>Castro, A; Cuevas, C; Lizama, C</t>
  </si>
  <si>
    <t>Castro, Airton; Cuevas, Claudio; Lizama, Carlos</t>
  </si>
  <si>
    <t>Well-posedness of second order evolution equation on discrete time</t>
  </si>
  <si>
    <t>JOURNAL OF DIFFERENCE EQUATIONS AND APPLICATIONS</t>
  </si>
  <si>
    <t>We characterize the well-posedness for second order discrete evolution equations in unconditional martingale difference spaces by means of Fourier multipliers and R-boundedness properties of the resolvent operator which defines the equation. Applications to semilinear problems are given.</t>
  </si>
  <si>
    <t>Cuevas, Claudio/A-5896-2012; Lizama, Carlos/E-5909-2011</t>
  </si>
  <si>
    <t>1023-6198</t>
  </si>
  <si>
    <t>1563-5120</t>
  </si>
  <si>
    <t>10.1080/10236190902791619</t>
  </si>
  <si>
    <t>WOS:000281893900004</t>
  </si>
  <si>
    <t>Fuentealba, JF; Galleguillos, R; Vargas-Hernández, Y; Ruzzante, J; Gaete-Garretón, L</t>
  </si>
  <si>
    <t>Garreton, LG</t>
  </si>
  <si>
    <t>Fuentealba, J. F.; Galleguillos, R.; Vargas-Hernandez, Y.; Ruzzante, J.; Gaete-Garreton, L.</t>
  </si>
  <si>
    <t>Stress Memory lasting in composite materials</t>
  </si>
  <si>
    <t>INTERNATIONAL CONGRESS ON ULTRASONICS, PROCEEDINGS</t>
  </si>
  <si>
    <t>Physics Procedia</t>
  </si>
  <si>
    <t>International Congress on Ultrasonics</t>
  </si>
  <si>
    <t>JAN 11-17, 2009</t>
  </si>
  <si>
    <t>Univ Santiago Chile, Santiago, CHILE</t>
  </si>
  <si>
    <t>Univ Santiago Chile</t>
  </si>
  <si>
    <t>In this paper an experimental study of Kaiser memory lasting for materials with different grain size and homogeneity grade was carried out. The results show that greater the homogeneity grade lower the memory lasting, for instance, in gypsum samples the stress memory lasts just a few hours, for concrete samples, the duration of Kaiser memory reaches up to 10 days.</t>
  </si>
  <si>
    <t>Ruzzante, Jose/ABH-2598-2020; Fuentealba, Juan Francisco/AAL-9339-2020</t>
  </si>
  <si>
    <t>Ruzzante, Jose Evaristo/0000-0003-0980-7380; Fuentealba, Juan Francisco/0000-0003-0655-6686; Galleguillos, Renato/0000-0001-6065-5218</t>
  </si>
  <si>
    <t>1875-3892</t>
  </si>
  <si>
    <t>10.1016/j.phpro.2010.01.112</t>
  </si>
  <si>
    <t>WOS:000275913100124</t>
  </si>
  <si>
    <t>Garin, J; Mannheim, R; Camus, M</t>
  </si>
  <si>
    <t>Garin, Jorge; Mannheim, Rodolfo; Camus, Manuel</t>
  </si>
  <si>
    <t>X-ray diffraction study of σ-phase formation in super duplex stainless steel</t>
  </si>
  <si>
    <t>ACTA CRYSTALLOGRAPHICA A-FOUNDATION AND ADVANCES</t>
  </si>
  <si>
    <t>2053-2733</t>
  </si>
  <si>
    <t>FA2-MS16-P</t>
  </si>
  <si>
    <t>S182</t>
  </si>
  <si>
    <t>10.1107/S0108767310095905</t>
  </si>
  <si>
    <t>WOS:000483128900409</t>
  </si>
  <si>
    <t>Vergara, PM; Hahn, I</t>
  </si>
  <si>
    <t>Vergara, Pablo M.; Hahn, Ingo</t>
  </si>
  <si>
    <t>Linking edge effects and patch size effects: Importance of matrix nest predators</t>
  </si>
  <si>
    <t>ECOLOGICAL MODELLING</t>
  </si>
  <si>
    <t>Euopean Conference on Ecological Modelling</t>
  </si>
  <si>
    <t>Trieste, ITALY</t>
  </si>
  <si>
    <t>The edge effect is usually considered to be the proximate cause of area sensitivity in forest birds. We tested if birds nesting in large patches are less vulnerable to the edge effect using a simple model that assumes an increase in patch size reduces the probability of a matrix predator moving to the core areas of forest and that larger perimeter/area ratios result in a higher number of matrix predators per unit of area. The probability of a nest being successful decreased asymptotically with an increase in either the patch penetration distance of predators or predator density, but those effects were reduced when patch size was increased. Large patches have a lower probability of being affected by an Allee effect and they can function as sink habitats only if penetration distance and predator density are largely increased. However, the transition from an Allee effect to a sink condition occurs with a small increase in penetration distance and predator density. Since birds nesting in large patches are less vulnerable to an increase in matrix predator populations, persistence of bird populations may be possible by increasing the size of habitat patches that can act as source populations. (C) 2009 Elsevier B.V. All rights reserved.</t>
  </si>
  <si>
    <t>Vergara, Pablo/F-2519-2010</t>
  </si>
  <si>
    <t>Vergara, Pablo/0000-0002-0024-1678</t>
  </si>
  <si>
    <t>0304-3800</t>
  </si>
  <si>
    <t>1872-7026</t>
  </si>
  <si>
    <t>MAY 17</t>
  </si>
  <si>
    <t>9-10</t>
  </si>
  <si>
    <t>10.1016/j.ecolmodel.2009.02.015</t>
  </si>
  <si>
    <t>WOS:000265722000002</t>
  </si>
  <si>
    <t>Correa, F; Jakubsky, V; Nieto, LM; Plyushchay, MS</t>
  </si>
  <si>
    <t>Correa, Francisco; Jakubsky, Vit; Nieto, Luis-Miguel; Plyushchay, Mikhail S.</t>
  </si>
  <si>
    <t>Self-isospectrality, special supersymmetry, and their effect on the band structure</t>
  </si>
  <si>
    <t>We study a planar model of a nonrelativistic electron in periodic magnetic and electric fields that produces a ID crystal for two spin components separated by a half-period spacing. We fit the fields to create a self-isospectral pair of finite-gap associated Lame equations shifted for a half-period, and show that the system obtained is characterized by a new type of supersymmetry. It is a special nonlinear supersymmetry generated by three commuting integrals of motion, related to the parity-odd operator of the associated Lax pair, that coherently reflects the band structure and all its peculiarities. In the infinite-period limit it provides an unusual picture of supersymmetry breaking.</t>
  </si>
  <si>
    <t>Jakubsky, Vit/H-2972-2014; Correa, Francisco/S-4564-2018; Nieto, Luis M./L-1692-2014</t>
  </si>
  <si>
    <t>Correa, Francisco/0000-0003-1735-2822; Nieto, Luis M./0000-0002-2849-2647</t>
  </si>
  <si>
    <t>JUL 18</t>
  </si>
  <si>
    <t>10.1103/PhysRevLett.101.030403</t>
  </si>
  <si>
    <t>WOS:000258184500003</t>
  </si>
  <si>
    <t>Katsaras, AK; Navarro, S</t>
  </si>
  <si>
    <t>Katsaras, A. K.; Navarro, S.</t>
  </si>
  <si>
    <t>Complete spaces of p-adic measures</t>
  </si>
  <si>
    <t>BULLETIN OF THE BELGIAN MATHEMATICAL SOCIETY-SIMON STEVIN</t>
  </si>
  <si>
    <t>9th International Conference on p-adic Funtional Analysis</t>
  </si>
  <si>
    <t>JUL 10-14, 2006</t>
  </si>
  <si>
    <t>Univ Concepcion, Concepcion, CHILE</t>
  </si>
  <si>
    <t>Univ Concepcion</t>
  </si>
  <si>
    <t>Let K be a complete non-Archimedean valued field and let C(X, E) be the space of all continuous functions from a zero-dimensional Hausdorff topological space X to a non-Archimedean Hausdorff locally convex space E. We will denote by C-b(X, E) (resp. by C-rc(X, E)) the space of all f epsilon C(X, E) for which f (X) is a bounded (resp. relatively compact) subset of E. The dual space of C-rc(X, E), under the topology t(u) of uniform convergence, is a space M(X, E') of finitely-additive E'-valued measures on the algebra K(X) of all clopen, i.e. both closed and open, subsets of X. Some subspaces of M (X, E') turn out to be the duals of C(X, E) or of C-b (X, E) under certain locally convex topologies. In this paper we continue with the investigation of certain subspaces of M(X, E'). Among other results we show that, if E is a polar Frechet space, then : 1. The space M-theta o (X, E'), of all m epsilon M (X, E') for which the support of the corresponding measure m(beta o), on the Banaschewski compactification of X, is contained in the theta(o)-repletion of X, is complete under the topology of uniform convergence on the family epsilon of all equicontinuous subsets B of C(X,E) for which B(x) is a compactoid subset of E for all x epsilon X. 2. The space M-bs (X, E'), of all the so called strongly-separable members of M(X, E') is complete under the topology of uniform convergence on the family of all uniformly bounded members of epsilon. 3. The space M-s(X, E') of all m epsilon M(X, E'), for which ms is separable for all s epsilon E, is complete under the topology of uniform convergence on the family of all B epsilon S for which the set B(X) is compactoid.</t>
  </si>
  <si>
    <t>Navarro, Samuel/AAD-2021-2020</t>
  </si>
  <si>
    <t>1370-1444</t>
  </si>
  <si>
    <t>2034-1970</t>
  </si>
  <si>
    <t>10.36045/bbms/1197908903</t>
  </si>
  <si>
    <t>WOS:000253418600010</t>
  </si>
  <si>
    <t>Torres, JP; Soto, I; Carrasco, R</t>
  </si>
  <si>
    <t>Xu, AP; Zhu, H; Chen, SY; Yan, B; Meng, QG; Miao, D; Fang, Y</t>
  </si>
  <si>
    <t>Torres, J. P.; Soto, I.; Carrasco, R.</t>
  </si>
  <si>
    <t>Transactional model of a company based on the Hub-Spoke and LDPC/MIMO models</t>
  </si>
  <si>
    <t>PROCEEDINGS OF THE 6TH WSEAS INTERNATIONAL CONFERENCE ON APPLIED COMPUTER SCIENCE</t>
  </si>
  <si>
    <t>Electrical and Computer Engineering Series</t>
  </si>
  <si>
    <t>6th WSEAS International Conference on Applied Computer Science (ACOS 07)</t>
  </si>
  <si>
    <t>APR 15-17, 2007</t>
  </si>
  <si>
    <t>Hangzhou, PEOPLES R CHINA</t>
  </si>
  <si>
    <t>WSEAS</t>
  </si>
  <si>
    <t>This paper offers a description of a new transactional model designed for a in-commerce 4G architecture, and the economic benefit that it can bring to an organization. For the design, it has been used a Hub and Spoke transport model for the material flow, a Queuing model for the bank company transactions flow, and a LDPC/MIMO channel for the transmission environment. With the new system, the SNR can be reduced approximately in 8 dB, which makes possible a greater rapidity in the transactions. The global results show an economic gain of at least a 20.12%, because of the redesign of the conversations, the optimization of the Transport Problem using the Hub and Spoke Model and the reduction in the errors of the sent data.</t>
  </si>
  <si>
    <t>978-960-8457-66-9</t>
  </si>
  <si>
    <t>WOS:000249798700101</t>
  </si>
  <si>
    <t>Montes, S; Montes-Atenas, G; Salomo, F; Valero, E; Diaz, O</t>
  </si>
  <si>
    <t>On the adsorption mechanisms of copper ions over modified biomass</t>
  </si>
  <si>
    <t>BULLETIN OF ENVIRONMENTAL CONTAMINATION AND TOXICOLOGY</t>
  </si>
  <si>
    <t>Montes Atenas, Gonzalo/H-4162-2018</t>
  </si>
  <si>
    <t>Montes Atenas, Gonzalo/0000-0001-9393-2015</t>
  </si>
  <si>
    <t>0007-4861</t>
  </si>
  <si>
    <t>1432-0800</t>
  </si>
  <si>
    <t>10.1007/s00128-005-0904-8</t>
  </si>
  <si>
    <t>WOS:000234344100023</t>
  </si>
  <si>
    <t>Cruchaga, MA; Celentano, DJ; Tezduyar, TE</t>
  </si>
  <si>
    <t>Moving-interface computations with the edge-tracked interface locator technique (ETILT)</t>
  </si>
  <si>
    <t>INTERNATIONAL JOURNAL FOR NUMERICAL METHODS IN FLUIDS</t>
  </si>
  <si>
    <t>5th World Congress on Computational Mechanics</t>
  </si>
  <si>
    <t>JUL 07-12, 2002</t>
  </si>
  <si>
    <t>Vienna, AUSTRIA</t>
  </si>
  <si>
    <t>We describe, for simulation of flows with moving interfaces, a computational method based on the edge-tracked interface locator technique (ETILT). The method described has been designed by bearing in mind the ease in managing a node-based interface representation and the interface sharpness and volume conservation features of the Moving Lagrangian Interface Technique. We evaluate the performance of the method with a number of test problems: filling of a step cavity, gravity-driven flow of an aluminium alloy in an obstructed channel, collapse of a liquid column, and the bore problem. Copyright (C) 2004 John Wiley Sons, Ltd.</t>
  </si>
  <si>
    <t>Celentano, Diego/JQW-5027-2023; Tezduyar, Tayfun/F-6134-2012; Cruchaga, Marcela/M-7522-2014</t>
  </si>
  <si>
    <t>Tezduyar, Tayfun/0000-0001-8707-3162; Cruchaga, Marcela/0000-0002-8708-2402</t>
  </si>
  <si>
    <t>0271-2091</t>
  </si>
  <si>
    <t>1097-0363</t>
  </si>
  <si>
    <t>FEB 28</t>
  </si>
  <si>
    <t>6-7</t>
  </si>
  <si>
    <t>10.1002/fld.825</t>
  </si>
  <si>
    <t>WOS:000227259800002</t>
  </si>
  <si>
    <t>Seeger, M; González, M; Cámara, B; Muñoz, L; Ponce, E; Mejías, L; Mascayano, C; Vásquez, Y; Sepúlveda-Boza, S</t>
  </si>
  <si>
    <t>Biotransformation of natural and synthetic isoflavonoids by two recombinant microbial enzymes</t>
  </si>
  <si>
    <t>APPLIED AND ENVIRONMENTAL MICROBIOLOGY</t>
  </si>
  <si>
    <t>Isolation and synthesis of isoflavonoids has become a frequent endeavor, due to their interesting biological activities. The introduction of hydroxyl groups into isoflavonoids by the use of enzymes represents an attractive alternative to conventional chemical synthesis. In this study, the capabilities of biphenyl-2,3-dioxygenase (BphA) and biphenyl-2,3-dihydrodiol 2,3-dehydrogenase (BphB) of Burkholderia sp. strain LB400 to biotransform 14 isoflavonoids synthesized in the laboratory were investigated by using recombinant Escherichia coli strains containing plasmid vectors expressing the bphA1A2A3A4 or bphA1A2A3A4B genes of strain LB400. The use of BphA and BphB allowed us to biotransform 7-hydroxy-8-methylisoflavone and 7-hydroxyisoflavone into 7,2',3'-trihydroxy-8-methylisoflavone and 7,3',4'-trihydroxyisoflavone, respectively. The compound 2'-fluoro-7-hydroxy-8-methylisoflavone was dihydroxylated by BphA at ortho-fluorinated and meta positions of ring B, with concomitant dehalogenation leading to 7,2',3',-trihydroxy-8-methylisoflavone. Daidzein (7,4'-dihydroxy-isoflavone) was biotransformed by BphA, generating 7,2',4'-trihydroxyisoflavone after dehydration. Biotransformation products were analyzed by gas chromatography-mass spectrometry and nuclear magnetic resonance techniques.</t>
  </si>
  <si>
    <t>Seeger, Michael/AFK-3436-2022; Ponce-Alquicira, Edith/A-5332-2019</t>
  </si>
  <si>
    <t>Camara, Beatriz/0000-0001-5227-7499; Vasquez Martinez, Yesseny Amneris/0000-0002-4184-9815; Mascayano Collado, Carolina Lorena/0000-0002-3488-9309</t>
  </si>
  <si>
    <t>0099-2240</t>
  </si>
  <si>
    <t>1098-5336</t>
  </si>
  <si>
    <t>10.1128/AEM.69.9.5045-5050.2003</t>
  </si>
  <si>
    <t>WOS:000185437000002</t>
  </si>
  <si>
    <t>Pedreschi, F; Aguilera, JM</t>
  </si>
  <si>
    <t>Some changes in potato chips during frying observed by confocal laser scanning microscopy (CLSM)</t>
  </si>
  <si>
    <t>FOOD SCIENCE AND TECHNOLOGY INTERNATIONAL</t>
  </si>
  <si>
    <t>Confocal laser scanning microscopy (CLSM) was used in fluorescence mode for oil and cell wall detection, and in reflective mode to observe the surface morphology of potato chips. Oil distribution in chips fried at 170degreesC in oil mixed with the thermoresistant probe Nile Red was studied as the crust developed during frying. Oil was trapped only in intercellular spaces for short frying times while at longer times it was strongly linked to the developed crust microstructure (not only in intercellular spaces but also over some cells) and not easily extractable by hexane washing. Chips infiltrated with a solution of the dye Congo Red (CR) before frying revealed drastic changes in cell walls but no signs of rupture during frying at the magnification used in this research (20X). Topographical data acquired by CLSM in reflective mode confirmed that several cells are broken during the cutting operation. Image representation of the reconstructed surface of a fried chip (170 degreesC, 3 min) allowed observe oil location in potato surface after frying.</t>
  </si>
  <si>
    <t>pedreschi, franco/F-8844-2013; Aguilera, Jose/D-1383-2014</t>
  </si>
  <si>
    <t>Aguilera, Jose Miguel/0000-0001-5754-2722</t>
  </si>
  <si>
    <t>1082-0132</t>
  </si>
  <si>
    <t>10.1106/108201302027931</t>
  </si>
  <si>
    <t>WOS:000178902400002</t>
  </si>
  <si>
    <t>Aguirre, MJ; Isaacs, M; Armijo, F; Basáez, L; Zagal, JH</t>
  </si>
  <si>
    <t>Effect of the substituents on the ligand of iron phthalocyanines adsorbed on graphite electrodes on their activity for the electrooxidation of 2-mercaptoethanol</t>
  </si>
  <si>
    <t>ELECTROANALYSIS</t>
  </si>
  <si>
    <t>We have investigated the electrocatalytic activity of five iron phthalocyanines for the electrooxidation of 2-mercaptoethanol, with the complexes proadsorbed on a ordinary pyrolytic graphite electrode. The potential of Fe[II]/ Fe[I] and Fe[III]/Fe[II] redox processes on the adsorbed phthalocyanines are shifted to more positive potentials by the effect of electron withdrawing groups -CO2, -SO3 and -Cl and to more negative potentials by the electron-donating methoxy group compared to -H in unsubstituted FePc. The electrocatalytic activity, measured as current at constant potential, decreases as: Fe-octamethoxyphthalocyanine &gt; Fe-phthalocyanine &gt; Fe-tetracarboxyphthalocyanine &gt; Fe-tetrasulfonatedphthalocyanine &gt; Fe-perchlorinatedphthalocyanine, The most oxidant complex (Fe-perchlorinatedphthalocyanine) is the least active, which is contrary to what would be expected on thermodynamic grounds. This can be attributed to the fact that the reaction proceeds via an inner-sphere mechanism when the metal center is in state of oxidation II.</t>
  </si>
  <si>
    <t>Isaacs, Mauricio/N-3027-2013; Armijo, Francisco/G-3391-2013; zagal, jose/L-9648-2014; Aguirre, Maria/A-3935-2013</t>
  </si>
  <si>
    <t>Armijo, Francisco/0000-0002-2479-6280; Isaacs Casanova, Mauricio/0000-0003-0503-0949; Aguirre, Maria/0000-0003-1134-4469</t>
  </si>
  <si>
    <t>1040-0397</t>
  </si>
  <si>
    <t>1521-4109</t>
  </si>
  <si>
    <t>10.1002/1521-4109(200203)14:5&lt;356::AID-ELAN356&gt;3.0.CO;2-U</t>
  </si>
  <si>
    <t>WOS:000174771300006</t>
  </si>
  <si>
    <t>Carrasco, EU; Romo, CR</t>
  </si>
  <si>
    <t>Stabilization of carotenoproteins recuperated from liquid residues of antartic krill (Euphausia superba) using antioxidants</t>
  </si>
  <si>
    <t>AFINIDAD</t>
  </si>
  <si>
    <t>By means of accelerated tests of storage (35 degrees C), it was studied the degradation of pigments (astaxantin) present in carotenoproteins recovered of the mechanical peeling of antartic krill. The treatments correspond to samples combined with different mixtures of antioxidants and sinergistic acids. The pigments time degradation followed a first order kinetics. The mixture etoxiquin/citric acid at pH 4, stabilized in a better way the pigments during the storage (p &lt; 0,05), obtaining a constant kinetics (K) similar to 0.0263 days and a mean life time (t(1/2)) of 26.3 days.</t>
  </si>
  <si>
    <t>Uquiche, Edgar/J-2952-2016</t>
  </si>
  <si>
    <t>0001-9704</t>
  </si>
  <si>
    <t>MAR-APR</t>
  </si>
  <si>
    <t>WOS:000087561400010</t>
  </si>
  <si>
    <t>Cáceres, PJ; Carlucci, MJ; Damonte, EB; Matsuhiro, B; Zúñiga, EA</t>
  </si>
  <si>
    <t>Carrageenans from chilean samples of Stenogramme interrupta (Phyllophoraceae):: structural analysis and biological activity</t>
  </si>
  <si>
    <t>PHYTOCHEMISTRY</t>
  </si>
  <si>
    <t>Carrageenans extracted from cystocarpic and tetrasporic Stenogramme interrupta were analysed by chemical and spectroscopic methods. The carrageenan from cystocarpic plants is composed predominantly of 0.5 M KCl-insoluble and 1 M KCl-soluble fractions. The insoluble fraction contained iota-carrageenan as the major component with alpha-carrageenan and pyruvated carrageenan as minor components. The soluble fraction is highly heterogeneous and did not contain the precursors mu- and nu-carrageenans. The polysaccharide from tetrasporic plants is composed of xi- and lambda-carrageenans, and low sulfated galactans. It is soluble in KCl and partly cyclized by alkaline treatment. The antiviral and anticoagulant properties of the insoluble polysaccharide fraction from cystocarpic S. interrupta and the polysaccharide from tetrasporic S. interrupta are reported the results of which suggest promising antiherpetic activity. (C) 2000 Elsevier Science Ltd. All rights reserved.</t>
  </si>
  <si>
    <t>Zuniga, Elisa/0000-0002-9232-6651</t>
  </si>
  <si>
    <t>0031-9422</t>
  </si>
  <si>
    <t>10.1016/S0031-9422(99)00461-6</t>
  </si>
  <si>
    <t>WOS:000084912900013</t>
  </si>
  <si>
    <t>Rabagliati, FM; Pérez, M; Cancino, R; Quijada, R</t>
  </si>
  <si>
    <t>Polymerization of styrene by diphenylzinc-additive systems.: Part IX.: New experiments with Ph2Zn-Met-MAO systems</t>
  </si>
  <si>
    <t>Macromoleculas Habana 97, International Symposium Devoted to the Synthesis, Properties and Applications of Polymers</t>
  </si>
  <si>
    <t>DEC 01-05, 1997</t>
  </si>
  <si>
    <t>HAVANA, CUBA</t>
  </si>
  <si>
    <t>The combined systems diphenylzinc-metallocene-methylaluminoxane (Ph2Zn-Met-MAO) have proved able to induce styrene polymerization, producing polystyrene with a variable content of stereoregular polymer. The tacticity of the obtained polymer is strongly dependent on the nature of the metallocene and on its molar ratio toward diphenylzinc (Met/Ph2Zn). The stereoregular polymer was syndiotactic according to its crystalline melting temperature T-m, C-13 NMR spectrum, and insolubility in boiling butanone. (C) 1999 Society of Chemical Industry.</t>
  </si>
  <si>
    <t>QUIJADA, RAUL/0000-0003-0791-6954</t>
  </si>
  <si>
    <t>10.1002/(SICI)1097-0126(199908)48:8&lt;681::AID-PI199&gt;3.3.CO;2-G</t>
  </si>
  <si>
    <t>WOS:000081831500010</t>
  </si>
  <si>
    <t>Terraza, CA; Guerrero, J; Moya, SA; Rabagliati, FM</t>
  </si>
  <si>
    <t>ReBr(Co)3(3,3′-disubstituted-2,2′-biquinoline) modified complexes as initiating systems for styrene polymerization</t>
  </si>
  <si>
    <t>3rd Ibero American Polymer Symposium</t>
  </si>
  <si>
    <t>DEC, 1996</t>
  </si>
  <si>
    <t>MAR DEL PLATA, ARGENTINA</t>
  </si>
  <si>
    <t>ReBr(CO)(3)(3,3`-disubstituted-2,2'-biquinoline) complexes modified with diphenylzine (Ph2Zn) and methylaluminoxane (MAD) were employed in the polymerization of styrene (St). The results show that both the initiating activity and the characteristics of the polystyrenes (PSts) are independent of the different conformational rhenium complexes. Studies made using W-vis spectroscopy agree with a dissociation of the biquinoline ligand when MAO is added to the reaction system.</t>
  </si>
  <si>
    <t>Terraza, Claudio/0000-0002-6326-8771</t>
  </si>
  <si>
    <t>10.1007/s002890050416</t>
  </si>
  <si>
    <t>WOS:000077865200004</t>
  </si>
  <si>
    <t>Terraza, CA; Guerrero, J; Moya, SA; Rabagliati, FM; Quijada, R</t>
  </si>
  <si>
    <t>Some studies on styrene polymerization using new systems prepared from coordination metal compounds -: ReBr(CO)3(3,3′-dimethyl-2,2′-biquinoline)-diphenylzinc with and without MAO systems</t>
  </si>
  <si>
    <t>XXII Latin-American Chemistry Meeting/XXI Chilean Journeys of Chemistry</t>
  </si>
  <si>
    <t>JAN 07-12, 1996</t>
  </si>
  <si>
    <t>CONCEPCION, CHILE</t>
  </si>
  <si>
    <t>The monovalent rhenium compounds ReBr(CO)(3)(3,3'-dimethyl-2, 2'-biquinoline) (I) and ReBr (CO)(5) (II) could be used as catalysts in styrene polymerization after activation with diphenylzinc (Ph2Zn) and methylaluminoxane (MAO). The catalytic activity shown by the I-Ph2Zn-MAO system was dependent on the molar ratio between the components and the temperature of polymerization. Non stereoregular polystyrene (PS) was obtained under all experimental conditions. The resulting PS gave multimodal GPC traces suggesting the presence of different species capable of polymerizing styrene, possibly species resulting from MAO alone, I-Ph2Zn and I-Ph2Zn-MAO systems.</t>
  </si>
  <si>
    <t>QUIJADA, RAUL/0000-0003-0791-6954; Terraza, Claudio/0000-0002-6326-8771</t>
  </si>
  <si>
    <t>10.1007/s002890050219</t>
  </si>
  <si>
    <t>WOS:000071773400005</t>
  </si>
  <si>
    <t>CABRERA, HM; MUNOZ, O; ZUNIGA, GE; CORCUERA, LJ; ARGANDONA, VH</t>
  </si>
  <si>
    <t>CHANGES IN FERULIC ACID AND LIPID-CONTENT IN APHID-INFESTED BARLEY</t>
  </si>
  <si>
    <t>Aphid infestation reduced the susceptibility of barley cultivars to new infestations. The intrinsic growth rate of aphids was lower in the populations reared on previously infested plants, than in populations reared on barley without previous infestation. Changes in the content of ferulic acid, and other aromatic compounds and lipids, were detected in barley seedlings infested by the aphid, Schizaphis graminum. Ferulic acid concentration increased from 4 to 14 mu mol kg(-1) fresh wt, as a function of infestation level by aphids. Survival of aphids reared with diets containing this compound was lower than the controls. Aphid survival at 24 hours was under 58% and 40% in diets with 10 and 20 mu M ferulic acid, respectively. In diets without the compound, survival was 84%. Analysis of alicyclic and aliphatic compounds in extracts of infested and non-infested barley plants showed differences in the relative concentrations of compounds. Our results suggest that the increase of ferulic acid induced by initial infestation may protect the plant against new infestations. Changes in lipid concentrations could be an acclimatization response of the plant to water-stress caused by the aphids.</t>
  </si>
  <si>
    <t>Corcuera, Luis/G-1714-2014; Zuñiga, Gustavo/P-8306-2015</t>
  </si>
  <si>
    <t>Zuniga, Gustavo/0000-0002-8286-9468</t>
  </si>
  <si>
    <t>10.1016/0031-9422(95)00065-F</t>
  </si>
  <si>
    <t>WOS:A1995RN58900012</t>
  </si>
  <si>
    <t>FAUNDEZABANS, M; CUEVAS, HL; HERTLING, GP</t>
  </si>
  <si>
    <t>SEARCH FOR FAINT RING-SHAPED GALAXIES IN THE -77-DEGREES TO -87-DEGREES DECLINATION INTERVAL</t>
  </si>
  <si>
    <t>ASTRONOMY &amp; ASTROPHYSICS SUPPLEMENT SERIES</t>
  </si>
  <si>
    <t>A list of probable ring galaxies with a limiting magnitude of 17.5 has been prepared based on visual inspection of the film copies of the J SRC/ESO survey. About 88% of the sample of 125 selected objects seem to be new, hitherto unrecognized as ring galaxies. The candidate objects have been classified following the ring structure and the nucleus appearance.</t>
  </si>
  <si>
    <t>0365-0138</t>
  </si>
  <si>
    <t>WOS:A1994NC96100001</t>
  </si>
  <si>
    <t>CALCAGNO, MP; LOPEZ, F; CONTRERAS, JM; RAMIREZ, M; RABAGLIATI, FM</t>
  </si>
  <si>
    <t>PROPYLENE-OXIDE POLYMERIZATION BY DIPHENYLZINC-KETONE SYSTEMS AT 60-DEGREES</t>
  </si>
  <si>
    <t>EUROPEAN POLYMER JOURNAL</t>
  </si>
  <si>
    <t>Propylene oxide (PO) was polymerized by some diphenylzinc-ketone systems. Cocatalytic effects of nine ketones were examined. The systems are greatly influenced by the nature of the ketone and by the molar ratio of ketone to diphenylzinc. Methyl and cyclic ketones were the most effective as cocatalyst and the maximum catalyst activity was found, in most cases, for a molar ratio of unity. The difference in cocatalyst activities for methyl ketones is attributed to electronic effects, while steric hindrance is not relevant. Similar effects were found for PO polymerization initiated by diphenylzinc in combination with cyclic and with non-halogenated methyl ketones. However the activity of the diphenylzinc-diethyl ketone system increases with increase of the molar ratio. The diphenylzinc-benzophenone system shows a small dependence on the molar ratio. The activity of the diphenylzinc-acetylacetone decreases with increase of the molar ratio showing maximum conversion to polymer when no ketone was added. Polymerization of ethylene oxide by some of these systems showed behaviour similar to that found for PO.</t>
  </si>
  <si>
    <t>0014-3057</t>
  </si>
  <si>
    <t>10.1016/0014-3057(91)90003-7</t>
  </si>
  <si>
    <t>WOS:A1991GB18700003</t>
  </si>
  <si>
    <t>CONTRERAS, JM; MORENO, P; CALCAGNO, MP; LOPEZ, F; RABAGLIATI, FM</t>
  </si>
  <si>
    <t>EPICHLOROHYDRIN POLYMERIZATION USING DIPHENYLZINC-COCATALYST SYSTEMS IN BENZENE SOLUTION</t>
  </si>
  <si>
    <t>10.1007/BF00419966</t>
  </si>
  <si>
    <t>WOS:A1990DB54000004</t>
  </si>
  <si>
    <t>SCHIFFERLI, R; CORTES, J</t>
  </si>
  <si>
    <t>METHOXYLATION OF REHYDROXYLATED AEROSIL WITH METHYL ACETATE</t>
  </si>
  <si>
    <t>JOURNAL OF COLLOID AND INTERFACE SCIENCE</t>
  </si>
  <si>
    <t>0021-9797</t>
  </si>
  <si>
    <t>10.1016/0021-9797(81)90112-0</t>
  </si>
  <si>
    <t>WOS:A1981LC81500032</t>
  </si>
  <si>
    <t>LETELIER, MF; LEUTHEUSSER, HJ</t>
  </si>
  <si>
    <t>SKIN FRICTION IN UNSTEADY LAMINAR PIPE-FLOW</t>
  </si>
  <si>
    <t>JOURNAL OF THE HYDRAULICS DIVISION-ASCE</t>
  </si>
  <si>
    <t>0044-796X</t>
  </si>
  <si>
    <t>WOS:A1976BE81800004</t>
  </si>
  <si>
    <t>Castillo-Paredes, A; Martin, PD; Ferrari, G</t>
  </si>
  <si>
    <t>Castillo-Paredes, Antonio; del Val Martin, Pablo; Ferrari, Gerson</t>
  </si>
  <si>
    <t>Trends in Physical Activity Research on Tobacco and/or Alcohol: A Bibliometric Analysis</t>
  </si>
  <si>
    <t>HEALTHCARE</t>
  </si>
  <si>
    <t>Background/Objectives: Physical activity allows the enjoyment of personal health benefits in those who practice it, including the possibility of modifying behavioral risk factors such as tobacco and alcohol consumption. These risk factors are responsible for the development of non-communicable diseases, which are preventable and controllable. The scientific field on this object of study has grown in recent years. The main objective of this study was to perform a scientific mapping to explore the trend of annual publications, and to analyze and identify the thematic categories, the authors, countries and journals with the highest number of papers, the most referenced papers and authors, and the most used keywords in research related to physical activity and tobacco and/or alcohol consumption. Methods: Through a bibliometric analysis based on traditional bibliometric laws on the scientific documentation related to the subject and indexed in the Main Collection of the Web of Science. The DeSolla Price Law was used to analyze the trend of annual publications, using the coefficient of determination R2. Lotka's law was applied to identify prolific authors, Bradford's law to highlight the most frequent publication sources, the h-index to identify the most cited articles and Zipf's law to highlight the keywords most used in research. Results: A total of 538 documents were analyzed. The trend followed by annual publications is in an exponential growth phase. Adrian Taylor and Michael Ussher were identified as prolific authors. USA and Preventive Medicine were the country and journal with the highest number of publications. The most frequently used words were physical activity, smoking, exercise, alcohol, obesity, and smoking cessation. Conclusions: This bibliometric review identified an exponential growth from 1994 to date of research related to physical activity and tobacco and/or alcohol consumption. It allowed us to identify trends and guide the development of future research in these or new related areas.</t>
  </si>
  <si>
    <t>Ferrari, Gerson/HHM-6173-2022; Castillo-Paredes, Antonio/HLP-6825-2023; Ferrari, Gerson/P-1152-2014</t>
  </si>
  <si>
    <t>Ferrari, Gerson/0000-0003-3177-6576</t>
  </si>
  <si>
    <t>2227-9032</t>
  </si>
  <si>
    <t>10.3390/healthcare13050529</t>
  </si>
  <si>
    <t>WOS:001442347500001</t>
  </si>
  <si>
    <t>Olea, F; Ulloa, L; Bringas, E; Urzúa-Ahumada, J; Abejón, R; Romero, J; Quijada-Maldonado, E</t>
  </si>
  <si>
    <t>Olea, Felipe; Ulloa, Laura; Bringas, Eugenio; Urzua-Ahumada, Julio; Abejon, Ricardo; Romero, Julio; Quijada-Maldonado, Esteban</t>
  </si>
  <si>
    <t>Selective Separation of La(III) and Ce(III) Using Hollow Fiber Membranes: Influence of pH and Extractant Systems</t>
  </si>
  <si>
    <t>MINERALS</t>
  </si>
  <si>
    <t>The selective separation of adjacent rare earth elements (REEs), such as La(III) and Ce(III), is a critical challenge in hydrometallurgy due to their similar chemical properties. This work evaluates the performance of non-dispersive solvent extraction (NDSX) using hollow fiber (HF) membranes for this purpose. Initial solvent extraction (SX) equilibrium experiments with Cyanex (R) 272 in kerosene determined that the aqueous phase's optimal pH for selectivity is 5.6, achieving a selectivity of alpha Ce/La=12.7. NDSX experiments demonstrated enhanced selectivity alpha Ce/La=34 after 120 min, benefiting from the additional mass transfer resistance provided by the HF membrane. Maintaining a constant pH of 5.0 with NaOH improved extraction rates but slightly reduced selectivity to alpha Ce/La=26. Experiments using 1,1,1-trifluoro-2,4-pentanedione (HTFAC) in the ionic liquid (IL) [Omim][Tf2n] as the receiving phase showed lower extraction rates but achieved comparable selectivity values (alpha Ce/La=22) in just 20 min, thanks to the IL's viscosity limiting La(III) extraction. The impact of HF membrane design was also assessed; increasing the membrane's surface area significantly improved extraction rates but reduced selectivity due to reduced mass transfer resistance. These results demonstrate the potential of NDSX systems for selective REE separation, particularly by leveraging controlled mass transfer and operating conditions. However, further work is needed to optimize system design. The findings highlight the advantages of NDSX over traditional SX, offering a promising pathway for sustainable and efficient REE processing.</t>
  </si>
  <si>
    <t>Abejon, Ricardo/I-7171-2019; olea, felipe/IAN-5687-2023</t>
  </si>
  <si>
    <t>Romero, Julio/0000-0002-1229-1592; Olea Chandia, Felipe/0000-0002-6349-6184; ABEJON, Ricardo/0000-0002-8030-7752</t>
  </si>
  <si>
    <t>2075-163X</t>
  </si>
  <si>
    <t>10.3390/min15020167</t>
  </si>
  <si>
    <t>WOS:001430273400001</t>
  </si>
  <si>
    <t>Vega, FB</t>
  </si>
  <si>
    <t>Vega, Fabian Bravo</t>
  </si>
  <si>
    <t>Religious Disaffection and 'Unaffiliated' Individuals: Qualitative Approaches to the Chilean Case</t>
  </si>
  <si>
    <t>INTERNATIONAL JOURNAL OF LATIN AMERICAN RELIGIONS</t>
  </si>
  <si>
    <t>The objective of this article is to explore the phenomenon of individuals without religious affiliation as a representative manifestation of the transformations within the Chilean religious field in recent decades. The theoretical framework consisted of a theoretical construction of the category 'unaffiliated', which is understood as a positional phenomenon that presents other ways in which individuals perceive and represent themselves beyond religious frameworks (Mallimaci and Gim &amp; eacute;nez, Rev Argent Sociol 9(5):44-63, 2007; Rabbia, Estud Relig 31(3):131-155, 2017). An open and non-institutional conception of religion was used, understood as the various ways in which individuals relate to superhuman forces, interacting with a meta-empirical plane. These modes are understood within a network of relationships between human and non-human agents (Morello 2020; Frigerio, Cult Represent Soc, 12(24):51-95, 2018; Heehs 2021; Morris 2015). The methodological framework consisted of a qualitative design based on an interpretive paradigm. Through theoretical sampling, the selection criteria for participants were men and women from three metropolitan areas of Chile, aged between 25 and 45, belonging to middle and urban sectors: the La Serena-Coquimbo conurbation, the Metropolitan Region, and Greater Concepci &amp; oacute;n. Among the results, we highlight the recognition of 'unaffiliated' categories that were situated in three regimes: cosmological (high intensity), disaffiliated (medium and low intensity), and 'non-religious' (null intensity). Subsequently, the notion of autonomy, understood as a transversal ideal of 'unaffiliated' narratives, was critically analysed. It is proposed that religiosity and 'non-religiosity' produced outside institutional frameworks occur over a network of relationships that we call the principle of affective relationality. Both aspects shape the uniqueness of the Chilean case. It is concluded that the 'unaffiliated' positions which we have explored constitute an expression of individuality in a post-secular society which has produced individuals who exist in social life as 'hyper-actors' under the imperative of autonomy and supported by an idea of self-sufficiency.</t>
  </si>
  <si>
    <t>Bravo Vega, Fabian/0000-0002-8720-2806</t>
  </si>
  <si>
    <t>2509-9957</t>
  </si>
  <si>
    <t>2509-9965</t>
  </si>
  <si>
    <t>10.1007/s41603-024-00255-8</t>
  </si>
  <si>
    <t>WOS:001357697300001</t>
  </si>
  <si>
    <t>Adasme, P; Viveros, A; Firoozabadi, AD</t>
  </si>
  <si>
    <t>Adasme, Pablo; Viveros, Andres; Firoozabadi, Ali Dehghan</t>
  </si>
  <si>
    <t>Quadratic p-Median Problem: A Bender's Decomposition and a Meta-Heuristic Local-Based Approach</t>
  </si>
  <si>
    <t>SYMMETRY-BASEL</t>
  </si>
  <si>
    <t>In this paper, the quadratic p-median optimization problem is discussed, where the goal is to connect users to a selected group of facilities (emergency services, telecommunications servers, healthcare facilities) at the lowest possible cost. The problem is aimed at minimizing the cost of connecting these selected facilities. The costs are symmetric, meaning connecting two different points is the same in both directions. This problem extends the traditional p-median problem, a combinatorial problem used in various fields like facility location, network design, transportation, supply chain networks, emergency services, healthcare, and education planning. Surprisingly, the quadratic version has not been thoroughly considered in the literature. The paper highlights the formulation of two mixed-integer quadratic programming models to find optimal solutions to this problem. One model is a classic formulation, and the other is based on set cover theory. Linear versions and Bender's decomposition formulations for each model are also derived. A Bender's decomposition is solved using an algorithm that adds constraints during each iteration to improve the solution. Lazy constraints in the Gurobi solver's branch and cut algorithm are dynamically added whenever a mixed-integer programming solution is found. Additionally, an efficient local search meta-heuristic is proposed that usually finds optimal solutions for tested instances. Challenging instances with up to 60 facilities and 2000 users are successfully solved. Our results show that Bender's models with lazy constraints are the most effective for Euclidean and random test cases, achieving optimal solutions in less CPU time. The meta-heuristic also finds near-optimal solutions rapidly for these cases.</t>
  </si>
  <si>
    <t>Dehghan Firoozabadi, Ali/AAD-4858-2019; Adasme, Pablo/U-1735-2019</t>
  </si>
  <si>
    <t>Viveros, Andres/0000-0003-4917-6798; Dehghan Firoozabadi, Ali/0000-0002-6391-6863; Adasme, Pablo/0000-0003-2500-3294</t>
  </si>
  <si>
    <t>2073-8994</t>
  </si>
  <si>
    <t>10.3390/sym16091114</t>
  </si>
  <si>
    <t>WOS:001323293300001</t>
  </si>
  <si>
    <t>Monasterio, A; Núñez, E; Verdugo, V; Osorio, FA</t>
  </si>
  <si>
    <t>Monasterio, Angela; Nunez, Emerson; Verdugo, Valeria; Osorio, Fernando A.</t>
  </si>
  <si>
    <t>Stability and Biaxial Behavior of Fresh Cheese Coated with Nanoliposomes Encapsulating Grape Seed Tannins and Polysaccharides Using Immersion and Spray Methods</t>
  </si>
  <si>
    <t>In the food industry context, where fresh cheese stands out as a highly perishable product with a short shelf life, this study aimed to extend its preservation through multi-layer edible coatings. The overall objective was to analyze the biaxial behavior and texture of fresh cheese coated with nanoliposomes encapsulating grape seed tannins (NTs) and polysaccharides (hydroxypropyl methylcellulose; HPMC and kappa carrageenan; KC) using immersion and spray methods, establishing comparisons with uncoated cheeses and commercial samples, including an accelerated shelf-life study. NT, HPMC, and KC were employed as primary components in the multi-layer edible coatings, which were applied through immersion and spray. The results revealed significant improvements, such as a 20% reduction in weight loss and increased stability against oxidation, evidenced by a 30% lower peroxide index than the uncoated samples. These findings underscore the effectiveness of edible coatings in enhancing the quality and extending the shelf life of fresh cheese, highlighting the innovative application of nanoliposomes and polysaccharide blends and the relevance of applying this strategy in the food industry. In conclusion, this study provides a promising perspective for developing dairy products with improved properties, opening opportunities to meet market demands and enhance consumer acceptance.</t>
  </si>
  <si>
    <t>osorio, fernando/AAY-7304-2021</t>
  </si>
  <si>
    <t>osorio, fernando/0000-0001-7206-0924; Nunez Ferrada, Emerson Andres/0000-0002-5335-6065; Monasterio, Angela/0000-0001-7309-0746</t>
  </si>
  <si>
    <t>10.3390/polym16111559</t>
  </si>
  <si>
    <t>WOS:001252150900001</t>
  </si>
  <si>
    <t>Farias, M; Glas, K</t>
  </si>
  <si>
    <t>Veliz, L; Farias, M; Picard, M</t>
  </si>
  <si>
    <t>Farias, Miguel; Glas, Katharina</t>
  </si>
  <si>
    <t>Critical environmental literacy in language teacher education: Eco-journals and green textbook analysis</t>
  </si>
  <si>
    <t>REIMAGINING LITERACIES PEDAGOGY IN THE TWENTY-FIRST CENTURY: Theorizing and Enacting Multiple Literacies for English Language Learners</t>
  </si>
  <si>
    <t>Farias, Miguel/JBJ-8602-2023</t>
  </si>
  <si>
    <t>978-1-3504-1366-5; 978-1-3504-1367-2; 978-1-3504-1365-8</t>
  </si>
  <si>
    <t>10.5040/9781350413696</t>
  </si>
  <si>
    <t>WOS:001356039600006</t>
  </si>
  <si>
    <t>Bravo, S; Moya, J; Leiva, F; Guzman, O; Vidal, R</t>
  </si>
  <si>
    <t>Bravo, Scarleth; Moya, Javier; Leiva, Francisco; Guzman, Osiel; Vidal, Rodrigo</t>
  </si>
  <si>
    <t>Transcriptome analyses reveal key roles of alternative splicing regulation in atlantic salmon during the infectious process of Piscirickettsiosis disease</t>
  </si>
  <si>
    <t>HELIYON</t>
  </si>
  <si>
    <t>In the Chilean salmon farming industry, infection by Piscirickettsia salmonis is the primary cause of the main bacterial disease known as Piscirickettsiosis, which has an overwhelming economic impact. Although it has been demonstrated that Piscirickettsiosis modifies the expression of numerous salmonids genes, it is yet unknown how alternative splicing (AS) contributes to sal-monids bacterial infection. AS, has the potential to create heterogeneity at the protein and RNA levels and has been associated as a relevant molecular mechanism in the immune response of eukaryotes to several diseases. In this study, we used RNA data to survey P. salmonis-induced modifications in the AS of Atlantic salmon and found that P. salmonis infection promoted a substantial number (158,668) of AS events. Differentially spliced genes (DSG) sensitive to Pis-cirickettsiosis were predominantly enriched in genes involved in RNA processing, splicing and spliceosome processes (e.g., hnRNPm, hnRPc, SRSF7, SRSF45), whereas among the DSG of resistant and susceptible to Piscirickettsiosis, several metabolic and immune processes were found, most notably associated to the regulation of GTPase, lysosome and telomere organization-maintenance. Furthermore, we found that DSG were mostly not differentially expressed (5-7 %) and were implicated in distinct biological pathways. Therefore, our results underpin AS achieving a significant regulatory performance in the response of salmonids to Piscirickettsiosis.</t>
  </si>
  <si>
    <t>2405-8440</t>
  </si>
  <si>
    <t>e22377</t>
  </si>
  <si>
    <t>10.1016/j.heliyon.2023.e22377</t>
  </si>
  <si>
    <t>WOS:001141277200001</t>
  </si>
  <si>
    <t>Maldonado, A; Riquelme, N; Muñoz-Fariña, O; García, O; Arancibia, C</t>
  </si>
  <si>
    <t>Maldonado, Alba; Riquelme, Natalia; Munoz-Farina, Ociel; Garcia, Olga; Arancibia, Carla</t>
  </si>
  <si>
    <t>Stability and bioaccessibility of ?-tocopherol-enriched nanoemulsions containing different edible oils as carriers</t>
  </si>
  <si>
    <t>LWT-FOOD SCIENCE AND TECHNOLOGY</t>
  </si>
  <si>
    <t>Nanoemulsions have been described as carriers of bioactive compounds since they can protect them during digestion and improve their bioaccessibility. However, their stability and bioaccessibility can be influenced by nanoemulsion composition, mainly by the lipid phase characteristics. Consequently, this study aimed to evaluate three different carrier oils (avocado-AVO, flaxseed-FLA, and chia-CHI) on the stability and bioaccessibility of alpha-tocopherol carried in nanoemulsions. Particle characteristics (particle size-PS and polydispersity index-PdI) and oxidative stability of nanoemulsions, and alpha-tocopherol degradation during storage were determined. In addition, free fatty acids (FFAs) release kinetics and alpha-tocopherol bioaccessibility during in vitro digestion were analyzed. Results showed that all nanoemulsions were colloidally stable due to their droplet characteristics (PS &lt; 200 nm and PdI&lt;0.2), where no phase separation was observed. AVO nanoemulsion was the most stable against oxidation due to its high monounsaturated and saturated fatty acids, while CHI nanoemulsion showed the highest chemical stability of alpha-tocopherol during storage. Besides, AVO nanoemulsion showed the most significant release of FFA (94%) and the highest alpha-tocopherol bioaccessibility (81%). In conclusion, the oil type affects the chemical stability and bioaccessibility of alpha-tocopherol carried in nanoemulsions. Thus, AVO oil can be used as a carrier of fat-soluble vitamins to increase its bioaccessibility during digestion.</t>
  </si>
  <si>
    <t>Arancibia, Carla/AAN-2290-2020; Munoz, Ociel/K-2951-2016</t>
  </si>
  <si>
    <t>Riquelme Hinojosa, Natalia Andrea/0000-0003-3490-1045; Munoz, Ociel/0000-0002-2445-4336</t>
  </si>
  <si>
    <t>0023-6438</t>
  </si>
  <si>
    <t>1096-1127</t>
  </si>
  <si>
    <t>JAN 15</t>
  </si>
  <si>
    <t>10.1016/j.lwt.2022.114419</t>
  </si>
  <si>
    <t>WOS:000979490600001</t>
  </si>
  <si>
    <t>García-Muñoz, F; Dávila, S; Quezada, F</t>
  </si>
  <si>
    <t>Garcia-Munoz, Fernando; Davila, Sebastian; Quezada, Franco</t>
  </si>
  <si>
    <t>A Benders decomposition approach for solving a two-stage local energy market problem under uncertainty</t>
  </si>
  <si>
    <t>APPLIED ENERGY</t>
  </si>
  <si>
    <t>New consumer-centric electricity market schemes have emerged as an alternative to manage the energy balancing locally in distribution networks with high distributed energy resources (DERs) penetration. Peer -to-peer (P2P) energy trading has become an attractive scheme for reducing user and distribution system operators (DSO) costs through the energy surplus exchange between the energy community users, where the uncertainty of DERs and the consumption are challenging issues that require suitable managing for a proper market operation. This article presents a novel two-stage stochastic mixed-integer linear programming model to address the scheduling day-ahead problem of an energy community operating under a P2P energy trading scheme. The formulation proposed minimizes the expected community cost considering the network limitations, ensuring fair trading in the local energy market (LEM), and allowing the prosumers to act as buyers or sellers depending on their load consumption and self-generation. In order to reduce the shared information by consumers/prosumers that trade energy, the proposed model is decomposed into a master problem (MP) and subproblems (SPs) to manage the network constraints and the market requirements, respectively. With this purpose, the Benders decomposition approach is implemented using the recently introduced Strengthened Benders cuts to address the binary variables related to the market and battery operation in the SPs. The model and the algorithm are tested in the 69-bus radial distribution system, considering from 3 to 39 agents trading energy to measure the model scalability. In this analysis, the algorithm convergence shows that the proposed methodology reduces the LEM's shared information without increasing the energy community cost.</t>
  </si>
  <si>
    <t>García-Muñoz, Fernando/AAX-9963-2020; davila, sebastian/HSG-4377-2023</t>
  </si>
  <si>
    <t>Davila-Galvez, Sebastian/0000-0002-8981-9754; Garcia-Munoz, Fernando/0000-0001-9376-4357</t>
  </si>
  <si>
    <t>0306-2619</t>
  </si>
  <si>
    <t>1872-9118</t>
  </si>
  <si>
    <t>10.1016/j.apenergy.2022.120226</t>
  </si>
  <si>
    <t>NOV 2022</t>
  </si>
  <si>
    <t>WOS:000890536800005</t>
  </si>
  <si>
    <t>Raby, P; Mallol, J</t>
  </si>
  <si>
    <t>Raby, Pablo; Mallol, Javier</t>
  </si>
  <si>
    <t>Allergic sensitization in low-income urban children: relationship with current symptoms of asthma and rhinitis</t>
  </si>
  <si>
    <t>BOLETIN MEDICO DEL HOSPITAL INFANTIL DE MEXICO</t>
  </si>
  <si>
    <t>Background: Recent information on the prevalence of allergic sensitization (AS) in children from low-income urban areas is limited. Methods: We conducted a cross-sectional, randomized, population-based study to determine the prevalence of AS, and its relationship with asthma and rhinitis in low-income schoolchildren in Santiago, Chile. The parents answered a standardized questionnaire on respiratory symptoms, and a skin prick test (SPT) for common aeroallergens was performed on all children. Results: In the 545 schoolchildren studied (mean age 8.3 +/- 0.9 years), the prevalence of positive SPT was 25.5%. The current prevalence of asthma, rhinitis, and rhinoconjunctivitis was 20%, 43.4%, and 27.8%, respectively. SPT was positive in 30.6%, 32.8%, and 38.0% of children with current asthma, rhinitis, and rhinoconjunctivitis, respectively. Positive SPT was significantly associated with rhinitis and rhinoconjunctivitis (p &lt; 0.001) but not with asthma. Breastfeeding for at least 4 months was significantly protective against AS (odds ratio [OR] 0.48, 95% confidence interval [CI] 0.26-0.78; p = 0.008); no other factor studied was associated with AS. Conclusions: The prevalence of AS was low; less than 40% of children with current asthma, rhinitis, or rhinoconjunctivitis symptoms evidenced AS. The prevalence of non-atopic asthma and rhinitis is consistent with previous findings in children from low-income urban areas. Other environmental factors, such as the high burden of respiratory infections and environmental pollution, might be more critical than atopy for developing asthma and rhinitis in schoolchildren from deprived urban areas.</t>
  </si>
  <si>
    <t>0539-6115</t>
  </si>
  <si>
    <t>1665-1146</t>
  </si>
  <si>
    <t>NOV-DEC</t>
  </si>
  <si>
    <t>10.24875/BMHIM.22000017</t>
  </si>
  <si>
    <t>WOS:000918318100002</t>
  </si>
  <si>
    <t>Adasme, P; Cordero, S; Soto, I; Firoozabadi, AD</t>
  </si>
  <si>
    <t>Adasme, Pablo; Cordero, Sergio; Soto, Ismael; Firoozabadi, Ali Dehghan</t>
  </si>
  <si>
    <t>New Formulations for Optimal User Coverage using 5G Millimeter-Wave-based Networks</t>
  </si>
  <si>
    <t>2022 13TH INTERNATIONAL SYMPOSIUM ON COMMUNICATION SYSTEMS, NETWORKS AND DIGITAL SIGNAL PROCESSING, CSNDSP</t>
  </si>
  <si>
    <t>13th International Symposium on Communication Systems, Networks and Digital Signal Processing (CSNDSP)</t>
  </si>
  <si>
    <t>JUL 20-22, 2022</t>
  </si>
  <si>
    <t>Porto, PORTUGAL</t>
  </si>
  <si>
    <t>In this paper, we consider two optimization problems related to 5G millimeter wave (mmWave) networks. The first one consists of maximizing the number of covered users using a predefined number of base stations (BSs) while simultaneously minimizing the distances between users and BSs. Whereas the second one minimizes the total number of BSs required to cover all users in the network. Notice that mmWave technology has been conceived in the literature as one of the most promising techniques for 5G networks. However, there are still several issues to be addressed before this technology can be used massively in real-life networks. For example, mmWaves cannot penetrate walls easily and their path loss is high which reduces the transmission distances. We propose mixed-integer programming models to deal with these problems. Our models can solve instances with up to 100 BSs and 1000 users optimally. Our numerical results indicate that minimizing the distances between users and BSs and maximizing user coverage simultaneously leads to instances that are significantly harder to solve. Finally, we report the minimum number of BSs required to cover all users in the network together with the minimum radius that makes it possible.</t>
  </si>
  <si>
    <t>Adasme, Pablo/U-1735-2019; Dehghan Firoozabadi, Ali/AAD-4858-2019</t>
  </si>
  <si>
    <t>978-1-6654-1044-1</t>
  </si>
  <si>
    <t>10.1109/CSNDSP54353.2022.9907932</t>
  </si>
  <si>
    <t>WOS:001331792600140</t>
  </si>
  <si>
    <t>Lizama, C; Murillo-Arcila, M; Trujillo, M</t>
  </si>
  <si>
    <t>Lizama, Carlos; Murillo-Arcila, Marina; Trujillo, Macarena</t>
  </si>
  <si>
    <t>Fractional Beer-Lambert law in laser heating of biological tissue</t>
  </si>
  <si>
    <t>AIMS MATHEMATICS</t>
  </si>
  <si>
    <t>In this article we propose an alternative formulation to model a thermal-optical coupled problem involving laser heating. We show that by using the Fractional Beer-Lambert Law (FBLL) instead of the Beer-Lambert Law (BLL) as the governing equation of the optical problem, the formulation of the laser heat source changes, along with consequently, the distribution of temperatures. Our theoretical findings apply to laser thermal keratoplasty (LTK), used to reduce diopters of hyperopia. We show that the FBLL offers a new approach for heat conduction modeling of laser heating, which is more flexible and could better fit the data in cases where the BLL approach does not fit the data well. Our results can be extended to laser heating of other biological tissues and in other general applications. Our findings imply a new insight to improve the accuracy of thermal models, since they involve a new formulation of the external heat source rather than the heat equation itself.</t>
  </si>
  <si>
    <t>Murillo, Marina/ABI-7284-2020; Lizama, Carlos/E-5909-2011</t>
  </si>
  <si>
    <t>murillo arcila, marina/0000-0001-6589-0452; Trujillo Guillen, Macarena/0000-0003-4145-2188</t>
  </si>
  <si>
    <t>2473-6988</t>
  </si>
  <si>
    <t>10.3934/math.2022796</t>
  </si>
  <si>
    <t>WOS:000823103000005</t>
  </si>
  <si>
    <t>Espina, G; Atalah, J; Blamey, JM</t>
  </si>
  <si>
    <t>Espina, Giannina; Atalah, Joaquin; Blamey, Jenny M.</t>
  </si>
  <si>
    <t>Extremophilic Oxidoreductases for the Industry: Five Successful Examples With Promising Projections</t>
  </si>
  <si>
    <t>FRONTIERS IN BIOENGINEERING AND BIOTECHNOLOGY</t>
  </si>
  <si>
    <t>In a global context where the development of more environmentally conscious technologies is an urgent need, the demand for enzymes for industrial processes is on the rise. Compared to conventional chemical catalysts, the implementation of biocatalysis presents important benefits including higher selectivity, increased sustainability, reduction in operating costs and low toxicity, which translate into cleaner production processes, lower environmental impact as well as increasing the safety of the operating staff. Most of the currently available commercial enzymes are of mesophilic origin, displaying optimal activity in narrow ranges of conditions, which limits their actual application under industrial settings. For this reason, enzymes from extremophilic microorganisms stand out for their specific characteristics, showing higher stability, activity and robustness than their mesophilic counterparts. Their unique structural adaptations allow them to resist denaturation at high temperatures and salinity, remain active at low temperatures, function at extremely acidic or alkaline pHs and high pressure, and participate in reactions in organic solvents and unconventional media. Because of the increased interest to replace chemical catalysts, the global enzymes market is continuously growing, with hydrolases being the most prominent type of enzymes, holding approximately two-third share, followed by oxidoreductases. The latter enzymes catalyze electron transfer reactions and are one of the most abundant classes of enzymes within cells. They hold a significant industrial potential, especially those from extremophiles, as their applications are multifold. In this article we aim to review the properties and potential applications of five different types of extremophilic oxidoreductases: laccases, hydrogenases, glutamate dehydrogenases (GDHs), catalases and superoxide dismutases (SODs). This selection is based on the extensive experience of our research group working with these particular enzymes, from the discovery up to the development of commercial products available for the research market.</t>
  </si>
  <si>
    <t>Blamey, Jenny/M-2637-2014; Espina, Giannina/AAD-5275-2020</t>
  </si>
  <si>
    <t>Espina, Giannina/0000-0002-6308-7217</t>
  </si>
  <si>
    <t>2296-4185</t>
  </si>
  <si>
    <t>AUG 12</t>
  </si>
  <si>
    <t>10.3389/fbioe.2021.710035</t>
  </si>
  <si>
    <t>WOS:000716725200001</t>
  </si>
  <si>
    <t>Fernández-Sánchez, MR; Silva-Quiroz, J</t>
  </si>
  <si>
    <t>Rosa Fernandez-Sanchez, Maria; Silva-Quiroz, Juan</t>
  </si>
  <si>
    <t>EMERGING EDUCATIONAL DESIGN IN ONLINE TRAINING IN HIGHER EDUCATION</t>
  </si>
  <si>
    <t>PROBLEMS OF EDUCATION IN THE 21ST CENTURY</t>
  </si>
  <si>
    <t>Universities are living in a time of major transitions regarding the challenge of rethinking and transforming the current pedagogical models so they can respond to the needs of the global knowmad society. In this study, the Design-Based Research (DBR) approach is used to address the improvements of two emerging pedagogical designs in e-learning in the university context: the model of the Center for Research in Education and ICT (CIIET) of the University of Santiago de Chile (Chile) and the model developed by the Education Node research group of University of Extremadura (Spain). The main focus of these models is the student, who by developing activities based on the resolution of a contextualized problem and using new strategies, accompanied by open resources for resolution, resulting in a learning outcome that can be achieved and measured through assessment. This work aims to advance in identifying of some pedagogical keys for the design of online training scenarios that promote environments of production, research, and open dissemination of best practices, to experience new creative forms and collaborative learning, which have emerged within the hyper connected society and the net-culture.</t>
  </si>
  <si>
    <t>; Fernandez Sanchez, Maria Rosa/K-5511-2014</t>
  </si>
  <si>
    <t>Silva Quiroz, Juan Eusebio/0000-0002-9817-402X; Fernandez Sanchez, Maria Rosa/0000-0001-6889-5806</t>
  </si>
  <si>
    <t>1822-7864</t>
  </si>
  <si>
    <t>2538-7111</t>
  </si>
  <si>
    <t>10.33225/pec/21.79.397</t>
  </si>
  <si>
    <t>WOS:000661695800005</t>
  </si>
  <si>
    <t>Silva-Ayarza, I; Bachelet, VC</t>
  </si>
  <si>
    <t>Silva-Ayarza, Ignacio; Bachelet, Vivienne C.</t>
  </si>
  <si>
    <t>What we know and don't know on SARS-CoV-2 and COVID-19</t>
  </si>
  <si>
    <t>MEDWAVE</t>
  </si>
  <si>
    <t>Coronavirus disease 2019 (COVID-19), caused by the SARS-CoV-2 virus discovered in December 2019 in Wuhan, China, has had an enormous impact on public health worldwide due to its rapid spread and pandemic behavior, challenges in its control and mitigation, and few therapeutic alternatives. In this review, we summarize the pathophysiological mechanisms, clinical presentation, and diagnostic techniques. In addition, the main lineages and the different strategies for disease prevention are reviewed, with emphasis on the development of vaccines and their different platforms. Finally, some of the currently available therapeutic strategies are summarized. Throughout the article, we point out the current knowns and unknowns at the time of writing this article.</t>
  </si>
  <si>
    <t>Bachelet, Vivienne/JAN-7158-2023; Silva Ayarza, Ignacio/KYQ-4699-2024</t>
  </si>
  <si>
    <t>Bachelet, Vivienne C./0000-0002-5715-9755; Silva Ayarza, Ignacio/0000-0002-6996-3695</t>
  </si>
  <si>
    <t>0717-6384</t>
  </si>
  <si>
    <t>e8198</t>
  </si>
  <si>
    <t>10.5867/medwave.2021.04.8198</t>
  </si>
  <si>
    <t>WOS:000655427700006</t>
  </si>
  <si>
    <t>Montt, C; Castro, JC; Valencia, A; Oddershede, A; Quezada, L</t>
  </si>
  <si>
    <t>Montt, C.; Castro, J. C.; Valencia, A.; Oddershede, A.; Quezada, L.</t>
  </si>
  <si>
    <t>Artificial Neural Network and a Nonlinear Regression Model for Predicting Electrical Pole Crash</t>
  </si>
  <si>
    <t>This paper presents the investigation about a problem situation that Electric Distributor Companies are facing in Chile resulting from transit accidents. The number of vehicle crashes to power distribution poles and street lighting has grown. This situation causes discomfort to citizen and mainly to the neighbors due to power cuts and even on occasion , losses of human lives because of the accident that have occurred. Based on previous research, the accidents are not random nor chance dependent, but the majority of transit accident follow parameters or variables from the scenery where it occurs. In order to analyze the variables and the degree this variables affect the accidents, a model of Perceptron and Multipercetron Artificial Neural Networks and a Multiple Nonlinear Regression model are proposed. An empirical study was made; collecting data from a distributor company and from Chilean National Traffic Safety Commission, where the more frequent variables involved in accidents were determined to develop the mentioned models. These variables were investigated and also their influence on the occurrence of vehicle crashes to power distribution poles could be confirmed. With this data, the prediction of post crashes was developed, where through the application of the neural network and multiple nonlinear regression, revealed 95.7% of acceptable predictions. This study will bring benefits to power distribution companies considering a risk index in the streets, based on the number of crashes of poles per street; this will allow optimal decisions in future electrical distribution projects avoiding critical areas.</t>
  </si>
  <si>
    <t>Quezada, Luis/W-8168-2019</t>
  </si>
  <si>
    <t>Montt, Cecilia/0000-0001-9559-6836</t>
  </si>
  <si>
    <t>10.15837/ijccc.2020.5.3879</t>
  </si>
  <si>
    <t>WOS:000569021200002</t>
  </si>
  <si>
    <t>Ormazábal, S; Villarroel, E; Tapia, RA; Romero, J; Quijada-Maldonado, E</t>
  </si>
  <si>
    <t>Ormazabal, S.; Villarroel, E.; Tapia, R. A.; Romero, J.; Quijada-Maldonado, E.</t>
  </si>
  <si>
    <t>Supercritical carbon dioxide solubility in hydrophobic ionic liquid mixtures: Experimental determination and thermodynamic modeling</t>
  </si>
  <si>
    <t>FLUID PHASE EQUILIBRIA</t>
  </si>
  <si>
    <t>The solubility of supercritical carbon dioxide (scCO(2)) in the pure ionic liquids (ILs): 1-hexyl-3-methylimidazolium tris(pentafluoroethyl)trifluorophosphate, [hmim][eFAP], and trihexyltetradecylphosphonium bis(trifluoromethylsulfonyl)imide [P-6,P-6,P-6,P-14][Tf2N], and mixtures formed by mixing these ILs with trihexyltetradecylphosphonium tetraphenylborate ([P-6,P-6,P-6,P-14][BPh4]), was experimentally measured by means of an equilibrium cell that was designed and assembled to allow obtaining the solubility using small amounts of ILs. This equilibrium cell was first tested using previously published experimental data where long times were necessary to reach equilibrium. However, good agreement with literature data was found. Thus, for pure [hmim][eFAP], the experimental data showed high solubility, which means molalities between 5.96 and 9.12, approximately (mole fractions between 0.78 and 0.85). However, mixing these ILs with 1% w/w [P-6,P-6,P-6,P-14][BPh4], decreased or increased CO2 solubility depending on interactions between the ILs. The obtained experimental data was modeled using the vapor-liquid equilibrium relations by means of the Peng-Robinson equation of state and a two-parameter Van der Waals mixing rule, showing excellent agreement. Finally, the information obtained in this work could enable the study of the liquid-liquid phase microextraction with ionic liquids where the dissolution of CO2 in ILs could create an enhanced phase for the microextraction. (C) 2020 Elsevier B.V. All rights reserved.</t>
  </si>
  <si>
    <t>Ormazábal Latorre, Sebastián/IZE-3205-2023; Villarroel Utreras, Eduardo/LCD-3437-2024; Tapia, Ricardo/T-7170-2017; Romero, Julio/I-6705-2013</t>
  </si>
  <si>
    <t>Ormazabal Latorre, Sebastian/0000-0001-7179-490X; Quijada-Maldonado, Esteban/0000-0003-1411-4327; Tapia, Ricardo/0000-0003-4407-3845; Villarroel, Eduardo/0000-0001-5208-3512; Romero, Julio/0000-0002-1229-1592</t>
  </si>
  <si>
    <t>0378-3812</t>
  </si>
  <si>
    <t>1879-0224</t>
  </si>
  <si>
    <t>AUG 1</t>
  </si>
  <si>
    <t>10.1016/j.fluid.2020.112616</t>
  </si>
  <si>
    <t>WOS:000538573000008</t>
  </si>
  <si>
    <t>Aravena, J; Carrasco, D; Diaz, M; Uriarte, M; Rojas, F; Cardenas, R; Travieso, JC</t>
  </si>
  <si>
    <t>Aravena, Jose; Carrasco, Dante; Diaz, Matias; Uriarte, Matias; Rojas, Felix; Cardenas, Roberto; Carlos Travieso, Juan</t>
  </si>
  <si>
    <t>Design and Implementation of a Low-Cost Real-Time Control Platform for Power Electronics Applications</t>
  </si>
  <si>
    <t>ENERGIES</t>
  </si>
  <si>
    <t>In recent years, different off-the-shelf solutions for the rapid control prototyping of power electronics converters have been commercialised. The main benefits of those systems are based on a fast and easy-to-use environment due to high-level programming. However, most of those systems are very expensive and are closed software and hardware solutions. In this context, this paper presents the design and implementation of a control platform targeting at the segment in between expensive off-the-shelf control platforms and low-cost controllers. The control platform is based on the Launchpad TMS320F28379D from Texas Instruments, and it is equipped with an expansion board that provide analogue-to-digital measurements, switching signals and hardware protections. The performance of the control platform is experimentally tested on a 20 kVA power converter.</t>
  </si>
  <si>
    <t>Rojas, Felix/U-3305-2019; Travieso Torres, Juan carlos/N-6437-2019; Diaz, Matias/R-7570-2018; Cardenas, Roberto/C-6395-2011</t>
  </si>
  <si>
    <t>Travieso Torres, Juan carlos/0000-0002-9246-4827; Diaz, Matias/0000-0003-4489-9532; Cardenas, Roberto/0000-0003-3853-7703; Rojas, Felix/0000-0001-6145-2826</t>
  </si>
  <si>
    <t>1996-1073</t>
  </si>
  <si>
    <t>10.3390/en13061527</t>
  </si>
  <si>
    <t>WOS:000524096800075</t>
  </si>
  <si>
    <t>Donoso, IG; Caballero, MG</t>
  </si>
  <si>
    <t>Goicovic Donoso, Igor; Garrido Caballero, Magdalena</t>
  </si>
  <si>
    <t>PRESENTATION OF THE DOSSIER: PRINCIPLES, SOCIAL MOVEMENTS, REPRESENTATIONS AND TRANSITIONS TO DEMOCRACY IN AMERICA AND EUROPE: ITS EXTERNAL PROJECTION</t>
  </si>
  <si>
    <t>HISTORIA ACTUAL ONLINE</t>
  </si>
  <si>
    <t>Garrido Caballero, Magdalena/KLZ-7760-2024</t>
  </si>
  <si>
    <t>Garrido Caballero, Magdalena/0000-0001-7468-5960</t>
  </si>
  <si>
    <t>1696-2060</t>
  </si>
  <si>
    <t>SPR</t>
  </si>
  <si>
    <t>WOS:000583142900007</t>
  </si>
  <si>
    <t>Lattanzi, R; Ortega, CMV</t>
  </si>
  <si>
    <t>Lattanzi, Romina; Vanegas Ortega, Carlos Mario</t>
  </si>
  <si>
    <t>Accompaniment of initial training pedagogical practices: A self-study based on the role as a guide teacher</t>
  </si>
  <si>
    <t>REVISTA IBEROAMERICANA DE EDUCACION</t>
  </si>
  <si>
    <t>In the context of my experience as a high school teacher of Biology and Sciences, 5 years ago, and while I was a teacher-in-training, accidentally I became the guide for other future Biology and Sciences teachers. This created some tension in my professional life because it blurred the lines between my role as a classroom teacher and my role as a guide for other teachers-in-training. In this situation, I decided the goal of my research would be to characterize the transformation of my own self-reflective processes through self-study of the role of a mentor and teacher of pedagogical practices in Biology and Sciences. The results show a tension in my identity process with this new role, allowing me to differentiate my role as a classroom teacher, and move forward towards a new identity as a teacher trainer or guide. In addition, it allowed me to understand my own educational practices from a more complex point of view, which allows for the inclusion of triad perspectives, the problematization of theory and classroom experiences, as well as realizing the high impact and influence which personal/family and emotional relations have in the ways one interacts with students and teachers-in-training.</t>
  </si>
  <si>
    <t>Vanegas-Ortega, Carlos/N-2296-2014</t>
  </si>
  <si>
    <t>1022-6508</t>
  </si>
  <si>
    <t>1681-5653</t>
  </si>
  <si>
    <t>JAN-APR</t>
  </si>
  <si>
    <t>10.35362/rie8213660</t>
  </si>
  <si>
    <t>WOS:000508019600008</t>
  </si>
  <si>
    <t>Stanef-Puica, MR; Iacob, SE; Pirosca, GJ; Moroianu, N; Valdebenito, CR</t>
  </si>
  <si>
    <t>Dima, AM</t>
  </si>
  <si>
    <t>Stanef-Puica, Mihaela Roberta; Iacob, Silvia Elena; Pirosca, Grigore Joan; Moroianu, Nicolae; Valdebenito, Carlos Ramirez</t>
  </si>
  <si>
    <t>Can the Generation Gap be Explained Economically or Just Sociologically?</t>
  </si>
  <si>
    <t>INNOVATIVE MODELS TO REVIVE THE GLOBAL ECONOMY</t>
  </si>
  <si>
    <t>International Conference on Economics and Social Sciences</t>
  </si>
  <si>
    <t>3rd International Conference on Economics and Social Sciences</t>
  </si>
  <si>
    <t>OCT 15-16, 2020</t>
  </si>
  <si>
    <t>ELECTR NETWORK</t>
  </si>
  <si>
    <t>Bucharest Univ Econ Studies</t>
  </si>
  <si>
    <t>The aim of this paper is to see if the differences between the generations that live today across the globe can be explained by the psychological characteristics of the generations or by the fact that they are young and for example they spend more money on education than the old people, but this does not mean that they will be more educated than the previous generation. For this purpose we gathered data for the main income sources and main expenditures for three main generations in the last century for the United States.</t>
  </si>
  <si>
    <t>IACOB, Silvia Elena/LFT-8108-2024; Stanef-Puica, Mihaela Roberta/AAP-2287-2021</t>
  </si>
  <si>
    <t>Stanef-Puica, Mihaela Roberta/0000-0002-1990-5366</t>
  </si>
  <si>
    <t>2704-6524</t>
  </si>
  <si>
    <t>978-83-958150-7-2</t>
  </si>
  <si>
    <t>10.2478/9788366675162-016</t>
  </si>
  <si>
    <t>WOS:000763773400015</t>
  </si>
  <si>
    <t>Bhalotra, S; Clarke, D</t>
  </si>
  <si>
    <t>Bhalotra, Sonia; Clarke, Damian</t>
  </si>
  <si>
    <t>Twin Birth and Maternal Condition</t>
  </si>
  <si>
    <t>REVIEW OF ECONOMICS AND STATISTICS</t>
  </si>
  <si>
    <t>Twin births are often construed as a natural experiment in the social and natural sciences on the premise that the occurrence of twins is quasi-random. We present population-level evidence that challenges this premise. Using individual data for 17 million births in 72 countries, we demonstrate that indicators of mother's health, health-related behaviors, and the prenatal environment are systematically positively associated with twin birth. The associations are sizable, evident in richer and poorer countries-evident even among women who do not use in vitro fertilization-and hold for numerous different measures of health. We discuss potential mechanisms, showing evidence that favors selective miscarriage.</t>
  </si>
  <si>
    <t>Clarke, Damian/Y-7318-2019</t>
  </si>
  <si>
    <t>Clarke, Damian/0009-0000-9113-2188</t>
  </si>
  <si>
    <t>0034-6535</t>
  </si>
  <si>
    <t>1530-9142</t>
  </si>
  <si>
    <t>10.1162/rest_a_00789</t>
  </si>
  <si>
    <t>WOS:000502338900008</t>
  </si>
  <si>
    <t>Alvarez, E; Díaz, S; Lizama, C</t>
  </si>
  <si>
    <t>Alvarez, Edgardo; Diaz, Stiven; Lizama, Carlos</t>
  </si>
  <si>
    <t>On the existence and uniqueness of (N, λ)-periodic solutions to a class of Volterra difference equations</t>
  </si>
  <si>
    <t>ADVANCES IN DIFFERENCE EQUATIONS</t>
  </si>
  <si>
    <t>In this paper we introduce the class of (N,lambda)-periodic vector-valued sequences and show several notable properties of this new class. This class includes periodic, anti-periodic, Bloch and unbounded sequences. Furthermore, we show the existence and uniqueness of (N,lambda)-periodic solutions to the following class of Volterra difference equations with infinite delay: u(n + 1) = alpha Sigma(n )(j=-infinity)a(n - j)u(j) + f(n, u(n)), n is an element of Z, alpha is an element of C, where the kernel a and the nonlinear term f satisfy suitable conditions.</t>
  </si>
  <si>
    <t>Lizama, Carlos/E-5909-2011; Díaz, Stiven/AAV-8033-2021</t>
  </si>
  <si>
    <t>1687-1847</t>
  </si>
  <si>
    <t>MAR 13</t>
  </si>
  <si>
    <t>10.1186/s13662-019-2053-0</t>
  </si>
  <si>
    <t>WOS:000461525300001</t>
  </si>
  <si>
    <t>Cardinal, J; Langerman, S; Pérez-Lantero, P</t>
  </si>
  <si>
    <t>Cardinal, Jean; Langerman, Stefan; Perez-Lantero, Pablo</t>
  </si>
  <si>
    <t>On the diameter of tree associahedra</t>
  </si>
  <si>
    <t>ELECTRONIC JOURNAL OF COMBINATORICS</t>
  </si>
  <si>
    <t>We consider a natural notion of search trees on graphs, which we show is ubiquitous in various areas of discrete mathematics and computer science. Search trees on graphs can be modified by local operations called rotations, which generalize rotations in binary search trees. The rotation graph of search trees on a graph G is the skeleton of a polytope called the graph associahedron of G. We consider the case where the graph G is a tree. We construct a family of trees G on n vertices and pairs of search trees on G such that the minimum number of rotations required to transform one search tree into the other is Omega(n log n). This implies that the worst-case diameter of tree associahedra is Theta(n log n), which answers a question from Thibault Manneville and Vincent Pilaud. The proof relies on a notion of projection of a search tree which may be of independent interest.</t>
  </si>
  <si>
    <t>Langerman, Stefan/0000-0001-6999-3088</t>
  </si>
  <si>
    <t>1077-8926</t>
  </si>
  <si>
    <t>OCT 19</t>
  </si>
  <si>
    <t>P4.18</t>
  </si>
  <si>
    <t>WOS:000449337100009</t>
  </si>
  <si>
    <t>Cárdenas, VH; Cruz, N; Muñoz, S; Villanueva, JR</t>
  </si>
  <si>
    <t>Cardenas, Victor H.; Cruz, Norman; Munoz, Sebastian; Villanueva, J. R.</t>
  </si>
  <si>
    <t>Reconstruction of a kinetic k-essence Lagrangian from a modified of dark energy equation of state</t>
  </si>
  <si>
    <t>EUROPEAN PHYSICAL JOURNAL C</t>
  </si>
  <si>
    <t>In this paper the Lagrangian density of a purely kinetic k-essence model that describes the behavior of dark energy described by four parameterized equations of state proposed by Cooray and Huterer (Astrophys J 513:L95, 1999), Zhang and Wu (Mod Phys Lett A 27:1250030, 2012), Linder (Phys Rev Lett 90:091301, 2003), Efstathiou (Mon Not R Astron Soc 310:842, 2000), and Feng and Lu (J Cosmol Astropart Phys 1111:34, 2011) has been reconstructed. This reconstruction is performed using the method outlined by de Putter and Linder (Astropart Phys 28:263, 2007), which makes it possible to solve the equations that relate the Lagrangian density of the k-essence with the given equation of state (EoS) numerically. Finally, we discuss the observational constraints for the models based on 1049 SNIa data points from the Pantheon data set compiled by Scolnic et al. (Astrophys J 859(2):101, 2018)</t>
  </si>
  <si>
    <t>Cardenas, Victor/A-5403-2012; Villanueva, Jairo/AAB-4646-2019</t>
  </si>
  <si>
    <t>Cardenas, Victor Hugo/0000-0002-9788-3967</t>
  </si>
  <si>
    <t>1434-6044</t>
  </si>
  <si>
    <t>1434-6052</t>
  </si>
  <si>
    <t>JUL 21</t>
  </si>
  <si>
    <t>10.1140/epjc/s10052-018-6066-8</t>
  </si>
  <si>
    <t>WOS:000439512600002</t>
  </si>
  <si>
    <t>Torres, C; Pérez-Lantero, P; Gutiérrez, G</t>
  </si>
  <si>
    <t>Torres, Claudio; Perez-Lantero, Pablo; Gutierrez, Gilberto</t>
  </si>
  <si>
    <t>Linear separability in spatial databases</t>
  </si>
  <si>
    <t>KNOWLEDGE AND INFORMATION SYSTEMS</t>
  </si>
  <si>
    <t>Given two spatial point sets R and B in the plane, with cardinalities m and n, respectively, and stored in two separate R-trees, we propose an efficient algorithm to verify whether R and B are linearly separable. The sets R and B are linearly separable if there exists a line that splits the plane into to halfplanes, one containing all R and the other one containing all B. This is the first algorithm that answers the separability question in the context of the spatial data bases. That is, it considers as input big spatial data stored in secondary storage data structures (e.g., the R-tree) which are not allowed to be completely stored in the main memory of the computer to run a classic algorithm. The algorithms designed in this context aim to minimize as much as possible the number of blocks read from the secondary storage data structures to the main memory. Studied problems in this setting are the k-nearest neighbor problem and the spatial range query problem. Our algorithm explicitly exploits the geometric and spatial properties of the R-trees to access only the nodes relevant to decide the linear separability of the given sets. Our experimental results show the efficiency of the algorithm, since it accesses between the 0.34 and 2.79% of the nodes of the R-trees. We also analyze the asymptotic running time of the algorithm, showing that it runs in time in the worst case.</t>
  </si>
  <si>
    <t>Gutierrez, Gilberto/0000-0001-6059-1453</t>
  </si>
  <si>
    <t>0219-1377</t>
  </si>
  <si>
    <t>0219-3116</t>
  </si>
  <si>
    <t>10.1007/s10115-017-1063-z</t>
  </si>
  <si>
    <t>WOS:000423156100002</t>
  </si>
  <si>
    <t>Carrizo, JPA</t>
  </si>
  <si>
    <t>Vera, HV; Carrizo, JPA</t>
  </si>
  <si>
    <t>Arancibia Carrizo, Juan Pablo</t>
  </si>
  <si>
    <t>Communication and Democracy: democratic conflictivity and rationality of exception</t>
  </si>
  <si>
    <t>DEMOCRACIA, INFORMACION Y CIBERSOCIEDAD: UNA MIRADA DESDE CHILE</t>
  </si>
  <si>
    <t>978-956-8416-70-6</t>
  </si>
  <si>
    <t>WOS:000462868900011</t>
  </si>
  <si>
    <t>Jara, R</t>
  </si>
  <si>
    <t>Jara, Rene</t>
  </si>
  <si>
    <t>Eco Chambers or greater Pluralism? Twitter and the diversification of presidential debates in Chile</t>
  </si>
  <si>
    <t>jara reyes, rene/JAZ-0211-2023</t>
  </si>
  <si>
    <t>WOS:000462868900009</t>
  </si>
  <si>
    <t>Travieso-Torres, JC; Duarte-Mermoud, MA; Beytía-Cancino, O</t>
  </si>
  <si>
    <t>Carlos Travieso-Torres, Juan; Duarte-Mermoud, Manuel A.; Beytia-Cancino, Orlando</t>
  </si>
  <si>
    <t>Taylor polynomial Approximation and Adaptive Passivity-Based Control Applied to the Level Regulation of a Conical Tank</t>
  </si>
  <si>
    <t>ASIAN JOURNAL OF CONTROL</t>
  </si>
  <si>
    <t>The techniques of Taylor polynomial approximation (TPA) and adaptive passivity-based controller (APBC) are combined in this study and applied to the level regulation of a conical tank. The design and comparative experimental results with a classical PI controller are presented. After combining these two approaches a robust adaptive controller named TPA-APBC, which is simpler than the classical APBC and PI controller, is obtained. This new TPA-APBC preserves the stability of the overall system after assuming that the nonlinear system is unknown and that it can be suitably represented by a first-order linear model with unknown parameters.</t>
  </si>
  <si>
    <t>Duarte-Mermoud, Manuel A./I-2693-2013; Travieso Torres, Juan carlos/N-6437-2019</t>
  </si>
  <si>
    <t>Duarte-Mermoud, Manuel A./0000-0003-2367-4553; Travieso Torres, Juan carlos/0000-0002-9246-4827</t>
  </si>
  <si>
    <t>1561-8625</t>
  </si>
  <si>
    <t>1934-6093</t>
  </si>
  <si>
    <t>10.1002/asjc.1496</t>
  </si>
  <si>
    <t>WOS:000409931800006</t>
  </si>
  <si>
    <t>González-Vargas, C; Serrano, N; Ariño, C; Salazar, R; Esteban, M; Díaz-Cruz, JM</t>
  </si>
  <si>
    <t>Gonzalez-Vargas, Camilo; Serrano, Nuria; Arino, Cristina; Salazar, Ricardo; Esteban, Miquel; Manuel Diaz-Cruz, Jose</t>
  </si>
  <si>
    <t>Voltammetric Determination of Anti-Hypertensive Drug Hydrochlorothiazide Using Screen-Printed Electrodes Modified with L-Glutamic Acid</t>
  </si>
  <si>
    <t>CHEMOSENSORS</t>
  </si>
  <si>
    <t>This work deals with the development of screen-printed carbon electrodes modified with L-glutamic acid via two different approaches: electropolymerization (SPCE/PGA) and aryl diazonium electrochemical grafting (SPCE/EGA). SPCE/PGA and SPCE/EGA were analytically compared in the determination of hydrochlorothiazide (HCTZ) by differential pulse voltammetry. Both electrochemical characterization and analytical performance indicate that SPCE/EGA is a much better sensor for HCTZ. The detection and quantification limits were at the level of mol L-1 with a very good linearity in the studied concentration range. In addition, the proposed SPCE/EGA was successfully applied for the determination of HCTZ in an anti-hypertensive drug with high reproducibility and good trueness.</t>
  </si>
  <si>
    <t>Salazar, Ricardo/L-7870-2013; Diaz-Cruz, Jose Manuel/R-9926-2018</t>
  </si>
  <si>
    <t>Arino, Cristina/0000-0002-5245-3699; Esteban, Miquel/0000-0002-3793-6684; Serrano, Nuria/0000-0001-5951-1823; Salazar-Gonzalez, Ricardo/0000-0003-2180-6022; Diaz-Cruz, Jose Manuel/0000-0001-8241-3463</t>
  </si>
  <si>
    <t>2227-9040</t>
  </si>
  <si>
    <t>10.3390/chemosensors5030025</t>
  </si>
  <si>
    <t>WOS:000412052300006</t>
  </si>
  <si>
    <t>Kern, J; Urrea, C; Torres, H</t>
  </si>
  <si>
    <t>Kern, John; Urrea, Claudio; Torres, Hugo</t>
  </si>
  <si>
    <t>Implementation and Comparison of Controllers for Planar Robots</t>
  </si>
  <si>
    <t>JOURNAL OF ELECTRICAL ENGINEERING &amp; TECHNOLOGY</t>
  </si>
  <si>
    <t>The nonlinear behavior and the high performance requirement are the main problems that appear in the design of manipulator robots and their controllers. For that reason, the simulation, real-time execution and comparison of the performance of controllers applied to a robot with three degrees of freedom are presented. Five controllers are prepared to test the robot's dynamic model: predictive; hyperbolic sine-cosine; sliding mode; hybrid composed of a predictive + hyperbolic sine-cosine controller; and adaptive controller. A redundant robot, a communication and signal conditioning interface, and a simulator are developed by means of the MatLab/Simulink software, which allows analyzing the dynamic performance of the robot and of the designed controllers. The manipulator robot is made to follow a test trajectory which, thanks to the proposed controllers, it can do. The results of the performance of this manipulator and of its controllers, for each of the three joints, are compared by means of RMS indices, considering joint errors according to the imposed trajectory and to the controller used.</t>
  </si>
  <si>
    <t>Torres, Hugo/AAC-2017-2020; Claudio, URREA/KWU-1600-2024</t>
  </si>
  <si>
    <t>1975-0102</t>
  </si>
  <si>
    <t>2093-7423</t>
  </si>
  <si>
    <t>10.5370/JEET.2017.12.2.926</t>
  </si>
  <si>
    <t>WOS:000401717800049</t>
  </si>
  <si>
    <t>Doebeli, M; Ispolatov, I</t>
  </si>
  <si>
    <t>Doebeli, Michael; Ispolatov, Iaroslav</t>
  </si>
  <si>
    <t>Diversity and Coevolutionary Dynamics in High-Dimensional Phenotype Spaces</t>
  </si>
  <si>
    <t>AMERICAN NATURALIST</t>
  </si>
  <si>
    <t>We study macroevolutionary dynamics by extending microevolutionary competition models to long timescales. It has been shown that for a general class of competition models, gradual evolutionary change in continuous phenotypes (evolutionary dynamics) can be nonstationary and even chaotic when the dimension of the phenotype space in which the evolutionary dynamics unfold is high. It has also been shown that evolutionary diversification can occur along nonequilibrium trajectories in phenotype space. We combine these lines of thinking by studying long-term coevolutionary dynamics of emerging lineages in multidimensional phenotype spaces. We use a statistical approach to investigate the evolutionary dynamics of many different systems. We find (1) that, for a given dimension of phenotype space, the coevolutionary dynamics tend to be fast and nonstationary for an intermediate number of coexisting lineages but tend to stabilize as the evolving communities reach a saturation level of diversity and (2) that the amount of diversity at the saturation level increases rapidly (exponentially) with the dimension of phenotype space. These results have implications for theoretical perspectives on major macroevolutionary patterns such as adaptive radiation, long-term temporal patterns of phenotypic changes, and the evolution of diversity.</t>
  </si>
  <si>
    <t>Ispolatov, Iaroslav/E-8544-2010</t>
  </si>
  <si>
    <t>Ispolatov, Iaroslav/0000-0002-0201-3396</t>
  </si>
  <si>
    <t>0003-0147</t>
  </si>
  <si>
    <t>1537-5323</t>
  </si>
  <si>
    <t>10.1086/689891</t>
  </si>
  <si>
    <t>WOS:000392385900004</t>
  </si>
  <si>
    <t>Cueva, CWF; Torres, SHM; Kern, MJ</t>
  </si>
  <si>
    <t>Patino, D; Yime, E</t>
  </si>
  <si>
    <t>Cueva, Wilson F. C.; Torres, Hugo M. S.; Kern, John M.</t>
  </si>
  <si>
    <t>7 DOF Industrial Robot Controlled by Hand Gestures Using Microsoft Kinect v2</t>
  </si>
  <si>
    <t>2017 IEEE 3RD COLOMBIAN CONFERENCE ON AUTOMATIC CONTROL (CCAC)</t>
  </si>
  <si>
    <t>3rd IEEE Colombian Conference on Automatic Control (CCAC)</t>
  </si>
  <si>
    <t>OCT 18-20, 2017</t>
  </si>
  <si>
    <t>Cartagena, COLOMBIA</t>
  </si>
  <si>
    <t>IEEE,IEEE Colombia Sect,IEEE Colombia Sect CSS Chapter</t>
  </si>
  <si>
    <t>This paper presents a control of a 7 degrees of freedom (7D0F) industrial robot using computer vision through Kinect v2. This project aims to facilitate the industrial process, improve safety, and include people with physical disabilities to control industrial robots by gestures recognition, using only the hands.</t>
  </si>
  <si>
    <t>Torres, Hugo/AAC-2017-2020</t>
  </si>
  <si>
    <t>978-1-5386-0398-7</t>
  </si>
  <si>
    <t>WOS:000427290700077</t>
  </si>
  <si>
    <t>García-Hermoso, A; Aguilar, MM; Vergara, FA; Velásquez, EJA; Marina, R</t>
  </si>
  <si>
    <t>Garcia-Hermoso, A.; Aguilar, M. M.; Vergara, F. A.; Velasquez, E. J. A.; Marina, R.</t>
  </si>
  <si>
    <t>Obesity, Cardiorespiratory Fitness, and Self-Reported Sleep Patterns in Chilean School-Aged Children</t>
  </si>
  <si>
    <t>BEHAVIORAL SLEEP MEDICINE</t>
  </si>
  <si>
    <t>The aims were to examine the association of sleep patterns with being overweight or obese and to analyze the association of cardiorespiratory fitness (CRF) with sleep patterns in children. The study involved 395 schoolchildren (12-13 years old). Sleep patterns were assessed with the Sleep Self-Report (SSR) questionnaire, grouped into four subscales: sleep quality, sleep-related anxiety, bedtime refusal, and sleep routines. CRF was predicted by the 20-m shuttle-run test. Logistic regression models showed that sleep-related anxiety problems predicted being overweight or obese in both sexes, and sleep quality problems predicted being overweight or obese in girls. Also, girls who had better CRF levels were less susceptible to sleep-related anxiety problems. Studies are required to determine if increasing CRF could be a possible strategy for improving sleep quality.</t>
  </si>
  <si>
    <t>García-Hermoso, Antonio/ADU-2591-2022; Garcia-Hermoso, Antonio/P-1857-2017</t>
  </si>
  <si>
    <t>Garcia-Hermoso, Antonio/0000-0002-1397-7182</t>
  </si>
  <si>
    <t>1540-2002</t>
  </si>
  <si>
    <t>1540-2010</t>
  </si>
  <si>
    <t>JAN-FEB</t>
  </si>
  <si>
    <t>10.1080/15402002.2015.1083023</t>
  </si>
  <si>
    <t>WOS:000386483000005</t>
  </si>
  <si>
    <t>Parra, M; Valenzuela, B; Soto, S; Modak, B</t>
  </si>
  <si>
    <t>Parra, Mick; Valenzuela, Beatriz; Soto, Sarita; Modak, Brenda</t>
  </si>
  <si>
    <t>Antibacterial activity of cuticular components from Heliotropium species, against Staphylococcus aureus and Salmonella tiphymurium</t>
  </si>
  <si>
    <t>BOLETIN LATINOAMERICANO Y DEL CARIBE DE PLANTAS MEDICINALES Y AROMATICAS</t>
  </si>
  <si>
    <t>In this communication the antibacterial activity of filifolinol (1), naringenin (2) 3-O-methylgalangin (3) and pinocembrin (4) isolated from the resinous exudates of Heliotropium filifolium and H. sinuatum, were evaluated by flow cytometry against Staphylococcus aureus and Salmonella tiphymurium. The results showed that filifolinol (1) and naringenin (2) were inactive in the range of concentrations used (10 to 1000 mu g/mL). On the other hand, pinocembrin (4) produced a decrease in cell surface at 500 mu g/mL and the total disappearance of both bacterial populations at 1000 mu g/mL. Also, 3-O-methylgalangin (3) showed the total disappearance at 1000 mu g/mL of both bacterial populations and a decrease at 200 mu g/mL for S. typhimurium and at 500 mu g/mL for S. aureus.</t>
  </si>
  <si>
    <t>0717-7917</t>
  </si>
  <si>
    <t>WOS:000392703100005</t>
  </si>
  <si>
    <t>Adasme, P; Lisser, A</t>
  </si>
  <si>
    <t>Adasme, Pablo; Lisser, Abdel</t>
  </si>
  <si>
    <t>A computational study for bilevel quadratic programs using semidefinite relaxations</t>
  </si>
  <si>
    <t>EUROPEAN JOURNAL OF OPERATIONAL RESEARCH</t>
  </si>
  <si>
    <t>In this paper, we deal with bilevel quadratic programming problems with binary decision variables in the leader problem and convex quadratic programs in the follower problem. For this purpose, we transform the bilevel problems into equivalent quadratic single level formulations by replacing the follower problem with the equivalent Karush Kuhn Tucker (KKT) conditions. Then, we use the single level formulations to obtain mixed integer linear programming (MILP) models and semidefinite programming (SDP) relaxations. Thus, we compute optimal solutions and upper bounds using linear programming (LP) and SDP relaxations. Our numerical results indicate that the SDP relaxations are considerably tighter than the LP ones. Consequently, the SDP relaxations allow finding tight feasible solutions for the problem. Especially, when the number of variables in the leader problem is larger than in the follower problem. Moreover, they are solved at a significantly lower computational cost for large scale instances. (C) 2016 Elsevier B.V. All rights reserved.</t>
  </si>
  <si>
    <t>0377-2217</t>
  </si>
  <si>
    <t>1872-6860</t>
  </si>
  <si>
    <t>OCT 1</t>
  </si>
  <si>
    <t>10.1016/j.ejor.2016.01.020</t>
  </si>
  <si>
    <t>WOS:000376817100002</t>
  </si>
  <si>
    <t>Zúñiga, C; Tasca, F; Calderon, S; Farías, D; Recio, FJ; Zagal, JH</t>
  </si>
  <si>
    <t>Zuniga, Cesar; Tasca, Federico; Calderon, Sebastian; Farias, Diego; Recio, Francisco J.; Zagal, Jose H.</t>
  </si>
  <si>
    <t>Reactivity indexes for the electrocatalytic oxidation of hydrogen peroxide promoted by several ligand-substituted and unsubstituted Co phthalocyanines adsorbed on graphite</t>
  </si>
  <si>
    <t>JOURNAL OF ELECTROANALYTICAL CHEMISTRY</t>
  </si>
  <si>
    <t>The electrocatalytic activity of metal phthalocyanines is controlled by their coordination chemistry and their ability to bind the reacting molecules as extra-planar ligands. This chemistry is controlled by the nature of both the metal and the ligand, the latter affecting the electron density located on the metal, which is the active site. In this work we have examined the,electrocatalytic activity of several Co phthalocyanines having electron-donating or electron withdrawing substituents on the ligand in order to modulate the electron density on the metal center and the binding energy of peroxide to the active site. We have found that the active species is Co(II) and the catalytic activity as logi at constant E varies linearly with E-circle', the Co(II)/(I) and Co(III)/(II) formal potentials of the catalyst. Essentially, these results indicate that in order to improve the electrocatalytic activity of Co phthalocyanines it is required to prepare complexes with ligands having more powerful electron-donating substituents, in order to shift the formal potential of the complex to more negative values and decrease the binding energy of peroxide to the metal. (C) 2015 Elsevier B.V. All rights reserved.</t>
  </si>
  <si>
    <t>Tasca, Federico/J-4134-2015; Recio, Francisco/AAB-2148-2020; Zúñiga-Loyola, César/AAN-5621-2021; zagal, jose/L-9648-2014</t>
  </si>
  <si>
    <t>Zagal, Jose/0000-0002-5276-1042; Zuniga-Loyola, Cesar/0000-0002-0894-3383; Recio, Francisco/0000-0002-5181-3197</t>
  </si>
  <si>
    <t>1572-6657</t>
  </si>
  <si>
    <t>1873-2569</t>
  </si>
  <si>
    <t>MAR 15</t>
  </si>
  <si>
    <t>10.1016/j.jelechem.2015.11.007</t>
  </si>
  <si>
    <t>WOS:000374605000005</t>
  </si>
  <si>
    <t>Barrientos, J; Nardi, HC</t>
  </si>
  <si>
    <t>Barrientos, Jaime; Nardi, Henrique Caetano</t>
  </si>
  <si>
    <t>Introduction: Sexual Minorities' Discrimination in Iberian and Latin American Countries</t>
  </si>
  <si>
    <t>JOURNAL OF HOMOSEXUALITY</t>
  </si>
  <si>
    <t>Barrientos, Jaime/GMW-8081-2022</t>
  </si>
  <si>
    <t>Barrientos, Jaime/0000-0001-8497-3552</t>
  </si>
  <si>
    <t>0091-8369</t>
  </si>
  <si>
    <t>1540-3602</t>
  </si>
  <si>
    <t>10.1080/00918369.2016.1222823</t>
  </si>
  <si>
    <t>WOS:000385933900001</t>
  </si>
  <si>
    <t>Durán, CA; Córdova, FM</t>
  </si>
  <si>
    <t>Dzitac, I; Filip, FG; Manolescu, MJ</t>
  </si>
  <si>
    <t>Duran, C. A.; Cordova, F. M.</t>
  </si>
  <si>
    <t>Analysis of Synergic Relationship in a Chilean Medium-Sized Port: an Approach from the Simulation of the Transformation Matrix of Eigenvalues</t>
  </si>
  <si>
    <t>2016 6TH INTERNATIONAL CONFERENCE ON COMPUTERS COMMUNICATIONS AND CONTROL (ICCCC)</t>
  </si>
  <si>
    <t>6th International Conference on Computers Communications and Control (ICCCC)</t>
  </si>
  <si>
    <t>MAY 10-14, 2016</t>
  </si>
  <si>
    <t>Oradea, ROMANIA</t>
  </si>
  <si>
    <t>IEEE,IEEE Reg 8,Agora Univ</t>
  </si>
  <si>
    <t>Ports can be considered as a mixed network composed of different stakeholders such as private service provider companies, public organizations, professional and social associations. Each of them has its own aims and the port community exercises the role of coordinator, taking on responsibility for governance. In general, the interaction among the different actors generates strategic synergy, contributing to the achievement of greater efficiency in the port system. This study presents a method to identify the degree of synergy in a Chilean medium-sized port in the context of a micro and macro environment. Synergy involves political, economic, social, technological and environmental factors, including risk and organizational learning, which are evaluated as a multi-criteria system. A diagnostic research is done, including stakeholders and associated experts' opinions, by applying a survey designed and based on an array of relationships among the actors. The results are processed to obtain the eigenvalues and eigenvectors of the matrix, which are interpreted as linear dependence/independence strategic relationships among the actors involved. To analyze the information obtained from the survey, a Correlation Matrix is created where we can identify synergy relationships. So, degrees of synergy between the Port Community and the other actors that integrate the Chilean medium-sized port system are explored. As a conclusion, a direct relationship exists between the degree of strategic synergy and the actors' linkage to port operational activities.</t>
  </si>
  <si>
    <t>CORDOVA, FELISA/S-1093-2019; Duran, Claudia/S-1175-2019</t>
  </si>
  <si>
    <t>CORDOVA, FELISA/0000-0002-5557-8569</t>
  </si>
  <si>
    <t>978-1-5090-1735-5</t>
  </si>
  <si>
    <t>WOS:000391251000030</t>
  </si>
  <si>
    <t>Horvath, C; Arratia, C; Cordero, ML</t>
  </si>
  <si>
    <t>Horvath, Camila; Arratia, Cristobal; Luisa Cordero, Maria</t>
  </si>
  <si>
    <t>Measurement of the dispersion relation of a convectively unstable capillary jet under confinement</t>
  </si>
  <si>
    <t>PHYSICS OF FLUIDS</t>
  </si>
  <si>
    <t>The dispersion relation of a confined capillary jet with negligible inertia is measured by Fourier analysis of the jet radius. The real part of the dispersion relation, obtained through the spatiotemporal Fourier spectrum, demonstrates that the phase velocity is independent of the perturbation frequency, at least in the accessible range of frequencies. The imaginary part of the dispersion relation, i.e., the spatial growth rate, is frequency dependent. To measure this dependence, an external forcing is used to amplify modes with different frequencies. The spatial growth rate is then obtained from the exponential growth of the corresponding Fourier mode. The phase velocity and the spatial growth rate are found to increase and decrease, respectively, with the capillary number and to depend only weakly on the degree of confinement. These observations are consistent with a spatial instability that convects the perturbations downstream with velocity proportional to the capillary number. The frequency of the dominant mode in the absence of forcing, on the contrary, depends mainly on the degree of confinement, i.e., on the jet diameter, and only weakly on the capillary number, which is consistent with the mode selection of the Rayleigh-Plateau instability. Experimental measurements are compared to predicted dispersion relations reported in the literature, and good qualitative agreement is observed. (C) 2015 AIP Publishing LLC.</t>
  </si>
  <si>
    <t>Cordero, Maria/A-5302-2013; Arratia, Cristobal/G-5376-2015</t>
  </si>
  <si>
    <t>Cordero, Maria Luisa/0000-0002-5601-6103; Horvath Godoy, Camila/0000-0002-8147-0631; Arratia, Cristobal/0000-0001-8784-5847</t>
  </si>
  <si>
    <t>1070-6631</t>
  </si>
  <si>
    <t>1089-7666</t>
  </si>
  <si>
    <t>10.1063/1.4935699</t>
  </si>
  <si>
    <t>WOS:000365687400022</t>
  </si>
  <si>
    <t>Espinoza-Salinas, A; Zafra-Santos, E; Martens, GPV; Cofré-Bolados, C; Lemus-Zúñiga, J; Sanchez-Aguilera, P</t>
  </si>
  <si>
    <t>Espinoza-Salinas, Alexis; Zafra-Santos, Edson; Martens, Gustavo Pavez-Von; Cofre-Bolados, Cristian; Lemus-Zuniga, Jorge; Sanchez-Aguilera, Pablo</t>
  </si>
  <si>
    <t>Heart rate variability and insulin resistance among obese males</t>
  </si>
  <si>
    <t>Background: Heart rate variability analysis provides quantitative information about vagal and sympathetic modulation of cardiac function. Aim: To analyze the relationship between heart rate variability and insulin resistance in obese patients. Material and Methods: Male participants were studied, divided in 10 obese subjects aged 27 +/- 2 years with a body mass index (BMI) of 31.2 +/- 1.3 kg/m(2), 15 overweight subjects aged 24 +/- 3 years with a BMI of 26.7 +/- 1.5 kg/m(2) and 14 normal weight subjects aged 21 +/- 2 years with a BMI of 22.5 +/- 1.3 kg/m(2). Resting heart rate variability was measured in a period of 5 minutes. A spectral analysis was done measuring the low frequency/high frequency ratio (LF/HF). A non-linear analysis was carried out measuring the standard deviation of the instantaneous variation of RR intervals (SD1) and alpha-1 or a fractal analysis of RR interval complexity. A fasting blood sample was obtained to measure blood glucose and insulin and calculate the homeostasis model assessment for insulin resistance (HOMA-IR). Results: Among obese subjects HOMA-IR, LF/HF, a-1 and SD1 values were 2.6 +/- 2.1, 2.4 +/- 1.8, 1.2 +/- 0.06 and 22.5 +/- 10 respectively. The figures for normal weight subjects were 0.5 +/- 0.1, 1.3 +/- 0.2, 0.9 +/- 0.3 and 26 +/- 7.8 respectively. Conclusions: There is an association between spectral and fractal values of heart rate variability and HOMA-IR. These results may indicate a predominance of sympathetic control of heart rate among obese subjects.</t>
  </si>
  <si>
    <t>Sanchez-Aguilera, Pablo/K-4010-2015</t>
  </si>
  <si>
    <t>Sanchez-Aguilera, Pablo/0000-0001-9207-2500; Espinoza-Salinas, Alexis/0000-0001-9709-2850</t>
  </si>
  <si>
    <t>10.4067/S0034-98872015000900005</t>
  </si>
  <si>
    <t>WOS:000365247800005</t>
  </si>
  <si>
    <t>Coitiño, EL; Mella, A; Cárdenas-Jirón, GI</t>
  </si>
  <si>
    <t>Coitino, E. Laura; Mella, Andy; Cardenas-Jiron, Gloria I.</t>
  </si>
  <si>
    <t>Theoretical assessment of the photosensitization mechanisms of porphyrin-ruthenium(II) complexes for the formation of reactive oxygen species</t>
  </si>
  <si>
    <t>JOURNAL OF PHOTOCHEMISTRY AND PHOTOBIOLOGY A-CHEMISTRY</t>
  </si>
  <si>
    <t>Following a thermodynamics point of view, we analyzed a set of photosensitization mechanisms (energy transfer, electron transfer) given by seven reactions applied to porphyrin-ruthenium(II) complexes (1-6) and their fragments (ruthenium complexes: 7-12; porphyrin: 13) at the B3LYP/6-31G(d,p)/LANL2DZ level of theory in condensed phase (aqueous solution). We found that whereas for the fragments (7-13) an energy-transfer process between their first triplet excited state (T-1) and molecular oxygen (O-3(2)) to yield singlet oxygen (O-1(2)) is favored, the privileged channels for the photosensitizers (1-6) correspond to production of a superoxide anion radical (O-2(center dot-)) by electron transfer between O-3(2) and the photosensitizers (P) either in their P(T-1) excited state or as a radical anion P center dot- . The reaction channels involving P center dot- are more exergonic by 13-17 kcal/mol with respect to the process involving P(T-1). These results suggest that the anionic photosensitizer would likely acquire more importance for the photodamage in the cell. (C) 2014 Elsevier B.V. All rights reserved.</t>
  </si>
  <si>
    <t>Mella Orellana, Andy/E-8251-2013; Cardenas-Jiron, Gloria/H-9508-2012; Coitino, E. Laura/A-8101-2016</t>
  </si>
  <si>
    <t>Mella, Andy/0000-0001-8143-8482; Cardenas-Jiron, Gloria/0000-0003-4305-8088; Coitino, E. Laura/0000-0002-6214-2413</t>
  </si>
  <si>
    <t>1010-6030</t>
  </si>
  <si>
    <t>1873-2666</t>
  </si>
  <si>
    <t>10.1016/j.jphotochem.2014.08.003</t>
  </si>
  <si>
    <t>WOS:000343353000009</t>
  </si>
  <si>
    <t>Henríquez, HR; Cuevas, C</t>
  </si>
  <si>
    <t>Henriquez, Hernan R.; Cuevas, Claudio</t>
  </si>
  <si>
    <t>Approximate controllability of second-order distributed systems</t>
  </si>
  <si>
    <t>In this paper, we study the approximate controllability of control systems with state and control in Banach spaces and described by a second-order semilinear abstract differential equation. We compare the approximate controllability of the system with the approximate controllability of an associated discrete system. Copyright (C) 2013 John Wiley &amp; Sons, Ltd.</t>
  </si>
  <si>
    <t>Cuevas, Claudio/A-5896-2012</t>
  </si>
  <si>
    <t>10.1002/mma.2983</t>
  </si>
  <si>
    <t>WOS:000343835100004</t>
  </si>
  <si>
    <t>Bochi, J; Navas, A</t>
  </si>
  <si>
    <t>Bochi, Jairo; Navas, Andres</t>
  </si>
  <si>
    <t>Almost reduction and perturbation of matrix cocycles</t>
  </si>
  <si>
    <t>ANNALES DE L INSTITUT HENRI POINCARE-ANALYSE NON LINEAIRE</t>
  </si>
  <si>
    <t>In this note, we show that if all Lyapunov exponents of a matrix cocycle vanish, then it can be perturbed to become cohomologous to a cocycle taking values in the orthogonal group. This extends a result of Avila, Bochi and Damanik to general base dynamics and arbitrary dimension. We actually prove a fibered version of this result, and apply it to study the existence of dominated splittings into conformal subbundles for general matrix cocycles. (C) 2013 Elsevier Masson SAS. All rights reserved.</t>
  </si>
  <si>
    <t>; Bochi, Jairo/G-2223-2012</t>
  </si>
  <si>
    <t>Navas Flores, Andres Ignacio/0000-0002-0853-5136; Bochi, Jairo/0000-0003-2833-9957</t>
  </si>
  <si>
    <t>0294-1449</t>
  </si>
  <si>
    <t>1873-1430</t>
  </si>
  <si>
    <t>10.1016/j.anihpc.2013.08.004</t>
  </si>
  <si>
    <t>WOS:000346550400001</t>
  </si>
  <si>
    <t>Giustinianovich, EA; Aspé, ER; Huiliñir, CE; Roeckel, MD</t>
  </si>
  <si>
    <t>Giustinianovich, Elisa A.; Aspe, Estrella R.; Huilinir, Cesar E.; Roeckel, Marlene D.</t>
  </si>
  <si>
    <t>Simultaneous C and N removal from saline salmon effluents in filter reactors comprising anoxic-anaerobic-aerobic processes: Effect of recycle ratio</t>
  </si>
  <si>
    <t>JOURNAL OF ENVIRONMENTAL SCIENCE AND HEALTH PART A-TOXIC/HAZARDOUS SUBSTANCES &amp; ENVIRONMENTAL ENGINEERING</t>
  </si>
  <si>
    <t>Salmon processing generates saline effluents with high protein load. To treat these effluents, three compact tubular filter reactors were installed and an integrated anoxic/anaerobic/aerobic process was developed with recycling flow from the reactor's exit to the inlet stream in order to save organic matter (OM) for denitrification. The reactors were aerated in the upper section with recycle ratios (RR) of 0, 2, and 10, respectively, at 30 degrees C. A tubular reactor behave as a plug flow reactor when RR = 0, and as a mixed flow reactor when recycle increases, thus, different RR values were used to evaluate how it affects the product distribution and the global performance. Diluted salmon process effluent was prepared as substrate. Using loads of 1.0kg COD m(-3)d(-1) and 0.15kg total Kjeldahl nitrogen (TKN) m(-3)d(-1) at HRT of 2 d, 100% removal efficiencies for nitrite and nitrate were achieved in the anoxic-denitrifying section without effect of the dissolved oxygen in the recycled flow on denitrification. Removals &gt;98% for total organic carbon (TOC) was achieved in the three reactors. The RR had no effect on the TOC removal; nevertheless a higher efficiency in total nitrogen removal in the reactor with the highest recycle ratio was observed: 94.3% for RR = 10 and 46.6% for RR = 2. Results showed that the proposed layout with an alternative distribution in a compact reactor can efficiently treat high organic carbon and nitrogen concentrations from a saline fish effluent with OM savings in denitrification.</t>
  </si>
  <si>
    <t>Huilinir, Cesar/IYS-6899-2023; Roeckel, Marlene/AGL-0396-2022</t>
  </si>
  <si>
    <t>Huilinir, Cesar/0000-0002-3487-684X; Roeckel, Marlene/0000-0001-7346-2829</t>
  </si>
  <si>
    <t>1093-4529</t>
  </si>
  <si>
    <t>1532-4117</t>
  </si>
  <si>
    <t>APR 16</t>
  </si>
  <si>
    <t>10.1080/10934529.2014.859462</t>
  </si>
  <si>
    <t>WOS:000329779800010</t>
  </si>
  <si>
    <t>Romeo, JS; Tanaka, NI; Pedroso-de-Lima, AC; Salinas-Torres, VH</t>
  </si>
  <si>
    <t>Romeo, Jose S.; Tanaka, Nelson I.; Pedroso-de-Lima, Antonio C.; Salinas-Torres, Victor H.</t>
  </si>
  <si>
    <t>Large sample properties for a class of copulas in bivariate survival analysis</t>
  </si>
  <si>
    <t>METRIKA</t>
  </si>
  <si>
    <t>This work is concerned with asymptotic properties of the bivariate survival function estimator using the functional relationship between marginal survival functions and a class of copulas for the dependence structure. Specifically, we study consistency and weak convergence of the bivariate survival function estimator obtained considering a two-step procedure of estimation. The obtained results are found from a key decomposition of the bivariate survival function in quantities that can be studied separately. In particular, we use relating results to almost sure and weak convergence of estimators, almost sure convergence of uniformly equicontinuous functions, and the delta method for functionals.</t>
  </si>
  <si>
    <t>Pedroso-de-Lima, Antonio/C-2475-2012; Romeo, Jose/J-6496-2019</t>
  </si>
  <si>
    <t>Romeo, Jose/0000-0002-6707-3429</t>
  </si>
  <si>
    <t>0026-1335</t>
  </si>
  <si>
    <t>1435-926X</t>
  </si>
  <si>
    <t>10.1007/s00184-012-0428-2</t>
  </si>
  <si>
    <t>WOS:000326091600001</t>
  </si>
  <si>
    <t>Heredero, RH; Reyes, EG</t>
  </si>
  <si>
    <t>Hernandez Heredero, Rafael; Reyes, Enrique G.</t>
  </si>
  <si>
    <t>NONLOCAL SYMMETRIES, COMPACTON EQUATIONS, AND INTEGRABILITY</t>
  </si>
  <si>
    <t>INTERNATIONAL JOURNAL OF GEOMETRIC METHODS IN MODERN PHYSICS</t>
  </si>
  <si>
    <t>We review the theory of nonlocal symmetries of nonlinear partial differential equations and, as examples, we present infinite-dimensional Lie algebras of nonlocal symmetries of the Fokas-Qiao and Kaup-Kupershmidt equations. Then, we consider nonlocal symmetries of a family which contains the Korteweg-de Vries (KdV) and (a subclass of) the Rosenau-Hyman compacton-bearing K(m, n) equations. We find that the only member of the family which possesses nonlocal symmetries (of a kind specified in Sec. 3 below) is precisely the KdV equation. We take this fact as an indication that the K(m, n) equations are not integrable in general, and we use the formal symmetry approach of Shabat to check this claim: we prove that the only integrable cases of the full K(m, n) family are the KdV and modified KdV equations.</t>
  </si>
  <si>
    <t>Heredero, Rafael/H-4798-2015; Reyes, Enrique/AAD-1308-2019</t>
  </si>
  <si>
    <t>Reyes, Enrique G./0000-0001-8460-444X</t>
  </si>
  <si>
    <t>0219-8878</t>
  </si>
  <si>
    <t>1793-6977</t>
  </si>
  <si>
    <t>10.1142/S0219887813500461</t>
  </si>
  <si>
    <t>WOS:000324251100012</t>
  </si>
  <si>
    <t>Lizama, C; Ponce, R</t>
  </si>
  <si>
    <t>Lizama, Carlos; Ponce, Rodrigo</t>
  </si>
  <si>
    <t>MAXIMAL REGULARITY FOR DEGENERATE DIFFERENTIAL EQUATIONS WITH INFINITE DELAY IN PERIODIC VECTOR-VALUED FUNCTION SPACES</t>
  </si>
  <si>
    <t>PROCEEDINGS OF THE EDINBURGH MATHEMATICAL SOCIETY</t>
  </si>
  <si>
    <t>Let A and M be closed linear operators defined on a complex Banach space X and let a is an element of L-1(R+) be a scalar kernel. We use operator-valued Fourier multipliers techniques to obtain necessary and sufficient conditions to guarantee the existence and uniqueness of periodic solutions to the equation d/dt (Mu(t)) = Au(t) + integral(t)(-infinity) a(t - s)Au(s)ds + f(t), t &gt; 0, with initial condition Mu(0) = Mu(2 pi), solely in terms of spectral properties of the data. Our results are obtained in the scales of periodic Besov, Triebel-Lizorkin and Lebesgue vector-valued function spaces.</t>
  </si>
  <si>
    <t>; Lizama, Carlos/E-5909-2011</t>
  </si>
  <si>
    <t>Ponce, Rodrigo/0000-0002-1337-8083; Lizama, Carlos/0000-0002-9807-1100</t>
  </si>
  <si>
    <t>0013-0915</t>
  </si>
  <si>
    <t>10.1017/S0013091513000606</t>
  </si>
  <si>
    <t>WOS:000323890600011</t>
  </si>
  <si>
    <t>Hirsch, S; Miranda, D; Muñoz, E; Montoya, M; Ronco, AM; de la Maza, MP; Bunout, D</t>
  </si>
  <si>
    <t>Hirsch, Sandra; Miranda, Dante; Munoz, Estefania; Montoya, Margarita; Maria Ronco, Ana; Pia de la Maza, Maria; Bunout, Daniel</t>
  </si>
  <si>
    <t>Natural killer cell cytotoxicity is not regulated by folic acid in vitro</t>
  </si>
  <si>
    <t>NUTRITION</t>
  </si>
  <si>
    <t>Objectives: Folate supplementation may be associated with an increased risk of developing several types of cancer and a derangement of immune function. Among the latter, Natural killer (NK) cells are involved in non-MHC-restricted natural immunity against malignant target cells. Abnormalities in NK cell number or function have been associated with a higher cancer risk. The aim of this study was to study in vitro the possible effect of different concentrations of 5-methyltetrahydrofolic acid (5-MTHF) or folic acid on NK cell cytotoxic function, and expression of the stimulatory and inhibitory receptors KIRDL4, KIRDL3, and NKG2D. Methods: Volunteer-derived peripheral mononuclear cells (PBMC) and highly enriched NK cells (95% CD56+ CD16+) were grown in folic acid free-RPMI 1640, supplemented either with folic acid or 5-MTHF (15-100 nM) during 72 h to 96 h. Results: No differences in the cytolytic activity of PBMC and enriched NK cells were observed. After 96 h of in vitro culture without folate or supplemented with FA or 5-MTHF (30 or 100 nM), there were no changes in the percentage of HPNK receptor-positive cells. Conclusions: Our data indicate that a high dose of 5-MTHF or folic acid does not influence NK cell function in vitro. (C) 2013 Elsevier Inc. All rights reserved.</t>
  </si>
  <si>
    <t>Ronco, Ana/F-9393-2015; Hirsch, Sandra/R-2431-2016</t>
  </si>
  <si>
    <t>Montoya, Margarita/0000-0002-6268-1118</t>
  </si>
  <si>
    <t>0899-9007</t>
  </si>
  <si>
    <t>1873-1244</t>
  </si>
  <si>
    <t>10.1016/j.nut.2012.10.006</t>
  </si>
  <si>
    <t>WOS:000318189600013</t>
  </si>
  <si>
    <t>Henríquez, HR; Pierri, M</t>
  </si>
  <si>
    <t>Henriquez, Hernan R.; Pierri, Michelle</t>
  </si>
  <si>
    <t>Approximate Controllability of Systems Determined by Almost Sectorial Operators</t>
  </si>
  <si>
    <t>ZEITSCHRIFT FUR ANALYSIS UND IHRE ANWENDUNGEN</t>
  </si>
  <si>
    <t>In this work we study the approximate controllability of first order linear and semi-linear abstract control systems described by an almost sectorial operator.</t>
  </si>
  <si>
    <t>Pierri, Michelle/I-6440-2012</t>
  </si>
  <si>
    <t>Pierri, Michelle/0000-0002-8221-3637</t>
  </si>
  <si>
    <t>0232-2064</t>
  </si>
  <si>
    <t>1661-4534</t>
  </si>
  <si>
    <t>10.4171/ZAA/1481</t>
  </si>
  <si>
    <t>WOS:000320488000005</t>
  </si>
  <si>
    <t>Martínez, LO</t>
  </si>
  <si>
    <t>Ortega Martinez, Luis</t>
  </si>
  <si>
    <t>The Crisis of 1914-1924 and the Industrial Sector in Chile</t>
  </si>
  <si>
    <t>The First World War delivered a severe blow to the already unstable Chilean economy and inaugurated a long and protracted critical period, which ended only in the mid 1930s. Which not only caused the collapse of the export sector, but it also meant an end to the very foundations of the growth model that had been implemented since the 1830s. The decision made by the Chilean leadership after the War of the Pacific (in the early 1880s) to transform the country into a mono-export economy is one of the factors that explain the chaotic postwar situation- insofar as the country became exposed and vulnerable to the ups and downs of the international economy. Yet most of the economic troubles were created domestically, particularly by the economic policies implemented both by Congress and the government. But while external factors (World War One in particular) created incentives for import substitution, the management of the economy created obstacles, which were only removed after the political crisis of 1924 that signaled the beginning of the end of the traditional order. In that context, the necessity to develop the manufacturing industry gradually became an option for the country's development and growth. This process was carried out by the middle class and became consolidated by the mid 1920s.</t>
  </si>
  <si>
    <t>0073-2435</t>
  </si>
  <si>
    <t>WOS:000313850900003</t>
  </si>
  <si>
    <t>Huiliñir, C; Hernández, S; Aspé, E; Roeckel, M</t>
  </si>
  <si>
    <t>Huilinir, C.; Hernandez, S.; Aspe, E.; Roeckel, M.</t>
  </si>
  <si>
    <t>Simultaneous nitrate and organic matter removal from salmon industry wastewater: The effect of C/N ratio, nitrate concentration and organic load rate on batch and continuous process</t>
  </si>
  <si>
    <t>JOURNAL OF ENVIRONMENTAL MANAGEMENT</t>
  </si>
  <si>
    <t>Although simultaneous denitrification-anaerobic digestion has been studied extensively, the use of salmon effluents as organic matter source has received little attention. This study evaluated the effect of C/N ratio, nitrate concentration, and organic load rate (OLR) on simultaneous nitrate and organic matter removal using salmon effluents. The study was carried out in a batch reactor with suspended biomass at 37 degrees C and pH 7.5, and in continuous biofilm tubular reactors at 37 degrees C fed with a mixture of a synthetic substrate and a saline protein-rich salmon-plant effluent. The results of the batch and continuous experiments showed that nitrate abatement was greater than 95% at all the studied C/N ratios, without effect of the C/N ratio on NO3--N transformation and ammonia production. An increase of nitrate concentration increased organic matter consumption as well as the hydrolytic rate. The organic matter reduction varied between 88% and 40% in the continuous process. For a continuous process, the increase of the OLR decreases the removal of organic matter. (c) 2012 Elsevier Ltd. All rights reserved.</t>
  </si>
  <si>
    <t>Roeckel, Marlene/AGL-0396-2022; Huilinir, Cesar/IYS-6899-2023</t>
  </si>
  <si>
    <t>0301-4797</t>
  </si>
  <si>
    <t>1095-8630</t>
  </si>
  <si>
    <t>JUN 30</t>
  </si>
  <si>
    <t>10.1016/j.jenvman.2012.02.015</t>
  </si>
  <si>
    <t>WOS:000303306800011</t>
  </si>
  <si>
    <t>Alvarez-Pardo, E; Lizama, C</t>
  </si>
  <si>
    <t>Alvarez-Pardo, Edgardo; Lizama, Carlos</t>
  </si>
  <si>
    <t>The Maximal Subspace for Generation of (a, k)-Regularized Families</t>
  </si>
  <si>
    <t>ABSTRACT AND APPLIED ANALYSIS</t>
  </si>
  <si>
    <t>Let A be a linear operator in a Banach space X. We define a subspace of X and a norm such that the part of A in such subspace generates an (a, k)-regularized resolvent family. This space is maximal-unique in a suitable sense and nontrivial, under certain conditions on the kernels a and k.</t>
  </si>
  <si>
    <t>Alvarez, Edgardo/0000-0003-2699-398X; Lizama, Carlos/0000-0002-9807-1100</t>
  </si>
  <si>
    <t>1085-3375</t>
  </si>
  <si>
    <t>10.1155/2012/683021</t>
  </si>
  <si>
    <t>WOS:000311167400001</t>
  </si>
  <si>
    <t>Urzúa, A; Di Cosmo, D; Echeverría, J; Santander, R; Palacios, SM; Rossi, Y</t>
  </si>
  <si>
    <t>Urzua, Alejandro; Di Cosmo, Dania; Echeverria, Javier; Santander, Rocio; Palacios, Sara M.; Rossi, Yanina</t>
  </si>
  <si>
    <t>Insecticidal Effect of Schinus latifolius Essential Oil on the Housefly, Musca domestica L.</t>
  </si>
  <si>
    <t>The composition of essential oil (EO) from Schinus latifolius obtained by hydro distillation of dry leaves was analyzed using gas chromatography (GC-FID) and gas chromatography/mass spectroscopy (GC/MS). The insecticidal effect of the oil on the house fly Musca domestica was evaluated by placing flies in a sealed glass jar containing a piece of EO-treated cotton yarn. The dose necessary to kill 50% of flies (LC50) in 0.5 and 1 h was determined at 26 +/- 1 degrees C. The essential oil from Schinus latifolius showed significant insecticidal properties [LC50 = 31.98 mg/dm(3) (0.5 h) and LC50 = 19.20 mg/dm(3) (1 h)]. According to GC-FID and GC/MS analysis a total of 54 compounds were identified accounting for 99.45% of the EO, with limonene (50.23%); a-pinene (15.01%); beta-pinene (11.81%); sabinene (4.71%) and alpha-thujene (2.18%) as the main components. The EO from Schinus latifolius appears promising as a natural insecticide against houseflies. The composition of the Schinus latifolius essential oil reported in this study is different to that reported in other publications. The most important characteristic is the high content of limonene (50.23%), which can be attributed to the time of year and the geographic location of the sampled plants.</t>
  </si>
  <si>
    <t>Santander, Rocio/K-7645-2013; Echeverría, Javier/AAK-3323-2020</t>
  </si>
  <si>
    <t>Echeverria, Javier/0000-0002-1688-968X; Urzua, Alejandro/0000-0003-2638-0921; ROSSI, YANINA E/0000-0002-7500-0051</t>
  </si>
  <si>
    <t>WOS:000297723700010</t>
  </si>
  <si>
    <t>Lizama, C; N'Guérékata, GM</t>
  </si>
  <si>
    <t>Lizama, Carlos; N'Guerekata, Gaston M.</t>
  </si>
  <si>
    <t>Bounded Mild Solutions for Semilinear Integro Differential Equations in Banach Spaces</t>
  </si>
  <si>
    <t>In this paper we study the structure of various classes of spaces of vector-valued functions M(R; X) ranging between periodic functions and bounded continuous functions. Some of these functions are introduced here for the first time. We propose a general operator theoretical approach to study a class of semilinear integro-differential equations. The results obtained are new and they recover, extend or improve variety of recent works.</t>
  </si>
  <si>
    <t>N'Guerekata, Gaston/KMY-1806-2024; Lizama, Carlos/E-5909-2011</t>
  </si>
  <si>
    <t>10.1007/s00020-010-1799-2</t>
  </si>
  <si>
    <t>WOS:000282048600004</t>
  </si>
  <si>
    <t>Griffiths, S; Ayrault, C</t>
  </si>
  <si>
    <t>Griffiths, S.; Ayrault, C.</t>
  </si>
  <si>
    <t>Influence of gas law on ultrasonic behaviour of porous media under pressure</t>
  </si>
  <si>
    <t>ULTRASONICS</t>
  </si>
  <si>
    <t>This paper deals with the influence of gas law on ultrasonic behaviour of porous media when the saturating fluid is high pressured. Previous works have demonstrated that ultrasonic transmission through a porous sample with variations of the static pressure (up to 18 bars) of the saturating fluid allows the characterization of high damping materials. In these studies, the perfect gas law was used to link static pressure and density, which is disputable for high pressures. This paper compares the effects of real and perfect gas laws on modeled transmission coefficient for porous foams at these pressures. Direct simulations and a mechanical parameters estimation from minimization show that results are very similar in both cases. The real gas law is thus not necessary to describe the acoustic behaviour of porous media at low ultrasonic frequencies (100 kHz) up to 20 bars. (C) 2010 Elsevier B. V. All rights reserved.</t>
  </si>
  <si>
    <t>0041-624X</t>
  </si>
  <si>
    <t>1874-9968</t>
  </si>
  <si>
    <t>10.1016/j.ultras.2010.02.003</t>
  </si>
  <si>
    <t>WOS:000277693300001</t>
  </si>
  <si>
    <t>Cortez, MI; Rivera-Letelier, J</t>
  </si>
  <si>
    <t>Isabel Cortez, Maria; Rivera-Letelier, Juan</t>
  </si>
  <si>
    <t>Invariant measures of minimal post-critical sets of logistic maps</t>
  </si>
  <si>
    <t>ISRAEL JOURNAL OF MATHEMATICS</t>
  </si>
  <si>
    <t>We construct logistic maps whose restriction to the omega-limit set of its critical point is a minimal Cantor system having a prescribed number of distinct ergodic and invariant probability measures. In fact, we show that every metrizable Choquet simplex whose set of extreme points is compact and totally disconnected can be realized as the set of invariant probability measures of a minimal Cantor system corresponding to the restriction of a logistic map to the omega-limit set of its critical point. Furthermore, we show that such a logistic map f can be taken so that each such invariant measure has zero Lyapunov exponent and is an equilibrium state of f for the potential -ln |f'|.</t>
  </si>
  <si>
    <t>Cortez, Maria Isabel/0000-0002-1819-032X</t>
  </si>
  <si>
    <t>0021-2172</t>
  </si>
  <si>
    <t>10.1007/s11856-010-0024-y</t>
  </si>
  <si>
    <t>WOS:000278523700007</t>
  </si>
  <si>
    <t>Bubnovich, V; Toledo, M; Henríquez, L; Rosas, C; Romero, J</t>
  </si>
  <si>
    <t>Bubnovich, Valeri; Toledo, Mario; Henriquez, Luis; Rosas, Cesar; Romero, Julio</t>
  </si>
  <si>
    <t>Flame stabilization between two beds of alumina balls in a porous burner</t>
  </si>
  <si>
    <t>Conditions for flame stabilization in a porous media combustor formed by two beds of different sizes of alumina balls were studied. Premixed combustion of lean methane-air mixtures were used as variables. Measurements performed included temperature profiles and chemical products compositions. Stabilized flames were observed in the range of volumetric flow rate from 7.01 l/min to 19.00 l/min at equivalence ratio of phi = 0.6 and phi = 0.7. Low pollutants emissions were found in the entire operation range. (C) 2009 Published by Elsevier Ltd.</t>
  </si>
  <si>
    <t>Henríquez-Vargas, Luis/Q-3617-2019; Romero, Julio/I-6705-2013; Toledo, Mario/Q-4859-2019</t>
  </si>
  <si>
    <t>Romero, Julio/0000-0002-1229-1592; Toledo, Mario/0000-0001-6443-9256</t>
  </si>
  <si>
    <t>2-3</t>
  </si>
  <si>
    <t>10.1016/j.applthermaleng.2009.04.001</t>
  </si>
  <si>
    <t>WOS:000272001100003</t>
  </si>
  <si>
    <t>Choquet simplices as spaces of invariant probability measures on post-critical sets</t>
  </si>
  <si>
    <t>A well-known consequence of the ergodic decomposition theorem is that the space of invariant probability Measures of a topological dynamical system, endowed with the weak* topology, is a non-empty metrizable Choquet simplex. We show that every non-empty metrizable Choquet simplex arises as the space of invariant probability measures oil the post-critical set of a logistic map. Here. the post-critical set of a logistic map is the omega-limit set of its unique critical point. In fact we show the logistic map f can be taken in such a way that its post-critical set is a Cantor set where f is minimal, and Such that each invariant probability measure oil this set has zero Lyapunov exponent, and is,in equilibrium state for the potential - In vertical bar f'vertical bar. (C) 2009 Elsevier Masson SAS. All rights reserved.</t>
  </si>
  <si>
    <t>10.1016/j.anihpc.2009.07.008</t>
  </si>
  <si>
    <t>WOS:000274146700006</t>
  </si>
  <si>
    <t>Correa, F; Dunne, GV; Plyushchay, MS</t>
  </si>
  <si>
    <t>Correa, Francisco; Dunne, Gerald V.; Plyushchay, Mikhail S.</t>
  </si>
  <si>
    <t>The Bogoliubov-de Gennes system, the AKNS hierarchy, and nonlinear quantum mechanical supersymmetry</t>
  </si>
  <si>
    <t>ANNALS OF PHYSICS</t>
  </si>
  <si>
    <t>We show that the Ginzburg-Landau expansion of the grand potential for the Bogoliubov-de Gennes Hamiltonian is determined by the integrable nonlinear equations of the AKNS hierarchy, and that this provides the natural mathematical framework for a hidden nonlinear quantum mechanical supersymmetry underlying the dynamics. (C) 2009 Elsevier Inc. All rights reserved.</t>
  </si>
  <si>
    <t>Correa, Francisco/S-4564-2018</t>
  </si>
  <si>
    <t>Correa, Francisco/0000-0003-1735-2822</t>
  </si>
  <si>
    <t>0003-4916</t>
  </si>
  <si>
    <t>1096-035X</t>
  </si>
  <si>
    <t>10.1016/j.aop.2009.06.005</t>
  </si>
  <si>
    <t>WOS:000272102800006</t>
  </si>
  <si>
    <t>Cuevas, C; Lizama, C</t>
  </si>
  <si>
    <t>Cuevas, Claudio; Lizama, Carlos</t>
  </si>
  <si>
    <t>Well Posedness for a Class of Flexible Structure in Holder Spaces</t>
  </si>
  <si>
    <t>We characterize well-posedness in Holder spaces for an abstract version of the equation (*) u '' + lambda u ''' = c(2) (Delta u + mu Delta u') + f which model the vibrations of flexible structures possessing internal material damping and external force f. As a consequence, we show that in case of the Laplacian with Dirichlet boundary conditions, equation (*) is always well-posed provided 0 &lt; lambda &lt; mu. Copyright (C) 2009 C. Cuevas and C. Lizama.</t>
  </si>
  <si>
    <t>10.1155/2009/358329</t>
  </si>
  <si>
    <t>WOS:000267562800001</t>
  </si>
  <si>
    <t>Salazar, JL; Magne, L; Acuña, G; Cubillos, F</t>
  </si>
  <si>
    <t>Salazar, J. L.; Magne, L.; Acuna, G.; Cubillos, F.</t>
  </si>
  <si>
    <t>Dynamic modelling and simulation of semi-autogenous mills</t>
  </si>
  <si>
    <t>MINERALS ENGINEERING</t>
  </si>
  <si>
    <t>This paper presents a dynamic simulator of the semi-autogenous grinding operation deduced from first principles coupled to an on-line parameter estimation scheme able to simulate industrial operations for control purposes. Model equations are based on conventional non-stationary population balance approach to develop the necessary dynamic model of the semi-autogenous mill operation. The model is able to predict the time-evolution of key operating variables such as product flow rate, level charge, power-draw and load position. as function of other important variables such as mill rotational speed and fresh feed characteristics. The set of ordinary differential equations was solved using MATLAB/SIMULINK as a graphic programming platform, a very helpful tool for understanding the grinding phenomenon. Using an on-line parameter estimator, the simulator was tested and validated at an 1800 t/h copper-ore mill showing the effectiveness of the system to track the dynamic behaviour of the variables. It is now being used for the study of advanced control schemes. (C) 2008 Elsevier Ltd. All rights reserved.</t>
  </si>
  <si>
    <t>Magne, Luis/AAF-3890-2021; Salazar, Jose/KHC-7260-2024</t>
  </si>
  <si>
    <t>Acuna Leiva, Gonzalo Pedro/0000-0002-0519-7792; CUBILLOS, FRANCISCO/0000-0001-7863-4394; SALAZAR, JOSE LUIS/0000-0002-9922-9424</t>
  </si>
  <si>
    <t>0892-6875</t>
  </si>
  <si>
    <t>10.1016/j.mineng.2008.04.009</t>
  </si>
  <si>
    <t>WOS:000262141100009</t>
  </si>
  <si>
    <t>Mallol, J; Aguirre, V; Aguilar, P; Calvo, M; Amarales, L; Arellano, P; Palma, R</t>
  </si>
  <si>
    <t>Mallol, Javier; Aguirre, Viviana; Aguilar, Pedro; Calvo, Mario; Amarales, Lidia; Arellano, Pamela; Palma, Rodrigo</t>
  </si>
  <si>
    <t>Changes in the prevalence of asthma in Chilean school age children between 1994 and 2002. International Study of Asthma and Allergies in Childhood (ISAAC) - Chile phases I and III</t>
  </si>
  <si>
    <t>Background: In developed countries, the prevalence of asthma in children has significantly increased in the last decades. However, there is no information about the trends of asthma in Latin America. Aim: 76 determine changes in asthma prevalence between 1994 and 2002 in Chilean schoolchildren. Material and methods: The prevalence of asthma symptoms in schoolchildren aged 7(n =18.697) and 13 years (n =18.939), from South Santiago, Valdivia and Punta Arenas, obtained during phases I and III of the ISAAC; carried out in 1994 and 2002, was compared. Results: From 1994 to 2002, the mean national prevalence of wheezing in the last 12 months in the group aged 6-7 years, changed from 18.2% to 17.9% (p =NS); asthma ever from 12.5% to 10.7% (p =NS), and severe episode from 3.2% to 2.8% (p =NS). There was a significant increase of the prevalence of wheezing in the last 12 months; in children aged 13-14 years, from 9.8% to 15.5% (p =0.01); in asthma ever from 10.2% to 14.9% (p =0.01), and for severe episode from 2.8% to 3.8% (p =0.01). Conclusions: There was a significant increase in the prevalence of respiratory symptoms related to asthma in children aged 13-14 years that was consistent in all the 3 participating centres of the ISAAC. However, the prevalence of asthma symptoms in children. aged 6-7 years remained without significant changes between 1994 and 2002 (Rev Med Chile 2007, 135: 580-6).</t>
  </si>
  <si>
    <t>Rivera, Kristian/AGO-4773-2022</t>
  </si>
  <si>
    <t>WOS:000247951300005</t>
  </si>
  <si>
    <t>Rabagliati, FM; Rodríguez, FJ; Alla, A; Muñoz-Guerra, S</t>
  </si>
  <si>
    <t>Rabagliati, Franco M.; Rodriguez, Francisco J.; Alla, Abdel; Munoz-Guerra, Sebastian</t>
  </si>
  <si>
    <t>Styrene-substituted-styrene copoly-merization using diphenylzinc-metallocene-methylaluminoxane systems</t>
  </si>
  <si>
    <t>IUPAC World Polymer Congress</t>
  </si>
  <si>
    <t>JUL 04-09, 2004</t>
  </si>
  <si>
    <t>Paris, FRANCE</t>
  </si>
  <si>
    <t>IUPAC</t>
  </si>
  <si>
    <t>Homopolymerization of disubstituted styrenes (2,4- and 2,S-dimethylstyrene) and trisubstituted styrene (2,4,6-trimethylstyrene) and their copolymerization with styrene were carried out using diphenylzinc-metallocene-methylaluminoxane initiator systems for metallocene (n-BuCP)(2)TiCl2 and for half-metallocene CpTiCl3. The studied comonomers were found to be less reactive than p-tertbutylstyrene, p-methylstyrene and styrene. The results indicate that, even though the methyl group has I+ inductive effect, di- and tri-methylstyrenes are reluctant to undergo either homopolymerization or copolymerization. This behavior suggests that the reactivity is regulated not only by the inductive effect of the alkyl group but also by the steric impediment caused by the crowding of the substituents on the benzene ring. (C) 2006 Society of Chemical Industry.</t>
  </si>
  <si>
    <t>Rodríguez, Francisco/I-5283-2018; Guerra, Sebastián/G-2237-2015; Alla Bedahnane, Abdelilah/F-9242-2015</t>
  </si>
  <si>
    <t>Rodriguez-Mercado, Francisco/0000-0002-0530-6653; Alla Bedahnane, Abdelilah/0000-0001-8417-4937</t>
  </si>
  <si>
    <t>10.1002/pi.2032</t>
  </si>
  <si>
    <t>WOS:000239224100012</t>
  </si>
  <si>
    <t>Rubilar, OE; Healy, MG; Healy, A</t>
  </si>
  <si>
    <t>Bioprocessing of avian eggshells and eggshell membranes using lactic acid bacteria</t>
  </si>
  <si>
    <t>JOURNAL OF CHEMICAL TECHNOLOGY AND BIOTECHNOLOGY</t>
  </si>
  <si>
    <t>Lactic acid fermentation combined with chemical treatments is a new alternative to chemical extraction of by-products from organic wastes such as prawn and krill shells. This study investigated the potential of whole eggshells (WES) and eggshell membranes (ESM) fermentation to provide a multiproduct process, thereby eliminating waste and generating revenue. Dry WES and dry ESM were treated separately in a 2-L reactor using a glucose solution, with and without citric acid solution (CA) and commercial lactic acid bacteria as inoculants, to determine the protein and carbohydrate contents from the final products. Through this process, protein and calcium removal is achieved by enzymatic action on the tissues and by dissolving of calcium by organic acids, respectively. The best fermentation condition was obtained by including CA in the process. Mass balances from the WES and ESM treatments were carried out to identify the phases with major amount of protein, carbohydrate and calcium. In the WES treatments with/without CA, the liquid phase turned out to contain the major amount of protein (85.4 and 73.2%) from the final product. On the other hand, the solid phase turned out to contain mainly ash (80.47 and 80.49%), with high calcium content, from the final product. The high-solubility dialysed liquid phase (LP1) from the ESM treatment turned out to contain the major amount both of soluble protein (88.3%) and of exopolysaccharides expressed as carbohydrates (4.3%) and the low-solubility dialysed liquid phase (LP2) turned out to contain the major amount of insoluble protein (60.2%) from the final product. In addition, the first-precipitation solid phase (SP1) from the ESM treatment turned out to contain the major amount of ash (60.5%) from the final product. The foamy phase and the liquid phase from the WES treatment using CA were analysed by SDS-PAGE, two-dimensional electrophoresis and electrospray ionisation ion-trap mass spectrometry. Four proteins related to the hen eggshells were identified from these phases: chicken heat shock protein (Gallus gallus), glucose-regulated protein precursor, calcyclin and 60s acidic ribosomal protein p2 were identified in the liquid phase and a protein homologous with calmodulin, a ubiquitous intracellular Ca2+ receptor, was identified in the foamy phase. (c) 2006 Society of Chemical Industry.</t>
  </si>
  <si>
    <t>Healy, Mark/C-1400-2009</t>
  </si>
  <si>
    <t>0268-2575</t>
  </si>
  <si>
    <t>10.1002/jctb.1410</t>
  </si>
  <si>
    <t>WOS:000238072700009</t>
  </si>
  <si>
    <t>Matsuhiro, B; Lillo, LE; Sáenz, C; Urzúa, CC; Zárate, O</t>
  </si>
  <si>
    <t>Chemical characterization of the mucilage from fruits of Opuntia ficus indica</t>
  </si>
  <si>
    <t>CARBOHYDRATE POLYMERS</t>
  </si>
  <si>
    <t>Extraction of peeled fruits of Opuntia ficus indica afforded with 3.8% yield a mucilage, which contained 23.4% of galacturonic acid. Total hydrolysis of a mucilage and gas-liquid chromatographic analysis of the derived alditol acetates indicated the presence of arabinose, rhamnose, xylose and galactose in the molar ratio 1.0: 1.7:2.5:4. 1. Gel permeation chromatography on Sepharose CL-4B showed the polysaccharide to be composed of at least five fractions. Treatment with cetrimide allowed the separation of an insoluble fraction (44.3% yield), which contained 28.0% of uronic acid. This fraction contained xylose, rhamnose and galactose in the molar ratio 1.0:2.5:2.8. The fraction soluble in cetrimide (15.6% yield) contained 16.0% uronic acid, and arabinose and galactose in the molar ratio of 1:2.2. It is composed of two main subfractions as shown by gel permeation chromatography. These results indicate that the mucilage from fruits O. ficus indica is a complex mixture of polysaccharides, less than 50% corresponding to a pectin-like polysaccharide. (c) 2005 Elsevier Ltd. All rights reserved.</t>
  </si>
  <si>
    <t>Saenz, Carmen/I-1027-2013; Zarate, Oneil/KSM-0961-2024</t>
  </si>
  <si>
    <t>0144-8617</t>
  </si>
  <si>
    <t>1879-1344</t>
  </si>
  <si>
    <t>FEB 3</t>
  </si>
  <si>
    <t>10.1016/j.carbpol.2005.08.062</t>
  </si>
  <si>
    <t>WOS:000235358200015</t>
  </si>
  <si>
    <t>Amat, S; Busquier, S; Plaza, S</t>
  </si>
  <si>
    <t>Constructing attracting periodic orbits of three third-order iterative methods</t>
  </si>
  <si>
    <t>APPLIED MATHEMATICS AND COMPUTATION</t>
  </si>
  <si>
    <t>In this paper, we shall use three third-order root-finding iterative methods that do not require the use of second derivatives for their formulation and present a procedure to construct polynomials in such a way that superattracting periodic orbits of any prescribed period will occur when these iterative methods are applied. (C) 2004 Elsevier Inc. All rights reserved.</t>
  </si>
  <si>
    <t>Sáez, Sonia/AAA-6148-2019</t>
  </si>
  <si>
    <t>0096-3003</t>
  </si>
  <si>
    <t>1873-5649</t>
  </si>
  <si>
    <t>FEB 15</t>
  </si>
  <si>
    <t>10.1016/j.amc.2003.12.056</t>
  </si>
  <si>
    <t>WOS:000226559200026</t>
  </si>
  <si>
    <t>Hötzer, KA; Henriquez, C; Pino, E; Miranda-Rottmann, S; Aspillaga, A; Leighton, F; Lissi, E</t>
  </si>
  <si>
    <t>Antioxidant and pro-oxidant effect of red wine and its fractions on Cu(II) induced LDL oxidation evaluated by absorbance and chemiluminescence measurements</t>
  </si>
  <si>
    <t>FREE RADICAL RESEARCH</t>
  </si>
  <si>
    <t>Cu(II) mediated low density lipoprotein (LDL) oxidation has been followed by the changes in absorbance at 234 nm and the emitted low level chemiluminescence (CL). The similarity of the time profiles allows us to conclude that the emitted CL is due to the decomposition of a transient product, most likely a hydroperoxide. Red wine, as well as its fractions, afford a noticeable protection when added prior to the start of the LDL oxidation process. On the other hand, when they are added after the onset of the autocatalytic oxidation phase, red wine and its fractions behave as pro-oxidants. This is particularly evidenced by a strong burst of CL (enhancement of the light by a factor approximate to 20). This burst is reduced by metal chelators (EDTA and DFO) and can be associated to a sequence of reactions such as XOH + Cu(II) -&gt; XO star + H+ + Cu(I), CU(I) + LOCH -&gt; chemiluminescence where XOH is a phenolic compound and LOOH is a peroxide-like compound produced in the LDL oxidation.</t>
  </si>
  <si>
    <t>Miranda-Rottmann, Soledad/A-9227-2009</t>
  </si>
  <si>
    <t>Miranda Rottmann, Soledad/0000-0001-8384-8661; Pino, Eduardo Francisco/0000-0002-7851-3952</t>
  </si>
  <si>
    <t>1071-5762</t>
  </si>
  <si>
    <t>1029-2470</t>
  </si>
  <si>
    <t>10.1080/10715760400014563</t>
  </si>
  <si>
    <t>WOS:000227953800007</t>
  </si>
  <si>
    <t>Pedreschi, F; Mery, D; Mendoza, F; Aguilera, JM</t>
  </si>
  <si>
    <t>Classification of potato chips using pattern recognition</t>
  </si>
  <si>
    <t>JOURNAL OF FOOD SCIENCE</t>
  </si>
  <si>
    <t>An approach to classify potato chips using pattern recognition from color digital images consists of 5 steps: (1) image acquisition, (2) preprocessing, (3) segmentation, (4) feature extraction, and (5) classification. Ten chips prepared for each of the following 6 conditions were examined: 2 pretreatments (blanched and unblanched) at 3 temperatures (120 degreesC, 150 degreesC, and 180 degreesC). More than 1500 features were extracted from each of the 60 images. Finally, 11 features were selected according to their classification attributes. Seven different classification cases (for example, classification of the 6 classes or distinction between blanched and unblanched samples) were analyzed using the selected features. Although samples were highly heterogeneous, using a simple classifier and a small number of features, it was possible to obtain a good performance value in all cases: classification of the 6 classes was in the confidence interval between 78% and 89% with a probability of 95%.</t>
  </si>
  <si>
    <t>Aguilera, Jose/D-1383-2014; pedreschi, franco/F-8844-2013; Mery, Domingo/D-1385-2014</t>
  </si>
  <si>
    <t>Mendoza, Fernando/0000-0001-6575-8590; Aguilera, Jose Miguel/0000-0001-5754-2722; Mery, Domingo/0000-0003-4748-3882</t>
  </si>
  <si>
    <t>0022-1147</t>
  </si>
  <si>
    <t>1750-3841</t>
  </si>
  <si>
    <t>E264</t>
  </si>
  <si>
    <t>E270</t>
  </si>
  <si>
    <t>WOS:000223489600015</t>
  </si>
  <si>
    <t>Carvajal, K; Chacón, M; Mery, D; Acuña, G</t>
  </si>
  <si>
    <t>Neural network method for failure detection with skewed class distribution</t>
  </si>
  <si>
    <t>INSIGHT</t>
  </si>
  <si>
    <t>The automatic detection of flaws through non-destructive testing uses pattern recognition methodology with binary classification. In this problem a decision is made about whether or not an initially segmented hypothetical flaw in an image is in fact of law. Neural classifiers are one among a number of different classifiers used in the recognition of patterns. Unfortunately, in real automatic flaw detection problems there are a reduced number of flaws in comparison with the large number of non-flatus. This seriously limits the application of classification techniques such is artificial neural networks elite to the imbalance between classes. This work presents a new methodology for efficient training with imbalances in classes. The premise of the present work is that if there are sufficient cases of the smaller class, then it is possible to reduce the Size of the larger class by using the correlation between cases of this latter class, with a minimum information loss. It is then possible to create it training set for a neural model that allows good classification. To test this hypothesis a problem of great interest to the automotive industry is used, which is the radioscopic inspection of cast aluminium pieces. The experiments resulted in perfect classification of 22936 hypothetical flaws, of which only 60 were real flat-vs and the rest were false alarms.</t>
  </si>
  <si>
    <t>; Mery, Domingo/D-1385-2014</t>
  </si>
  <si>
    <t>Acuna Leiva, Gonzalo Pedro/0000-0002-0519-7792; Mery, Domingo/0000-0003-4748-3882</t>
  </si>
  <si>
    <t>1354-2575</t>
  </si>
  <si>
    <t>1754-4904</t>
  </si>
  <si>
    <t>10.1784/insi.46.7.399.55578</t>
  </si>
  <si>
    <t>WOS:000222602600012</t>
  </si>
  <si>
    <t>Marchand, F; Alloui, A; Chapuy, E; Hernandez, A; Pelissier, T; Ardid, D; Eschalier, A</t>
  </si>
  <si>
    <t>The antihyperalgesic effect of venlafaxine in diabetic rats does not involve the opioid system</t>
  </si>
  <si>
    <t>NEUROSCIENCE LETTERS</t>
  </si>
  <si>
    <t>Venlafaxine (VFX) is a structurally novel antidepressant that inhibits reuptake of serotonin and norepinephrine but, unlike tricyclic antidepressants. has few side effects. The present work studies the antihyperalgesic effect of repeated administrations of VFX (five successive injections of 2.5. 5 or 10 mg/kg, s.c., every half-life) in diabetic rats with the paw pressure test and the effect of the opioid receptor antagonist naloxone (1 mg/kg. i.v.) because an opioidergic mechanism is usually considered to be involved in the analgesic effect of antidepressants. VFX induced a significant dose-dependent increase in vocalization thresholds. This effect was not reversed by naloxone. Thus, we demonstrate a clear antinociceptive effect of VFX which, unlike that of most mixed tricyclic antidepressants, does not involve the endogenous opioid system. (C) 2003 Elsevier Science Ireland Ltd. All rights reserved.</t>
  </si>
  <si>
    <t>MARCHAND, Fabien/K-1285-2015; ardid, denis/K-2234-2015; ESCHALIER, Alain/L-9957-2015; Hernandez, Alejandro/M-4796-2019</t>
  </si>
  <si>
    <t>Hernandez, Alejandro/0000-0001-9222-6522</t>
  </si>
  <si>
    <t>0304-3940</t>
  </si>
  <si>
    <t>MAY 15</t>
  </si>
  <si>
    <t>10.1016/S0304-3940(03)00270-2</t>
  </si>
  <si>
    <t>WOS:000182753700027</t>
  </si>
  <si>
    <t>Gonzalez-Nilo, FD; Urzua, M; Leiva, A; Gargallo, L; Radic, D</t>
  </si>
  <si>
    <t>Interaction energy in polymer blends containing N-1-alkylitaconamic acids moiety</t>
  </si>
  <si>
    <t>JOURNAL OF MACROMOLECULAR SCIENCE-PHYSICS</t>
  </si>
  <si>
    <t>Analysis of the interaction energy of N-1-alkylitaconamic acids to explain the miscibility behavior of polymers containing this moiety is performed. In order to calculate the interaction energy, many conformations of the N-1-alkylitaconamic acid fragments containing ethyl, propyl, butyl, hexyl, octyl, decyl, and dodecyl were selected randomly from molecular dynamic simulations. It was assumed that miscibility and other properties are determined by the enthalpy of mixing, DeltaH(mix), that DeltaH(mix) is dominated by the local interactions between segments of the polymer chains, and, furthermore, that PDeltaV(mix) contribution can be ignored. The polymer miscibility is discussed by using interaction energies calculated from molecular mechanics studies on pairs of small polymer fragments. By this method and by using the Blend package (Accelrys), good correlations between the interaction energy and the Gordon Taylor constant (K-GT) values for blends of poly(N-1-alkylitaconamic acids) and poly(4-vinylpyridine) previously reported are obtained. The analysis of the energies shows that Coulombic energies decay rapidly being almost zero as the side-chain lengths reach near eight carbon atoms. On the contrary, the van der Waals interaction (VDW) energies decay in a linear way as the length of the side chain increases. The slope of the VDW energies is an estimation of the energetic contribution per methylene unit to the blending process. The slope in this case is 570 cal/mol, which is a value very close to that experimentally reported in the literature for related systems. The blend energy was calculated, and good correlation with the experimental results is obtained.</t>
  </si>
  <si>
    <t>Urzúa, Marcela/E-1429-2014; Gonzalez Nilo, Fernando Danilo/M-5671-2016</t>
  </si>
  <si>
    <t>Gonzalez Nilo, Fernando Danilo/0000-0001-6857-3575; Urzua Acevedo, Marcela Del Pilar/0000-0002-2371-620X; Leiva-Campusano, Angel Rodrigo/0000-0003-3744-1945</t>
  </si>
  <si>
    <t>0022-2348</t>
  </si>
  <si>
    <t>B42</t>
  </si>
  <si>
    <t>10.1081/MB-120024820</t>
  </si>
  <si>
    <t>WOS:000186274500012</t>
  </si>
  <si>
    <t>Pizarro, C; Escudey, M; Fabris, JD; de Almeida, AB</t>
  </si>
  <si>
    <t>Iron-rich spinel phases from sand fraction of three Chilean soils developing on volcanic materials</t>
  </si>
  <si>
    <t>COMMUNICATIONS IN SOIL SCIENCE AND PLANT ANALYSIS</t>
  </si>
  <si>
    <t>The magnetic separates from the sand fraction of three Chilean soils forming on volcanic materials were studied by powder XRD, RT and 80 K Mossbauer spectroscopy, saturation magnetization measurements, and scanning electron microprobe analysis. Soil samples were collected from the B-horizon of pedons from native and cultivated areas. Results, particularly from powder x-ray diffractometry, Mossbauer spectroscopy, and chemical analysis, reveal relatively complex magnetic mineral assemblages in all samples. Fe (&gt; 70 mass% Fe2O3), Ti (ranging from similar to2 to similar to 26 mass% TiO2), Al (from 1 to similar to6 mass% Al2O3) and Mg (from 1 to similar to6 mass% MgO) are the main elements found in the iron oxide-spinel structures. In at least one sample, namely the magnetically separated portion from the sand fraction of the fertilized Collipulli soil, the 80 K Mossbauer spectrum indicates that magnetite undergoes the Verwey transition. This sample, with saturation magnetization being of order of 40 J T-1 kg(-1), is also the most magnetic of all magnetic separates. Results on the iron oxide spinels, from electron microprobe data, reveal a large variability not only of chemical composition, but also of crystalline structure and magnetic properties of these magnetic minerals. The effect of agricultural practices, particularly the continuous chemical fertilization and soil acidity correction over several years, on the iron oxide mineralogy could not be unequivocally established, but the present data provide a relatively detailed description of the magnetic iron oxide assemblages of these Chilean volcanic soils.</t>
  </si>
  <si>
    <t>Fabris, José/H-4121-2012</t>
  </si>
  <si>
    <t>Pizarro, Carmen/0000-0003-4927-5681</t>
  </si>
  <si>
    <t>0010-3624</t>
  </si>
  <si>
    <t>17-18</t>
  </si>
  <si>
    <t>10.1081/CSS-120000958</t>
  </si>
  <si>
    <t>WOS:000172246900005</t>
  </si>
  <si>
    <t>Silva, E; De Landea, C; Edwards, AM; Lissi, E</t>
  </si>
  <si>
    <t>Lysozyme photo-oxidation by singlet oxygen: properties of the partially inactivated enzyme</t>
  </si>
  <si>
    <t>JOURNAL OF PHOTOCHEMISTRY AND PHOTOBIOLOGY B-BIOLOGY</t>
  </si>
  <si>
    <t>This work studies the behaviour of partially inactivated lysozyme formed by the effect of singlet oxygen, which was obtained through the irradiation of the native enzyme solution with polychromatic visible light using Methylene Blue as a sensitizer. The polyacrylamide gel analysis of the partially inactivated lysozyme solution shows the presence of different protein fractions. One of them, which corresponds to 53% of the original enzyme, has the same migration as the native enzyme. The others are a mixture of fractions (47%) that show slower migration to the cathode. When this experiment is carried out in the presence of sodium dodecyl sulfate, only one fraction is obtained, which rules out the presence of covalently aggregated forms of lysozyme. The partially inactivated lysozyme has lost 74% of the fluorescence emission of the tryptophan ( Trp) residues. By using the anionic quencher iodide, it is determined that 45 and 36% of the fluorescence emission arising from the native and partially inactivated enzyme, respectively, are due to Trp residues exposed to the solvent. Michaelis-Menten constants (K-m) of 0.296 and 0.511 (mg/ml) and maximum initial rates (V-max) of 0.295 and 0.190 (mg/ml min) are determined for the native and the partially inactivated enzyme solutions, respectively. The same inactivation profile is found when the denaturing effect of increasing urea concentration on both the native and partially inactivated lysozyme is studied. It is postulated that the partially inactivated lysozyme solution is composed of one protein fraction with enzymatic activity similar to that of the native enzyme and also of a mixture of fractions (47% of the total enzyme) with very low activity and characterized by a high tryptophan photo-oxidation. (C) 2000 Elsevier Science S.A. All rights reserved.</t>
  </si>
  <si>
    <t>Edwards-Mujica, Ana M./0000-0002-4637-1013</t>
  </si>
  <si>
    <t>1011-1344</t>
  </si>
  <si>
    <t>APR-MAY</t>
  </si>
  <si>
    <t>10.1016/S1011-1344(00)00049-X</t>
  </si>
  <si>
    <t>WOS:000088198900016</t>
  </si>
  <si>
    <t>ABUIN, EB; CAMPOS, AM; LISSI, EA; DISALVO, EA</t>
  </si>
  <si>
    <t>OSMOTIC RESPONSE OF LARGE UNILAMELLAR VESICLES OF PHOSPHATIDYLCHOLINE - FACTORS DETERMINING THE RATE OF THE PROCESS AND THE PROPERTIES OF THE SHRUNKEN VESICLES</t>
  </si>
  <si>
    <t>Large unilamellar vesicles of dipalmitoylphosphatidylcholine shrink due to water outflux under conditions of hypertonic osmotic shock imposed by the addition of salt to the external medium, The rate of the process depends upon the osmotic unbalance, the temperature, and the presence of additives (n-octanol or gramicidin D) incorporated to the bilayer, On the other hand, the type of electrolyte employed to impose the osmotic unbalance has little relevance upon the rate and extent of the process, The osmotic shock and/or the presence of ions capable of binding to the phospholipid heads (Ca2+) do not modify the properties of the hydrocarbon matrix of the bilayer. On the other hand, the adsorption of both charged (ANS, TNS, or merocyanine) and uncharged (n-octanol) solutes increases after the shock, reflecting significant alterations at the interface level, For the charged species, the increase is more significant in the presence of Ca2+ ions in the inner and/or outer interface. (C) 1995 Academic Press, Inc.</t>
  </si>
  <si>
    <t>10.1006/jcis.1995.1197</t>
  </si>
  <si>
    <t>WOS:A1995QT22300019</t>
  </si>
  <si>
    <t>VARGAS, J; FERRAUDI, G; CANALE, J; COSTAMAGNA, J</t>
  </si>
  <si>
    <t>REDUCTION OF HEXAAZACYCLOPHANE COMPLEXES OF CO(II) AND CU(II) BY CENTER-DOT-CH2OH AND E(SOL)(-) - A PULSE-RADIOLYSIS STUDY</t>
  </si>
  <si>
    <t>INORGANICA CHIMICA ACTA</t>
  </si>
  <si>
    <t>The reactions of (CH2OH)-C-. and e(sol)(-) with hexaazacyclophane complexes of Co(II) and Cu(II) in methanol and or methanol-water mixed solvents were investigated by pulse radiolysis. The primary products from the reduction of the macrocyclic complexes were assigned a radical nature by comparing their optical spectra with those of related Co(I) and Cu(I) species. Such metal-ligand radical products undergo disproportionations. The product of the disproportionation was assigned as a Co(III)-hydride complex. Although a similar hydride could be produced in the disproportionation of the Cu(II)-ligand radical, the optical spectrum of the product is in accordance with the hydrogenation of a double bond in the ligand. Interception of the metal-ligand radical intermediates with CO2 resulted in the formation of adducts.</t>
  </si>
  <si>
    <t>0020-1693</t>
  </si>
  <si>
    <t>10.1016/0020-1693(94)04081-8</t>
  </si>
  <si>
    <t>WOS:A1994PY61200018</t>
  </si>
  <si>
    <t>HORVATH, H; TRIER, A</t>
  </si>
  <si>
    <t>A STUDY OF THE AEROSOL OF SANTIAGO-DE-CHILE .1. LIGHT EXTINCTION COEFFICIENTS</t>
  </si>
  <si>
    <t>ATMOSPHERIC ENVIRONMENT PART A-GENERAL TOPICS</t>
  </si>
  <si>
    <t>The atmosphere of Santiago de Chile has been investigated by telephotometry in several parts of the city. Spectral extinction coefficients were measured during the time period between September 1988 and January 1989 (mid-spring to mid-summer) and again between February 1990 and June 1990 (autumn to mid-winter). The values measured show a distinct daily pattern with high values in the morning and a steady decrease in the afternoon. This pattern is attributed to a steady increase in the height of the mixing layer during daytime which allows an increasing dilution of the aerosol; unfortunately systematic measurements of vertical temperature profiles are not available for Santiago. In contrast to the urban area, measurements at an elevated site in the Andes Mountains showed a constant increase in light extinction during daytime. In the morning the extinction coefficients were similar to the background values off the coast on the Pacific. In the afternoon after expansion of the mixing layer extinction coefficients in the mountains were comparable to those in the urban area. Some sight paths were reached at later hours by the mixing layer and had a maximum of light extinction coefficient later in the morning hours. The transport of aerosols can cause dramatic changes in extinction coefficients within a short time; changes of up to a factor of five have been observed within an hour. In such cases the wavelength dependence of the aerosol underwent changes with the advection or production of a different aerosol. A comparison with the pollution of other large cities shows that the daily pattern of variation of the extinction coefficient in Santiago is different; the values of the extinction coefficients observed in Santiago de Chile are compared to those in European and Asian cities. With this study part of the complex behaviour of the Santiago atmosphere has been understood but much further work is needed. The optical technique used here has proven useful in investigating the atmosphere in real time with adequate time resolution and the possibility to make space-resolved measurements also.</t>
  </si>
  <si>
    <t>0004-6981</t>
  </si>
  <si>
    <t>10.1016/0960-1686(93)90111-B</t>
  </si>
  <si>
    <t>WOS:A1993KQ75200009</t>
  </si>
  <si>
    <t>ROJAS, MC; ENCINAS, MV; CARDEMIL, E</t>
  </si>
  <si>
    <t>FLUORESCENT LABELING OF THE NUCLEOTIDE SITE IN CYTOSOLIC RAT-LIVER PHOSPHOENOLPYRUVATE CARBOXYKINASE</t>
  </si>
  <si>
    <t>ARCHIVES OF BIOCHEMISTRY AND BIOPHYSICS</t>
  </si>
  <si>
    <t>Encinas, Maria/L-9686-2014; ROJAS, MARIA/D-8730-2014</t>
  </si>
  <si>
    <t>0003-9861</t>
  </si>
  <si>
    <t>10.1016/0003-9861(91)90063-O</t>
  </si>
  <si>
    <t>WOS:A1991FF77700019</t>
  </si>
  <si>
    <t>LOPEZ, F; CALCAGNO, MP; CONTRERAS, JM; TORRELLAS, Z; RABAGLIATI, FM</t>
  </si>
  <si>
    <t>PROPYLENE-OXIDE POLYMERIZATION USING THE DIPHENYLZINC-ACETONE SYSTEM IN BENZENE AT 60-DEGREES-C</t>
  </si>
  <si>
    <t>10.1007/BF00955920</t>
  </si>
  <si>
    <t>WOS:A1989T898900007</t>
  </si>
  <si>
    <t>ROMAN, E; BARRERA, M; HERNANDEZ, S; LISSI, E</t>
  </si>
  <si>
    <t>PHOTOCHEMISTRY AND EMISSION BEHAVIOR OF THE IRON(II) MIXED METALLOCENE COMPLEXES [C5H5FE(ARENE)]PF6, [C5ME5FE(ARENE)]PF6</t>
  </si>
  <si>
    <t>JOURNAL OF THE CHEMICAL SOCIETY-PERKIN TRANSACTIONS 2</t>
  </si>
  <si>
    <t>Barrera, Mauricio/E-2594-2012</t>
  </si>
  <si>
    <t>barrera, mauricio/0000-0002-4232-4957</t>
  </si>
  <si>
    <t>0300-9580</t>
  </si>
  <si>
    <t>10.1039/p29880000939</t>
  </si>
  <si>
    <t>WOS:A1988N852100021</t>
  </si>
  <si>
    <t>ABUIN, E; LISSI, E; GARGALLO, L; RADIC, D</t>
  </si>
  <si>
    <t>POLYSTYRENE FLUORESCENCE-SPECTRA - MOLECULAR-WEIGHT DEPENDENCE IN DIFFERENT SOLVENTS</t>
  </si>
  <si>
    <t>10.1016/0014-3057(84)90233-7</t>
  </si>
  <si>
    <t>WOS:A1984RV26200021</t>
  </si>
  <si>
    <t>GOTTLIEB, D; HOJMAN, RA; RON, A</t>
  </si>
  <si>
    <t>MAGNETORESISTANCE IN QUASI-ONE-DIMENSIONAL COMPOUNDS</t>
  </si>
  <si>
    <t>PHYSICAL REVIEW B</t>
  </si>
  <si>
    <t>0163-1829</t>
  </si>
  <si>
    <t>10.1103/PhysRevB.26.6297</t>
  </si>
  <si>
    <t>WOS:A1982PS90400032</t>
  </si>
  <si>
    <t>ENCINAS, MV; LISSI, EA; SCAIANO, JC</t>
  </si>
  <si>
    <t>PHOTOCHEMISTRY OF ALIPHATIC-KETONES IN POLAR-SOLVENTS</t>
  </si>
  <si>
    <t>JOURNAL OF PHYSICAL CHEMISTRY</t>
  </si>
  <si>
    <t>Encinas, Maria/L-9686-2014</t>
  </si>
  <si>
    <t>Scaiano, Juan/0000-0002-4838-7123</t>
  </si>
  <si>
    <t>0022-3654</t>
  </si>
  <si>
    <t>10.1021/j100446a003</t>
  </si>
  <si>
    <t>WOS:A1980JR69400003</t>
  </si>
  <si>
    <t>Scarpetta-Pizo, L; Venegas, R; Ponce, I; Zagal, JH</t>
  </si>
  <si>
    <t>Scarpetta-Pizo, Laura; Venegas, Ricardo; Ponce, Ingrid; Zagal, Jose H.</t>
  </si>
  <si>
    <t>A novel reactivity descriptor for MN4 molecular catalysts for the oxidation of 2-mercaptoethanol and of thioglycolic acid: The Electrochemical Hardness</t>
  </si>
  <si>
    <t>ELECTROCHEMISTRY COMMUNICATIONS</t>
  </si>
  <si>
    <t>This manuscript describes a novel reactivity descriptor for Fe phthalocyanines molecular catalysts confined on the surface of OPG electrodes. The descriptor Delta E degrees'cat. is the gap in potential between the E degrees Fe(III)/(II) and E degrees Fe (II)/(I) redox processes for each FeN4 catalyst. This descriptor, labeled as the electrochemical hardness Delta E degrees'cat. Was examined using FeN4 macrocyclic complexes for the electrooxidation of 2-mercaptoethanol (2-ME) and thioglycolic acid TGA. Our findings reveal that the reactivity as log log(j/Gamma)E, plotted versus E degrees Fe(III)/(II) or E degrees Fe (II)/(I) give two linear correlations. The activity log(j/Gamma)E in both cases decreases with the redox potential of each FeN4 catalyst. In contrast log(j/Gamma)E, or log (TOF)E, increase with Delta E degrees'cat.. The Fe-S binding energy Delta E degrees'cat. Correlates linearly with Delta E degrees'cat. so the softer the system the greater the binding energy and the lower the catalytic activity.</t>
  </si>
  <si>
    <t>Ponce, Ingrid/L-9679-2014; Venegas, Ricardo/U-6376-2019; zagal, jose/L-9648-2014</t>
  </si>
  <si>
    <t>1388-2481</t>
  </si>
  <si>
    <t>1873-1902</t>
  </si>
  <si>
    <t>10.1016/j.elecom.2025.107910</t>
  </si>
  <si>
    <t>MAR 2025</t>
  </si>
  <si>
    <t>WOS:001447923800001</t>
  </si>
  <si>
    <t>Palma, JG</t>
  </si>
  <si>
    <t>Palma, Jose Gabriel</t>
  </si>
  <si>
    <t>Latin America and its reverse gatopardism: For everything to remain the same, nothing can change. A middle-income or a neoliberal trap?</t>
  </si>
  <si>
    <t>TRIMESTRE ECONOMICO</t>
  </si>
  <si>
    <t>Krugman identified the puzzle of Latin America's underperformance as one of the greatest challenges of economic theory. This paper investigates this challenge by analysing what we call Latin America's trilogy of contrasts: compared to other regions, 1) its job creation (especially services) ranks first in the world; 2) but its productivity growth ranks last; and 3) as the income share of the rich remains among the highest, while investment rates became the lowest, the gap between the two has also become the largest in the world. The essence of my response to Krugman's challenge is that these extremes are facets of the same phenomenon: getting stuck in more of the same when both post-1980 productivity strategies became exhausted, as they had already delivered their productivity growth potentials. This happened in the extractivism of the South and the manufacturing assembly platform of the North. What is needed now is to revitalize them with new drivers of productivity growth, such as the transition to processing raw materials, and the anchoring of assembly operations in the domestic economy-plus a green new deal and the transfer of the new technological paradigm to the entire economy. Trying to extend the shelf life of what is already exhausted is a recipe for falling into the middle-income trap-more of the same in either productive strategy is no longer a valid development option. However, structural rigidities, market distortions (domestic and international), and the region's perennial ideological neophobia have so far blocked the reengineering of what is exhausted.</t>
  </si>
  <si>
    <t>0041-3011</t>
  </si>
  <si>
    <t>10.20430/ete.v92i365.2682</t>
  </si>
  <si>
    <t>WOS:001395057600001</t>
  </si>
  <si>
    <t>Cruchaga, M; Ancamil, P; Celentano, D</t>
  </si>
  <si>
    <t>Cruchaga, Marcela; Ancamil, Pablo; Celentano, Diego</t>
  </si>
  <si>
    <t>A formulation for fluid-structure interaction problems with immersed flexible solids: Application to splitters subjected to flow past cylinders with different cross-sections</t>
  </si>
  <si>
    <t>COMPUTER METHODS IN APPLIED MECHANICS AND ENGINEERING</t>
  </si>
  <si>
    <t>In the finite element method framework, a fluid-structure formulation is developed by coupling an Eulerian fixed-mesh fluid approach with a Lagrangian deforming-mesh description for a flexible solid. The coupled formulation is solved using a staggered scheme during time. For the fluid solution stage, the solid walls are considered as a time-variable internal boundary. The velocity and pressure fields are obtained by solving the weak form of the fluid dynamic equations in which the solid velocity is imposed on the internal boundary via a penalization term. For the solid solution stage, the displacement field is obtained by solving the discrete solid dynamic equations which consider traction forces computed by integrating pressures and viscous stresses on the nodes belonging to the solid walls. This novel technique is firstly applied to analyze a flexible splitter under the shedding of a flow past square cylinder due to this problem is considered as a benchmark in the literature. The present solutions agree with those computed using body-fitted techniques, thus validating the proposal. Secondly, flexible splitter motions under the shedding of flow past cylinders with different cross-sections and splitter lengths are comprehensively studied. Overall, the computed results confirmed that the hydrodynamic coefficients on the cylinders were reduced because of the presence of the splitter.</t>
  </si>
  <si>
    <t>Celentano, Diego/JQW-5027-2023; Cruchaga, Marcela/M-7522-2014</t>
  </si>
  <si>
    <t>Cruchaga, Marcela/0000-0002-8708-2402</t>
  </si>
  <si>
    <t>0045-7825</t>
  </si>
  <si>
    <t>1879-2138</t>
  </si>
  <si>
    <t>NOV 1</t>
  </si>
  <si>
    <t>10.1016/j.cma.2024.117306</t>
  </si>
  <si>
    <t>AUG 2024</t>
  </si>
  <si>
    <t>WOS:001301485100001</t>
  </si>
  <si>
    <t>Navarrete, CES; Soto, PA; Firoozabadi, AD</t>
  </si>
  <si>
    <t>Navarrete, Cesar Eugenio Sandoval; Soto, Pablo Adasme; Firoozabadi, Ali Dehghan</t>
  </si>
  <si>
    <t>Maximizing Nodes' Service Lives InWireless Sensor Networks: An Innovative Application Of The P-Median Optimization Problem To The Leach-C Protocol</t>
  </si>
  <si>
    <t>INGE CUC</t>
  </si>
  <si>
    <t>This study explores an innovative focus for optimizing clusters in the LEACH-C protocol via applying the P-Median model. Using a fixed number of sensors, the method is centered on improving energy efficiency for Wireless Sensor Networks (WSN). Applying theP-Median model managed to delay the death of the first node, reducing both the number of clusters and the number of packets sent to the cluster heads, increasing packets sent to the sink, and increasing average network energy. These advances represent a significant improvement in energy efficiency, a central aspect of WSN, also contributing to long-term sustainability and lowering operating and maintenance costs. The relevance of this study reaches beyond improvements in energy efficiency, presenting the potential to revolutionize resource and infrastructure management, especially in remote areas. The results of this study open a promising path towards optimization in the field of WSN and highlight the usefulness of the P-Median model in improving performance and energy efficiency within these networks.</t>
  </si>
  <si>
    <t>Dehghan Firoozabadi, Ali/AAD-4858-2019</t>
  </si>
  <si>
    <t>0122-6517</t>
  </si>
  <si>
    <t>2382-4700</t>
  </si>
  <si>
    <t>10.17981/ingecuc.20.1.2024.09</t>
  </si>
  <si>
    <t>WOS:001355388400001</t>
  </si>
  <si>
    <t>Rahman, S; Palencia, JLD; Reyes, EG</t>
  </si>
  <si>
    <t>Rahman, S.; Palencia, Jose Luis Diaz; Reyes, Enrique G.</t>
  </si>
  <si>
    <t>Nonlinear dynamics in eyring-powell fluid flow with darcy-forchheimer effects. An asymptotic analysis</t>
  </si>
  <si>
    <t>PHYSICA SCRIPTA</t>
  </si>
  <si>
    <t>We provide a mathematical treatment, analytical and numerical, for a fluid constructed as an hybrid of the Eyring-Powell and Darcy-Forchheimer fluid models. The Eyring-Powell model departs from the kinetic theory of liquids and it allows for a description of shear stresses and viscous terms. The Darcy-Forchheimer model permits to describe the fluid effects given in a porous media, and it provides non-linear reaction terms when considered as part of the momentum equations. Hence, it is natural to investigate mathematical characteristics of solutions for a fluid flow formulated as a combination of these two fluid models. First of all, we prove boundedness and uniqueness of solutions arising from rough (i.e. in L 1(R) boolean AND L infinity(R)) initial data. This is physically relevant, since it means that we are considering general descriptions of the velocity distribution of the fluid, in a media with particular porosity distributions. Afterwards, stationary profiles are obtained by using a Hamiltonian description, and our construction is supported by numerical validating evidences. Furthermore, asymptotic solutions are explored based on an exponential scaling and a non-linear transport Jacobi equation. Finally, a region of validity for this asymptotic approach is provided, and a numerical validation of our asymptotic analysis is presented. Our main conclusion is that a fluid model combining Eyring-Powell and Darcy-Forchheimer characteristics is indeed possible to introduce, and that solutions of potential physical interest, can be obtained.</t>
  </si>
  <si>
    <t>Díaz, José/ACC-2892-2022; Reyes, Enrique/AAD-1308-2019</t>
  </si>
  <si>
    <t>Diaz Palencia, Jose Luis/0000-0002-4677-0970; Reyes, Enrique G./0000-0001-8460-444X</t>
  </si>
  <si>
    <t>0031-8949</t>
  </si>
  <si>
    <t>1402-4896</t>
  </si>
  <si>
    <t>10.1088/1402-4896/ad03c2</t>
  </si>
  <si>
    <t>WOS:001116568800001</t>
  </si>
  <si>
    <t>Torres, HM; Cordero, PA; Torres, B; Urrea, C; Kern, J</t>
  </si>
  <si>
    <t>IEEE Peru Section</t>
  </si>
  <si>
    <t>Torres, Hugo M.; Cordero, Pablo A.; Torres, Brian; Urrea, Claudio; Kern, John</t>
  </si>
  <si>
    <t>Model Development and Simulation of a 3-DoF Manipulator Robot for Trajectory Control Using Artificial Intelligence</t>
  </si>
  <si>
    <t>2024 IEEE ANDESCON</t>
  </si>
  <si>
    <t>IEEE ANDESCON</t>
  </si>
  <si>
    <t>2024 IEEE Andescon Conference</t>
  </si>
  <si>
    <t>SEP 11-13, 2024</t>
  </si>
  <si>
    <t>Cusco, PERU</t>
  </si>
  <si>
    <t>Institute of Electrical and Electronics Engineers Inc</t>
  </si>
  <si>
    <t>Industrial growth over time has demanded the use of robots to perform complex tasks in processes. One way to address this challenge has been through high-performance controllers. In this study, a 3-Degrees-of-Freedom (DoF) manipulator robot was modeled and simulations were performed to control its trajectory using artificial intelligence-based controllers: fuzzy PD+I and neural networks. Additionally, a conventional PID was used, and finally, the three controllers were evaluated with two types of trajectories. The results showed the fuzzy PD+I to be the most effective controller regardless of the presence of abrupt changes in direction.</t>
  </si>
  <si>
    <t>Claudio, URREA/KWU-1600-2024</t>
  </si>
  <si>
    <t>Urrea, Claudio/0000-0001-7197-8928</t>
  </si>
  <si>
    <t>2377-021X</t>
  </si>
  <si>
    <t>979-8-3503-5529-1; 979-8-3503-5528-4</t>
  </si>
  <si>
    <t>10.1109/ANDESCON61840.2024.10755808</t>
  </si>
  <si>
    <t>WOS:001417553200081</t>
  </si>
  <si>
    <t>Araya, H; Plaza-Vega, F</t>
  </si>
  <si>
    <t>Araya, Hector; Plaza-Vega, Francisco</t>
  </si>
  <si>
    <t>Parameter estimation for fractional power type diffusion: A hybrid Bayesian-deep learning approach</t>
  </si>
  <si>
    <t>COMMUNICATIONS IN STATISTICS-THEORY AND METHODS</t>
  </si>
  <si>
    <t>In this article, we consider the problem of parameter estimation in a power-type diffusion driven by fractional Brownian motion with Hurst parameter in (1/2,1). To estimate the parameters of the process, we use an approximate bayesian computation method. Also, a particular case is addressed by means of variations and wavelet-type methods. Several theoretical properties of the process are studied and numerical examples are provided in order to show the small sample behavior of the proposed methods.</t>
  </si>
  <si>
    <t>Plaza-Vega, Francisco/KHW-1658-2024</t>
  </si>
  <si>
    <t>Plaza-Vega, Francisco/0000-0001-7577-2775</t>
  </si>
  <si>
    <t>0361-0926</t>
  </si>
  <si>
    <t>1532-415X</t>
  </si>
  <si>
    <t>NOV 16</t>
  </si>
  <si>
    <t>10.1080/03610926.2023.2280522</t>
  </si>
  <si>
    <t>WOS:001120573700001</t>
  </si>
  <si>
    <t>Díaz, FA; Castillo, E; Cabrales, RC; Moraga, NO</t>
  </si>
  <si>
    <t>Diaz, Felipe A.; Castillo, Ernesto; Cabrales, Roberto C.; Moraga, Nelson O.</t>
  </si>
  <si>
    <t>Non-relaxed finite volume fractional step schemes for unsteady incompressible flows</t>
  </si>
  <si>
    <t>COMPUTERS &amp; MATHEMATICS WITH APPLICATIONS</t>
  </si>
  <si>
    <t>Despite their well-established efficiency and accuracy, fractional-step schemes are not commonly used in finite volume methods. This article presents first-, second-, and third-order in-time fractional step schemes to solve incompressible convective time-dependent flows using collocated meshes. The fractional step methods are designed from a fully discrete problem and allow for optimal convergence rates. A detailed algebraic derivation of the method is included, incorporating implementation details to easily adapt existing finite volume codes. The schemes use extrapolations for pressure in the first calculation step and include Yosida's approximation in the last step to ensure third-order in-time accuracy. In addition, an incomplete Yosida scheme that considers a correction only in the diffusive term is evaluated. Time discretization is achieved using the backward differentiation formula, including first-, second-, and third-order in-time schemes, and an optimized second-order one. The linear momentum and continuity equations are decoupled using a pressure-correction strategy. The numerical results include a converged test using the solutions to evaluate the convergence in-time rates. Finally, the dominant convective flows related to the lid-driven cavity problem are solved for two-and three-dimensional flows. The use of Picard, Newton, and Picard-Newton linearization is analyzed. The optimal rates of the convergence errors of the fractional-step methods are verified. The results indicate that Yosida's methods are more accurate than the projection method for the same meshes and time-step sizes. The use of Newton and Picard-Newton linearization strategies considerably reduces the number of iterations compared with the Picard scheme. The optimized second-order method is more accurate than the classical one and is comparable to the third-order method in the solution of dominant convective flows. The benefits of using high-order time integration schemes are verified.</t>
  </si>
  <si>
    <t>; Castillo, Ernesto/D-1612-2015</t>
  </si>
  <si>
    <t>Cabrales, Roberto Carlos/0000-0003-4090-5413; MORAGA, NELSON/0000-0002-5208-4221; Castillo, Ernesto/0000-0001-7013-6008; Diaz, Felipe A./0000-0001-8528-1283</t>
  </si>
  <si>
    <t>0898-1221</t>
  </si>
  <si>
    <t>1873-7668</t>
  </si>
  <si>
    <t>SEP 15</t>
  </si>
  <si>
    <t>10.1016/j.camwa.2023.07.002</t>
  </si>
  <si>
    <t>JUL 2023</t>
  </si>
  <si>
    <t>WOS:001047390000001</t>
  </si>
  <si>
    <t>Toro, JPH; Morales, P; Muñoz-Osses, M; Torres, S; Torres, P; Navarrete, E; Mascayano, C</t>
  </si>
  <si>
    <t>Huidobro Toro, Juan Pablo; Morales, Pilar; Munoz-Osses, Michelle; Torres, Simon; Torres, Paulina; Navarrete, Elizabeth; Mascayano, Carolina</t>
  </si>
  <si>
    <t>Lipids structurally related to glycyrrhetinic acid as 5-hLOX allosteric inhibitors</t>
  </si>
  <si>
    <t>BRITISH JOURNAL OF PHARMACOLOGY</t>
  </si>
  <si>
    <t>19th World Congress of Basic and Clinical Pharmacology (WCP)</t>
  </si>
  <si>
    <t>JUL 02-07, 2023</t>
  </si>
  <si>
    <t>Glasgow, SCOTLAND</t>
  </si>
  <si>
    <t>Torres, Paulina/AAA-6852-2020</t>
  </si>
  <si>
    <t>0007-1188</t>
  </si>
  <si>
    <t>1476-5381</t>
  </si>
  <si>
    <t>P0671</t>
  </si>
  <si>
    <t>WOS:001043027400409</t>
  </si>
  <si>
    <t>Bueno-Nieto, C; Cortés-Antiquera, R; Espina, G; Atalah, J; Villanueva, J; Aliaga, C; Zuñiga, GE; Blamey, JM</t>
  </si>
  <si>
    <t>Bueno-Nieto, Constanza; Cortes-Antiquera, Rodrigo; Espina, Giannina; Atalah, Joaquin; Villanueva, Javiera; Aliaga, Carolina; Zuniga, Gustavo E.; Blamey, Jenny M.</t>
  </si>
  <si>
    <t>Biochemical and Spectroscopic Characterization of a Recombinant Laccase from Thermoalkaliphilic Bacillus sp. FNT with Potential for Degradation of Polycyclic Aromatic Hydrocarbons (PAHs)</t>
  </si>
  <si>
    <t>CATALYSTS</t>
  </si>
  <si>
    <t>Laccases are industrially relevant enzymes that are known for the wide variety of substrates they can use. In recent years, fungal laccases have been progressively replaced by bacterial laccases in applied contexts due to their capacity to work on harsh conditions including high temperatures, pHs, and chloride concentrations. The focus of researchers has turned specifically towards enzymes from extremophilic organisms because of their robustness and stability. The recombinant versions of enzymes from extremophiles have shown to overcome the problems associated with growing their native host organisms under laboratory conditions. In this work, we further characterize a recombinant spore-coat laccase from Bacillus sp. FNT, a thermoalkaliphilic bacterium isolated from a hot spring in a geothermal site. This recombinant laccase was previously shown to be very active and thermostable, working optimally at temperatures around 70-80 degrees C. Here, we showed that this enzyme is also resistant to common inhibitors, and we tested its ability to oxidize different polycyclic aromatic hydrocarbons, as these persistent organic pollutants accumulate in the environment, severely damaging ecosystems and human health. So far, the enzyme was found to efficiently oxidize anthracene, making it a compelling biotechnological tool for biocatalysis and a potential candidate for bioremediation of aromatic contaminants that are very recalcitrant to degradation.</t>
  </si>
  <si>
    <t>Blamey, Jenny/M-2637-2014; Zuñiga, Gustavo/P-8306-2015; Espina, Giannina/AAD-5275-2020; Aliaga, Carolina/G-6024-2019</t>
  </si>
  <si>
    <t>Espina, Giannina/0000-0002-6308-7217; Atalah, Joaquin/0000-0002-8057-1035; Aliaga, Carolina/0000-0002-1352-3164</t>
  </si>
  <si>
    <t>2073-4344</t>
  </si>
  <si>
    <t>10.3390/catal13040763</t>
  </si>
  <si>
    <t>WOS:000977428100001</t>
  </si>
  <si>
    <t>Muñoz, JP; Araya-Osorio, R; Mera-Adasme, R; Calaf, GM</t>
  </si>
  <si>
    <t>Munoz, Juan P.; Araya-Osorio, Rocio; Mera-Adasme, Raul; Calaf, Gloria M.</t>
  </si>
  <si>
    <t>Glyphosate mimics 17β-estradiol effects promoting estrogen receptor alpha activity in breast cancer cells</t>
  </si>
  <si>
    <t>CHEMOSPHERE</t>
  </si>
  <si>
    <t>Glyphosate, the active ingredient in several broad-spectrum herbicide formulations, has been validated and widely used throughout the world. Recent reports have questioned its safety, showing that glyphosate may act as an endocrine disruptor by promoting estrogenic activity. However, the molecular mechanism involved in this phenomenon remains unclear. Therefore, here we aimed to elucidate the mechanism by which glyphosate in-duces estrogenic activity using estrogen-sensitive breast cancer cell line models. Our results show that glyphosate mimics the cell effects of 17 beta-estradiol (E2), promoting estrogen receptor alpha (ER alpha) phosphorylation, its degra-dation, and transcriptional activity at high concentrations. The molecular mechanism seems involved in the ER alpha ligand-binding domain (LBD). Molecular simulations suggest a plausible interaction between glyphosate and the LBD through a coordinated complex involving divalent cations such as Zn (II). In addition, glyphosate exposure alters the level of Cyclin-dependent kinase 7 that contribute to ER alpha phosphorylation. Finally, glyphosate in-creases cell proliferation rate and levels of cell cycle regulators, accompanied by an increase in anchorage -independent growth capacity. These findings suggest that glyphosate at high concentrations, induces estrogen -like effects through an ER alpha ligand binding site-dependent mechanism, leading to cellular responses resulting from a complex interplay of genomic and non-genomic events.</t>
  </si>
  <si>
    <t>Muñoz, Juan P/GSJ-1484-2022; Calaf, Gloria/HKN-8632-2023</t>
  </si>
  <si>
    <t>Munoz, Juan P./0009-0004-1612-171X</t>
  </si>
  <si>
    <t>0045-6535</t>
  </si>
  <si>
    <t>1879-1298</t>
  </si>
  <si>
    <t>10.1016/j.chemosphere.2022.137201</t>
  </si>
  <si>
    <t>WOS:000904139200003</t>
  </si>
  <si>
    <t>Barraza, R; Sepúlveda, JM; Derpich, I</t>
  </si>
  <si>
    <t>Barraza, Rodrigo; Sepulveda, Juan M.; Derpich, Ivan</t>
  </si>
  <si>
    <t>Location of the Intermediate Echelon to Add Purchase Value and Sustainability Criteria in a Mining Supply Network</t>
  </si>
  <si>
    <t>SUSTAINABILITY</t>
  </si>
  <si>
    <t>This study presents an operational analysis to determine the location of an intermediate hub in a supply network for the mining industry, incorporating sustainability criteria through an optimization model. The sector of small, medium, and artisan mining enterprises (PAMMA), in Chile, has the same pressure as large mining to meet the demands of sustainability in the medium term, but the network of PAMMA facilities is precarious and requires government support for development. One strategy to improve the supply network is to locate intermediate points with limited capacities (called purchasing powers) to help the viability of the business model by incorporating sustainability objectives, such as diminishing the movement of minerals, as well as reducing the carbon footprint and gas emissions, all in support the promotion of the activity of small miners. In order to achieve the strategy above, a mathematical model of location and sustainable capacity is proposed. A grouping of suppliers was carried out to establish the number of mining suppliers in each cluster and the location of the intermediate hubs. Then, the prioritization of the parameters and classification of the processing plant alternatives was performed to define a vector of weights to rank the degree of sustainability. A sustainability matrix was calculated on the basis of the distances and transportation costs between the supplier hubs of the supply network and the processing plants. With each of these factors, a capacity model was developed to validate the mineral process flows in the supply network and estimate the expected productivity levels. The model is intended to support operational decision making when determining the location of an intermediate purchasing power that reduces the impact of transportation costs and emissions. The model was applied in a case study of the supply network in the small mining sector in Chile. The results recommend the location of hubs to add value and encourage investment in the PAMMA supply network.</t>
  </si>
  <si>
    <t>derpich, ivan/T-1160-2019; Barraza, Rodrigo/HDN-4798-2022</t>
  </si>
  <si>
    <t>Sepulveda, Juan M./0000-0003-3755-0981; Derpich, Ivan/0000-0001-9759-7285; Barraza, Rodrigo/0000-0002-8777-2083</t>
  </si>
  <si>
    <t>2071-1050</t>
  </si>
  <si>
    <t>10.3390/su141912920</t>
  </si>
  <si>
    <t>WOS:000867380400001</t>
  </si>
  <si>
    <t>Haro-Soler, MD; Singer, N</t>
  </si>
  <si>
    <t>del Mar Haro-Soler, Maria; Singer, Nestor</t>
  </si>
  <si>
    <t>QUALITATIVE AND MIXED-METHODS RESEARCH IN TRANSLATOR EDUCATION: AN APPROACH TO STUDENTS' EXPERIENCES AND PERCEPTIONS</t>
  </si>
  <si>
    <t>CADERNOS DE TRADUCAO</t>
  </si>
  <si>
    <t>This paper presents two studies that focus on translation stu-dents' perceptions at undergraduate level at a Spanish and two Chilean universities. Both studies aim to improve translation education. The first study analysed the students' self-efficacy beliefs at the undergraduate de-gree in Translation and Interpreting offered at the University of Granada. To do this, a quasi-experimental field design and a mixed-methods appro-ach was employed to study the development of the students' self-efficacy beliefs and to discover and analyse their perceptions of a) the teaching practices that influenced their self-efficacy beliefs during their education as translators, and b) the reasons why this influence occurred (or not). In the second study, the students' perceptions were explored using a qualita-tive method, namely the Interpretative Phenomenological Analysis (IPA), which fostered the understanding of the development of translator iden-tity of students at the Translation Studies undergraduate programmes at Universidad de Santiago de Chile and Pontificia Universidad Catolica de Valparaiso. This paper describes both approaches and highlights the re-levance of employing approaches with a strong qualitative component to gain access to the psychology of translation students. In other words, these approaches go beyond most quantitative approaches which have traditio-nally been used to study these perceptions.</t>
  </si>
  <si>
    <t>HARO SOLER, MARIA DEL MAR/ABC-6887-2021; Singer, Néstor/I-3200-2019</t>
  </si>
  <si>
    <t>1414-526X</t>
  </si>
  <si>
    <t>2175-7968</t>
  </si>
  <si>
    <t>e82814</t>
  </si>
  <si>
    <t>10.5007/2175-7968.2022.e82814</t>
  </si>
  <si>
    <t>WOS:000885504800009</t>
  </si>
  <si>
    <t>Monsálvez, D; Pagola, L</t>
  </si>
  <si>
    <t>Monsalvez, Danny; Pagola, Leon</t>
  </si>
  <si>
    <t>BACKGROUND AND TRAJECTORY OF THE NEOLIBERAL PROJECT IN A SUBNATIONAL SPACE: THE GRAN CONCEPCION, 1973-1983</t>
  </si>
  <si>
    <t>The main objective of the research is to identify and analyze the landing of neoliberal ideas in the subnational space, from those who intervene in the economic discussion to the spaces that were used as support. This, considering an area characterized by its industrial stamp and certain productive sectors. Characterizing the spaces that these ideas occupied and where they were constantly reproduced. The foregoing will lead us to identify and analyze the spaces and actors present in the events. Also, comprehend the presence of the Chicago Boys at a regional level, considering their performance in the reality of the Gran Concepcion and especially regarding their work as columnists in the newspaper: El Sur.</t>
  </si>
  <si>
    <t>Pagola, Leon/0000-0003-3803-5041</t>
  </si>
  <si>
    <t>WOS:000826787100005</t>
  </si>
  <si>
    <t>Iturriaga, J; Fritz, KD</t>
  </si>
  <si>
    <t>Iturriaga, Jorge; Fritz, Karen Donoso</t>
  </si>
  <si>
    <t>Cinematographic censorship in the first year of the dictatorship Chile, 1974. Restoration, refundation and legitimation</t>
  </si>
  <si>
    <t>UNIVERSUM-REVISTA DE HUMANIDADES Y CIENCIAS SOCIALES</t>
  </si>
  <si>
    <t>This study seeks to identify and analyze the main changes that the military dictatorship imprinted on the Film Censorship Board in 1974 , its first year in power. Through a survey of information in the press, archives of the CCC and the Ministry of Education, it was possible to outline the new orientation of the Board, the results of its film ratings and the reactions of distributors and public opinion. The text proposes that in its first months the dictatorship carried out a censorship restoration process by giving back the CCC the active role it had before the Salvador Allende government, at the same time that it gave it new guidelines, by installing a stricter and political-doctrinaire filtering criterion. Finally, a new law not only institutionalized this new severity, but also gave censorship a halo of legitimacy based on new institutional alliances.</t>
  </si>
  <si>
    <t>0718-2376</t>
  </si>
  <si>
    <t>0716-498X</t>
  </si>
  <si>
    <t>10.4067/S0718-23762021000200581</t>
  </si>
  <si>
    <t>WOS:000753302600008</t>
  </si>
  <si>
    <t>Guerra-Arrau, R; Donoso, CAC</t>
  </si>
  <si>
    <t>Guerra-Arrau, Rodrigo; Calquin Donoso, Claudia Alejandra</t>
  </si>
  <si>
    <t>Relations of recognition in feminised work scenarios. A proposal of axes of analysis based on the case of female workers in the Chilean retail industry</t>
  </si>
  <si>
    <t>CUHSO-CULTURA-HOMBRE-SOCIEDAD</t>
  </si>
  <si>
    <t>This article discusses the dynamics of recognition in feminized jobs, particularly in the service sector. Based on the theory of recognition by Honneth and other authors, three axes of analysis of the dynamics of recognition are presented, formed both from socio-technical configurations of work and as a function of social structures of gender and class. The group of cashiers from large supermarket chains and department store saleswomen in Santiago de Chile is taken as a case.</t>
  </si>
  <si>
    <t>Guerra-Arrau, Rodrigo/JYP-3330-2024</t>
  </si>
  <si>
    <t>Guerra-Arrau, Rodrigo/0000-0002-0573-6194</t>
  </si>
  <si>
    <t>0716-1557</t>
  </si>
  <si>
    <t>0719-2789</t>
  </si>
  <si>
    <t>10.7770/CUHSO-V31N1.ART2414</t>
  </si>
  <si>
    <t>WOS:000681064300004</t>
  </si>
  <si>
    <t>Crovetto, M; López, DA</t>
  </si>
  <si>
    <t>Crovetto, Mirta; Lopez, Daniel A.</t>
  </si>
  <si>
    <t>Qualitative analysis of the regulatory processes related to the quality of Nutrition and Dietetics degree programs in Chile</t>
  </si>
  <si>
    <t>REVISTA CHILENA DE NUTRICION</t>
  </si>
  <si>
    <t>Introduction. The objective of this study is to establish positive and negative patterns based on the results of accreditation processes of degree programs. Similarly, its aim is to identify, from a qualitative perspective, relevant variables and relationships among the criteria used in their evaluation. Materials and methods. This is a cross-sectional, descriptive and qualitative study. Twenty accreditation resolutions of Chilean Nutrition and Dietetics degree programs were analyzed using the software ATLAS ti. Resolutions were issued between 2004 and 2016 by the National Accreditation Commission. Three dimensions were considered in order to establish a matrix of relationships associated with the identification of positive and negative patterns among criteria: Purpose and Institutionalism; Operating Conditions and Results; and Self-Regulatory Ability. Results. Major differences were found among the degree programs. Positive and negative relationships between criteria codes, graduate profile and curriculum, indicate that only some degree programs provide an appropriate training. In the same way, the relationship between the teaching staff qualification and research work revealed cases of teachers who were not sufficiently qualified. Other weak aspects were the level of knowledge that students have when they enter university and the effective use of diagnostics and self-assessment tests. Conclusions. This study provides relevant information for decision making and feedback processes oriented at the urgent improvement and quality assurance of degree programs, particularly of curricula, teaching staff qualifications, and effectiveness of the quality assurance processes, given the increasing importance of nutrition professionals in the public health area.</t>
  </si>
  <si>
    <t>Varela, Daniel/D-9484-2013; Crovetto, Mirta/ABA-1183-2021</t>
  </si>
  <si>
    <t>Crovetto, Mirta/0000-0003-4724-4099</t>
  </si>
  <si>
    <t>0717-7518</t>
  </si>
  <si>
    <t>10.4067/S0717-75182021000200213</t>
  </si>
  <si>
    <t>WOS:000646258800009</t>
  </si>
  <si>
    <t>Castillo, E; Moreno, L; Baiges, J; Codina, R</t>
  </si>
  <si>
    <t>Castillo, Ernesto; Moreno, Laura; Baiges, Joan; Codina, Ramon</t>
  </si>
  <si>
    <t>Stabilised Variational Multi-scale Finite Element Formulations for Viscoelastic Fluids</t>
  </si>
  <si>
    <t>ARCHIVES OF COMPUTATIONAL METHODS IN ENGINEERING</t>
  </si>
  <si>
    <t>The objective of this article is to summarise the work that we have been doing as a group in the context of stabilised finite element formulations for viscoelastic fluid flows. Viscoelastic fluids are complex non-Newtonian fluids, characterised by having an irreducible constitutive equation that needs to be solved coupled with the momentum and continuity equations. The finite element approximation of this kind of fluids presents several numerical difficulties. It inherits obviously the problems associated with the approximation of the incompressible Navier-Stokes equations. But, on top of that, now the constitutive equation is highly non-linear, with an advective term that may lead to both global and local oscillations in the numerical approximation. Moreover, even in the case of smooth solutions, it is necessary to meet some additional compatibility conditions between the velocity and the stress interpolation in order to ensure control over velocity gradients. The stabilised methods detailed in this work allow one to use equal order or even arbitrary interpolation for the problem unknowns (sigma-u-p) (elastic deviatoric stress-velocity-pressure) and to stabilise dominant convective terms, and all of them can be framed in the context of variational multi-scale methods. Some additional numerical ingredients that are introduced in this article are the treatment of the non-linearities associated with the problem and the possibility to introduce a discontinuity-capturing technique to prevent local oscillations. Concerning the constitutive equation, both the standard as the logarithmic conformation reformulation are discussed for stationary and time-dependent problems, and different versions of stabilised finite element formulations are presented in both cases.</t>
  </si>
  <si>
    <t>Moreno Martínez, Laura/AFX-6764-2022; Castillo, Ernesto/D-1612-2015; Baiges, Joan/D-3433-2014; Codina, Ramon/I-2311-2014</t>
  </si>
  <si>
    <t>Codina, Ramon/0000-0002-7412-778X; Moreno Martinez, Laura/0000-0002-8163-0877</t>
  </si>
  <si>
    <t>1134-3060</t>
  </si>
  <si>
    <t>1886-1784</t>
  </si>
  <si>
    <t>10.1007/s11831-020-09526-x</t>
  </si>
  <si>
    <t>MAR 2021</t>
  </si>
  <si>
    <t>WOS:000633349400001</t>
  </si>
  <si>
    <t>Lozano-Muñoz, I; Wacyk, J; Kretschmer, C; Vásquez-Martínez, Y; Cortez-San Martin, M</t>
  </si>
  <si>
    <t>Lozano-Munoz, Ivonne; Wacyk, Jurij; Kretschmer, Cristina; Vasquez-Martinez, Yesseny; Cortez-San Martin, Marcelo</t>
  </si>
  <si>
    <t>Antimicrobial resistance in Chilean marine-farmed salmon: Improving food safety through One Health</t>
  </si>
  <si>
    <t>ONE HEALTH</t>
  </si>
  <si>
    <t>Aquaculture is seen as an essential requirement for improving food security and nutrition. Fish such as salmonids are a primary source of protein and essential nutrients. Aquaculture provide income for communities across the world and have a smaller carbon footprint than terrestrial animal-production systems. However, fish diseases are a constant threat, and the use of antibiotics is a source of concern due to its adverse impacts on the environment and human health. Chilean salmon farming has made several efforts to reduce the use of antibiotics for the eradication of piscirickettsiosis, a disease caused by the gram-negative bacteria Piscirickettsia salmonis. Excessive amounts of antibiotics continue to be used in Chilean aquaculture, playing an important role in the emerging public health crisis of antimicrobial resistance. Without doubt, P. salmonis is becoming increasingly resistant to important frontline antimicrobial classes, with severe implications for the future treatment of infectious human and animal diseases. Antimicrobial-resistant bacteria as well as antibiotic residues from salmon production are spreading in the environment, and thus both salmon food commodities and wild organisms can become a source of resistant bacteria that can be transmitted to humans as foodborne contaminants. This urgent threat needs to be addressed by implementing national strategies in compliance with international standards that include both prudent antimicrobial use in marine salmon farms and the investment towards a One Health approach, which combines human, animal and environmental health.</t>
  </si>
  <si>
    <t>Wacyk, Jurij/B-6544-2014; Muñoz, Ivonne/H-4724-2019</t>
  </si>
  <si>
    <t>Lozano-Munoz, Ivonne/0000-0002-1609-0317; Vasquez Martinez, Yesseny Amneris/0000-0002-4184-9815; Wacyk, Jurij/0000-0002-9044-2755</t>
  </si>
  <si>
    <t>2352-7714</t>
  </si>
  <si>
    <t>10.1016/j.onehlt.2021.100219</t>
  </si>
  <si>
    <t>FEB 2021</t>
  </si>
  <si>
    <t>WOS:000735829200005</t>
  </si>
  <si>
    <t>Adasme, P; Firoozabadi, AD</t>
  </si>
  <si>
    <t>Rodrigues, J; Mauri, JL</t>
  </si>
  <si>
    <t>Adasme, Pablo; Firoozabadi, Ali Dehghan</t>
  </si>
  <si>
    <t>On a Wireless Sensor Network Problem with Spanning Tree Backbone</t>
  </si>
  <si>
    <t>PROCEEDINGS OF THE 18TH INTERNATIONAL CONFERENCE ON WIRELESS NETWORKS AND MOBILE SYSTEMS (WINSYS)</t>
  </si>
  <si>
    <t>18th International Conference on Wireless Networks and Mobile Systems (WINSYS)</t>
  </si>
  <si>
    <t>JUL 07-09, 2021</t>
  </si>
  <si>
    <t>INSTICC</t>
  </si>
  <si>
    <t>Let G = (V, E) be a complete graph with set of nodes V = {1, . . .,} g and edge set E = {1, . . ., m} representing a wireless sensor network. In this paper, we consider the problem of finding a minimum cost spanning tree backbone formed with p is an element of Z(+) out of n nodes where p &lt; n in such a way that the n - p remaining nodes of G are connected to the leaf nodes of the backbone structure at minimum connectivity cost. Notice that this problem arises as a combination of two classical combinatorial optimization problems, namely the p-Median and spanning tree problems. We propose two mixed-integer linear programming (MIP) formulations for this problem as well as a local search heuristic. The proposed models and algorithm can be used as a reference source for comparison purposes when designing future network protocols. We consider complete graph instances with Euclidean and random uniform costs. Our preliminary numerical results indicate that one of the proposed models performs slightly better than the other one in terms of solution quality and CPU times obtained with the Gurobi solver. Finally, the proposed heuristic allows one to obtain near-optimal solutions in remarkably less CPU time compared to the MIP models.</t>
  </si>
  <si>
    <t>978-989-758-529-6</t>
  </si>
  <si>
    <t>10.5220/0010569700760082</t>
  </si>
  <si>
    <t>WOS:000819121100007</t>
  </si>
  <si>
    <t>Dougnac, P; Flores, MG</t>
  </si>
  <si>
    <t>Dougnac, Paulette; Flores, Matias G.</t>
  </si>
  <si>
    <t>Public engagement and extension in times of crisis. The case of Universidad de Chile in the context of the social uprising</t>
  </si>
  <si>
    <t>INTERCAMBIOS-DILEMAS Y TRANSICIONES DE LA EDUCACION SUPERIOR</t>
  </si>
  <si>
    <t>Since October 2019, Chile faced a massive popular uprising that has put the whole economic model into question. Massive pacific demonstrations were organized to express discontent, as well as violent protests paralyzed the country and destroyed shops, traffic lights, buses and metro stations. Demonstrations were responded with brutal repression from the police, which was accused of human rights violations by different international organizations. In order to respond to social discontent, a decision was made to conduct a national referendum in order to determine whether a new Constitution for Chile was to be written. In this context, universities became a space not only to discuss and propose ideas to overcome the crisis, but also, they assumed an active role in the conflict itself through varied initiatives undertaken by academics, staff and students. This paper analyses a series of activities developed by the University of Chile during the three months following the start of the uprising, and how they constitute ways of public engagement through research, teaching, lifelong learning, culture and public policy. The discussion addresses the valorization and appraisal of these activities, as well as the implications of considering the concept of bidirectionality as a condition of public engagement, particularly in a context of crisis.</t>
  </si>
  <si>
    <t>2301-0118</t>
  </si>
  <si>
    <t>2301-0126</t>
  </si>
  <si>
    <t>10.29156/INTER.8.2.2</t>
  </si>
  <si>
    <t>WOS:000753816200002</t>
  </si>
  <si>
    <t>Fuentes, C; Chavez, H; Paternina, MRA</t>
  </si>
  <si>
    <t>Fuentes, Carlos; Chavez, Hector; Paternina, Mario R. A.</t>
  </si>
  <si>
    <t>The Impact of Solid State Transformers Integration on Frequency Stability</t>
  </si>
  <si>
    <t>2021 IEEE CHILEAN CONFERENCE ON ELECTRICAL, ELECTRONICS ENGINEERING, INFORMATION AND COMMUNICATION TECHNOLOGIES (IEEE CHILECON 2021)</t>
  </si>
  <si>
    <t>IEEE Chilean Conference on Electrical, Electronics Engineering, Information and Communication Technologies (CHILECON)</t>
  </si>
  <si>
    <t>DEC 06-09, 2021</t>
  </si>
  <si>
    <t>IEEE,IEEE Consejo Chile, IEEE Chile Centro,Asociac Chilena Control Automatico,IEEE Chilean Chapter Control Syst,IEEE Chilean Chapter SMC,IEEE Chilean Chapter Educ,Int Federat Automat Control,IEEE Syst, Man &amp; Cybernet Soc,IEEE Control Syst Soc,IEEE Educ Soc,Chilean Assoc Elect &amp; Elect Ind,IEEE Consejo Chile, Chile Sur,Chilean Assoc Engineeres</t>
  </si>
  <si>
    <t>Load dynamics contributes to frequency stability by providing inertia, frequency response, and supporting system reserves. A future scenario of massive integration of Solid State Transformers may affect this contribution, as SSTs decouple the natural link between system frequency and load dynamics. This paper explores the effects of the Solid State Transformers integration in terms of frequency response. A load dynamics model is considered to represent the contribution of loads to frequency stability, and a simplified power system model is presented to assess the impacts. A simple feedback control for Solid State Transformers to provide frequency response is formulated to evaluate possible improvements and to obtain numerical results.</t>
  </si>
  <si>
    <t>Paternina, Mario/AAK-6723-2020; Lago-Fuentes, Carlos/J-4361-2019</t>
  </si>
  <si>
    <t>978-1-6654-0873-8</t>
  </si>
  <si>
    <t>10.1109/CHILECON54041.2021.9703051</t>
  </si>
  <si>
    <t>WOS:000788072700105</t>
  </si>
  <si>
    <t>Herceg, JS</t>
  </si>
  <si>
    <t>Boteva-Richter, B; Dhouib, S; Garrison, J</t>
  </si>
  <si>
    <t>Santos Herceg, Jose</t>
  </si>
  <si>
    <t>Detention and Torture Centers in Latin American Dictatorships Places of Subjective and Social Reconfiguration</t>
  </si>
  <si>
    <t>POLITICAL PHILOSOPHY FROM AN INTERCULTURAL PERSPECTIVE: Power Relations in a Global World</t>
  </si>
  <si>
    <t>Routledge Studies in Contemporary Philosophy</t>
  </si>
  <si>
    <t>978-1-032-02322-9; 978-1-003-01432-4; 978-0-367-44541-6</t>
  </si>
  <si>
    <t>10.4324/9781003014324</t>
  </si>
  <si>
    <t>WOS:000808375100009</t>
  </si>
  <si>
    <t>Figueroa, CT</t>
  </si>
  <si>
    <t>Vera, CG; Figueroa, CT</t>
  </si>
  <si>
    <t>Tapia Figueroa, Claudio</t>
  </si>
  <si>
    <t>Ecuador in Chile's foreign policy: a paravecinal scenario in the transition from the nineteenth to the twentieth century</t>
  </si>
  <si>
    <t>RELACIONES INTERNACIONALES REGIONALES DE CHILE HACIA 1904</t>
  </si>
  <si>
    <t>978-956-6095-25-5</t>
  </si>
  <si>
    <t>10.26448/ae9789566095255.11</t>
  </si>
  <si>
    <t>WOS:000762754900008</t>
  </si>
  <si>
    <t>Droguett, EL; Tapia, J; Yanez, C; Boroschek, R</t>
  </si>
  <si>
    <t>Lopez Droguett, Enrique; Tapia, Juan; Yanez, Claudio; Boroschek, Ruben</t>
  </si>
  <si>
    <t>Semantic segmentation model for crack images from concrete bridges for mobile devices</t>
  </si>
  <si>
    <t>PROCEEDINGS OF THE INSTITUTION OF MECHANICAL ENGINEERS PART O-JOURNAL OF RISK AND RELIABILITY</t>
  </si>
  <si>
    <t>Computer vision algorithms are powerful techniques that can be used for remotely monitoring and inspecting civil structures. Detecting and segmenting cracks in images of concrete bridges can provide useful information related to the health of the structure. There are several states of the art methods based on Deep Learning that have been used for segmentation tasks. However, most of them require a large number of parameters that limits their use in mobile device applications. Here, we propose a DenseNet architecture with only 13 layers with one feature extractor stage and two datapaths. Implementations of state of the art semantic segmentation models are also tested. The proposed model achieves better results than standard algorithms with only a fraction of the parameters making it suitable for developing mobile device applications for bridge structure monitoring. As an additional contribution, two new databases for semantic segmentation of cracks are presented. These databases are used to test all the algorithms in this work and will be available upon request. Additional experiments using a public database are also performed for the sake of comparison. The best results are obtained using the proposed DenseNet-13 architecture with only 350,000 parameters achieving an Intersection Over Union of 94.51% for crack semantic segmentation.</t>
  </si>
  <si>
    <t>Droguett, Enrique/AAC-9758-2019; Boroschek, Ruben/H-6195-2013; Tapia, Juan/KVZ-0330-2024</t>
  </si>
  <si>
    <t>Tapia, Juan/0000-0001-9159-4075; Yanez, Claudio/0000-0003-4750-1681</t>
  </si>
  <si>
    <t>1748-006X</t>
  </si>
  <si>
    <t>1748-0078</t>
  </si>
  <si>
    <t>1748006X20965111</t>
  </si>
  <si>
    <t>10.1177/1748006X20965111</t>
  </si>
  <si>
    <t>OCT 2020</t>
  </si>
  <si>
    <t>WOS:000637919300001</t>
  </si>
  <si>
    <t>Moenne, A; Gómez, M; Laporte, D; Espinoza, D; Sáez, CA; González, A</t>
  </si>
  <si>
    <t>Moenne, Alejandra; Gomez, Melissa; Laporte, Daniel; Espinoza, Daniela; Saez, Claudio A.; Gonzalez, Alberto</t>
  </si>
  <si>
    <t>Mechanisms of Copper Tolerance, Accumulation, and Detoxification in the Marine Macroalga Ulva compressa (Chlorophyta): 20 Years of Research</t>
  </si>
  <si>
    <t>PLANTS-BASEL</t>
  </si>
  <si>
    <t>Copper induces an oxidative stress condition in the marine algaUlva compressathat is due to the production of superoxide anions and hydrogen peroxide, mainly in organelles. The increase in hydrogen peroxide is accompanied by increases in intracellular calcium and nitric oxide, and there is a crosstalk among these signals. The increase in intracellular calcium activates signaling pathways involving Calmodulin-dependent Protein Kinases (CaMKs) and Calcium-Dependent Protein Kinases (CDPKs), leading to activation of gene expression of antioxidant enzymes and enzymes involved in ascorbate (ASC) and glutathione (GSH) synthesis. It was recently shown that copper also activates Mitogen-Activated Protein Kinases (MAPKs) that participate in the increase in the expression of antioxidant enzymes. The increase in gene expression leads to enhanced activities of antioxidant enzymes and to enhanced levels of ASC and GSH. In addition, copper induces an increase in photosynthesis leading to an increase in the leve of Nicotinamide Adenine Dinucleotide Phosphate (NADPH). Copper also induces an increase in activities of enzymes involved in C, N, and S assimilation, allowing the replacement of proteins damaged by oxidative stress. The accumulation of copper in acute exposure involved increases in GSH, phytochelatins (PCs), and metallothioneins (MTs) whereas the accumulation of copper in chronic exposure involved only MTs. Acute and chronic copper exposure induced the accumulation of copper-containing particles in chloroplasts. On the other hand, copper is extruded from the alga with an equimolar amount of GSH. Thus, the increases in activities of antioxidant enzymes, in ASC, GSH, and NADPH levels, and in C, N, and S assimilation, the accumulation of copper-containing particles in chloroplasts, and the extrusion of copper ions from the alga constitute essential mechanisms that participate in the buffering of copper-induced oxidative stress inU. compressa.</t>
  </si>
  <si>
    <t>Sáez, Claudio/AAP-6923-2021; Figueroa, Alberto/AAA-7911-2020</t>
  </si>
  <si>
    <t>Moenne, Alejandra/0000-0002-7309-9713; Saez, Claudio/0000-0002-5037-3484; Gonzalez Figueroa, Alberto/0000-0002-5777-9022; Espinoza, Daniela/0000-0002-9765-7468</t>
  </si>
  <si>
    <t>2223-7747</t>
  </si>
  <si>
    <t>10.3390/plants9060681</t>
  </si>
  <si>
    <t>WOS:000553882100001</t>
  </si>
  <si>
    <t>Barbay, J; Pérez-Lantero, P; Rojas-Ledesma, J</t>
  </si>
  <si>
    <t>Barbay, Jeremy; Perez-Lantero, Pablo; Rojas-Ledesma, Javiel</t>
  </si>
  <si>
    <t>Computing coverage kernels under restricted settings</t>
  </si>
  <si>
    <t>THEORETICAL COMPUTER SCIENCE</t>
  </si>
  <si>
    <t>Given a set B of d-dimensional boxes (i.e., axis-aligned hyperrectangles), a minimum coverage kernel is a subset of B of minimum size covering the same region as B. Computing it is NP-hard, but as for many similar NP-hard problems (e.g., Box Cover, and Orthogonal Polygon Covering), the problem becomes solvable in polynomial time under restrictions on B. We show that computing minimum coverage kernels remains NP-hard even when restricting the graph induced by the input to a highly constrained class of graphs. Alternatively, we present two polynomial-time approximation algorithms for this problem: one deterministic with an approximation ratio within 0(logn), and one randomized with an improved approximation ratio within 0(lgOPT)(with high probability). (C) 2020 Elsevier B.V. All rights reserved.</t>
  </si>
  <si>
    <t>Barbay, Jeremy/E-7775-2012</t>
  </si>
  <si>
    <t>Barbay, Jeremy/0000-0002-3392-8353</t>
  </si>
  <si>
    <t>0304-3975</t>
  </si>
  <si>
    <t>1879-2294</t>
  </si>
  <si>
    <t>MAY 2</t>
  </si>
  <si>
    <t>10.1016/j.tcs.2020.01.021</t>
  </si>
  <si>
    <t>WOS:000524283200020</t>
  </si>
  <si>
    <t>Adasme, P; San Juan, E; Soto, I; Arratia, LC; Seguel, F; Firoozabadi, AD</t>
  </si>
  <si>
    <t>Adasme, Pablo; San Juan, Enrique; Soto, Ismael; Arratia, Lucio Canete; Seguel, Fabian; Dehghan Firoozabadi, Ali</t>
  </si>
  <si>
    <t>An Integer Programming Approach to Locate RSUs in a Telecommunication Highway Vehicle Network</t>
  </si>
  <si>
    <t>2020 12TH INTERNATIONAL SYMPOSIUM ON COMMUNICATION SYSTEMS, NETWORKS AND DIGITAL SIGNAL PROCESSING, CSNDSP</t>
  </si>
  <si>
    <t>12th International Symposium on Communication Systems, Networks and Digital Signal Processing (CSNDSP)</t>
  </si>
  <si>
    <t>JUL 20-22, 2020</t>
  </si>
  <si>
    <t>In this paper, we propose a mixed integer linear programming (MILP) model for a telecommunication highway vehicle network to optimally locate roadside units (RSUs) at minimum costs. Our model is quite general and thus can be used in highway networks where emerging technologies related with Massive Multiple Input Multiple Output (MIMO) systems can be implemented. For this purpose, let graph G(V,E) represent a highway vehicle network with sets V and E denoting RSUs and connection links between them, respectively. The optimization problem consists of finding a subset of RSUs from V that satisfies a coverage vehicle flow and Hamiltonian backbone network constraints while spanning the highway at minimum cost. Then, we further propose an iterative greedy heuristic and a local search algorithm which allow feasible solutions to be obtained in significantly less CPU time than CPLEX solver requires to solve the MILP model. Preliminary numerical results indicate that our proposed model is able to solve network instances with up to 1500 RSUs to optimality in less than one hour. Whilst the proposed heuristic and local search algorithms allow to obtain near optimal solutions with gap values which are lower than 6% and 1%, respectively for most tested instances.</t>
  </si>
  <si>
    <t>Adasme, Pablo/U-1735-2019; Seguel, Fabian/ABC-4765-2020; Arratia, Lucio/AAV-6112-2020; Dehghan Firoozabadi, Ali/AAD-4858-2019</t>
  </si>
  <si>
    <t>978-1-7281-6743-5</t>
  </si>
  <si>
    <t>WOS:001331796100015</t>
  </si>
  <si>
    <t>Osorio, A; Toledo-Neira, C; Bravo, MA</t>
  </si>
  <si>
    <t>Osorio, Alicia; Toledo-Neira, Carla; Bravo, Manuel A.</t>
  </si>
  <si>
    <t>Critical evaluation of third-order advantage with highly overlapped spectral signals. Determination of fluoroquinolones in fish-farming waters by fluorescence spectroscopy coupled to multivariate calibration</t>
  </si>
  <si>
    <t>TALANTA</t>
  </si>
  <si>
    <t>In this work, the analytical performance of a third-order/four-way calibration is evaluated to model a highly overlapped system, where two spectral dimensions are extremely similar, and the results are then compared with the results of second-order/three-way calibration. The four-way data were obtained during the photodegradation of fluoroquinolones (ciprofloxacin, norfloxacin and flumequine) in the form of excitation-emission matrices and modeled by unfolded partial least squares coupled to residual trilinearization (U-PLS-RTL). According to the results, the model obtained with the second-order algorithm (unfolded partial least squares coupled to residual bilinearization: U-PLS-RBL) was unsatisfactory due to high spectral overlap. The third-order approach obtained a satisfactory fit and better figures of merit (LOD, REP, RMSEP, and sensitivity, among others) even in the presence of unexpected interferences due to third-order advantages. Finally, the analytical method based on third-order multivariate calibration was applied to quantify these fluoroquinolones in spiked fish-farming water samples. In this case, the third-order advantage allowed us to satisfactorily model the data and to quantify these compounds in this complex matrix, demonstrating the superior analytical performance of the high-order data that were evaluated.</t>
  </si>
  <si>
    <t>Toledo Neira, Carla Beatriz/0000-0003-2872-3043; Bravo, Manuel/0000-0002-4548-6265</t>
  </si>
  <si>
    <t>0039-9140</t>
  </si>
  <si>
    <t>1873-3573</t>
  </si>
  <si>
    <t>10.1016/j.talanta.2019.06.048</t>
  </si>
  <si>
    <t>WOS:000480664200054</t>
  </si>
  <si>
    <t>Vidal, J; Saez, C; Canizares, P; Navarro, V; Salazar, R; Rodrigo, MA</t>
  </si>
  <si>
    <t>Vidal, J.; Saez, C.; Canizares, P.; Navarro, V.; Salazar, R.; Rodrigo, M. A.</t>
  </si>
  <si>
    <t>ZVI - Reactive barriers for the remediation of soils polluted with clopyralid: Are they really Worth?</t>
  </si>
  <si>
    <t>CHEMICAL ENGINEERING JOURNAL</t>
  </si>
  <si>
    <t>In this work, the remediation of soil spiked with clopyralid is evaluated using two types of zero valent iron (ZVI) barriers coupled with electrokinetic soil flushing (EKSF). These barriers consist of soil merged with iron particles. In one of the tests conducted, granular milimetric iron was used, whereas in the other, iron was placed in the form of nanoparticles. The performance of this novel technology is compared to that of single EKSF technology. Tests were carried out in bench scale mockups (175 L) and they lasted one month. Over this period, soil underwent the application of an electric field of 1.0 V/cm between a row of three anodes and a row of three cathodes. Results indicate that ZVI barriers seriously affect electrokinetic flushes by preventing the mobility of pollutants to the electrode wells. However, they achieve a larger dehalogenation of clopyralid than single EKSF. There are no significant differences between the results obtained using the two sizes of ZVI and the volatilization of pollutants associated to thermal effects was almost prevented by means of capillary barriers implemented on top of the mockups. After the treatment, most of the clopyralid not removed is concentrated near the anodes wells and a very important fraction can be easily extracted by excavating a very small percentage of the soil, because the pollutant has been concentrated in very specific points during remediation. Results are significant for the design of full-scale applications for the remediation of soils polluted with soluble chlorinated hydrocarbons.</t>
  </si>
  <si>
    <t>Salazar, Ricardo/L-7870-2013; Navarro Gamir, Vicente/G-1437-2016; Rodrigo, Manuel Andres/I-6112-2013</t>
  </si>
  <si>
    <t>Salazar-Gonzalez, Ricardo/0000-0003-2180-6022; Navarro Gamir, Vicente/0000-0001-6629-9293; Rodrigo, Manuel Andres/0000-0003-2518-8436; Vidal, Jorge/0000-0002-1334-377X</t>
  </si>
  <si>
    <t>1385-8947</t>
  </si>
  <si>
    <t>1873-3212</t>
  </si>
  <si>
    <t>OCT 15</t>
  </si>
  <si>
    <t>10.1016/j.cej.2018.05.142</t>
  </si>
  <si>
    <t>WOS:000437093000011</t>
  </si>
  <si>
    <t>Salinas, C; Ananias, RA; Vasco, DA</t>
  </si>
  <si>
    <t>Salinas, Carlos; Ananias, Ruben A.; Vasco, Diego A.</t>
  </si>
  <si>
    <t>Modelling of Radio-frequency Heating of Piles of Pinus radiata Wood</t>
  </si>
  <si>
    <t>BIORESOURCES</t>
  </si>
  <si>
    <t>The present work studied the numerical modelling of heat transfer in a pile of Pinus radiata samples of a square cross-section by using radio frequency heating. More precisely, the study focused on the effects of the energy transferred to a dielectric material (wood) from an electromagnetic field, which required the calculation of the dielectric loss factor and its correlation with conservative equations. In this way, the temperature distribution across Pinus radiata samples was obtained through the integration of the energy equation using the finite volume method. The numerical results were compared to experimental data obtained from three experiments of radio-frequency heating of wood samples of a cross-sectional area of 4 in x 4 in, 3.1-m-long, and 20 cm of separation between plates. According to the observed linear behavior of the heat transfer process, the numerical results of the transient variation of temperature were in agreement with the experimental data.</t>
  </si>
  <si>
    <t>Ananias, Ruben/B-9518-2009; Salinas, Carlos/D-8689-2012; Vasco, Diego/Y-2934-2019</t>
  </si>
  <si>
    <t>1930-2126</t>
  </si>
  <si>
    <t>10.15376/biores.13.1.945-953</t>
  </si>
  <si>
    <t>WOS:000427790000070</t>
  </si>
  <si>
    <t>Villegas, C; Torres, A; Rios, M; Rojas, A; Romero, J; de Dicastillo, CL; Valenzuela, X; Galotto, MJ; Guarda, A</t>
  </si>
  <si>
    <t>Villegas, Carolina; Torres, Alejandra; Rios, Mauricio; Rojas, Adrian; Romero, Julio; Lopez de Dicastillo, Carol; Valenzuela, Ximena; Jose Galotto, Maria; Guarda, Abel</t>
  </si>
  <si>
    <t>Supercritical impregnation of cinnamaldehyde into polylactic acid as a route to develop antibacterial food packaging materials</t>
  </si>
  <si>
    <t>FOOD RESEARCH INTERNATIONAL</t>
  </si>
  <si>
    <t>Supercritical impregnation was used to incorporate a natural compound with antibacterial activity into biopolymer-based films to develop active food packaging materials. Impregnation tests were carried out under two pressure conditions (9 and 12 MPa), and three depressurization rates (0.1, 1 and 10 MPa min(-1)) in a high-pressure cell at a constant temperature equal to 40 degrees C. Cinnamaldehyde (Ci), a natural compound with proven antimicrobial activity, was successfully incorporated into poly(lactic acid) films (PLA) using supercritical carbon dioxide (scCO(2)), with impregnation yields ranging from 8 to 13% w/w. Higher pressure and slower depressurization rate seem to favor the Ci impregnation. The incorporation of Ci improved thermal, structural and mechanical properties of the PLA films. Impregnated films were more flexible, less brittle and more resistant materials than neat PLA films. The tested samples showed strong antibacterial activity against the selected microorganisms. In summary, this study provides an innovative route to the development of antibacterial biodegradable materials, which could be used in a wide range of applications of active food packaging.</t>
  </si>
  <si>
    <t>Rojas, Adrián/AAR-9441-2021; Romero, Julio/I-6705-2013; Lopez-de-Dicastillo, Carol/C-6347-2019</t>
  </si>
  <si>
    <t>Romero, Julio/0000-0002-1229-1592; Rojas, Adrian/0000-0001-9253-1295; Lopez-de-Dicastillo, Carol/0000-0003-0067-9765</t>
  </si>
  <si>
    <t>0963-9969</t>
  </si>
  <si>
    <t>1873-7145</t>
  </si>
  <si>
    <t>10.1016/j.foodres.2017.06.031</t>
  </si>
  <si>
    <t>WOS:000409152200068</t>
  </si>
  <si>
    <t>de Dicastillo, CL; Garrido, L; Alvarado, N; Romero, J; Palma, JL; Galotto, MJ</t>
  </si>
  <si>
    <t>Lopez de Dicastillo, Carol; Garrido, Luan; Alvarado, Nancy; Romero, Julio; Luis Palma, Juan; Jose Galotto, Maria</t>
  </si>
  <si>
    <t>Improvement of Polylactide Properties through Cellulose Nanocrystals Embedded in Poly(Vinyl Alcohol) Electrospun Nanofibers</t>
  </si>
  <si>
    <t>NANOMATERIALS</t>
  </si>
  <si>
    <t>Electrospun nanofibers of poly (vinyl alcohol) (PV) were obtained to improve dispersion of cellulose nanocrystals (CNC) within hydrophobic biopolymeric matrices, such as poly(lactic acid) (PLA). Electrospun nanofibers (PV/CNC)(n) were successfully obtained with a final concentration of 23% (w/w) of CNC. Morphological, structural and thermal properties of developed CNC and electrospun nanofibers were characterized. X-ray diffraction and thermal analysis revealed that the crystallinity of PV was reduced by the electrospinning process, and the incorporation of CNC increased the thermal stability of biodegradable nanofibers. Interactions between CNC and PV polymer also enhanced the thermal stability of CNC and improved the dispersion of CNC within the PLA matrix. PLA materials with CNC lyophilized were also casted in order to compare the properties with materials based on CNC containing nanofibers. Nanofibers and CNC were incorporated into PLA at three concentrations: 0.5%, 1% and 3% (CNC respect to polymer weight) and nanocomposites were fully characterized. Overall, nanofibers containing CNC positively modified the physical properties of PLA materials, such as the crystallinity degree of PLA which was greatly enhanced. Specifically, materials with 1% nanofiber 1PLA(PV/CNC) n presented highest improvements related to mechanical and barrier properties; elongation at break was enhanced almost four times and the permeation of oxygen was reduced by approximately 30%.</t>
  </si>
  <si>
    <t>Palma, Juan/IAP-4554-2023; Romero, Julio/I-6705-2013; Lopez-de-Dicastillo, Carol/C-6347-2019</t>
  </si>
  <si>
    <t>Palma, JuanLuis/0000-0003-2068-174X; Romero, Julio/0000-0002-1229-1592; Alvarado, Nancy/0000-0001-9698-1621; Lopez-de-Dicastillo, Carol/0000-0003-0067-9765</t>
  </si>
  <si>
    <t>2079-4991</t>
  </si>
  <si>
    <t>10.3390/nano7050106</t>
  </si>
  <si>
    <t>WOS:000404048600014</t>
  </si>
  <si>
    <t>Guerrero, C; Vera, C; Illanes, A</t>
  </si>
  <si>
    <t>Guerrero, Cecilia; Vera, Carlos; Illanes, Andres</t>
  </si>
  <si>
    <t>Synthesis of lactulose in batch and repeated-batch operation with immobilized β-galactosidase in different agarose functionalized supports</t>
  </si>
  <si>
    <t>BIORESOURCE TECHNOLOGY</t>
  </si>
  <si>
    <t>Lactulose synthesis was done in repeated-batch mode with Aspergillus oryzae beta-galactosidase immobilized in glyoxyl-agarose (GA-beta G), amino-glyoxyl-agarose (Am-GA-beta G) and chelate-glyoxyl-agarose (Che-GA-beta G), at fructose/lactose molar ratios of 4, 12 and 20. Highest yields of lactulose in batch were obtained with Che-GA-beta G (0.21, 0.29 and 0.32 g.g(-1)) for 4, 12 and 20 fructose/lactose molar ratios respectively; when operating in 10 repeated batches highest product to biocatalyst mass ratios were obtained with Am-GA-beta G (1.82, 2.52 and 2.7 g.mg(-1)), while the lowest were obtained with Che-GA-beta G (0.25, 0.33 and 0.39 g.mg(-1)). Operational stability of Am-GA-beta G was higher than GA-beta G and Che-GA-beta G and much higher than that of the free enzyme, at all fructose/lactose molar ratios evaluated. Efficiency of biocatalyst use for GA-beta G were 64.4, 35.5 and 18.4 kg(lactulose)/g(protein), for fructose/lactose molar ratios of 4, 12 and 20 respectively, while for Che-GA-beta G were 1.46, 1.05 and 0.96 k(glactulose)/g(protein). (C) 2017 Elsevier Ltd. All rights reserved.</t>
  </si>
  <si>
    <t>vera, Carlos/G-5240-2019</t>
  </si>
  <si>
    <t>Guerrero, Cecilia/0000-0002-4701-3525; Vera Vera, Carlos Felipe/0000-0003-2179-9467</t>
  </si>
  <si>
    <t>0960-8524</t>
  </si>
  <si>
    <t>1873-2976</t>
  </si>
  <si>
    <t>10.1016/j.biortech.2017.01.037</t>
  </si>
  <si>
    <t>WOS:000400865800008</t>
  </si>
  <si>
    <t>Fano, D; Vásquez-Velásquez, C; Gonzales-Castañeda, C; Guajardo-Correa, E; Orihuela, PA; Gonzales, GF</t>
  </si>
  <si>
    <t>Fano, Diego; Vasquez-Velasquez, Cinthya; Gonzales-Castaneda, Cynthia; Guajardo-Correa, Emanuel; Orihuela, Pedro A.; Gonzales, Gustavo F.</t>
  </si>
  <si>
    <t>N-Butanol and Aqueous Fractions of Red Maca Methanolic Extract Exerts Opposite Effects on Androgen and Oestrogens Receptors (Alpha and Beta) in Rats with Testosterone-Induced Benign Prostatic Hyperplasia</t>
  </si>
  <si>
    <t>EVIDENCE-BASED COMPLEMENTARY AND ALTERNATIVE MEDICINE</t>
  </si>
  <si>
    <t>Benign Prostatic Hyperplasia (BPH) affects, worldwide, 50% of 60-year-old men. The Peruvian plant red maca (Lepidium meyenii) inhibits BPH in rodents. This study aimed to determine the effects of methanolic red maca extract and its n-butanol and aqueous fractions on expression of androgen and oestrogen receptors in rats with testosterone enanthate-induced BPH. Thirty-six rats in six groups were studied. Control group received 2 mLof vehicle orally and 0.1 mLof propylene glycol intramuscularly. The second group received vehicle orally and testosterone enanthate (TE) (25mg/0.1 mL) intramuscularly in days 1 and 7. The other four groups were BPH-induced with TE and received, during 21 days, 3.78mg/mL of finasteride, 18.3mg/mLmethanol extract of redmaca, 2mg/mL of n-butanol fraction, or 16.3mg/mL of aqueous fraction from red maca. Treatments with red maca extract and its n-butanol but not aqueous fraction reduced prostate weight similar to finasteride. All maca treated groups restored the expression of ER beta, but only the aqueous fraction increased androgen receptors and ER alpha In conclusion, butanol fraction of red maca reduced prostate size in BPH by restoring expression of ER beta without affecting androgen receptors and ER alpha. This effect was not observed with aqueous fraction of methanolic extract of red maca.</t>
  </si>
  <si>
    <t>Vásquez-Velásquez, Cinthya/GPF-5607-2022; Gonzales, Gustavo/I-9153-2016; Guajardo, Emanuel/LKL-0134-2024; Sizgorich, Diego/AAL-9461-2021</t>
  </si>
  <si>
    <t>Orihuela, Pedro/0000-0002-4238-0932; Vasquez-Velasquez, Cinthya/0000-0002-3326-0437; Fano Sizgorich, Diego/0000-0001-7172-0521; Guajardo-Correa, Emanuel/0000-0002-6091-6745</t>
  </si>
  <si>
    <t>1741-427X</t>
  </si>
  <si>
    <t>1741-4288</t>
  </si>
  <si>
    <t>10.1155/2017/9124240</t>
  </si>
  <si>
    <t>WOS:000418806800001</t>
  </si>
  <si>
    <t>Olivares, V; Cordova, F; Duran, C</t>
  </si>
  <si>
    <t>Olivares, Victor; Cordova, Felisa; Duran, Claudia</t>
  </si>
  <si>
    <t>Transport logistics and simulation model for fleet of drones in a Mass Customization System</t>
  </si>
  <si>
    <t>2017 CHILEAN CONFERENCE ON ELECTRICAL, ELECTRONICS ENGINEERING, INFORMATION AND COMMUNICATION TECHNOLOGIES (CHILECON)</t>
  </si>
  <si>
    <t>CHILEAN Conference on Electrical, Electronics Engineering, Information and Communication Technologies (CHILECON)</t>
  </si>
  <si>
    <t>Pucon, CHILE</t>
  </si>
  <si>
    <t>IEEE Chile Sect,Asociac Chilena Control Automatico,IEEE Chilean Chapter Control Syst,IEEE Chilean Chapter SMC,Macro Fac Chile,Univ Frontera,Univ Bio Bio,Univ Talca,IEEE Syst, Man, &amp; Cybernet Soc</t>
  </si>
  <si>
    <t>This work proposes the use of a fleet of drones (quadcopter/optocopter) inside a production plant of plastic products for the home, in the transport of the materials and components necessary for the personalization of products in the last phases of the production process in a Mass Customization System. A computational tool is designed to configure the fleet to perform certain logistic operations under different operating conditions. It is considered the demand for products (volume and weight), the power and speed of the drones and finally, the distance travelled based on the layout of the plant and transport layout of the drones. The fleet of drones considers a 3D transport space and several structures and configurations have been developed to allow 3D movements. It also analyses the problem of routing of the fleet of drones using several heuristic methods and simulation, whose objective function is to minimize the total cost. An extension of the problem of the traveller seller with capacity and restrictions is analysed (CVRP). Finally, a technological uprising required by the drone transport system is carried out.</t>
  </si>
  <si>
    <t>978-1-5386-3123-2</t>
  </si>
  <si>
    <t>WOS:000425925000020</t>
  </si>
  <si>
    <t>Moya, SA; Yáñez, M; Pérez, C; López, R; Zúñiga, C; Cárdenas-Jirón, G</t>
  </si>
  <si>
    <t>Moya, Sergio A.; Yanez-S, Mauricio; Perez, Catalina; Lopez, Rosa; Zuniga, Cesar; Cardenas-Jiron, Gloria</t>
  </si>
  <si>
    <t>MECHANISTIC STUDY OF A RUTHENIUM HYDRIDE COMPLEX OF TYPE [RuH(CO)(N-N)(PR3)2]+ AS CATALYST PRECURSOR FOR THE HYDROFORMYLATION REACTION OF 1-HEXENE</t>
  </si>
  <si>
    <t>The catalytic activity of systems of type [RuH(CO)(N-N)(PR3)(2)](+) was evaluated in the hydroformylation reaction of 1-hexene. The observed activity is explained through a reaction mechanism on the basis of the quantum theory. The mechanism included total energy calculations for each of the intermediaries of the elemental steps considered in the catalytic cycle. The deactivation of the catalyst precursors takes place via dissociation of the polypyridine ligand and the subsequent formation of thermodynamically stable species, such as RuH(CO)(3)(PPh3)(2) and RuH3(CO)(PPh3)(2), which interrupt the catalytic cycle. In addition, the theoretical study allows to explain the observed regioselectivity which is defined in two steps: (a) the hydride migration reaction with an anti-Markovnikov orientation to produce the alkyl-linear-complex (3.1a), which is more stable by 19.4 kJ/mol than the Markovnikov orientation (alkyl-branched-complex) (3.1b); (b) the carbon monoxide insertion step generates the carbonyl alkyl-linear specie (4.1a) which is more stable by 9.5 kJ/mol than the alternative species (4.1b), determining the preferred formation of heptanal in the hydroformylation of 1-hexene.</t>
  </si>
  <si>
    <t>LOPEZ, ROSA/C-7645-2009; Cardenas-Jiron, Gloria/H-9508-2012</t>
  </si>
  <si>
    <t>Cardenas-Jiron, Gloria/0000-0003-4305-8088</t>
  </si>
  <si>
    <t>10.4067/S0717-97072016000400026</t>
  </si>
  <si>
    <t>WOS:000393079900026</t>
  </si>
  <si>
    <t>Aliaga, C; Rezende, MC; Mena, G</t>
  </si>
  <si>
    <t>Aliaga, Carolina; Caroli Rezende, Marcos; Mena, Geraldine</t>
  </si>
  <si>
    <t>The effect of micellization on the EPR spectra and reactivity of 2,2,4,4-tetramethylpiperidinoxyl (TEMPO) radicals</t>
  </si>
  <si>
    <t>MAGNETIC RESONANCE IN CHEMISTRY</t>
  </si>
  <si>
    <t>A series of 4-alkanoyloxy-2,2,6,6-tetramethylpiperidinoxyl radicals was prepared, and their reactivity in water vis-a-vis antioxidant Trolox was compared. Spectral (electron paramagnetic resonance) and dynamic-light-scattering measurements suggested the formation of micelles for the more hydrophobic members of the series. The observed increase in reactivity for the micelle-forming radicals reflected the increased local concentration of the radical fragment on the micellar interface. Copyright (c) 2016 John Wiley &amp; Sons, Ltd.</t>
  </si>
  <si>
    <t>Caroli, Marcos/H-3570-2019; Aliaga, Carolina/G-6024-2019</t>
  </si>
  <si>
    <t>Rezende, Marcos/0000-0003-2040-9009; Aliaga, Carolina/0000-0002-1352-3164</t>
  </si>
  <si>
    <t>0749-1581</t>
  </si>
  <si>
    <t>1097-458X</t>
  </si>
  <si>
    <t>10.1002/mrc.4485</t>
  </si>
  <si>
    <t>WOS:000386019600002</t>
  </si>
  <si>
    <t>Figueiredo, GM; Quoirin, HR</t>
  </si>
  <si>
    <t>Figueiredo, Giovany M.; Ramos Quoirin, Humberto</t>
  </si>
  <si>
    <t>Ground States of Elliptic Problems Involving Non-Homogeneous Operators</t>
  </si>
  <si>
    <t>INDIANA UNIVERSITY MATHEMATICS JOURNAL</t>
  </si>
  <si>
    <t>We investigate the existence of ground states for functionals with a nonhomogenous principal part. Roughly speaking, we show that the Nehari manifold method requires no homogeneity on the principal part of a functional. This result is motivated by some elliptic problems involving nonhomogeneous operators. As an application, we prove the existence of a ground state and infinitely many solutions for three classes of boundary value problems.</t>
  </si>
  <si>
    <t>Figueiredo, Giovany/0000-0003-1697-1592; Ramos Quoirin, Humberto/0000-0001-6252-2515</t>
  </si>
  <si>
    <t>0022-2518</t>
  </si>
  <si>
    <t>1943-5258</t>
  </si>
  <si>
    <t>WOS:000381237600003</t>
  </si>
  <si>
    <t>Kleine, LL; Montaño, R; Torres-Avilés, F</t>
  </si>
  <si>
    <t>Guzzi, PH</t>
  </si>
  <si>
    <t>Kleine, Liliana Lopez; Montano, Rosa; Torres-Aviles, Francisco</t>
  </si>
  <si>
    <t>Classification and Clustering on Microarray Data for Gene Functional Prediction Using R</t>
  </si>
  <si>
    <t>MICROARRAY DATA ANALYSIS, 2 EDITION: Methods and Applications</t>
  </si>
  <si>
    <t>Methods in Molecular Biology</t>
  </si>
  <si>
    <t>Gene expression data (microarrays and RNA-sequencing data) as well as other kinds of genomic data can be extracted from publicly available genomic data. Here, we explain how to apply multivariate cluster and classification methods on gene expression data. These methods have become very popular and are implemented in freely available software in order to predict the participation of gene products in a specific functional category of interest. Taking into account the availability of data and of these methods, every biological study should apply them in order to obtain knowledge on the organism studied and functional category of interest. A special emphasis is made on the nonlinear kernel classification methods.</t>
  </si>
  <si>
    <t>Torres-Aviles, Francisco/J-8269-2013</t>
  </si>
  <si>
    <t>Torres-Aviles, Francisco/0000-0001-7973-4709</t>
  </si>
  <si>
    <t>1064-3745</t>
  </si>
  <si>
    <t>1940-6029</t>
  </si>
  <si>
    <t>978-1-4939-3173-6; 978-1-4939-3172-9</t>
  </si>
  <si>
    <t>10.1007/7651_2015_240</t>
  </si>
  <si>
    <t>10.1007/978-1-4939-3173-6</t>
  </si>
  <si>
    <t>WOS:000687300700004</t>
  </si>
  <si>
    <t>Vásquez, D; Contreras, E; Palma, C; Carvajal, A</t>
  </si>
  <si>
    <t>Vasquez, Denisse; Contreras, Elsa; Palma, Carolyn; Carvajal, Andrea</t>
  </si>
  <si>
    <t>Thermochemical pretreatment of lignocellulose residues: assessment of the effect on operational conditions and their interactions on the characteristics of leachable fraction</t>
  </si>
  <si>
    <t>WATER SCIENCE AND TECHNOLOGY</t>
  </si>
  <si>
    <t>Annually, large amounts of agricultural residues are produced in Chile, which can be turned into a good opportunity to diversify the energy matrix. These residues have a slow hydrolysis stage during anaerobic digestion; therefore, the application of a pretreatment seems to be an alternative to improve the process. This work focused on applying a thermochemical pretreatment with NaOH on two lignocellulosic residues. The experiments were performed according to a 24 factorial design. The factors studied in a 24 factorial design were: temperature (60 and 120 degrees C), pretreatment time (10 and 30 minutes), NaOH dose (2 and 4%), and residue size (&lt; 1 and 1-3 mm for wheat straw; 1-5 and 5-10 mm for corn stover). The analyzed response variables were the solubilization of organic matter, and the biodegradability of the lignocellulose hydrolysate. The statistical analysis of the data allowed the identification of the experimental conditions that maximized solubilization of organic matter and biodegradability. The main results showed that more aggressive experimental conditions could increase the breaking down of the structure; in addition, the time of pretreatment was not significant. Conversely, the less aggressive experimental conditions, regarding regent dosage and downsizing, favored the release of biodegradable organic matter. The main conclusion of this study was the identification of the operational conditions of the thermochemical pretreatment that promote maximum biogas production, which was caused due to the solubilization of a large amount of organic matter, but not because of the increase in biodegradability of the released organic matter.</t>
  </si>
  <si>
    <t>Carvajal Guevara, Andrea/G-1602-2011</t>
  </si>
  <si>
    <t>Carvajal Guevara, Andrea/0000-0003-0973-8901</t>
  </si>
  <si>
    <t>0273-1223</t>
  </si>
  <si>
    <t>1996-9732</t>
  </si>
  <si>
    <t>10.2166/wst.2015.398</t>
  </si>
  <si>
    <t>WOS:000374292200003</t>
  </si>
  <si>
    <t>Carrasco, R; Vargas, M; Alfaro, M; Soto, I; Fuertes, G</t>
  </si>
  <si>
    <t>Carrasco, R.; Vargas, M.; Alfaro, M.; Soto, I.; Fuertes, G.</t>
  </si>
  <si>
    <t>Copper Metal Price Using Chaotic Time Series Forecasting</t>
  </si>
  <si>
    <t>21st Congress of the Chilean-Association-of-Automatic Control (ACCA) / 20th Conference of the Collaboration-Researchers-International-Working-Group (CRIWG)</t>
  </si>
  <si>
    <t>Santiago, CHILE</t>
  </si>
  <si>
    <t>Chilean Assoc Automat Control,Collaborat Researchers Int Working Grp</t>
  </si>
  <si>
    <t>The present research focuses on the ability to generate a predictive model of the future value of the price of copper using time series of the international price of copper from the last 30 years and the study of chaotic systems. The interest of this study lies in the economic, political and social impacts on a large number of countries with economies based on non-renewable mineral resources. Our approach uses the theoretical foundation of nonlinear dynamic systems for the characterization and analysis of the time series with chaotic component, by using nonlinear tools and methods. Recurrence visual analysis, the Fourier spectrum, the autocorrelation function, mutual information and the Lyapunov exponents are the methods used in the analysis phase of the series, and then a predictive model was generated using nonlinear system techniques. The results identify two cycles of copper prices and price forecasts in the short term. These cycles are connected by a transient and provide further evidence of the effect of investment cycles and infrastructure industries to the value of commodities.</t>
  </si>
  <si>
    <t>vargas, manuel/AAG-4780-2020; Carrasco, Raul/G-5440-2015; Fuertes, Guillermo/Q-2341-2016</t>
  </si>
  <si>
    <t>Carrasco, Raul/0000-0002-5023-9349; Soto, Ismael/0000-0002-5501-5651; Fuertes, Guillermo/0000-0003-3044-5919; Alfaro, Miguel/0000-0002-1633-8853; Vargas Guzman, Manuel Eduardo/0000-0003-4161-6621</t>
  </si>
  <si>
    <t>10.1109/TLA.2015.7164223</t>
  </si>
  <si>
    <t>WOS:000358504700016</t>
  </si>
  <si>
    <t>Andrade, RD; Pérez, CE; Narvaez, GJ</t>
  </si>
  <si>
    <t>Varzakas, T; Tzia, C</t>
  </si>
  <si>
    <t>Andrade P, Ricardo D.; Perez C, Carmen E.; Narvaez G, German J.</t>
  </si>
  <si>
    <t>Fluid Mechanics in Food Process Engineering</t>
  </si>
  <si>
    <t>FOOD ENGINEERING HANDBOOK: FOOD ENGINEERING FUNDAMENTALS</t>
  </si>
  <si>
    <t>Contemporary Food Engineering</t>
  </si>
  <si>
    <t>2155-336X</t>
  </si>
  <si>
    <t>978-1-4822-6170-7</t>
  </si>
  <si>
    <t>WOS:000697592000009</t>
  </si>
  <si>
    <t>Beltran, J; Reyes, EG</t>
  </si>
  <si>
    <t>Beltran, Jarnishs; Reyes, Enrique G.</t>
  </si>
  <si>
    <t>Formal Pseudodifferential Operators in One and Several Variables, Central Extensions, and Integrable Systems</t>
  </si>
  <si>
    <t>ADVANCES IN MATHEMATICAL PHYSICS</t>
  </si>
  <si>
    <t>We review some aspects of the theory of Lie algebras of (twisted and untwisted) formal pseudodifferential operators in one and several variables in a general algebraic context. We focus mainly on the construction and classification of nontrivial central extensions. As applications, we construct hierarchies of centrally extended Lie algebras of formal differential operators in one and several variables, Manin triples and hierarchies of nonlinear equations in Lax and zero curvature form.</t>
  </si>
  <si>
    <t>Reyes, Enrique/AAD-1308-2019</t>
  </si>
  <si>
    <t>1687-9120</t>
  </si>
  <si>
    <t>1687-9139</t>
  </si>
  <si>
    <t>10.1155/2015/210346</t>
  </si>
  <si>
    <t>WOS:000358214800001</t>
  </si>
  <si>
    <t>Sandoval, JM; Arenas, FA; García, JA; Díaz-Vásquez, WA; Valdivia-González, M; Sabotier, M; Vásquez, CC</t>
  </si>
  <si>
    <t>Sandoval, J. M.; Arenas, F. A.; Garcia, J. A.; Diaz-Vasquez, W. A.; Valdivia-Gonzalez, M.; Sabotier, M.; Vasquez, C. C.</t>
  </si>
  <si>
    <t>Escherichia coli 6-phosphogluconate dehydrogenase aids in tellurite resistance by reducing the toxicant in a NADPH-dependent manner</t>
  </si>
  <si>
    <t>MICROBIOLOGICAL RESEARCH</t>
  </si>
  <si>
    <t>Exposure to the tellurium oxyanion tellurite (TeO32-) results in the establishment of an oxidative stress status in most microorganisms. Usually, bacteria growing in the presence of the toxicant turn black because of the reduction of tellurite (Te4+) to the less-toxic elemental tellurium (Te-0). In vitro, at least part of tellurite reduction occurs enzymatically in a nicotinamide dinucleotide-dependent reaction. In this work, we show that TeO32- reduction by crude extracts of Escherichia coli overexpressing the zwf gene (encoding glucose-6-phosphate dehydrogenase) takes place preferentially in the presence of NADPH instead of NADH. The enzyme responsible for toxicant reduction was identified as 6-phosphogluconate dehydrogenase (Gnd). The gnd gene showed a subtle induction at short times after toxicant exposure while strains lacking grid were more susceptible to the toxicant. These results suggest that both NADPH-generating enzymes from the pentose phosphate shunt may be involved in tellurite detoxification and resistance in E. coli. (C) 2015 Elsevier GmbH. All rights reserved.</t>
  </si>
  <si>
    <t>0944-5013</t>
  </si>
  <si>
    <t>10.1016/j.micres.2015.05.002</t>
  </si>
  <si>
    <t>WOS:000359963900004</t>
  </si>
  <si>
    <t>Vidal, R; González, R; Gil, F</t>
  </si>
  <si>
    <t>Vidal, R.; Gonzalez, R.; Gil, F.</t>
  </si>
  <si>
    <t>Characterization and expression analysis of Toll-like receptor 3 cDNA from Atlantic salmon (Salmo salar)</t>
  </si>
  <si>
    <t>GENETICS AND MOLECULAR RESEARCH</t>
  </si>
  <si>
    <t>Innate pathway activation is fundamental for early antiviral defense in fish, but currently there is insufficient understanding of how salmonid fish identify viral molecules and activate these pathways. The Toll-like receptor (TLR) is believed to play a crucial role in host defense of pathogenic microbes in the innate immune system. In the present study, the full-length cDNA of Salmo salar TLR3 (ssTLR3) was cloned. The ssTLR3 cDNA sequence was 6071 bp long, containing an open reading frame of 2754 bp and encoding 971 amino acids. The TLR group motifs, such as leucine-rich repeat (LRR) domains and Toll-interleukin-1 receptor (TIR) domains, were maintained in ssTLR3, with sixteen LRR domains and one TIR domain. In contrast to descriptions of the TLR3 in rainbow trout and the murine (TATA-less), we found a putative TATA box in the proximal promoter region 29 bp upstream of the transcription start point of ssTLR3. Multiple-sequence alignment analysis of the ssTLR3 protein-coding sequence with other known TLR3 sequences showed the sequence to be conserved among all species analyzed, implying that the function of the TLR3 had been sustained throughout evolution. The ssTLR3 mRNA expression patterns were measured using real-time PCR. The results revealed that TLR3 is widely expressed in various healthy tissues. Individuals challenged with infectious pancreatic necrosis virus and immunostimulated with polyinosinic: polycytidylic acid exhibited increased expression of TLR3 at the mRNA level, indicating that ssTLR3 may be involved in pathogen recognition in the early innate immune system.</t>
  </si>
  <si>
    <t>Gil, Fernando/0000-0001-6691-5340</t>
  </si>
  <si>
    <t>1676-5680</t>
  </si>
  <si>
    <t>10.4238/2015.June.8.5</t>
  </si>
  <si>
    <t>WOS:000357189800037</t>
  </si>
  <si>
    <t>Gomez, C; Prado, H; Trofimchuk, S</t>
  </si>
  <si>
    <t>Gomez, Carlos; Prado, Humberto; Trofimchuk, Sergei</t>
  </si>
  <si>
    <t>Separation dichotomy and wavefronts for a nonlinear convolution equation</t>
  </si>
  <si>
    <t>This paper is concerned with a scalar nonlinear convolution equation, which appears naturally in the theory of traveling waves for monostable evolution models. First, we prove that, at each end of the real line, every bounded positive solution of the convolution equation should either be separated from zero or be exponentially converging to zero. This dichotomy principle is then used to establish a general theorem guaranteeing the uniform persistence and existence of semi-wavefront solutions to the convolution equation. Finally, we apply our theoretical results to several well-studied classes of evolution equations with asymmetric non-local and non-monotone response. We show that, contrary to the symmetric case, these equations can possess simultaneously stationary, expansion and extinction waves. (C) 2014 Elsevier Inc. All rights reserved.</t>
  </si>
  <si>
    <t>Trofimchuk, Sergei/A-1111-2008</t>
  </si>
  <si>
    <t>Trofimchuk, Sergei/0000-0003-1605-222X</t>
  </si>
  <si>
    <t>DEC 1</t>
  </si>
  <si>
    <t>10.1016/j.jmaa.2014.05.064</t>
  </si>
  <si>
    <t>WOS:000339455500001</t>
  </si>
  <si>
    <t>Castro, SA; Escobedo, VM; Aranda, J; Carvallo, GO</t>
  </si>
  <si>
    <t>Castro, Sergio A.; Escobedo, Victor M.; Aranda, Jorge; Carvallo, Gaston O.</t>
  </si>
  <si>
    <t>Evaluating Darwin's Naturalization Hypothesis in Experimental Plant Assemblages: Phylogenetic Relationships Do Not Determine Colonization Success</t>
  </si>
  <si>
    <t>Darwin's naturalization hypothesis (DNH) proposes that colonization is less likely when the colonizing species is related to members of the invaded community, because evolutionary closeness intensifies competition among species that share similar resources. Studies that have evaluated DNH from correlational evidence have yielded controversial results with respect to its occurrence and generality. In the present study we carried out a set of manipulative experiments in which we controlled the phylogenetic relatedness of one colonizing species (Lactuca sativa) with five assemblages of plants (the recipient communities), and evaluated the colonizing success using five indicators (germination, growth, flowering, survival, and recruitment). The evolutionary relatedness was calculated as the mean phylogenetic distance between Lactuca and the members of each assemblage (MPD) and by the mean phylogenetic distance to the nearest neighbor (MNND). The results showed that the colonization success of Lactuca was not affected by MPD or MNND values, findings that do not support DNH. These results disagree with experimental studies made with communities of microorganisms, which show an inverse relation between colonization success and phylogenetic distances. We suggest that these discrepancies may be due to the high phylogenetic distance used, since in our experiments the colonizing species (Lactuca) was a distant relative of the assemblage members, while in the other studies the colonizing taxa have been related at the congeneric and conspecific levels. We suggest that under field conditions the phylogenetic distance is a weak predictor of competition, and it has a limited role in determining colonization success, contrary to prediction of the DNH. More experimental studies are needed to establish the importance of phylogenetic distance between colonizing species and invaded community on colonization success.</t>
  </si>
  <si>
    <t>Escobedo, Víctor/AAV-9690-2021</t>
  </si>
  <si>
    <t>Carvallo, Gaston O./0000-0001-5825-0983; Escobedo, Victor/0000-0003-2673-3803</t>
  </si>
  <si>
    <t>AUG 20</t>
  </si>
  <si>
    <t>e105535</t>
  </si>
  <si>
    <t>10.1371/journal.pone.0105535</t>
  </si>
  <si>
    <t>WOS:000342687200094</t>
  </si>
  <si>
    <t>Martínez-García, A; Rayas-Alvarez, JA; Cordero, R</t>
  </si>
  <si>
    <t>Martinez-Garcia, Amalia; Rayas-Alvarez, Juan-Antonio; Cordero, Raul</t>
  </si>
  <si>
    <t>Measurement of in-plane strain with shearography and electronic speckle pattern interferometry for composite materials</t>
  </si>
  <si>
    <t>PROCEEDINGS OF 2014 INTERNATIONAL SYMPOSIUM ON OPTOMECHATRONIC TECHNOLOGIES (ISOT)</t>
  </si>
  <si>
    <t>International Symposium on Optomechatronic Technologies</t>
  </si>
  <si>
    <t>International Symposium on Optomechatronic Technologies (ISOT)</t>
  </si>
  <si>
    <t>NOV 05-07, 2014</t>
  </si>
  <si>
    <t>Seattle, WA</t>
  </si>
  <si>
    <t>IEEE Comp Soc,Univ Washington, Mech Engn,ChinaSteel,JOEM,JSPE,Univ Washington, Elect Engn,Mitutoyo</t>
  </si>
  <si>
    <t>Experimental results obtained by applying both technique, Electronic Speckle Pattern Interferometry (ESPI) and Electronic Speckle Pattern Shearing Interferometry (ESPSI) were compared in the study of composite materials. We found that the difference between the strain fields obtained by ESPSI and ESPI was roughly a constant. This result was expected since, although ESPI in turn allows computing absolute strain values, the strains measured by ESPSI are relative to a reference that must be measured by an additional method.</t>
  </si>
  <si>
    <t>Cordero, Raul/M-7979-2017; Rayas, Juan/CAG-8266-2022</t>
  </si>
  <si>
    <t>Rayas, Juan Antonio/0000-0001-6809-2368</t>
  </si>
  <si>
    <t>2304-0572</t>
  </si>
  <si>
    <t>978-1-4799-6666-0</t>
  </si>
  <si>
    <t>10.1109/ISOT.2014.52</t>
  </si>
  <si>
    <t>WOS:000393497300044</t>
  </si>
  <si>
    <t>Ispolatov, I; Müsch, A</t>
  </si>
  <si>
    <t>Ispolatov, Iaroslav; Muesch, Anne</t>
  </si>
  <si>
    <t>A Model for the Self-Organization of Vesicular Flux and Protein Distributions in the Golgi Apparatus</t>
  </si>
  <si>
    <t>PLOS COMPUTATIONAL BIOLOGY</t>
  </si>
  <si>
    <t>The generation of two non-identical membrane compartments via exchange of vesicles is considered to require two types of vesicles specified by distinct cytosolic coats that selectively recruit cargo, and two membrane-bound SNARE pairs that specify fusion and differ in their affinities for each type of vesicles. The mammalian Golgi complex is composed of 6-8 non-identical cisternae that undergo gradual maturation and replacement yet features only two SNARE pairs. We present a model that explains how distinct composition of Golgi cisternae can be generated with two and even a single SNARE pair and one vesicle coat. A decay of active SNARE concentration in aging cisternae provides the seed for a cis&gt;trans SNARE gradient that generates the predominantly retrograde vesicle flux which further enhances the gradient. This flux in turn yields the observed inhomogeneous steady-state distribution of Golgi enzymes, which compete with each other and with the SNAREs for incorporation into transport vesicles. We show analytically that the steady state SNARE concentration decays exponentially with the cisterna number. Numerical solutions of rate equations reproduce the experimentally observed SNARE gradients, overlapping enzyme peaks in cis, medial and trans and the reported change in vesicle nature across the Golgi: Vesicles originating from younger cisternae mostly contain Golgi enzymes and SNAREs enriched in these cisternae and extensively recycle through the Endoplasmic Reticulum (ER), while the other subpopulation of vesicles contains Golgi proteins prevalent in older cisternae and hardly reaches the ER.</t>
  </si>
  <si>
    <t>1553-7358</t>
  </si>
  <si>
    <t>e1003125</t>
  </si>
  <si>
    <t>10.1371/journal.pcbi.1003125</t>
  </si>
  <si>
    <t>WOS:000322320200013</t>
  </si>
  <si>
    <t>Górka, P; Kostrzewa, T; Reyes, EG</t>
  </si>
  <si>
    <t>Gorka, Przemyslaw; Kostrzewa, Tomasz; Reyes, Enrique G.</t>
  </si>
  <si>
    <t>THE RELLICH LEMMA ON COMPACT ABELIAN GROUPS AND EQUATIONS OF INFINITE ORDER</t>
  </si>
  <si>
    <t>Partially motivated by a class of nonlinear equations of interest for string theory, cosmology and p-adic analysis, we continue our research on Sobolev spaces on arbitrary locally compact abelian (LCA) groups. In this paper we focus on an analog for LCA groups of the classical Rellich compactness theorem. As an application, we prove the existence of continuous solutions to a generalized Euclidean bosonic string equation posed on a compact abelian group.</t>
  </si>
  <si>
    <t>Reyes, Enrique G./0000-0001-8460-444X; Gorka, Przemyslaw/0000-0002-1943-383X</t>
  </si>
  <si>
    <t>10.1142/S0219887812200307</t>
  </si>
  <si>
    <t>WOS:000316949500006</t>
  </si>
  <si>
    <t>Azócar, I; Vargas, E; Duran, N; Arrieta, A; González, E; Pavez, J; Kogan, MJ; Zagal, JH; Paez, MA</t>
  </si>
  <si>
    <t>Azocar, Ignacio; Vargas, Esteban; Duran, Nicole; Arrieta, Abel; Gonzalez, Evelyn; Pavez, Jorge; Kogan, Marcelo J.; Zagal, Jose H.; Paez, Maritza A.</t>
  </si>
  <si>
    <t>Preparation and antibacterial properties of hybrid-zirconia films with silver nanoparticles</t>
  </si>
  <si>
    <t>MATERIALS CHEMISTRY AND PHYSICS</t>
  </si>
  <si>
    <t>The antimicrobial effect of incorporating silver nanoparticles (AgNps) into zirconia matrix polyether glycol was studied. AgNps of 4-6 nm in size were synthesized using the inverse micelles method, and different doses of metallic nanoparticles were incorporated into zirconia polyether glycol mixtures during the ageing procedure. Atomic force microscopy (AFM) of the modified hybrid film showed a homogenous distribution of 20-80 nm diameter AgNps, indicating agglomeration of these structures during film modification; such agglomerations were greater when increasing the dosage of the colloidal system. The AgNps-hybrid films showed higher antimicrobial activity against Gram-positive bacteria than for Gram-negative bacteria. Hybrid films prepared with dioctyl sodium sulfosuccinate (AOT) stabilized AgNps presented enhanced antibacterial activity compared to that obtained through the addition of a high AgNO3 concentration (0.3 wt%). (C) 2012 Elsevier B.V. All rights reserved.</t>
  </si>
  <si>
    <t>Azocar, Manuel/I-1226-2013; Duran, Nicole/ISB-6361-2023; kogan, Marcelo/I-2868-2013; zagal, jose/L-9648-2014; Paez, Maritza/M-2010-2014; PAVEZ, JORGE/K-6904-2014</t>
  </si>
  <si>
    <t>Azocar Guzman, Manuel/0000-0003-1098-4659; Gonzalez, Evelyn/0000-0002-5401-0322; paez, maritza/0000-0001-5881-884X; Kogan, Marcelo/0000-0003-0608-5087; PAVEZ, JORGE/0000-0002-5100-6707</t>
  </si>
  <si>
    <t>0254-0584</t>
  </si>
  <si>
    <t>1879-3312</t>
  </si>
  <si>
    <t>10.1016/j.matchemphys.2012.09.042</t>
  </si>
  <si>
    <t>WOS:000312624100058</t>
  </si>
  <si>
    <t>Parot, V; Sing-Long, C; Lizama, C; Tejos, C; Uribe, S; Irarrazaval, P</t>
  </si>
  <si>
    <t>Parot, Vicente; Sing-Long, Carlos; Lizama, Carlos; Tejos, Cristian; Uribe, Sergio; Irarrazaval, Pablo</t>
  </si>
  <si>
    <t>Application of the fractional Fourier transform to image reconstruction in MRI</t>
  </si>
  <si>
    <t>MAGNETIC RESONANCE IN MEDICINE</t>
  </si>
  <si>
    <t>The classic paradigm for MRI requires a homogeneous B0 field in combination with linear encoding gradients. Distortions are produced when the B0 is not homogeneous, and several postprocessing techniques have been developed to correct them. Field homogeneity is difficult to achieve, particularly for short-bore magnets and higher B0 fields. Nonlinear magnetic components can also arise from concomitant fields, particularly in low-field imaging, or intentionally used for nonlinear encoding. In any of these situations, the second-order component is key, because it constitutes the first step to approximate higher-order fields. We propose to use the fractional Fourier transform for analyzing and reconstructing the object's magnetization under the presence of quadratic fields. The fractional fourier transform provides a precise theoretical framework for this. We show how it can be used for reconstruction and for gaining a better understanding of the quadratic field-induced distortions, including examples of reconstruction for simulated and in vivo data. The obtained images have improved quality compared with standard Fourier reconstructions. The fractional fourier transform opens a new paradigm for understanding the MR signal generated by an object under a quadratic main field or nonlinear encoding. Magn Reson Med, 2012. (C) 2011 Wiley Periodicals, Inc.</t>
  </si>
  <si>
    <t>Irarrazaval, Pablo/F-8232-2013; Tejos, Cristian/F-8270-2013; arancibia, sergio/N-4152-2014; Parot, Vicente/AAA-1289-2020; Sing-Long Collao, Carlos Alberto/C-5086-2019; Lizama, Carlos/E-5909-2011</t>
  </si>
  <si>
    <t>Parot, Vicente/0000-0002-9261-6667; Tejos, Cristian/0000-0002-8367-155X; Sing-Long Collao, Carlos Alberto/0000-0002-2533-2509; Lizama, Carlos/0000-0002-9807-1100; Uribe, Sergio/0000-0002-4970-9710; Irarrazaval, Pablo/0000-0002-5186-2642</t>
  </si>
  <si>
    <t>0740-3194</t>
  </si>
  <si>
    <t>10.1002/mrm.23190</t>
  </si>
  <si>
    <t>WOS:000305119100003</t>
  </si>
  <si>
    <t>Fernández, L; Alvarez, G; Salinas, R</t>
  </si>
  <si>
    <t>Fernandez, Luis; Alvarez, Gabriel; Salinas, Renato</t>
  </si>
  <si>
    <t>Impact area determination of pyroclastic deposits in Lascar volcano, eruptive process in the year 1993</t>
  </si>
  <si>
    <t>NATURAL HAZARDS</t>
  </si>
  <si>
    <t>By means of multi-temporal analysis of satellite images and statistical algorithms, the amount of pyroclastic material deposited on Lascar volcano walls after the gravitational collapse of the eruptive column caused by the eruption that occurred on April the 19th and the 20th in 1993 was determined and quantified. For this analysis, scenes corresponding to Landsat 4 TM in 1989 and Landsat 7 ETM+ in 2001 were used. By careful selection methods such as combination of bands, unsupervised classification, and the Karhunen-Loeve transform, detailed analysis of zones of change that correspond to pyroclastic deposits were made. This analysis was complemented with in situ data in order to correct and calibrate the satellite images to identify zones of 1993s eruption pyroclastic deposits. Using Kittler's and other thresholding algorithms, a search was performed for a proper threshold to binarize the images to determine the surface area covered by the eruptive process. Matlab (TM) software was used both for general programming and for digital image processing.</t>
  </si>
  <si>
    <t>Fernandez, Luis/JNS-6732-2023</t>
  </si>
  <si>
    <t>0921-030X</t>
  </si>
  <si>
    <t>10.1007/s11069-011-0048-6</t>
  </si>
  <si>
    <t>WOS:000298330300030</t>
  </si>
  <si>
    <t>Roa, L; Retamal, JC; Alid-Vaccarezza, M</t>
  </si>
  <si>
    <t>Roa, Luis; Retamal, J. C.; Alid-Vaccarezza, M.</t>
  </si>
  <si>
    <t>Dissonance is Required for Assisted Optimal State Discrimination</t>
  </si>
  <si>
    <t>The roles of quantum correlations, entanglement, discord, and dissonance needed for performing unambiguous quantum state discrimination assisted by an auxiliary system are studied. In general, this procedure for conclusive recognition between two nonorthogonal states relies on the availability of entanglement and discord. However, we find that there exist special cases for which the procedure can be successfully achieved without entanglement. In particular, we show that the optimal case for discriminating between two nonorthogonal states prepared with equal a priori probabilities does not require entanglement but quantum dissonance only.</t>
  </si>
  <si>
    <t>Alid, Marcelo/I-4020-2012; Roa, Luis/F-9884-2010; Retamal, Juan/G-6425-2010</t>
  </si>
  <si>
    <t>Retamal Abarzua, Juan Carlos/0000-0002-7174-7879</t>
  </si>
  <si>
    <t>AUG 16</t>
  </si>
  <si>
    <t>10.1103/PhysRevLett.107.080401</t>
  </si>
  <si>
    <t>WOS:000293921000001</t>
  </si>
  <si>
    <t>Marin, M; Rodríguez, MA</t>
  </si>
  <si>
    <t>Marin, Mauricio; Andrea Rodriguez, M.</t>
  </si>
  <si>
    <t>A meta-index for querying distributed moving object database servers</t>
  </si>
  <si>
    <t>INFORMATION SYSTEMS</t>
  </si>
  <si>
    <t>Distributed moving object database servers offer a feasible solution to the scalability problems of centralized database systems. In these potentially large-scale systems, querying about the time-varying location of specific moving objects can be particularly expensive in terms of running time. This work proposes a meta-index based strategy that can significantly speed up the processing of these queries. The meta-index acts as an entry point for spatio-temporal queries and quickly drives the search process to the database servers that contain solutions. It also enables very fast approximated solutions to queries such as top-k and spatio-temporal range queries. (C) 2009 Elsevier B.V. All rights reserved.</t>
  </si>
  <si>
    <t>Marin, Mauricio/GLR-7700-2022</t>
  </si>
  <si>
    <t>Rodriguez, M. Andrea/0000-0002-8729-5977; Marin, Mauricio/0000-0003-0662-7149</t>
  </si>
  <si>
    <t>0306-4379</t>
  </si>
  <si>
    <t>1873-6076</t>
  </si>
  <si>
    <t>10.1016/j.is.2009.11.001</t>
  </si>
  <si>
    <t>WOS:000278280100002</t>
  </si>
  <si>
    <t>Gascón, G; Ortega, MC; Suárez, JD; Pardey, AJ; Longo, C; Moya, SA</t>
  </si>
  <si>
    <t>Gascon, German; Ortega, Marisol C.; Suarez, Jose D.; Pardey, Alvaro J.; Longo, Clementina; Moya, Sergio A.</t>
  </si>
  <si>
    <t>Carbonylation of 1-hexene catalyzed by cis-[Rh(CO)2(amine)2](PF6) complexes in aqueous tetrabutylammonium hydrogensulfate solutions</t>
  </si>
  <si>
    <t>In aqueous solution of tetrabutylammonium hydrogensulfate (N(C4H9)(4)HSO4), rhodium complexes like cis-[Rh(CO)(2)(amine)(2)](PF6) (amine = pyridine, 4-picoline, 3-picoline, 2-picoline, 3,5-lutidine or 2.6-lutidine) promote the carbonylation of 1-hexene to heptanoic acid and heptanal under carbon monoxide atmosphere. Gaseous by-products (H-2 and CO2) from the catalysis of the water-gas shift reaction (WGSR) are also observed. The catalytic activities for heptanoic acid and heptanal production depend on the nature of the coordinate amine to the rhodium center for [Rh] = 1 x 10(-4) mol, [1-hexene] = 0.05 mol, 40 mL of water (2.2 mol); 2.4 g of N(C4H9)(4)HSO4 (5.6 wt.%). S/C = 500, P(CO) = 22 atm at 150 C. Analyses of kinetic results for the Rh/4-picoline system (one of the more active and the most stable catalyst among tested) towards the carbonylation reaction for the organic products formation show a nonlinear dependence on total rhodium concentration and on N(C4H9)(4)HSO4 amount in the range of studies. The last result suggested that the salty medium stabilize the ionic Rh catalytic species formed under the reaction conditions, therefore enhancing the reactivity. The increase in P(CO) is accompanied by improvement in the catalytic activities of oxygenated products, then reaches a maximum and starts decreasing at higher P(CO). These data are discussed in terms of catalytic cycles bearing a common Rh-H catalytic species. (c) 2008 Elsevier B.V. All rights reserved.</t>
  </si>
  <si>
    <t>AUG 29</t>
  </si>
  <si>
    <t>10.1016/j.molcata.2008.05.008</t>
  </si>
  <si>
    <t>WOS:000259902400008</t>
  </si>
  <si>
    <t>Vergara, V; Zacher, R</t>
  </si>
  <si>
    <t>Vergara, Vicente; Zacher, Rico</t>
  </si>
  <si>
    <t>Lyapunov functions and convergence to steady state for differential equations of fractional order</t>
  </si>
  <si>
    <t>MATHEMATISCHE ZEITSCHRIFT</t>
  </si>
  <si>
    <t>We study the asymptotic behaviour, as t -&gt; infinity, of bounded solutions to certain integro-differential equations in finite dimensions which include differential equations of fractional order between 0 and 2. We derive appropriate Lyapunov functions for these equations and prove that any global bounded solution converges to a steady state of a related equation, if the nonlinear potential epsilon occurring in the equation satisfies the Lojasiewicz inequality.</t>
  </si>
  <si>
    <t>Vergara, Vicente/V-9352-2019</t>
  </si>
  <si>
    <t>Vergara, Vicente/0000-0002-4931-2625</t>
  </si>
  <si>
    <t>0025-5874</t>
  </si>
  <si>
    <t>10.1007/s00209-007-0225-1</t>
  </si>
  <si>
    <t>WOS:000254261200005</t>
  </si>
  <si>
    <t>Molina, S; Soto, I; Ontiveros, B; Carrasco, R</t>
  </si>
  <si>
    <t>Baozong, Y; Xiaofang, T</t>
  </si>
  <si>
    <t>Molina, S.; Soto, I.; Ontiveros, B.; Carrasco, R.</t>
  </si>
  <si>
    <t>Implementation of a Secure Algorithm in WSN for a Coal Mine</t>
  </si>
  <si>
    <t>ICWMMN 08, PROCEEDINGS</t>
  </si>
  <si>
    <t>IET 2nd International Conference on Wireless, Mobile and Multimedia Networks</t>
  </si>
  <si>
    <t>OCT 12-15, 2008</t>
  </si>
  <si>
    <t>Beijing, PEOPLES R CHINA</t>
  </si>
  <si>
    <t>IET Commun Profess Network &amp; Serv,IET Beijing Local Network,IET Beijing Off,Beijing Jiaotong Univ</t>
  </si>
  <si>
    <t>We propose to use Hyperelliptic curve cryptography for key distribution in the security structure of coal mines under the ground. Also simultions results including channels code are presented in terms of Temperature and Methane Gas.</t>
  </si>
  <si>
    <t>978-0-86341-925-6</t>
  </si>
  <si>
    <t>10.1049/cp:20080927</t>
  </si>
  <si>
    <t>WOS:000283615600006</t>
  </si>
  <si>
    <t>Aguayo, J; Navarro, S; Ojeda, J</t>
  </si>
  <si>
    <t>Aguayo, Jose; Navarro, Samuel; Ojeda, Jacqueline</t>
  </si>
  <si>
    <t>A generalized inductive limit strict topology on the space of bounded continuous</t>
  </si>
  <si>
    <t>INDAGATIONES MATHEMATICAE-NEW SERIES</t>
  </si>
  <si>
    <t>A generalized inductive limit strict topology beta(infinity) is defined on C-b(X, E), the space of all bounded, continuous functions from a zero-dimensional Hausdorff space X into a locally K-convex space E, where K is a field with a nontrivial and nonarchimedean valuation, for which K is a complete ultrametric space. Many properties of the topology beta(infinity) are proved and the dual Of (C-b (X, E), beta(infinity)) is studied.</t>
  </si>
  <si>
    <t>0019-3577</t>
  </si>
  <si>
    <t>DEC 17</t>
  </si>
  <si>
    <t>10.1016/S0019-3577(07)80057-7</t>
  </si>
  <si>
    <t>WOS:000257128600001</t>
  </si>
  <si>
    <t>Vallejo, G; Livacic-Rojas, P</t>
  </si>
  <si>
    <t>Comparison of two procedures for analyzing small sets of repeated measures data</t>
  </si>
  <si>
    <t>This article compares two methods for analyzing small sets of repeated measures data under normal and non-normal heteroscedastic conditions: a mixed model approach with the Kenward-Roger correction and a multivariate extension of the modified Brown-Forsythe (BF) test. These procedures differ in their assumptions about the covariance structure of the data and in the method of estimation of the parameters defining the mean structure. Simulation results show that the BF test outperformed its competitor, in terms of Type I errors, particularly when the total sample size was small, and the data were normally distributed. Under non-normal distributions the BF test tended to err on the side of conservatism. Results also indicate that neither method was uniformly more powerful. With very few exceptions, the power differences between these two methods depended on the population covariance structure, the nature of the pairing of covariance matrices and group sizes, and the relationship between mean vectors and dispersion matrices.</t>
  </si>
  <si>
    <t>Vallejo, Guillermo/B-8233-2011</t>
  </si>
  <si>
    <t>Guillermo, Vallejo/0000-0001-6569-9279; Vallejo, Guillermo/0000-0002-8010-6854</t>
  </si>
  <si>
    <t>10.1207/s15327906mbr4002_2</t>
  </si>
  <si>
    <t>WOS:000232538500002</t>
  </si>
  <si>
    <t>Lorca, S; Ubilla, P</t>
  </si>
  <si>
    <t>Partial differential equations involving subcritical, critical and supercritical nonlinearities</t>
  </si>
  <si>
    <t>NONLINEAR ANALYSIS-THEORY METHODS &amp; APPLICATIONS</t>
  </si>
  <si>
    <t>We establish the existence of at least one nonnegative solution for the problem [GRAPHICS] where a and f satisfy conditions near zero. Here the novelty is that we do not need restrictions on the nonlinearities at infinity. Therefore, we can consider subcritical, critical and supercritical cases. (C) 2003 Elsevier Ltd. All rights reserved.</t>
  </si>
  <si>
    <t>0362-546X</t>
  </si>
  <si>
    <t>10.1016/j.na.2003.09.002</t>
  </si>
  <si>
    <t>WOS:000187836200006</t>
  </si>
  <si>
    <t>Díaz, G; Marchese, J; Ochoa, A; Saavedra, A</t>
  </si>
  <si>
    <t>Synthesis and characterisation of polysulphone membranes for carbohidrate ultrafiltration.</t>
  </si>
  <si>
    <t>In this work, the results of the synthesis and characterisation of ultrafiltration membranes made on polysulphone are exposed. The membranes were synthesised using the phase inversion technique, changing the polymer and additive concentrations and considering different wet thickness of the moulding, in order to establish the effect of those variables of manufacture on the permeoselective properties of the membranes. The characterisation of every membrane permeability was done with the mesurement of water and gases flows with regard to the pressure applied, whereas the selectivity determination took place by means of the splitting of polysaccharides aqueous solutions. An increase in the polymer concentration caused simultaneously a decrease in the permeability and an increasse in the molecular cut. An increase in the additive concentration represented an increasse in the permeability and a reduction in the molecular cut. Finally, the increase of wet thickness caused a reduction of the permeability and the molecular cut. The obtained results showed the feasibility to manufacture membranes with predefined permeoselective characteristics, from an appropriate selection of the indicated variables.</t>
  </si>
  <si>
    <t>WOS:000176029900006</t>
  </si>
  <si>
    <t>Sepulveda, Y; Paez, MA; Zagal, JH; Henriquez, J; Pavez, J; Monsalve, A; Bustos, O; Thompson, GE</t>
  </si>
  <si>
    <t>Anodizing of Al 2024-T3 in mixtures of sulphuric-boric acids</t>
  </si>
  <si>
    <t>The influence of boric acid, at concentrations of 0.1 and 0.5 M, on anodizing Al 2024-T3 at constant current density in 0.5 M sulphuric acid electrolyte, has been investigated. From the voltage time responses and oxide thicknesses measurements after 30 min anodizing, addition of boric acid has negligible effects on the general anodizing behavior of the alloy. However, in the initial stages of anodizing, the presence of boric acid in the electrolyte strongly reduces the occurrence of secondary electrochemical reactions, consuming electrical charge, consequently increasing the initial efficiency for anodic oxide formation. The effect of boric acid in the initial stages of anodizing the alloy is attributed mainly to the inhibition of oxygen evolution on CuAl2 particles by precipitation of partially or, totally dehydrated boron oxide.</t>
  </si>
  <si>
    <t>zagal, jose/L-9648-2014; Paez, Maritza/M-2010-2014; Sepúlveda, Yanet/LJK-7685-2024; Pappas, Georgios/F-7194-2014; PAVEZ, JORGE/K-6904-2014</t>
  </si>
  <si>
    <t>paez, maritza/0000-0001-5881-884X; PAVEZ, JORGE/0000-0002-5100-6707; Monsalve, Alberto/0000-0002-5772-8815</t>
  </si>
  <si>
    <t>WOS:000173712000002</t>
  </si>
  <si>
    <t>Espinosa, V; Kettlun, AM; Zanocco, A; Cardemil, E; Valenzuela, MA</t>
  </si>
  <si>
    <t>Fluorescence studies of ATP-diphosphohydrolase from Solanum tuberosum var. Desiree</t>
  </si>
  <si>
    <t>Chemical modification of potato apyrase suggests that tryptophan residues are close to the nucleotide binding site. K-d values (+/- Ca2+) for the complexes of apyrase with the non-hydrolysable phosphonate adenine nucleotide analogues, adenosine 5'-(beta,gamma- methylene) triphosphate and adenosine 5'-(alpha,beta-methylene) diphosphate, were obtained from quenching of the intrinsic enzyme fluorescence. Other fluorescent nucleotide analogues (2'(3')-O-(2,4,6-trinitrophenyl) adenosine 5'-triphosphate, 2'(3')-O-(2,4,6-trinitrophenyl) adenosine 5'-diphosphate, 1,N-6-ethenoadenosine triphosphate and 1,N-6-ethenoadenosine diphosphate) were hydrolysed by apyrase in the presence of Ca2+, indicating binding to the active site. The dissociation constants for the binding of these analogues were calculated from both the decrease of the protein (tryptophan) fluorescence and enhancement of the nucleotide fluorescence. Using the sensitised acceptor (nucleotide analogue) fluorescence method, energy transfer was observed between enzyme tryptophans and ethene-derivatives. These results support the view that tryptophan residues are present in the nucleotide-binding region of the protein, appropriately oriented to allow the energy transfer process to occur. (C) 2000 Elsevier Science Ltd. All rights reserved.</t>
  </si>
  <si>
    <t>ZANOCCO, ANTONIO/0000-0002-6521-5382; Espinosa, Victoria/0000-0003-3280-6394</t>
  </si>
  <si>
    <t>10.1016/S0031-9422(99)00528-2</t>
  </si>
  <si>
    <t>WOS:000089391400049</t>
  </si>
  <si>
    <t>Parada, V; Palma, R; Sales, D; Gómes, A</t>
  </si>
  <si>
    <t>A comparative numerical analysis for the guillotine two-dimensional cutting problem</t>
  </si>
  <si>
    <t>ANNALS OF OPERATIONS RESEARCH</t>
  </si>
  <si>
    <t>2nd ALIO/EURO Workshop on Practical Combinatorial Optimization</t>
  </si>
  <si>
    <t>VALPARAISO, CHILE</t>
  </si>
  <si>
    <t>ALIO,EURO</t>
  </si>
  <si>
    <t>In this work, the behavior of four algorithms in the resolution of the two-dimensional constrained guillotine cutting problem is analyzed. This problem is concerned about the way a set of pieces should be cut from a plate of greater dimensions, considering guillotine cutting and a constrained number of times a piece can be cut from the plate. In this study three combinatorial and two heuristic methods are considered. In the combinatorial methods from the set of pieces, a minimum loss layout is constructively generated based on Wang's algorithm. In addition, an evolutionary and an annealing type approach are considered. All of these models have been implemented on a high performance Silicon Graphics machine. Performance of each algorithm is analyzed both in terms of percentage waste and running time. In order to do that, a set of 1000 instances are classified according to their combinatorial degree and subsequently evaluated.</t>
  </si>
  <si>
    <t>0254-5330</t>
  </si>
  <si>
    <t>1572-9338</t>
  </si>
  <si>
    <t>10.1023/A:1018915922011</t>
  </si>
  <si>
    <t>WOS:000165797300015</t>
  </si>
  <si>
    <t>Encinas, MV; Lissi, EA; Rufs, AM; Altamirano, M; Cosa, JJ</t>
  </si>
  <si>
    <t>Free radical production upon photoinduced electron transfer reactions in the presence of vinyl monomers, effect of water addition</t>
  </si>
  <si>
    <t>PHOTOCHEMISTRY AND PHOTOBIOLOGY</t>
  </si>
  <si>
    <t>Free radical fragments produced in the photoinduced electron transfer from triethylamine (TEA) to excited pyrenebutyltrimethylammonium (*PyBu+) lead to 1-vinyl-2-pyrrolidinone (VP) and a-hydroxyethyl methacrylate (HEMA) polymerization, Experiments carried out in water/acetonitrile solvent mixtures showed that the polymerization rate of VP increases upon increasing the water content, whereas the polymerization rate of HEMA follows the opposite trend. These results are; interpreted in terms of the strong dependence on the solvent properties of the photochemical behavior of PyBu+ in the presence of the amine or monomers, Thus, the *PyBu+ quenching by VP is almost negligible in both solvents (water and acetonitrile). Whereas, the PyBu+ quenching rate constant by HEMA in water is 4 x 10(9) M-1 s(-1) and decreases four orders of magnitude in acetonitrile. The quenching of *PyBu+ by TEA in aqueous solutions is controlled by hydrogen-bonding interactions between water molecules and the amine, Quantum yields of the pyrene radical anion (Phi(Py-)) also strongly depend on the water content, decreasing from 0.28 to 0.015 upon going from acetonitrile to water.</t>
  </si>
  <si>
    <t>0031-8655</t>
  </si>
  <si>
    <t>10.1111/j.1751-1097.1998.tb02498.x</t>
  </si>
  <si>
    <t>WOS:000076540100004</t>
  </si>
  <si>
    <t>Rezende, MC; Marques, CA; DallOglio, EL; Zucco, C</t>
  </si>
  <si>
    <t>The reaction of hexachloroacetone with diamines</t>
  </si>
  <si>
    <t>LIEBIGS ANNALEN-RECUEIL</t>
  </si>
  <si>
    <t>The reaction of hexachloroacetone (HCA) with various diamines led either to the corresponding diamides or to cyclic ureas, depending on the molar ratio of the reactants. In the cases of ethylenediamine, 1,2-diaminocyclohexane and o-phenylenediamine, the reaction with HCA also formed bisimidazole derivatives. These latter unexpected products were also formed when the diamine reacted with trichloroacetate esters or with carbon dioxide.</t>
  </si>
  <si>
    <t>Caroli, Marcos/H-3570-2019; Dall´Oglio, Evandro/S-1896-2019</t>
  </si>
  <si>
    <t>Rezende, Marcos/0000-0003-2040-9009</t>
  </si>
  <si>
    <t>0947-3440</t>
  </si>
  <si>
    <t>WOS:A1997WZ47100019</t>
  </si>
  <si>
    <t>MoyanoDiaz, E</t>
  </si>
  <si>
    <t>Evaluation of traffic violation behaviors and the causal attribution of accidents in Chile</t>
  </si>
  <si>
    <t>ENVIRONMENT AND BEHAVIOR</t>
  </si>
  <si>
    <t>Traffic accidents constitute the fifth leading cause of death in Chile. This study measures attitudes toward 12 violation behaviors and compares causal attributions of accidents by participants versus experts. A survey containing 41 items was administered to 216 different drivers and pedestrians in the city of santiago, assessing a judgment of seriousness for a group of violation behaviors and asking about accident causes. An analysis of variance for the index of seriousness according to sex, age, and type of driver resulted In significance (F = 2.463, p &lt; .014), indicating differences in judgments produced by men and women, young and adult people, and different types of drivers. Women showed a higher level of response to the index of seriousness than men; the same was obtained for pedestrians, who scored higher than drivers. Participants considered that driving under the effects of alcohol and excessive speed were the most important causes of accidents, which was opposite to the causes indicated by experts.</t>
  </si>
  <si>
    <t>Moyano-Diaz, Emilio/G-9522-2012</t>
  </si>
  <si>
    <t>Moyano-Diaz, Emilio/0000-0003-2433-9271</t>
  </si>
  <si>
    <t>0013-9165</t>
  </si>
  <si>
    <t>10.1177/001391659702900206</t>
  </si>
  <si>
    <t>WOS:A1997WM41600006</t>
  </si>
  <si>
    <t>HIDALGO, ME; FERNANDEZ, E; QUILHOT, W; LISSI, E</t>
  </si>
  <si>
    <t>ANTIOXIDANT ACTIVITY OF DEPSIDES AND DEPSIDONES</t>
  </si>
  <si>
    <t>The antioxidant activity of lichenic metabolites, depsides and depsidones, was assessed by their effects as inhibitors of rat brain homogenate auto-oxidation and beta-carotene oxidation. The results obtained in both systems indicate that lichenic metabolites afford a moderate protection in the mu M concentration range. The largest effect was measured employing 1'-chloropannarin in the brain homogenate auto-oxidation, where a 66% protection was afforded at 1.7 mu M. This protection is very similar to that elicited by addition of the reference antioxidant propylgallate (70% protection at 1.3 mu M).</t>
  </si>
  <si>
    <t>10.1016/S0031-9422(00)89571-0</t>
  </si>
  <si>
    <t>WOS:A1994QN60900005</t>
  </si>
  <si>
    <t>NOWAK, HJ; ANDERSEN, OK; FUJIWARA, T; JEPSEN, O; VARGAS, P</t>
  </si>
  <si>
    <t>ELECTRONIC-STRUCTURE CALCULATIONS FOR AMORPHOUS SOLIDS USING THE RECURSION METHOD AND LINEAR MUFFIN-TIN ORBITALS - APPLICATION TO FE80B20</t>
  </si>
  <si>
    <t>We describe a method for performing density-functional calculations for topologically disordered condensed matter. This method combines the recursion and the linear-muffin-tin-orbital (LMTO) methods, and uses the tight-binding representation. In the present version, the LMTO matrix elements are evaluated in the atomic-sphere approximation (ASA). Various levels of approximation for the ASA Hamiltonian, such as the two-center tight-binding one, are systematically derived and tested. The method is applied to crystalline bcc Fe and to amorphous Fe80B20. Charge self-consistency is only treated for the average Fe and the average B atoms. The Fe-B bonding is found to be covalent. A Stoner theory is derived and used to describe the ferromagnetism. The structures of our density of states for ferromagnetic Fe80B20 agree in detail with reliable photoemission data.</t>
  </si>
  <si>
    <t>Andersen, Ole/AAF-1553-2019; Vargas, Patricio/AAL-2633-2020</t>
  </si>
  <si>
    <t>vargas, patricio/0000-0001-9235-9747; Nowak, Hans-Jurgen/0000-0003-0464-2986</t>
  </si>
  <si>
    <t>1098-0121</t>
  </si>
  <si>
    <t>AUG 15</t>
  </si>
  <si>
    <t>10.1103/PhysRevB.44.3577</t>
  </si>
  <si>
    <t>WOS:A1991GC99500009</t>
  </si>
  <si>
    <t>TORRES, R; MODAK, B; FAINI, F</t>
  </si>
  <si>
    <t>(25 R)-ISONUATIGENIN, AN UNUSUAL STEROIDAL SAPOGENIN AS TAXONOMIC MARKER BETWEEN CESTRUM-PARQUI AND VESTIA-LYCIOIDES</t>
  </si>
  <si>
    <t>WOS:A1988R501200008</t>
  </si>
  <si>
    <t>ARISTOLOCHIC ACIDS IN ARISTOLOCHIA-CHILENSIS AND THE ARISTOLOCHIA-FEEDER BATTUS-ARCHIDAMAS (LEPIDOPTERA)</t>
  </si>
  <si>
    <t>COLLECTION OF CZECHOSLOVAK CHEMICAL COMMUNICATIONS</t>
  </si>
  <si>
    <t>Cassels, Bruce/H-6937-2013; SALGADO, Gilmar/AAQ-8734-2020</t>
  </si>
  <si>
    <t>0010-0765</t>
  </si>
  <si>
    <t>10.1135/cccc19831513</t>
  </si>
  <si>
    <t>WOS:A1983QT80600030</t>
  </si>
  <si>
    <t>WEYER, J</t>
  </si>
  <si>
    <t>PICARD ITERATES FOR POSITIVE SOLUTIONS OF A CLASS OF NON-LINEAR EIGENVALUE PROBLEMS</t>
  </si>
  <si>
    <t>ZEITSCHRIFT FUR ANGEWANDTE MATHEMATIK UND PHYSIK</t>
  </si>
  <si>
    <t>0044-2275</t>
  </si>
  <si>
    <t>10.1007/BF00948811</t>
  </si>
  <si>
    <t>WOS:A1983RQ70400011</t>
  </si>
  <si>
    <t>Correa Pizano, A; Lacruz, MA; Sánchez, MA; Caldera, D; Quintero, M; Marín, G; Morocoima, M</t>
  </si>
  <si>
    <t>Correa Pizano, Ana; Lacruz, Maria Alejandra; Sanchez, Maria Angelica; Caldera, Dayanal; Quintero, Miguel; Marin, Giovanni; Morocoima, Manuel</t>
  </si>
  <si>
    <t>Temperature Variation of lattice parameters and thermal expansion coefficients of the alloy Culn0.5Ga0.5S2. Pseudocubic structure.</t>
  </si>
  <si>
    <t>CIENCIA E INGENIERIA</t>
  </si>
  <si>
    <t>X-ray powder diffraction measurements on Culn(0.5)Ga(0.5)S(2), a I-III-VI2 semiconductor alloy, were made in the temperature range between 311 K to 780 K, a region in which this material has a tetragonal structure 142d, and ratio c/a=2, so it was analyzed as a pseudocubic structure. From the analysis of the X-ray diffraction lines, accurate lattice parameters values were determined as function of temperature. These results allowed the evaluation of the thermal expansion coefficients of corresponding parameters. The expansion coefficients of the crystallographic parameters a and c, as well as the cation anion distances, d(Cu-s) and D-ln,D-Gu-s, were found to be all the same. These results are in good agreement with the proposed by Garbato et al., 1987, on the stability of the structures of the I-II-VI2 family, compared to the type II-III2-VI4 families.</t>
  </si>
  <si>
    <t>1316-7081</t>
  </si>
  <si>
    <t>2244-8780</t>
  </si>
  <si>
    <t>APR-JUL</t>
  </si>
  <si>
    <t>WOS:001465249300004</t>
  </si>
  <si>
    <t>Chávez, A; Ortiz, M; Prado, H; Reyes, EG</t>
  </si>
  <si>
    <t>Chavez, A.; Ortiz, M.; Prado, H.; Reyes, E. G.</t>
  </si>
  <si>
    <t>Linear equations with infinitely many derivatives and explicit solutions to zeta nonlocal equations</t>
  </si>
  <si>
    <t>NUCLEAR PHYSICS B</t>
  </si>
  <si>
    <t>We summarize our theory on existence, uniqueness and regularity of solutions for linear equations in infinitely many derivatives of the form f(partial derivative(t))Phi = J(t), t &gt;= 0 where f is an analytic function such as the (analytic continuation of the) Riemann zeta function. We explain how to analyse initial value problems for these equations, and we prove rigorously that the function Phi(t) = Sigma(n &gt;= 1) mu(n)/n(h)J(t-ln(n)), in which mu is the Mobius function and J satisfies some technical conditions to be specified in Section 4, is the solution to the zeta nonlocal equation zeta(partial derivative(t) + h)Phi = J(t), t &gt;= 0 in which zeta is the Riemann zeta function and h &gt; 1.. We also present explicit examples of solutions to initial value problems for this equation. Our constructions can be interpreted as highlighting the importance of the cosmological daemon functions considered by Aref'eva and Volovich (2011) [1]. Our main technical tool is the Laplace transform as a unitary operator between the Lebesgue space L-2 and the Hardy space H-2.</t>
  </si>
  <si>
    <t>0550-3213</t>
  </si>
  <si>
    <t>1873-1562</t>
  </si>
  <si>
    <t>10.1016/j.nuclphysb.2024.116680</t>
  </si>
  <si>
    <t>SEP 2024</t>
  </si>
  <si>
    <t>WOS:001316255000001</t>
  </si>
  <si>
    <t>Faure, A; Lira, CL; Cruz, ES</t>
  </si>
  <si>
    <t>Faure, Antoine; Lira, Claudia Lagos; Cruz, Eduardo Santa</t>
  </si>
  <si>
    <t>Engrossed in the market. Chilean journalism in the audiovisual fiction series Bala Loca (chilevision, 2016)</t>
  </si>
  <si>
    <t>MEDIA &amp; JORNALISMO</t>
  </si>
  <si>
    <t>Journalists, photographers, war correspondents, or media owners are attractive characters for audiovisual fiction. Television and streaming platforms have portrayed them as heroes or villains, as well as constructed audiovisual imaginaries about ico- nic cases (such as Watergate or abuses in the Catholic Church in the US) or as a cog in the wheel of power elites. However, both the production and analysis of this type of work focuses on mainstream industries, such as Hollywood or some European countries. We know less about the audiovisual portrayal of journalism in audiovisual productions for television or platforms in Latin America. The analysis of the Chilean series for free-to-air television, Bala Loca , allows us to explore the imaginaries-simul- taneously complementary and contradictory- about journalism and the media in a post-dictatorial and neoliberal society. Then, this article contributes to better understanding this type of audiovisual productions in similar contexts. This reading is anchored in audiovisual and cultural studies and in qualitative methodologies focused on the production (its narratives, representations, characters, and dramatic arcs, as well as its aesthetic features) and the world of reference with which the series dialogues. At these trends' intersection in problematizing journalism and its fictional and visual representations, this article analyzes the types of journalists and journalisms built up and rearranged within the Chilean series Bala Loca based on its communicability stra- tegy. On one hand, its closeness and/or distance with the world it refers to; that is, Chile during the post-dictatorship from 1990 to now and how it is understood. On the other hand, it refers to the type of narrative and audiovisual resources through which these strategies are constructed. Therefore, journalism appears as heterogeneous in Bala Loca . Nonetheless, it has a strong historical referentiality, incarnates the market orientation of the profession inherited from the dictatorship (1973-1990) and illustrates the lack of pu- blic service of contemporary journalism in Chile, both in a symbolic and a material sense.</t>
  </si>
  <si>
    <t>Lira, Claudia/AAQ-1095-2020; Faure, Antoine/M-7944-2019</t>
  </si>
  <si>
    <t>1645-5681</t>
  </si>
  <si>
    <t>2183-5462</t>
  </si>
  <si>
    <t>e4409</t>
  </si>
  <si>
    <t>10.14195/2183-5462_44_9</t>
  </si>
  <si>
    <t>WOS:001274072700001</t>
  </si>
  <si>
    <t>Gulppi, M; Irrazabal, JP; Azócar, MI; Scholz, F; Páez, M</t>
  </si>
  <si>
    <t>Gulppi, Miguel; Irrazabal, Jorge Pavez; Azocar, Manuel Ignacio; Scholz, Fritz; Paez, Maritza</t>
  </si>
  <si>
    <t>The combination of extraction and chronocoulometry of a solid precipitate for teaching a novel approach of electroanalysis</t>
  </si>
  <si>
    <t>JOURNAL OF SOLID STATE ELECTROCHEMISTRY</t>
  </si>
  <si>
    <t>In this study, we introduce an innovative approach to electroanalysis that combines solvent extraction and chronocoulometry for the quantification of furosemide, a loop diuretic medication. The objective of this report is to provide students with a practical learning experience in the field of electroanalysis, enabling them to explore recent developments both theoretically and in the laboratory. The experimental procedure involves the extraction of furosemide from a pharmaceutical tablet using methanol, followed by the deposition of the extracted compound onto an electrode. Chronocoulometry is then employed to determine the quantity of furosemide. A 95% recovery rate and a close to 99% fit between theoretical and experimental substance amounts demonstrate the applicability of the method. This approach offers several didactic benefits for students: (i) It teaches the theory and application of chronocoulometry. (ii) It emphasizes the advantage of chronocoulometry as a calibration-free technique. (iii) It introduces students to the principles of electrochemical stripping techniques. (iv) It demonstrates that solid particles can be effectively studied using electroanalysis. Finally, (v) it provides a real-world application of electroanalysis in quantifying an organic compound.</t>
  </si>
  <si>
    <t>Paez, Maritza/M-2010-2014; Gulppi, Miguel/KTA-6210-2024; PAVEZ, JORGE/K-6904-2014</t>
  </si>
  <si>
    <t>PAVEZ, JORGE/0000-0002-5100-6707; Gulppi, Miguel/0000-0001-6099-4463</t>
  </si>
  <si>
    <t>1432-8488</t>
  </si>
  <si>
    <t>1433-0768</t>
  </si>
  <si>
    <t>10.1007/s10008-023-05764-8</t>
  </si>
  <si>
    <t>DEC 2023</t>
  </si>
  <si>
    <t>WOS:001205213900001</t>
  </si>
  <si>
    <t>Vidal, M; Guerra-Arredondo, S; Santillán-Araneda, MJ; Goldstein, M; Vallejos-Vidal, E; Reyes-Lopez, FE</t>
  </si>
  <si>
    <t>Vidal, Mabel; Guerra-Arredondo, Silvana; Santillan-Araneda, Maria Jesus; Goldstein, Merari; Vallejos-Vidal, Eva; Reyes-Lopez, Felipe E.</t>
  </si>
  <si>
    <t>TRANSCRIPTOMIC PROFILE OF THE GILLS WITH COMPLEX GILL DISEASE (CGD) LESIONS IN ATLANTIC SALMON (SALMO SALAR) FARMED IN A MARINE ENVIRONMENT</t>
  </si>
  <si>
    <t>Vidal, Mabel/F-9968-2016; Reyes-López, Felipe/S-1760-2018; Vallejos-Vidal, Eva/R-9606-2019</t>
  </si>
  <si>
    <t>WOS:001058416200078</t>
  </si>
  <si>
    <t>Agudelo-Hernández, F; Rojas-Andrade, R</t>
  </si>
  <si>
    <t>Agudelo-Hernandez, Felipe; Rojas-Andrade, Rodrigo</t>
  </si>
  <si>
    <t>Design and validation of a scale of core components of community interventions in mental health</t>
  </si>
  <si>
    <t>INTERNATIONAL JOURNAL OF HEALTH PLANNING AND MANAGEMENT</t>
  </si>
  <si>
    <t>AimsTo develop and validate an instrument to identify the core components of community strategies for mental health, especially mutual aid groups: The Mutual Aid Scale .Methods135 community strategies leaders participated in the study. The core components are active agency, coping strategies, recognition, and management of emotions, problem-solving strategies, supportive interaction, trust, self-identity construction, and strengthening of social networks. With these components a scale was designed. Content validity was carried out in addition to an exploratory factor analysis.ResultsTwo dimensions resulted, strengthening of agency capacity and Coping strategies, and the internal consistency of both factors was acceptable, with a Cronbach's alpha of 0.722 and 0.727, respectively. The Kaiser-Meyer-Olkin (KMO) statistic was used with a score of 0.831 and the Barlett Sphericity Test, with a significant value of 265.175.ConclusionThis scale identifies the components of community interventions for mental health and can contribute to a better implementation of these strategies. It also articulates autonomous community processes with strategies developed in health services. The community interventions have few implementation instruments.The core components of community interventions in mental health are provided.A scale is proposed to measure these interventions.The process of design and validation of the instrument is shown, which is provided in this manuscript.</t>
  </si>
  <si>
    <t>Hernandez, Andres/KVA-7010-2024</t>
  </si>
  <si>
    <t>AGUDELO HERNANDEZ, ANDRES FELIPE/0000-0002-8356-8878</t>
  </si>
  <si>
    <t>0749-6753</t>
  </si>
  <si>
    <t>1099-1751</t>
  </si>
  <si>
    <t>10.1002/hpm.3711</t>
  </si>
  <si>
    <t>OCT 2023</t>
  </si>
  <si>
    <t>WOS:001075901900001</t>
  </si>
  <si>
    <t>Iskandar, SH; Cofré-Toleco, J; Cataño, FA; Ortega-Aguilera, R; Vasco, DA</t>
  </si>
  <si>
    <t>Iskandar, Shamir H.; Cofre-Toleco, Jonathan; Catano, Francisco A.; Ortega-Aguilera, Roberto; Vasco, Diego A.</t>
  </si>
  <si>
    <t>Experimental study of the unconstrained melting of a phase change material for air-conditioning applications</t>
  </si>
  <si>
    <t>INTERNATIONAL JOURNAL OF REFRIGERATION</t>
  </si>
  <si>
    <t>This study analyzed the RT8HC melting in a spherical vessel employing air as a heat transfer fluid. The phase change process was followed both visually and by thermal measurements. Photographs and thermographs allow the following phases' evolution and melting mechanisms. We observed that the melting process was not symmetric around the vertical axis; implications of non-symmetric conditions on the melting mechanisms and heat transfer are discussed and analyzed. This work also includes the effects of outer water vapor condensation on heat transfer in the analyses. We proposed a mathematical model to quantify the heat flux that only requires humidity and temperature measurements and considers both heat convection and condensation effects. Results show that condensation significantly affects heat transfer during the initial stage of the melting process. Beside, these effects extend beyond the condensation time due to the liquid film draining from the spherical vessel surface. Regarding thermography, this technique may be a valuable tool for analyzing and following melting processes inside vessels; however, the presence of liquid film over the sphere affects the temperature measurements obtained from the thermograph analysis. This investigation provides relevant information about using phase change materials in cold thermal energy storage applications, latent thermal loads, and humidity control, which are essential aspects of air-conditioning system designs.</t>
  </si>
  <si>
    <t>Ortega, Roberto/IZE-4038-2023; Vasco, Diego/AAA-4480-2020</t>
  </si>
  <si>
    <t>Catano, Francisco/0009-0008-8736-4267; Cofre-Toledo, Jonathan/0000-0002-7961-1554; Vasco, Diego Andres/0000-0001-7456-4683</t>
  </si>
  <si>
    <t>0140-7007</t>
  </si>
  <si>
    <t>1879-2081</t>
  </si>
  <si>
    <t>10.1016/j.ijrefrig.2023.06.026</t>
  </si>
  <si>
    <t>SEP 2023</t>
  </si>
  <si>
    <t>WOS:001083202400001</t>
  </si>
  <si>
    <t>Ponce-Correa, F; Caqueo-Urízar, A; Berrios, R; Escobar-Soler, C</t>
  </si>
  <si>
    <t>Ponce-Correa, Felipe; Caqueo-Urizar, Alejandra; Berrios, Raul; Escobar-Soler, Carolang</t>
  </si>
  <si>
    <t>Defining recovery in schizophrenia: A review of outcome studies</t>
  </si>
  <si>
    <t>PSYCHIATRY RESEARCH</t>
  </si>
  <si>
    <t>Schizophrenia is a chronic disorder with a heterogenous course and different ways in which recovery is measured or perceived. Recovery in schizophrenia is a complex process that it can be defined either from a clinical perspective focused on sustained symptom and functional remission, or from a patient-focused one, as a self-broadening process aimed at living a meaningful life beyond mental illness. Until now, studies analysed these domains separately, without examining their mutual relations and changes over time. Therefore, this meta-analysis aimed to examine the relationship of global measures of subjective recovery with each of the compo-nents of clinical recovery such as symptom severity and functioning, in patients with schizophrenia spectrum disorders. The results showed that the association between different indicators of personal recovery and remission are weak and inverse (dIG+ = -0.18, z = -2.71, p &lt; 0.01), however, this finding is not substantial according to the sensitivity indicators. With respect to functionality and personal recovery, there was a moderate relationship (dIG+ = 0.26, z = 7.894, p &lt; 0.01) with adequate sensitivity indices. In addition, a low consensus exists between subjective measures that are more related to the patient's perspective and clinical measures based on experts and clinician's viewpoint.</t>
  </si>
  <si>
    <t>Caqueo-Urízar, Alejandra/AAW-4045-2021; Berrios, Raul/G-5167-2019</t>
  </si>
  <si>
    <t>Caqueo-Urizar, Alejandra/0000-0002-4614-8380; PONCE-CORREA, FELIPE/0000-0002-4768-5057</t>
  </si>
  <si>
    <t>0165-1781</t>
  </si>
  <si>
    <t>1872-7123</t>
  </si>
  <si>
    <t>10.1016/j.psychres.2023.115134</t>
  </si>
  <si>
    <t>MAR 2023</t>
  </si>
  <si>
    <t>WOS:000953218600001</t>
  </si>
  <si>
    <t>Dávila, G; Quaas, A; Topp, E</t>
  </si>
  <si>
    <t>Davila, Gonzalo; Quaas, Alexander; Topp, Erwin</t>
  </si>
  <si>
    <t>Harnack inequality and self-similar solutions for fully nonlinear fractional parabolic equations</t>
  </si>
  <si>
    <t>CALCULUS OF VARIATIONS AND PARTIAL DIFFERENTIAL EQUATIONS</t>
  </si>
  <si>
    <t>We find bounds for the principal eigenvalue and eigenfunction associated to the existence of self-similar solutions to a fully nonlinear parabolic problem. In contrast with the local case, the upper and lower bounds for the eigenfunction are of the same polynomial order vertical bar x vertical bar(-(N+2s)). In order to accomplish this we prove a Harnack inequality for general nonlocal elliptic equations with zero order terms.</t>
  </si>
  <si>
    <t>0944-2669</t>
  </si>
  <si>
    <t>1432-0835</t>
  </si>
  <si>
    <t>10.1007/s00526-022-02366-6</t>
  </si>
  <si>
    <t>WOS:000879074900018</t>
  </si>
  <si>
    <t>Sandoval, MA; Vidal, J; Calzadilla, W; Salazar, R</t>
  </si>
  <si>
    <t>Sandoval, Miguel A.; Vidal, Jorge; Calzadilla, Wendy; Salazar, Ricardo</t>
  </si>
  <si>
    <t>Solar (electrochemical) advanced oxidation processes as efficient treatments for degradation of pesticides</t>
  </si>
  <si>
    <t>This review summarizes recent advances in solar advanced oxidation processes for degrading pesticides under different reaction mechanisms, electrode material, and sunlight. The performance of the solar treatments, which are highly depen-dent on the solar irradiation and the photocatalysts used in the process, are also mentioned. The fast generation and use of photons increase the emerging pollutants' degradation/miner-alization rate, then, solar technologies seem to be excellent processes for wastewater reclamation in near future. This review also presents the worldwide occurrence of pesticides and their removal from distinct water matrices summarizing optimal operating parameters and degradation efficiencies. Finally, outlooks and perspectives are provided.</t>
  </si>
  <si>
    <t>Sandoval, Miguel A/JCF-1838-2023; Calzadilla, Wendy/KHY-6999-2024; Salazar, Ricardo/L-7870-2013</t>
  </si>
  <si>
    <t>Vidal, Jorge/0000-0002-1334-377X; Salazar-Gonzalez, Ricardo/0000-0003-2180-6022</t>
  </si>
  <si>
    <t>10.1016/j.coelec.2022.101125</t>
  </si>
  <si>
    <t>OCT 2022</t>
  </si>
  <si>
    <t>WOS:000881797500001</t>
  </si>
  <si>
    <t>Silva-Quiroz, J; Morales-Morgado, EM</t>
  </si>
  <si>
    <t>Silva-Quiroz, Juan; Mariela Morales-Morgado, Erla</t>
  </si>
  <si>
    <t>Assessing digital competence and its relationship with the socioeconomic level of Chilean university students</t>
  </si>
  <si>
    <t>INTERNATIONAL JOURNAL OF EDUCATIONAL TECHNOLOGY IN HIGHER EDUCATION</t>
  </si>
  <si>
    <t>Digital competence (DC) is one of the key aspects in citizen development in the digital age. The DC is particularly important in forming university students and future teachers. This article presents the main results of a study to evaluate DC and its relationship with the socioeconomic level of first-year students of pedagogy in three Chilean public universities, located in the north, center, and south of the country. A quantitative research methodology was used, with a sample of 817 students, the data were collected through the DIGCOMP-PED evaluation instrument, which evaluates DC development using the DIGCOMP framework. The results were analyzed at the general and socioeconomic level on the variables of the educational establishment where they attended high school and the territorial area of the university they attended. The main results indicate that the level of DC achievement is intermediate, the areas with the highest levels of achievement were network security and online communication and collaboration. On the other hand, the lowest levels of achievement were reached in the areas information and digital literacy, digital content creation, and problem solving. The level of DC is higher among students of private establishments and those who attend universities located in the central area.</t>
  </si>
  <si>
    <t>Morales-Morgado, Erla/A-8235-2017</t>
  </si>
  <si>
    <t>Silva Quiroz, Juan Eusebio/0000-0002-9817-402X</t>
  </si>
  <si>
    <t>2365-9440</t>
  </si>
  <si>
    <t>AUG 19</t>
  </si>
  <si>
    <t>10.1186/s41239-022-00346-6</t>
  </si>
  <si>
    <t>WOS:000841755800001</t>
  </si>
  <si>
    <t>Vasconcellos, C; Zuñiga, R; Job, S; Melo, F</t>
  </si>
  <si>
    <t>Vasconcellos, Carlos; Zuniga, Rene; Job, Stephane; Melo, Francisco</t>
  </si>
  <si>
    <t>Localized Energy Absorbers in Hertzian Chains</t>
  </si>
  <si>
    <t>PHYSICAL REVIEW APPLIED</t>
  </si>
  <si>
    <t>Energy absorbers and energy-harvesting devices have been under the scope of scientists and engineers for decades to fulfill specific technological needs, mainly concerned with sound and vibration absorbers, and efficient mechanical energy converters. In this paper, as a proof of concept, we build a mass-in-mass device to study the response of a linear absorber immersed in one of the spheres composing a linear array of equal elastic spheres. Spheres barely touch one another and can thus sustain nonlinear solitary wave propagation only. The linear intruder absorbs a given amount of energy depending on the frequency content of the incident solitary wave. A numerical simulation is developed to account for the experimental finding. The validation of the numerical model allows for the theoretical study of the energy absorbed by any number of intruders, and to demonstrate that the former increases exponentially with the latter, indicating that only ten of the intruders is enough to absorb the system energy. A detailed study of the transmitted energy from an external source into the chain reveals that, due to nonlinearity, the array of spheres is able to convert almost any mechanical shock to a well-defined solitary or trains of solitary waves, whose frequency content is nearly independent on the excitation amplitude. This property leads to the design of a device, which is optimized to absorb energy over a broad frequency range.</t>
  </si>
  <si>
    <t>Melo, Francisco/M-3923-2014; Zuñiga, Rene/IQX-1430-2023; Job, Stephane/D-9735-2011</t>
  </si>
  <si>
    <t>Job, Stephane/0000-0003-2853-1893; Melo, Francisco Esteban/0000-0001-6818-5476; Vasconcellos, Carlos/0000-0001-8786-4095; Zuniga Aguilera, Rene/0000-0003-0862-6326</t>
  </si>
  <si>
    <t>2331-7019</t>
  </si>
  <si>
    <t>JUL 29</t>
  </si>
  <si>
    <t>10.1103/PhysRevApplied.18.014078</t>
  </si>
  <si>
    <t>WOS:000899592400005</t>
  </si>
  <si>
    <t>Atalah, J; Espina, G; Blamey, L; Muñoz-Ibacache, SA; Blamey, JM</t>
  </si>
  <si>
    <t>Atalah, Joaquin; Espina, Giannina; Blamey, Lotse; Munoz-Ibacache, Sebastian A.; Blamey, Jenny M.</t>
  </si>
  <si>
    <t>Advantages of Using Extremophilic Bacteria for the Biosynthesis of Metallic Nanoparticles and Its Potential for Rare Earth Element Recovery</t>
  </si>
  <si>
    <t>FRONTIERS IN MICROBIOLOGY</t>
  </si>
  <si>
    <t>The exceptional potential for application that metallic nanoparticles (MeNPs) have shown, has steadily increased their demand in many different scientific and technological areas, including the biomedical and pharmaceutical industry, bioremediation, chemical synthesis, among others. To face the current challenge for transitioning toward more sustainable and ecological production methods, bacterial biosynthesis of MeNPs, especially from extremophilic microorganisms, emerges as a suitable alternative with intrinsic added benefits like improved stability and biocompatibility. Currently, biogenic nanoparticles of different relevant metals have been successfully achieved using different bacterial strains. However, information about biogenic nanoparticles from rare earth elements (REEs) is very scarce, in spite of their great importance and potential. This mini review discusses the current understanding of metallic nanoparticle biosynthesis by extremophilic bacteria, highlighting the relevance of searching for bacterial species that are able to biosynthesize RRE nanoparticles.</t>
  </si>
  <si>
    <t>Espina, Giannina/AAD-5275-2020; Muñoz, Sebastian/JDD-7351-2023; Blamey, Jenny/M-2637-2014</t>
  </si>
  <si>
    <t>1664-302X</t>
  </si>
  <si>
    <t>MAR 21</t>
  </si>
  <si>
    <t>10.3389/fmicb.2022.855077</t>
  </si>
  <si>
    <t>WOS:000782130600001</t>
  </si>
  <si>
    <t>Robles, FAB; Panerai, RB; Katsogridakis, E; Chacon, M</t>
  </si>
  <si>
    <t>Bello Robles, Felipe-Andres; Panerai, Ronney B.; Katsogridakis, Emmanuel; Chacon, Max</t>
  </si>
  <si>
    <t>Superior Fitting of Arterial Resistance and Compliance Parameters With Genetic Algorithms in Models of Dynamic Cerebral Autoregulation</t>
  </si>
  <si>
    <t>IEEE TRANSACTIONS ON BIOMEDICAL ENGINEERING</t>
  </si>
  <si>
    <t>Objective: The capacity of discriminating between normal and impaired dynamic cerebral autoregulation (dCA), based on spontaneous fluctuations in arterial blood pressure (ABP) and cerebral blood flow (CBF), has considerable clinical relevance. This study aimed to quantify the separate contributions of vascular resistance and compliance as parameters that could reflect myogenic and metabolic mechanisms to dCA. Methods: Forty-five subjects were studied under normo and hypercapnic conditions induced by breathing a mixture of 5% carbon dioxide in air. Dynamic cerebrovascular resistance and compliance models with ABP as input and CBFV as output were fitted using Genetic Algorithms to identify parameter values for each subject, and respiratory condition. Results: The efficiency of dCA was assessed from the model's generated CBFV response to an ABP step change, corresponding to an autoregulation index of 5.56 +/- 1.57 in normocapnia and 2.38 +/- 1.73 in hypercapnia, with an area under the ROC curve (AUC) of 0.9 between both conditions. Vascular compliance increased from 0.75 +/- 0.7 ml/mmHg in normocapnia to 5.82 +/- 12.0 ml/mmHg during hypercapnia, with an AUC of 0.88. Conclusion: Further work is needed to validate this approach in clinical applications where individualised model parameters could provide relevant diagnostic and prognostic information about dCA impairment.</t>
  </si>
  <si>
    <t>Panerai, Ronney/0000-0001-6983-8707; Katsogridakis, Emmanuel/0000-0001-8551-3910; Bello Robles, Felipe-Andres/0000-0002-7516-2405</t>
  </si>
  <si>
    <t>0018-9294</t>
  </si>
  <si>
    <t>1558-2531</t>
  </si>
  <si>
    <t>10.1109/TBME.2021.3100288</t>
  </si>
  <si>
    <t>WOS:000733943200054</t>
  </si>
  <si>
    <t>Castro, SA; Jaksic, FM</t>
  </si>
  <si>
    <t>Castro, Sergio A.; Jaksic, Fabian M.</t>
  </si>
  <si>
    <t>THE FIRST MAGALLANES-ELCANO GLOBAL CIRCUMNAVIGATION TRIP: A LOOK AT THE INITIATIC ENCOUNTERS WITH SOUTH AMERICAN BIODIVERSITY</t>
  </si>
  <si>
    <t>MAGALLANIA</t>
  </si>
  <si>
    <t>500 years after the Magallanes-Elcano Expedition along the South American coasts, we analyzed the vernacular records of biological species reported in the Relacion of this trip, written by Antonio Pigafetta, in addition to the Derrotero, by Francisco Albo. We found 40 vernacular names corresponding to 42 scientifically nominated species (13 plants, 12 birds, 6 fishes, 9 mammals, and 2 mollusks). Most of these records come from Bahia de Santa Lucia (Brazil) and Bahia de San Julian (Argentina), followed by Estrecho de Magallanes (Chile), Santa Cruz River and Santa Maria Cape (Argentina). Out of 42 species, 26 (62%) are currently in some category of conservation concern, according to the IUCN.</t>
  </si>
  <si>
    <t>Jaksic, Fabian M./G-1705-2014</t>
  </si>
  <si>
    <t>Jaksic, Fabian M./0000-0003-0098-0291</t>
  </si>
  <si>
    <t>0718-2244</t>
  </si>
  <si>
    <t>10.22352/MAGALLANIA202250005</t>
  </si>
  <si>
    <t>WOS:000800390500004</t>
  </si>
  <si>
    <t>Mahn, A; Comett, R; Segura-Ponce, LA; Díaz-alvarez, RE</t>
  </si>
  <si>
    <t>Mahn, Andrea; Comett, Raidel; Segura-Ponce, Luis A.; Diaz-alvarez, Rodrigo E.</t>
  </si>
  <si>
    <t>Effect of pulsed electric field-assisted extraction on recovery of sulforaphane from broccoli florets</t>
  </si>
  <si>
    <t>JOURNAL OF FOOD PROCESS ENGINEERING</t>
  </si>
  <si>
    <t>Sulforaphane (SFN) is an isothiocyanate occurring in broccoli, with exceptional health-beneficial properties, such as anticancer, anti-inflammatory, and anti-hypertensive effects. Processes to maximize SFN content in broccoli developed until now are expensive and SFN bioavailability in the vegetable is not optimal. To increase SFN extraction yield from broccoli florets, it was proposed to complement traditional solvent extraction with pulsed electric field (PEF) as tissue disruption method enabling the reduction of mass transfer resistance in vegetable matrices. Tissue disruption methods enhance the performance of this process because it reduces mass transfer resistance. PEF is an innovative technology recently introduced in the food industry. We studied the effect of electric field strength (10 and 15 kV/cm) and time of exposure to the PEF treatment (30, 90, and 150 s) on the recovery of SFN from broccoli florets, using a statistical factorial design. Electric field strength and exposure time significantly affected SFN recovery in a positive way. PEFs increase SFN recovery by more than 50% compared to traditional extraction. This result was achieved at 150 s exposure to PEF and 10 kV/cm. Practical Applications The use of pulsed electric fields significantly improved sulforaphane recovery from broccoli in comparison with traditional extraction methods. Even though in this work the raw material was commercial broccoli heads, it is most likely that the results obtained here can be replicated using low-value raw material, such as broccoli heads that do not meet commercial standards or crop discards. Accordingly, PEF technology constitutes an option for valorization of Brassicaceae agroindustry discards.</t>
  </si>
  <si>
    <t>Diaz-Alvarez, Rodrigo/0000-0002-8775-8265; Mahn, Andrea/0000-0001-6082-0279</t>
  </si>
  <si>
    <t>0145-8876</t>
  </si>
  <si>
    <t>1745-4530</t>
  </si>
  <si>
    <t>e13837</t>
  </si>
  <si>
    <t>10.1111/jfpe.13837</t>
  </si>
  <si>
    <t>WOS:000686942300001</t>
  </si>
  <si>
    <t>Ramírez, N; Ubilla, C; Campos, J; Valencia, F; Aburto, C; Vera, C; Illanes, A; Guerrero, C</t>
  </si>
  <si>
    <t>Ramirez, Nicolas; Ubilla, Claudia; Campos, Javiera; Valencia, Francisca; Aburto, Carla; Vera, Carlos; Illanes, Andres; Guerrero, Cecilia</t>
  </si>
  <si>
    <t>Enzymatic production of lactulose by fed-batch and repeated fed-batch reactor</t>
  </si>
  <si>
    <t>The effects of the most significant operational variables on reactor performance of fed-batch and repeated fed-batch were evaluated in the lactulose production by enzymatic transgalactosylation. Feed flowrate in the fed stage (F) and fructose to lactose molar ratio (Fr/L) were the variables that mostly affected the values of lactulose yield (Y-LU), lactulose productivity (pi(Lu)) and selectivity of transgalactosylation (S-Lu/(TOS)). Maximum Y-LU of 0.21 g lactulose per g lactose was obtained at 50% w/w inlet carbohydrates concentration (IC) of, 50 degrees C, Fr/L 8, F 1 mL.min(-1), 200 IU.g(Lactose)(-1) reactor enzyme load and pH 4.5. At these conditions the selectivity was 7.4, productivity was 0.71 g(Lu).g(-1).h(-1) and lactose conversion was 0.66. The operation by repeated fed batch increases the efficiency of use of the biocatalysts (E-B) and the accumulated productivity compared to batch and fed batch operation with the same biocatalyst. E-B obtained was 4.13 g(Lu).mg(biocatalyst)( protein)(-1), 10.6 times higher than in fed-batch.</t>
  </si>
  <si>
    <t>vera, Carlos/G-5240-2019; aburto, carla/AAY-8727-2020</t>
  </si>
  <si>
    <t>ABURTO GAJARDO, CARLA/0000-0002-8886-8642; Guerrero, Cecilia/0000-0002-4701-3525; Vera Vera, Carlos Felipe/0000-0003-2179-9467</t>
  </si>
  <si>
    <t>10.1016/j.biortech.2021.125769</t>
  </si>
  <si>
    <t>WOS:000694798100010</t>
  </si>
  <si>
    <t>Roa, K; Tapiero, Y; Thotiyl, MO; Sánchez, J</t>
  </si>
  <si>
    <t>Roa, Karina; Tapiero, Yesid; Thotiyl, Musthafa Ottakam; Sanchez, Julio</t>
  </si>
  <si>
    <t>Hydrogels Based on Poly([2-(acryloxy)ethyl] Trimethylammonium Chloride) and Nanocellulose Applied to Remove Methyl Orange Dye from Water</t>
  </si>
  <si>
    <t>Bio-based hydrogels that adsorb contaminant dyes, such as methyl orange (MO), were synthesized and characterized in this study. The synthesis of poly([2-(acryloyloxy)ethyl] trimethylammonium chloride) and poly(ClAETA) hydrogels containing cellulose nanofibrillated (CNF) was carried out by free-radical polymerization based on a factorial experimental design. The hydrogels were characterized by Fourier transformed infrared spectroscopy, scanning electron microscopy, and thermogravimetry. Adsorption studies of MO were performed, varying time, pH, CNF concentration, initial dye concentration and reuse cycles, determining that when the hydrogels were reinforced with CNF, the dye removal values reached approximately 96%, and that the material was stable when the maximum swelling capacity was attained. The maximum amount of MO retained per gram of hydrogel (q = mg MO g(-1)) was 1379.0 mg g(-1) for the hydrogel containing 1% (w w(-1)) CNF. Furthermore, it was found that the absorption capacity of MO dye can be improved when the medium pH tends to be neutral (pH = 7.64). The obtained hydrogels can be applicable for the treatment of water containing anionic dyes.</t>
  </si>
  <si>
    <t>Sanchez, Julio/AEO-4360-2022</t>
  </si>
  <si>
    <t>O T, Musthafa/0000-0002-2439-4708; Sanchez, Julio/0000-0003-4245-0096</t>
  </si>
  <si>
    <t>10.3390/polym13142265</t>
  </si>
  <si>
    <t>WOS:000677016600001</t>
  </si>
  <si>
    <t>Olea, F; Merlet, G; Araya-López, C; Cabezas, R; Villarroel, E; Quijada-Maldonado, E; Romero, J</t>
  </si>
  <si>
    <t>Olea, F.; Merlet, G.; Araya-Lopez, C.; Cabezas, R.; Villarroel, E.; Quijada-Maldonado, E.; Romero, J.</t>
  </si>
  <si>
    <t>Separation of vanillin by perstraction using hydrophobic ionic liquids as extractant phase: Analysis of mass transfer and screening of ILs via COSMO-RS</t>
  </si>
  <si>
    <t>This paper presents an experimental and theoretical study for a perstraction system to recover diluted vanillin from aqueous solutions using an organophilic and hydrophobic membrane of polydimethylsiloxane (PDMS), and the hydrophobic ionic liquids (ILs) 1-butyl-3-methylimidazolium bis((trifluoromethyl)sulfonyl)imide ([bmim] [Tf2N]), 1-octyl-3-methylimidazolium bis((trifluoromethyl)sulfonyl)imide ([omim][Tf2N]) and trihexyl tetradecyl phosphonium cyanamide ([P6,6,6,14][DCA]) as the extractant phase. The proposed mass transfer model was established as suitable for describing the extraction of vanillin from the aqueous phase in the perstraction system using ILs. According to this model, it was determined that the main mass transfer resistances were offered by the PDMS membrane, followed by the IL. [P6,6,6,14][DCA] experimentally showed a 13% increase in the transmembrane flux in comparison with the [Tf2N] anion based ILs, but also showed higher water transmembrane flux. In this regard, [omim][Tf2N] was found to exhibit better vanillin/water selectivity. The perstraction system gives better transmembrane fluxes than the data reported in the literature for vanillin extraction using pervaporation system. On the other hand, according to the screening in COSMO-RS, the combination of the anions DCA, SCN, TCC, Otf, PFBS, Tf2N, Pf2N y PF6 with pyrrolidinium, piperidinium and phosphonium base cations, are suitable to increase the performance of vanillin extraction.</t>
  </si>
  <si>
    <t>Cabezas, Rene/HAR-6189-2022; Araya Lopez, Claudio/KXR-0295-2024; Villarroel Utreras, Eduardo/LCD-3437-2024; Romero, Julio/I-6705-2013; olea, felipe/IAN-5687-2023; Merlet Venturelli, Gaston/B-4109-2019</t>
  </si>
  <si>
    <t>Olea Chandia, Felipe/0000-0002-6349-6184; Romero, Julio/0000-0002-1229-1592; Merlet Venturelli, Gaston/0000-0003-2602-6471; Villarroel, Eduardo/0000-0001-5208-3512</t>
  </si>
  <si>
    <t>10.1016/j.seppur.2021.119008</t>
  </si>
  <si>
    <t>MAY 2021</t>
  </si>
  <si>
    <t>WOS:000668912400001</t>
  </si>
  <si>
    <t>Barrera, D; Gao, S</t>
  </si>
  <si>
    <t>Barrera, Daniel; Gao, Shan</t>
  </si>
  <si>
    <t>Overconvergent Eichler-Shimura Isomorphisms for Unitary Shimura Curves over Totally Real Fields</t>
  </si>
  <si>
    <t>We compare two different cohomology groups on unitary Shimura curves over totally real number fields; these groups are used in the construction of p-adic families of modular forms in this context. More precisely, we describe the space of finite slope overconvergent modular forms of any weight in terms of a convenient overconvergent cohomology.</t>
  </si>
  <si>
    <t>Barrera Salazar, daniel/0000-0002-5677-2339</t>
  </si>
  <si>
    <t>1565-8511</t>
  </si>
  <si>
    <t>10.1007/s11856-021-2143-z</t>
  </si>
  <si>
    <t>WOS:000648210000005</t>
  </si>
  <si>
    <t>Bubnovich, V; Hernandez, H; Toledo, M; Flores, C</t>
  </si>
  <si>
    <t>Bubnovich, V.; Hernandez, H.; Toledo, M.; Flores, C.</t>
  </si>
  <si>
    <t>Experimental investigation of flame stability in the premixed propane-air combustion in two-section porous media burner</t>
  </si>
  <si>
    <t>FUEL</t>
  </si>
  <si>
    <t>The characteristics of combustion and the flame stabilization within a two-layer porous media burner were investigated experimentally in the present study. Lean propane-air mixtures were used with the equivalence ratio values phi in the range between 0.1 and 0.5 and the flow rate Q of the mixture in the range between 10 and 45 l/ min. It was experimented with three porous ceramics: reticulated foam alumina, honeycomb foam alumina and SiC foam. The axial temperature distribution, reaction zone, maximum temperature, CO and NOx emissions, and combustion wave propagation rate were analyzed. The experimental results showed that, in the three ceramics studied, the combustion wave propagation rate increases with increased inlet velocity and decreased equivalence ratio of premixed gases. Result of the analysis of the information obtained, a porous burner with flame stabilized between two porous ceramics was built that works permanently with the equivalence ratio phi = 0.5 and the flow rate of the mixture in the range between 20 and 35 l/min. The honeycomb foam was placed on top of the burner and the reticulated foam on the bottom. The combustion temperatures were in the range between 1160 and 1380 K, where a higher flow rate resulted in higher temperatures. The CO and NOX emissions did not exceed a few ppm showing that combustion was almost complete.</t>
  </si>
  <si>
    <t>Toledo, Mario/Q-4859-2019</t>
  </si>
  <si>
    <t>Toledo, Mario/0000-0001-6443-9256</t>
  </si>
  <si>
    <t>0016-2361</t>
  </si>
  <si>
    <t>1873-7153</t>
  </si>
  <si>
    <t>10.1016/j.fuel.2020.120117</t>
  </si>
  <si>
    <t>JAN 2021</t>
  </si>
  <si>
    <t>WOS:000651786400003</t>
  </si>
  <si>
    <t>Rivero-Cantillano, R; Navarrete-Montalvo, J; Ordenes, C; Llorca-Jana, M</t>
  </si>
  <si>
    <t>Rivero-Cantillano, Rodrigo; Navarrete-Montalvo, Juan; Ordenes, Cristian; Llorca-Jana, Manuel</t>
  </si>
  <si>
    <t>The Demographic Consequences of the End of Chile's Nitrate Boom,c.1907-1940</t>
  </si>
  <si>
    <t>BULLETIN OF LATIN AMERICAN RESEARCH</t>
  </si>
  <si>
    <t>This article deals with the demographic consequences of the end of Chile's nitrate boom following the 1929 crisis. The traditional economic historiography has maintained that this crisis impacted heavily on nitrate production, and that in turn the crisis triggered a permanent exodus from the nitrate districts to other geographical zones. Contrary to this widely held belief, we have shown in this article that: there was no substantial fall in production; there was indeed a fall in nitrate population, but this was limited; this took place in some nitrate areas only; overall, the decline in nitrate population was a short term phenomenon only. The population making a living from nitrate production (or activities directly related to it) did not emigrate in as large numbers as previously thought, since production remained high up to the 1960s.</t>
  </si>
  <si>
    <t>Llorca-Jaña, Manuel/AAB-9317-2020</t>
  </si>
  <si>
    <t>Rivero-Cantillano, Rodrigo/0000-0001-6095-6782</t>
  </si>
  <si>
    <t>0261-3050</t>
  </si>
  <si>
    <t>1470-9856</t>
  </si>
  <si>
    <t>10.1111/blar.12989</t>
  </si>
  <si>
    <t>WOS:000570202900006</t>
  </si>
  <si>
    <t>Pino-Rios, R; Vásquez-Espinal, A; Yañez, O; Tiznado, W</t>
  </si>
  <si>
    <t>Pino-Rios, Ricardo; Vasquez-Espinal, Alejandro; Yanez, Osvaldo; Tiznado, William</t>
  </si>
  <si>
    <t>Searching for double σ- and π-aromaticity in borazine derivatives</t>
  </si>
  <si>
    <t>RSC ADVANCES</t>
  </si>
  <si>
    <t>Inspired by the double-aromatic (sigma and pi) C6H3+, C6I62+, and C-6(SePh)(6)(2+)ring-shaped compounds, herein we theoretically study their borazine derivative analogues. The systems studied are the cation and dications with formulas B3N3H3+, B3N3Br62+, B3N3I62+, B3N3(SeH)(6)(2+), and B3N3(TeH)(6)(2+). Our DFT calculations indicate that the ring-shaped planar structures of B3N3H3+, B3N3I62+, and B3N3(TeH)(6)(2+)are more stable in the singlet state, while those of B(3)N(3)Br(6)(2+)and B3N3(SeH)(6)(2+)prefer the triplet state. Besides, exploration of the potential energy surface shows that the ring-shaped structure is the putative global minimum only for B3N3I62+. According to chemical bonding analysis, B3N3H3+, B3N3I62+, and B3N3(TeH)(6)(2+)have sigma and pi delocalized bonds. The number of delocalized sigma/pi electrons is 2/6 for the first, and 10/6 for the second and third, similar to what their carbon analogs exhibit. Finally, the analysis of the magnetically induced current density allows B3N3H3+, B3N3I62+, and B3N3(TeH)(6)(2+)to be classified as strongly sigma aromatic, and poorly pi aromatic compounds.</t>
  </si>
  <si>
    <t>Vásquez-Espinal, Alejandro/X-7300-2019; Tiznado, William/G-7479-2014</t>
  </si>
  <si>
    <t>Tiznado, William/0000-0002-6061-8879; Yanez Osses, Osvaldo Andres/0000-0001-8993-9353; Pino Rios, Ricardo/0000-0003-4756-1115</t>
  </si>
  <si>
    <t>2046-2069</t>
  </si>
  <si>
    <t>10.1039/d0ra05939k</t>
  </si>
  <si>
    <t>WOS:000561946700011</t>
  </si>
  <si>
    <t>The Super-Diffusive Singular Perturbation Problem</t>
  </si>
  <si>
    <t>MATHEMATICS</t>
  </si>
  <si>
    <t>In this paper we study a class of singularly perturbed defined abstract Cauchy problems. We investigate the singular perturbation problem (PE)E alpha Dt alphauE(t)+uE '(t)=AuE(t),t is an element of [0,T], 1&lt;&lt;2,E&gt;0, for the parabolic equation (P)u0 '(t)=Au0(t),t is an element of [0,T], in a Banach space, as the singular parameter goes to zero. Under the assumption that A is the generator of a bounded analytic semigroup and under some regularity conditions we show that problem (PE) has a unique solution uE(t) for each small E&gt;0. Moreover uE(t) converges to u0(t) as E -&gt; 0+, the unique solution of equation (P).</t>
  </si>
  <si>
    <t>Lizama, Carlos/0000-0002-9807-1100; Alvarez, Edgardo/0000-0003-2699-398X</t>
  </si>
  <si>
    <t>2227-7390</t>
  </si>
  <si>
    <t>10.3390/math8030403</t>
  </si>
  <si>
    <t>WOS:000524085900102</t>
  </si>
  <si>
    <t>Reyes, RC; Quiróz, JS</t>
  </si>
  <si>
    <t>Canales Reyes, Roberto; Silva Quiroz, Juan</t>
  </si>
  <si>
    <t>From in-person to virtual class, a model for using online training in the time of Covid-19</t>
  </si>
  <si>
    <t>EDUCAR EM REVISTA</t>
  </si>
  <si>
    <t>Academic virtual training is slowly gaining ground in Higher Education, but the arrival of Covid-19 has accelerated this process. Undoubtedly, current times are a great opportunity to innovate and bring virtual training closer to educational communities, but it is necessary to do it properly, otherwise, the outcome can be unexpected and, in the critical view of students, it would invalidate this training modality. This article presents a model of how to face virtual training in times of crisis, how to move from a presencial classroom to a virtual one, integrating the potential that digital technologies provide us to generate environments that promote quality learning in students.</t>
  </si>
  <si>
    <t>Canales Reyes, Roberto/0000-0002-1088-5004; Silva Quiroz, Juan Eusebio/0000-0002-9817-402X</t>
  </si>
  <si>
    <t>0104-4060</t>
  </si>
  <si>
    <t>1984-0411</t>
  </si>
  <si>
    <t>e76140</t>
  </si>
  <si>
    <t>10.1590/0104-4060.76140</t>
  </si>
  <si>
    <t>WOS:000612105300053</t>
  </si>
  <si>
    <t>Petrasic, VAR</t>
  </si>
  <si>
    <t>Univ Santiago Chile, Fac Tecnologica</t>
  </si>
  <si>
    <t>Roa Petrasic, Veronica Alejandra</t>
  </si>
  <si>
    <t>Policy learning and policy change from crises in natural resource-based industries: the case of the sanitary crisis of the ISA virus in the Chilean salmon farming industry</t>
  </si>
  <si>
    <t>TECNOLOGIA Y SOCIEDAD: APORTES PARA EL DESARROLLO DE POLITICAS EN CHILE, VOL 2</t>
  </si>
  <si>
    <t>This article examines governance issues in a regional innovation system and its central theme is how actors respond to an industrial crisis of natural resources through learning processes related to institutional changes. Specifically, it analyses the responses of public policies in the salmon industry in Chile from its 2007 sanitary crisis caused by the infectious salmon anemia virus (ISAv). An important aspect of the analysis is to examine and explain whether these responses produced radical or incremental changes in industry policies. Reference is made to salmon production in Chile as it is an example of an intensive production system that has provided an important opportunity to develop export industries that promote economic and social development in developing countries. The governance of such industries is important because of their potential to cause 'tragedy of the commons' by overexploitation, degradation and externalities arising from the intensive use of natural resources. The article uses a qualitative approach and the theoretical framework is based on the literatures of 'policy learning and policy change' and 'crises and disasters management'. A longitudinal design is applied to observe the dynamics and evolution of policy development and implementation. Primary information was gathered from interviews with the full set of industry actors. These sources of information were complemented with secondary information from reports from government institutions, associations and firms, newspapers and regulations, among others. This article aims to achieve a better understanding of how public policies respond, change and adapt from catastrophic events such as crisis and to understand from a qualitative approach and from a perspective of 'policy learning and policy change' and 'crises and disasters management' the change of regulation in the salmon industry in Chile after the 2007 sanitary crisis.</t>
  </si>
  <si>
    <t>978-956-6095-05-7</t>
  </si>
  <si>
    <t>WOS:000608874800007</t>
  </si>
  <si>
    <t>Cruz, N; Hernández-Almada, A; Cornejo-Pérez, O</t>
  </si>
  <si>
    <t>Cruz, Norman; Hernandez-Almada, A.; Cornejo-Perez, Octavio</t>
  </si>
  <si>
    <t>Constraining a causal dissipative cosmological model</t>
  </si>
  <si>
    <t>In this paper, a cosmological solution of the polynomial type H approximate to (t + const)(-1) for the causal thermodynamical approach of Isarel-Stewart [Phys. Rev. D 96, 124020 (2017); Phys. Lett. B 767, 103 (2017)] is constrained using the joint of the latest measurements of the Hubble parameter (OHD) and type Ia supernovae (SNIa). Since the expansion described by this solution does not present a transition from a decelerated phase to an accelerated one, both phases can be well modeled, connecting both phases by requiring the continuity of the Hubble parameter at z = z(t), the accelerated-decelerated transition redshift. Our best fit constrains the main free parameters of the model to be A(1) = 1.58(-0.07)(+0.08) (A(2) = 0.84(-0.02)(+0.02)) for the accelerated (decelerated) phase. For both phases, we obtain q = -0.37(-0.03)(+0.03) (0.19(-0.03)(+0.03)) and omega(eff) = -0.58(-0.02)(+0.02) (-0.21(-0.02)(+0.02)) for the deceleration parameter and the effective equation of state, respectively. Comparing our model and LCDM statistically through the Akaike information criterion and the Bayesian information criterion, we obtain that the LCDM model is preferred by the OHD + SNIa data. Finally, it is shown that the constrained parameters values satisfy the criterion for a consistent fluid description of a dissipative dark matter component, but with a high value of the speed of sound within the fluid, which is a drawback for a consistent description of the structure formation. We briefly discuss the possibilities to overcome this problem with a nonlinear generalization of the causal linear thermodynamics of bulk viscosity and also with the inclusion of some form of dark energy.</t>
  </si>
  <si>
    <t>Hernandez Almada, Alberto/0000-0003-0405-9344</t>
  </si>
  <si>
    <t>2470-0010</t>
  </si>
  <si>
    <t>2470-0029</t>
  </si>
  <si>
    <t>OCT 14</t>
  </si>
  <si>
    <t>10.1103/PhysRevD.100.083524</t>
  </si>
  <si>
    <t>WOS:000489827700009</t>
  </si>
  <si>
    <t>Arenas, G; Gonzalez, J; Saavedra, H; Navarrete, A; Castillo-Galán, S; Garcia-Herrera, C; Krause, B</t>
  </si>
  <si>
    <t>Arenas, German; Gonzalez, Jose; Saavedra, Hector; Navarrete, Alvaro; Castillo-Galan, Sebastian; Garcia-Herrera, Claudio; Krause, Bernardo</t>
  </si>
  <si>
    <t>EFFECT OF FETAL GROWTH RESTRICTION ON THE BIOMECHANICAL AND STRUCTURAL PROPERTIES IN HUMAN UMBILICAL AND CHORIONIC ARTERIES</t>
  </si>
  <si>
    <t>PLACENTA</t>
  </si>
  <si>
    <t>Meeting of the International-Federation-of-Placenta-Associations (IFPA)</t>
  </si>
  <si>
    <t>SEP 21-24, 2018</t>
  </si>
  <si>
    <t>Tokyo, JAPAN</t>
  </si>
  <si>
    <t>Int Federat Placenta Assoc</t>
  </si>
  <si>
    <t>García-Herrera, Claudio/ABE-8991-2020; Krause, Bernardo/F-4977-2013</t>
  </si>
  <si>
    <t>0143-4004</t>
  </si>
  <si>
    <t>1532-3102</t>
  </si>
  <si>
    <t>P1.39</t>
  </si>
  <si>
    <t>E29</t>
  </si>
  <si>
    <t>10.1016/j.placenta.2019.06.096</t>
  </si>
  <si>
    <t>WOS:000483998500095</t>
  </si>
  <si>
    <t>Márquez, SL; Blamey, JM</t>
  </si>
  <si>
    <t>Marquez, Sebastian L.; Blamey, Jenny M.</t>
  </si>
  <si>
    <t>Isolation and partial characterization of a new moderate thermophilic Albidovulum sp. SLM16 with transaminase activity from Deception Island, Antarctica</t>
  </si>
  <si>
    <t>BIOLOGICAL RESEARCH</t>
  </si>
  <si>
    <t>BackgroundA moderately thermophilic, slightly halophilic, aerobic, Gram-stain negative, bacterial strain, SLM16, was isolated from a mixed of seawater-sand-sediment sample collected from a coastal fumarole located in Whalers Bay, Deception Island, Antarctica. The aim was to screen for thermophilic microorganisms able to degrade primary amines and search for amine transaminase activity for potential industrial application.ResultsIdentification and partial characterization of the microorganism SLM16 were carried out by means of morphological, physiological and biochemical tests along with molecular methods. Cells of strain SLM16 were non-motile irregular rods of 1.5-2.5m long and 0.3-0.45m wide. Growth occurred in the presence of 0.5-5.5% NaCl within temperature range of 35-55 degrees C and pH range of 5.5-9.5, respectively. The DNA G+C composition, estimated from ftsY gene, was 66% mol. Phylogenetic analysis using de 16S rRNA gene sequence showed that strain SLM16 belongs to the marine bacterial genus Albidovulum.ConclusionStrain SLM16 is a moderate thermophilic Gram negative microorganisms which belongs to the marine bacterial genus Albidovulum and is closely related to Albidovulum inexpectatum species based on phylogenetic analysis. Additionally, amine-transaminase activity towards the arylaliphatic amine -methylbenzylamine was detected.</t>
  </si>
  <si>
    <t>Blamey, Jenny/M-2637-2014</t>
  </si>
  <si>
    <t>Blamey, Jenny/0000-0002-7640-316X</t>
  </si>
  <si>
    <t>0716-9760</t>
  </si>
  <si>
    <t>0717-6287</t>
  </si>
  <si>
    <t>FEB 4</t>
  </si>
  <si>
    <t>10.1186/s40659-018-0210-7</t>
  </si>
  <si>
    <t>WOS:000458233500002</t>
  </si>
  <si>
    <t>Malhue, M; Diaz, M; Rojas, F; Espina, E; Cardenas, R</t>
  </si>
  <si>
    <t>Malhue, Matias; Diaz, Matias; Rojas, Felix; Espina, Enrique; Cardenas, Roberto</t>
  </si>
  <si>
    <t>A Parallel Fast Delayed Signal Cancellation PLL for Unbalanced and Distorted Grid Applications</t>
  </si>
  <si>
    <t>2019 IEEE CHILEAN CONFERENCE ON ELECTRICAL, ELECTRONICS ENGINEERING, INFORMATION AND COMMUNICATION TECHNOLOGIES (CHILECON)</t>
  </si>
  <si>
    <t>IEEE CHILEAN Conference on Electrical, Electronics Engineering, Information and Communication Technologies (CHILECON)</t>
  </si>
  <si>
    <t>OCT 29-31, 2019</t>
  </si>
  <si>
    <t>Valparaiso, CHILE</t>
  </si>
  <si>
    <t>IEEE Consejo Cono Sur,IEEE Consejo Chile,Chilean Assoc Automat Control,IEEE Chilean Chapter ontrol Syst,IEEE Chilean Chapter SMC,Univ Catolica Valparaiso Chile, Escuela Ingn Informatica, Fac Ingn Pontificia,IEEE,IEEE Syst Man &amp; Cybernet Soc,Chilean AssocElect &amp; Elect Ind,IEEE Control Syst Soc</t>
  </si>
  <si>
    <t>Phase-Locked Loops (PLLs) are a recognised alternative to detect grid frequency and phase angle, which allows grid synchronisation of distributed generation units. Nevertheless, frequency and phase angle estimation becomes complex in microgrid applications where unbalanced and distorted voltages are frequent. Therefore, a novel PLL structure for unbalanced and distorted grids is introduced in this paper. The proposed PLL is based on a parallel Fast Delayed Signal Cancellation (FDSC) structure. Several FDSC is connected in parallel to identify and eliminate different harmonics, allowing a fast and efficient fundamental frequency and phase angle estimation. Simulations results are presented to test the performance of the proposed PLL under severe imbalances and harmonics.</t>
  </si>
  <si>
    <t>Espina, Enrique/AGZ-7297-2022; Rojas, Felix/U-3305-2019; Diaz, Matias/R-7570-2018; Cardenas, Roberto/C-6395-2011</t>
  </si>
  <si>
    <t>Diaz, Matias/0000-0003-4489-9532; Cardenas, Roberto/0000-0003-3853-7703; Espina, Enrique/0000-0002-2075-2010</t>
  </si>
  <si>
    <t>978-1-7281-3185-6</t>
  </si>
  <si>
    <t>10.1109/chilecon47746.2019.8988085</t>
  </si>
  <si>
    <t>WOS:000542919100188</t>
  </si>
  <si>
    <t>Silva-Muñoz, M; Contreras-Bolton, C; Semaan, GS; Villanueva, M; Parada, V</t>
  </si>
  <si>
    <t>Silva-Munoz, Moises; Contreras-Bolton, Carlos; Silva Semaan, Gustavo; Villanueva, Monica; Parada, ViIctor</t>
  </si>
  <si>
    <t>Novel Algorithms Automatically Generated for Optimization Problems</t>
  </si>
  <si>
    <t>2019 38TH INTERNATIONAL CONFERENCE OF THE CHILEAN COMPUTER SCIENCE SOCIETY (SCCC)</t>
  </si>
  <si>
    <t>Proceedings of the International Conference of the Chilean Computer Science Society</t>
  </si>
  <si>
    <t>38th International Conference of the Chilean-Computer-Science-Society (SCCC)</t>
  </si>
  <si>
    <t>NOV 04-09, 2019</t>
  </si>
  <si>
    <t>Chilean Comp Sci Soc</t>
  </si>
  <si>
    <t>A difficult task in computer science is designing algorithms. This task is particularly complex when efficient algorithms must be constructed for computationally difficult optimization problems. Two fundamental problems in both combinatorial optimization and machine learning are the maximum independent set problem and the automatic data clustering. The best specific algorithms for both problems are heuristic and have been constructed by combining primary heuristics. However, the possible combinations explored so far are a minimum number of the entire combinatorial space. The automatic exploration of such space would, therefore, allow finding more efficient algorithmic combinations. This article reports new algorithms for both problems constructed by the automatic generation of algorithms, an emerging field that allows to automatically produce an adequate algorithm for a specific set of instances of the problem. The best algorithms generated after the computational experimentation are reported and compared with existing heuristics, demonstrating that the new algorithms are competitive.</t>
  </si>
  <si>
    <t>Semaan, Gustavo/F-8147-2019; Parada, Victor/M-5840-2014; Contreras-Bolton, Carlos/D-9624-2016</t>
  </si>
  <si>
    <t>Contreras-Bolton, Carlos/0000-0001-9549-4143; semaan, gustavo/0000-0003-2873-2628; Silva-Munoz, Moises/0000-0002-0943-883X</t>
  </si>
  <si>
    <t>1522-4902</t>
  </si>
  <si>
    <t>978-1-7281-5613-2</t>
  </si>
  <si>
    <t>10.1109/SCCC49216.2019.8966437</t>
  </si>
  <si>
    <t>WOS:000540055800045</t>
  </si>
  <si>
    <t>Thiam, A; Salazar, R</t>
  </si>
  <si>
    <t>Thiam, Abdoulaye; Salazar, Ricardo</t>
  </si>
  <si>
    <t>Fenton-based electrochemical degradation of metolachlor in aqueous solution by means of BDD and Pt electrodes: influencing factors and reaction pathways</t>
  </si>
  <si>
    <t>ENVIRONMENTAL SCIENCE AND POLLUTION RESEARCH</t>
  </si>
  <si>
    <t>This work explores the role of electrode material and the oxidation ability of electrochemical advanced oxidation processes (EAOPs), such as electro-oxidation (EO) with or without H2O2 production, electro-Fenton (EF), and UVA photoelectron-Fenton (PEF), in the degradation of metolachlor. The performance of the EAOPs using Boron-doped diamond (BDD) or Pt as anode has been compared from the analysis of decay kinetics, mineralization profile, and energy consumption using small undivided batch cell. Metolachlor concentration always decays following a pseudo-first-order kinetics. Using the Pt anode, none of the processes reaches 30% mineralization, including PEF. In contrast, the BDD anode showed a higher mineralization rate allowing almost total mineralization in PEF due to the synergetic action of UVA light and oxidant hydroxyl radicals formed in the bulk from Fenton's reaction, as well as in the BDD, which has large reactivity to oxidize the pollutants. The increase in current density and decrease in metolachlor concentration accelerated the mineralization in PEF, although lower current efficiency and higher energy consumption was obtained. The GC-MS and HPLC analysis allowed the identification of up to 17 aromatics intermediates and 7 short-chain carboxylic acids. Finally, a reaction pathway for metolachlor mineralization by EAOPs is proposed. PEF with BDD allowed total removal of the herbicide in real water matrix and a high mineralization (83.82%).</t>
  </si>
  <si>
    <t>Salazar, Ricardo/L-7870-2013; Thiam, Abdoulaye/X-4067-2018</t>
  </si>
  <si>
    <t>Salazar-Gonzalez, Ricardo/0000-0003-2180-6022; Thiam, Abdoulaye/0000-0001-5024-1855</t>
  </si>
  <si>
    <t>0944-1344</t>
  </si>
  <si>
    <t>1614-7499</t>
  </si>
  <si>
    <t>10.1007/s11356-018-3768-2</t>
  </si>
  <si>
    <t>WOS:000456198400045</t>
  </si>
  <si>
    <t>Aburto, C; Guerrero, C; Vera, C; Wilson, L; Illanes, A</t>
  </si>
  <si>
    <t>Aburto, Carla; Guerrero, Cecilia; Vera, Carlos; Wilson, Lorena; Illanes, Andres</t>
  </si>
  <si>
    <t>Co-immobilized β-galactosidase and Saccharomyces cerevisiae cells for the simultaneous synthesis and purification of galacto-oligosaccharides</t>
  </si>
  <si>
    <t>ENZYME AND MICROBIAL TECHNOLOGY</t>
  </si>
  <si>
    <t>Simultaneous synthesis and purification (SSP) of galacto-oligosaccharides (GOS) from lactose was conducted using a combi-biocatalyst formed by crosslinked enzyme aggregates of Aspergillus oryzae beta-galactosidase and Saccharomyces cerevisiae cells co-immobilized by entrapment in calcium alginate gel particles. Product yield obtained with the combi-biocatalyst was similar than obtained with the soluble enzyme (23.3%), having a final purity of 25.7%. During the simultaneous process, ethyl-beta-galactoside was produced from the ethanol generated as a metabolic product of yeast cells, but ethyl-beta-galactoside was considerably decreased at high aeration (4 vvm). The combi-biocatalyst can be recovered and reused but its performance is limited by the reduction of the metabolic capacity of the cells. In this way, a process was developed for the SSP of GOS from lactose, obtaining a comparable product yield and higher specific productivity than in a conventional synthesis.</t>
  </si>
  <si>
    <t>vera, Carlos/G-5240-2019; aburto, carla/AAY-8727-2020; Wilson, Lorena/AAM-6744-2021</t>
  </si>
  <si>
    <t>Guerrero, Cecilia/0000-0002-4701-3525; ABURTO GAJARDO, CARLA/0000-0002-8886-8642; Wilson, Lorena/0000-0002-0791-920X; Vera Vera, Carlos Felipe/0000-0003-2179-9467</t>
  </si>
  <si>
    <t>0141-0229</t>
  </si>
  <si>
    <t>1879-0909</t>
  </si>
  <si>
    <t>10.1016/j.enzmictec.2018.08.003</t>
  </si>
  <si>
    <t>WOS:000444929600014</t>
  </si>
  <si>
    <t>Topp, E; Yangari, M</t>
  </si>
  <si>
    <t>Topp, Erwin; Yangari, Miguel</t>
  </si>
  <si>
    <t>Weakly coupled systems of parabolic Hamilton-Jacobi equations with Caputo time derivative</t>
  </si>
  <si>
    <t>NODEA-NONLINEAR DIFFERENTIAL EQUATIONS AND APPLICATIONS</t>
  </si>
  <si>
    <t>In this paper we prove existence and uniqueness of bounded viscosity solutions of weakly coupled systems of parabolic Hamilton-Jacobi equations with nonlocal ingredients, where the time evolution of each equation is driven by Caputo derivatives of different orders. As an application, we present steady-state large time behavior for the system in the case the stationary equation has uniqueness.</t>
  </si>
  <si>
    <t>Yangari Sosa, Miguel Angel/0000-0002-9728-8447</t>
  </si>
  <si>
    <t>1021-9722</t>
  </si>
  <si>
    <t>1420-9004</t>
  </si>
  <si>
    <t>10.1007/s00030-018-0532-8</t>
  </si>
  <si>
    <t>WOS:000441247800001</t>
  </si>
  <si>
    <t>Cofré-Toledo, J; Vasco, DA; Isaza-Roldán, CA; Tangarife, JA</t>
  </si>
  <si>
    <t>Cofre-Toledo, Jonathan; Vasco, Diego A.; Isaza-Roldan, Cesar A.; Tangarife, Juan A.</t>
  </si>
  <si>
    <t>Evaluation of an integrated household refrigerator evaporator with two eutectic phase-change materials</t>
  </si>
  <si>
    <t>INTERNATIONAL JOURNAL OF REFRIGERATION-REVUE INTERNATIONALE DU FROID</t>
  </si>
  <si>
    <t>Purdue Conferences / 24th International Compressor Engineering Conference / 17th International Refrigeration and Air Conditioning Conference / 5th International High Performance Buildings Conference</t>
  </si>
  <si>
    <t>JUL 09-12, 2018</t>
  </si>
  <si>
    <t>Purdue Univ, West Lafayette, IN</t>
  </si>
  <si>
    <t>Purdue Univ</t>
  </si>
  <si>
    <t>Domestic refrigerators are among the most energy-consuming appliances. In many countries, efforts have been undertaken to enhance the thermal efficiency of domestic refrigerators, and such improvements have been focused mainly on compressor operation and electronic control. The use of phase change materials (PCMs) in domestic refrigerators decreases the cycling period of the compressor and reduces internal temperature fluctuations. Two eutectic PCMs are thermally characterised (PLUSICE E-10 and 19.5 wt% NH4Cl). Their phase-change temperatures and latent heat values are determined, and their thermal conductivity and density are measured at 20 degrees C. The main goal of the present work is to study the behaviour of an integrated modified-evaporator of a household refrigerator with two different eutectic PCMs by performing standardised tests. In general, the experimental results help enhance our understanding and improve the operation of household refrigerators in terms of the power consumption and the inner temperature variation. (C) 2018 Elsevier Ltd and IIR. All rights reserved.</t>
  </si>
  <si>
    <t>Vasco, Diego/Y-2934-2019</t>
  </si>
  <si>
    <t>Isaza-Roldan, Cesar A./0000-0002-5902-6411; Cofre-Toledo, Jonathan/0000-0002-7961-1554; Vasco, Diego Andres/0000-0001-7456-4683</t>
  </si>
  <si>
    <t>10.1016/j.ijrefrig.2018.06.003</t>
  </si>
  <si>
    <t>WOS:000446313600005</t>
  </si>
  <si>
    <t>Lizama, C; Murillo-Arcila, M; Leal, C</t>
  </si>
  <si>
    <t>Lizama, Carlos; Murillo-Arcila, Marina; Leal, Claudio</t>
  </si>
  <si>
    <t>Lebesgue regularity for differential difference equations with fractional damping</t>
  </si>
  <si>
    <t>We provide necessary and sufficient conditions for the existence and uniqueness of solutions belonging to the vector-valued space of sequences p(Z,X) for equations that can be modeled in the form where X is a Banach space, fp(Z,X),A is a closed linear operator with domain D(A) defined on X, and G is a nonlinear function. The operator denotes the fractional difference operator of order &gt;0 in the sense of Grunwald-Letnikov. Our class of models includes the discrete time Klein-Gordon, telegraph, and Basset equations, among other differential difference equations of interest. We prove a simple criterion that shows the existence of solutions assuming that f is small and that G is a nonlinear term.</t>
  </si>
  <si>
    <t>Lizama, Carlos/0000-0002-9807-1100; murillo arcila, marina/0000-0001-6589-0452</t>
  </si>
  <si>
    <t>10.1002/mma.4757</t>
  </si>
  <si>
    <t>WOS:000429005600001</t>
  </si>
  <si>
    <t>Firoozabadi, AD; Abutalebi, HR; Soto, I</t>
  </si>
  <si>
    <t>Firoozabadi, Ali Dehghan; Abutalebi, Hamid Reza; Soto, Ismael</t>
  </si>
  <si>
    <t>Incorporating GammaTone filterbank and Welch Spectral Estimation in Subband Processing-based localization of multiple simulations speakers</t>
  </si>
  <si>
    <t>APPLIED ACOUSTICS</t>
  </si>
  <si>
    <t>This research addresses the problem of multiple speakers localization by applying Generalized Cross Correlation (GCC)-band techniques on different frequency subbands. To improve the localization performance in the presence of noise and reverberation, we promote the baseline method in two folds; in the first part, human auditory-based filters are proposed for subband processing. GammaTone filterbank is the most important group of these filters. The GammaTone filterbank increases the frequency resolution in low frequencies and provides better utilization of the speech spectral information. The GammaTone filter is applied to the whole speech signal spectrum. In the second part of the proposed method, the aim is to consider the speech spectra more intelligently in the process of the localization. To this end, we use different spectral estimation methods to select the part of speech spectrum that has useful information. By comparing various spectral estimation techniques, Welch method has been selected as the best one for speech spectrum estimation. We can decrease the computational complexity and increase the accuracy using Welch estimation method. The proposed method has been examined in different acoustical environments for real and simulated data to show its superiority over the other methods. (C) 2017 Elsevier Ltd. All rights reserved.</t>
  </si>
  <si>
    <t>Dehghan Firoozabadi, Ali/AAD-4858-2019; Abutalebi, Hamid Reza/G-6823-2015</t>
  </si>
  <si>
    <t>Soto, Ismael/0000-0002-5501-5651; Dehghan Firoozabadi, Ali/0000-0002-6391-6863; Abutalebi, Hamid Reza/0000-0002-1408-5637</t>
  </si>
  <si>
    <t>0003-682X</t>
  </si>
  <si>
    <t>1872-910X</t>
  </si>
  <si>
    <t>10.1016/j.apacoust.2017.04.006</t>
  </si>
  <si>
    <t>WOS:000403117600015</t>
  </si>
  <si>
    <t>Mattos, CLC; Barreto, GA; Acuña, G</t>
  </si>
  <si>
    <t>Rojas, I; Joya, G; Catala, A</t>
  </si>
  <si>
    <t>Mattos, Cesar Lincoln C.; Barreto, Guilherme A.; Acuna, Gonzalo</t>
  </si>
  <si>
    <t>Randomized Neural Networks for Recursive System Identification in the Presence of Outliers: A Performance Comparison</t>
  </si>
  <si>
    <t>ADVANCES IN COMPUTATIONAL INTELLIGENCE, IWANN 2017, PT I</t>
  </si>
  <si>
    <t>Lecture Notes in Computer Science</t>
  </si>
  <si>
    <t>14th International Work-Conference on Artificial Neural Networks (IWANN)</t>
  </si>
  <si>
    <t>JUN 14-16, 2017</t>
  </si>
  <si>
    <t>Cadiz, SPAIN</t>
  </si>
  <si>
    <t>Univ Granada,Univ Malaga,Polytechn Univ Catalonia</t>
  </si>
  <si>
    <t>In this paper, randomized single-hidden layer feedforward networks (SLFNs) are extended to handle outliers sequentially in online system identification tasks involving large-scale datasets. Starting from the description of the original batch learning algorithms of the evaluated randomized SLFNs, we discuss how these neural architectures can be easily adapted to cope with sequential data by means of the famed least mean squares (LMS). In addition, a robust variant of this rule, known as the least mean M-estimate (LMM) rule, is used to cope with outliers. Comprehensive performance comparison on benchmarking datasets are carried out in order to assess the validity of the proposed methodology.</t>
  </si>
  <si>
    <t>Barreto, Guilherme/M-6350-2015; Mattos, César/U-8998-2019</t>
  </si>
  <si>
    <t>Barreto, Guilherme/0000-0002-7002-1216; Acuna Leiva, Gonzalo Pedro/0000-0002-0519-7792</t>
  </si>
  <si>
    <t>0302-9743</t>
  </si>
  <si>
    <t>1611-3349</t>
  </si>
  <si>
    <t>978-3-319-59153-7; 978-3-319-59152-0</t>
  </si>
  <si>
    <t>10.1007/978-3-319-59153-7_52</t>
  </si>
  <si>
    <t>WOS:000443108200052</t>
  </si>
  <si>
    <t>Arce, R; Báez, C; Muena, JP; Aguirre, MJ; Romero, J</t>
  </si>
  <si>
    <t>Arce, Roxana; Baez, Carla; Muena, J. P.; Aguirre, Maria J.; Romero, Julio</t>
  </si>
  <si>
    <t>ELECTROCHEMICAL METHOD FOR SULFITE DETERMINATION IN WINES BY ELECTROCHEMICAL RESPONSE USING A MEMBRANE ABSORBER SYSTEM</t>
  </si>
  <si>
    <t>This research demonstrates how the sulfite content can be measured by cyclic voltammetry using a previously reported membrane absorber system, which separates efficiently sulfite present in wine. Results obtained show notably similar values to those obtained for the same wine samples using modified MonierWilliams method (aspiration method) and Ripper method. The membrane absorber system allows the release of the free SO2, and can be used to determine the sulfur dioxide present in juices and other foods that contain high concentrations of phenols, polyphenols and other structurally related compounds that act as interferers in the electrochemical oxidation of sulfite. The absorber solution allows a direct measurement without change in pH or added electrolyte, facilitating the determination of great amounts of samples from diverse wines using only one calibration curve. In this way, a system that allows the detection of sulfite and that can be used in vineyards is obtained. Finally, the method was assessed on linearity, sensitivity, accuracy, reproducibility and repeatability, obtaining values that account for the applicability of the method.</t>
  </si>
  <si>
    <t>Aguirre, Maria/A-3935-2013; Romero, Julio/I-6705-2013; Arce, Roxana/V-8140-2019</t>
  </si>
  <si>
    <t>Aguirre, Maria/0000-0003-1134-4469; ARCE, ROXANA/0000-0002-1387-9232; Romero, Julio/0000-0002-1229-1592</t>
  </si>
  <si>
    <t>10.4067/S0717-97072016000400011</t>
  </si>
  <si>
    <t>WOS:000393079900011</t>
  </si>
  <si>
    <t>Hinojosa, CB; López-Sarrión, J</t>
  </si>
  <si>
    <t>Hinojosa, Cristian Barrera; Lopez-Sarrion, Justo</t>
  </si>
  <si>
    <t>Moving Schwarzschild black hole and modified dispersion relations</t>
  </si>
  <si>
    <t>We study the thermodynamics of a moving Schwarzschild black hole, identifying the temperature and entropy in a relativistic scenario. Furthermore, we set arguments in a framework relating invariant geometrical quantities under global spacetime transformations and the dispersion relation of the system. We then extended these arguments in order to consider more general dispersion relations, and identify criteria to rule them out. (C) 2015 The Authors. Published by Elsevier B.V.</t>
  </si>
  <si>
    <t>Barrera-Hinojosa, Cristian/GOE-4973-2022</t>
  </si>
  <si>
    <t>Barrera Hinojosa, Cristian/0000-0003-4976-3028; Lopez Sarrion, Justo Javier/0000-0002-2868-194X</t>
  </si>
  <si>
    <t>OCT 7</t>
  </si>
  <si>
    <t>10.1016/j.physletb.2015.08.006</t>
  </si>
  <si>
    <t>WOS:000361562900061</t>
  </si>
  <si>
    <t>Gómez, M; González, A; Sáez, CA; Morales, B; Moenne, A</t>
  </si>
  <si>
    <t>Gomez, Melissa; Gonzalez, Alberto; Saez, Claudio A.; Morales, Bernardo; Moenne, Alejandra</t>
  </si>
  <si>
    <t>Copper-induced activation of TRP channels promotes extracellular calcium entry, activation of CaMs and CDPKs, copper entry and membrane depolarization in Ulva compressa</t>
  </si>
  <si>
    <t>FRONTIERS IN PLANT SCIENCE</t>
  </si>
  <si>
    <t>In order to identify channels involved in membrane depolarization, Ulva compressa was incubated with agonists of TRP channels C5, A1 and V1, and the level of intracellular calcium was detected. Agonists of TRPC5, A1 and V1 induced increases in intracellular calcium at 4, 9, and 11 min of exposure, respectively, and antagonists of TRPC5, A1, and V1 corresponding to SKF-96365 (SKF), HO-030031 (HC), and capsazepin (CPZ), respectively, inhibited calcium increases indicating that functional TRPs exist in U. compressa. In addition, copper excess induced increases in intracellular calcium at 4, 9, and 12 min which were inhibited by SKF, HC, and CPZ, respectively, indicating that copper activate TRPC5, A1, and V1 channels. Moreover, copper-induced calcium increases were inhibited by EGTA, a non-permeable calcium chelating agent, but not by thapsigargin, an inhibitor of endoplasmic reticulum (ER) calcium ATPase, indicating that activation of TRPs leads to extracellular calcium entry. Furthermore, copper-induced calcium increases were not inhibited by W-7, an inhibitor of CaMs, and staurosporine, an inhibitor of ODPKs, indicating that extracellular calcium entry did not require activation of CaMs and CDPKs. In addition, copper induced membrane depolarization events at 4, 8, and 11 min and these events were inhibited by SKF, HC, CPZ, and bathocuproine, a specific copper chelating agent, indicating that copper entry through TRP channels leads to membrane depolarization. Moreover, membrane depolarization events were inhibited by W-7 and staurosporine, indicating that activation of CaMs and CDPKs is required to allow copper entry through TRPs. Interestingly, copper-induced calcium increases and depolarization events were light-dependent and were inhibited by DCMU, an inhibitor of photosystem II, and ATP-gamma-S, a non-hydrolizable analog of ATP suggesting that ATP derived from photosynthesis is required to activate TRPs. Thus, light dependent copper-induced activation TRPC5, A1 and V1 promotes extracellular calcium entry leading to activation of CaMs and CDPKs which, in turn, promotes copper entry through TRP channels and membrane depolarization.</t>
  </si>
  <si>
    <t>Morales Castañeda, Bernardo/GPP-1642-2022; González, Alberto/IYJ-8593-2023; Sáez, Claudio/AAP-6923-2021</t>
  </si>
  <si>
    <t>Saez, Claudio/0000-0002-5037-3484; Gonzalez Figueroa, Alberto/0000-0002-5777-9022</t>
  </si>
  <si>
    <t>1664-462X</t>
  </si>
  <si>
    <t>MAR 20</t>
  </si>
  <si>
    <t>10.3389/fpls.2015.00182</t>
  </si>
  <si>
    <t>WOS:000352150900001</t>
  </si>
  <si>
    <t>Herrera, F; Yedinak, E; Cabellero, A; Vargas, O; Gautier, JL</t>
  </si>
  <si>
    <t>Herrera, F.; Yedinak, E.; Cabellero, A.; Vargas, O.; Gautier, J. L.</t>
  </si>
  <si>
    <t>EFFECT OF THE AMOUNT OF WATER ON THE SYNTHESIS OF LiMn2O4, USED AS CATHODE MATERIAL IN LITHIUM-ION BATTERIES</t>
  </si>
  <si>
    <t>LiMn2O4 with nanostructured morphologies possess rapid kinetics which is favorable for the intercalation of lithium ions in battery electrodes(1). In this work, we have studied the effect of varying the amount of water in the hydrothermal synthesis of nanostructured LiMn2O4 spinel. It was found that three distinct nanostructured morphologies of this compound are obtained when the volume of water used during the synthesis is varied. The powders were morphologically and structurally characterized using TEM, XRD, and BET yielding particle sizes ranging from 1 to 50 nm, with 90 % of the sample possessing a particle size of 21.7 nm. X-ray diffraction analysis show characteristic peaks and confirm the compound's identity and crystalline structure. Furthermore, the electrochemical behavior of this material in lithium ion batteries was studied. The results indicate that the electrochemical performance is strongly influenced by the size and shape of the alpha-LiMn2O4 nanoparticles.</t>
  </si>
  <si>
    <t>Vargas Ceballos, Oscar Andres/0000-0001-7660-2532; Herrera, Francisco/0000-0001-7783-2970</t>
  </si>
  <si>
    <t>10.4067/S0717-97072015000100021</t>
  </si>
  <si>
    <t>WOS:000356004100021</t>
  </si>
  <si>
    <t>Cárcamo, HK; Vera, CA; Olivares, CL</t>
  </si>
  <si>
    <t>Fernandez, MF; Lefranc, GH; Perez, R</t>
  </si>
  <si>
    <t>Kaschel Carcamo, Hector; Ahumada Vera, Cristian; Lanyon Olivares, Carlos</t>
  </si>
  <si>
    <t>A Comparative Analysis of Microstrip Patch antenna for MICS and ISM frequency antennas applied to WBAN</t>
  </si>
  <si>
    <t>2015 CHILEAN CONFERENCE ON ELECTRICAL, ELECTRONICS ENGINEERING, INFORMATION AND COMMUNICATION TECHNOLOGIES (CHILECON)</t>
  </si>
  <si>
    <t>OCT 28-30, 2015</t>
  </si>
  <si>
    <t>Santiago De Chile, CHILE</t>
  </si>
  <si>
    <t>Univ Cent Chile UCEN,IEEE Consejo Cono Sur,Assoc Chilena Control Automat ACCA</t>
  </si>
  <si>
    <t>This paper presents a comparative analysis of Microstrip Patch for MICS frequency bands of 403 MHz, 2.36 GHz and ISM band frequency of 2.4 GHz; and UWB band of 5.7 GHz under the norm IEEE 802.15.6. Regarding the design of the antennas, it is considered the Substrate Dielectric (FR4) with permittivity of 4.7, loss tangent of 0.019 and substrate's height of 1.6 mm. The results were obtained by Computer Simulation Technology ( CST) software in terms of return loss, gain, Voltage Standing Wave Ratio ( VSWR) and, radiation pattern.</t>
  </si>
  <si>
    <t>978-1-4673-8756-9</t>
  </si>
  <si>
    <t>WOS:000380551100047</t>
  </si>
  <si>
    <t>Huiliñir, C; Quintriqueo, A; Antileo, C; Montalvo, S</t>
  </si>
  <si>
    <t>Huilinir, C.; Quintriqueo, Alejandra; Antileo, Christian; Montalvo, Silvio</t>
  </si>
  <si>
    <t>Methane production from secondary paper and pulp sludge: Effect of natural zeolite and modeling</t>
  </si>
  <si>
    <t>The effect of natural zeolite on methane production from secondary paper and pulp sludge and its modeling are evaluated. Five tests with zeolite concentrations of 0, 0.2, 0.5, 1 and 20 g/L were evaluated at 30 degrees C. The modified Gompertz equation, the logistic function and the transfer function were evaluated. The results show that doses between 0.2 and 1 g/L of zeolite produce a statistically significant increase of accumulated methane, giving values greater than 183 mL for CH4/g of VSadded. On the contrary, the 20 g/L dose of zeolite reduced the methane production. The modified Gompertz and the logistic function models concur with the experimental data, the former having the best fit. (C) 2014 Elsevier B.V. All rights reserved.</t>
  </si>
  <si>
    <t>Huilinir, Cesar/IYS-6899-2023; Quintriqueo, Alejandra/KHY-0240-2024</t>
  </si>
  <si>
    <t>Huilinir, Cesar/0000-0002-3487-684X; Quintriqueo-Cid, Alejandra/0000-0002-2225-1906; Antileo, Christian/0000-0003-0154-9903</t>
  </si>
  <si>
    <t>10.1016/j.cej.2014.07.058</t>
  </si>
  <si>
    <t>WOS:000342543000016</t>
  </si>
  <si>
    <t>Alfaro, TY; Avila, MC</t>
  </si>
  <si>
    <t>Yuing Alfaro, Tuillang; Cecilia Avila, Mariela</t>
  </si>
  <si>
    <t>NIETZSCHE AND HISTORY THE UNHAPPINESS OF THE ANIMAL AND THE HOPE OF MAN</t>
  </si>
  <si>
    <t>IDEAS Y VALORES</t>
  </si>
  <si>
    <t>The Second Untimely Meditation establishes a functional relation to history: the latter benefits life when it is considered from an illusory, dissimulated, and strategic perspective. The article analyzes two consequences of this: the critique of history as an objective science and the nuances entailed by considering it as a narrative. If G. Agamben has shown how history arises in the interstice between language and discourse, the debate should focus on the process through which subjectivity acquires a language that must be historicized. This implies exploring the relations between happiness and history as a repository of meaning and hope.</t>
  </si>
  <si>
    <t>0120-0062</t>
  </si>
  <si>
    <t>10.15446/ideasyvalores.v63n156.39481</t>
  </si>
  <si>
    <t>WOS:000349263000008</t>
  </si>
  <si>
    <t>Acuña, G; Ramirez, C; Curilem, M</t>
  </si>
  <si>
    <t>Acuna, Gonzalo; Ramirez, Cristian; Curilem, Millaray</t>
  </si>
  <si>
    <t>Software sensors for biomass concentration in a SSC process using artificial neural networks and support vector machine</t>
  </si>
  <si>
    <t>BIOPROCESS AND BIOSYSTEMS ENGINEERING</t>
  </si>
  <si>
    <t>The lack of sensors for some relevant state variables in fermentation processes can be coped by developing appropriate software sensors. In this work, NARX-ANN, NARMAX-ANN, NARX-SVM and NARMAX-SVM models are compared when acting as software sensors of biomass concentration for a solid substrate cultivation (SSC) process. Results show that NARMAX-SVM outperforms the other models with an SMAPE index under 9 for a 20 % amplitude noise. In addition, NARMAX models perform better than NARX models under the same noise conditions because of their better predictive capabilities as they include prediction errors as inputs. In the case of perturbation of initial conditions of the autoregressive variable, NARX models exhibited better convergence capabilities. This work also confirms that a difficult to measure variable, like biomass concentration, can be estimated on-line from easy to measure variables like CO2 and O-2 using an adequate software sensor based on computational intelligence techniques.</t>
  </si>
  <si>
    <t>Curilem, Millaray/0000-0001-8685-221X; Acuna Leiva, Gonzalo Pedro/0000-0002-0519-7792</t>
  </si>
  <si>
    <t>1615-7591</t>
  </si>
  <si>
    <t>1615-7605</t>
  </si>
  <si>
    <t>10.1007/s00449-013-0925-3</t>
  </si>
  <si>
    <t>WOS:000330827400004</t>
  </si>
  <si>
    <t>Pradenas, L; Oportus, B; Parada, V</t>
  </si>
  <si>
    <t>Pradenas, Lorena; Oportus, Boris; Parada, Victor</t>
  </si>
  <si>
    <t>Mitigation of greenhouse gas emissions in vehicle routing problems with backhauling</t>
  </si>
  <si>
    <t>EXPERT SYSTEMS WITH APPLICATIONS</t>
  </si>
  <si>
    <t>In this paper, the decrease in the emission of greenhouse gases is evaluated using the vehicle routing problem with backhauls and time windows by considering the energy required for each route and estimating the load and distance between customers. Using a scatter search, problems from the literature with up to 100 randomly distributed customers were analyzed. Our results indicate that the distance traveled and the transportation costs increase as the required energy decreases, but the amount of fuel consumed also decreases; therefore, the emission of greenhouse gases also decreases. In some cases, the number of vehicles remains the same or increases because a better solution is achieved with shorter, better distributed routes. In addition, using a cooperative game approach, we found that different transportation companies operating jointly results in decreased emissions as well as operating costs. (C) 2012 Elsevier Ltd. All rights reserved.</t>
  </si>
  <si>
    <t>Parada, Victor/M-5840-2014; Pradenas, Lorena/ACZ-4624-2022</t>
  </si>
  <si>
    <t>Pradenas, Lorena/0000-0001-5199-7187</t>
  </si>
  <si>
    <t>0957-4174</t>
  </si>
  <si>
    <t>1873-6793</t>
  </si>
  <si>
    <t>10.1016/j.eswa.2012.12.014</t>
  </si>
  <si>
    <t>WOS:000316522900019</t>
  </si>
  <si>
    <t>Lemus-Mondaca, RA; Moraga, NO; Riquelme, J</t>
  </si>
  <si>
    <t>Lemus-Mondaca, Roberto A.; Moraga, Nelson O.; Riquelme, Jose</t>
  </si>
  <si>
    <t>Unsteady 2D conjugate natural non-Newtonian convection with non-Newtonian liquid sterilization in square cavity</t>
  </si>
  <si>
    <t>INTERNATIONAL JOURNAL OF HEAT AND MASS TRANSFER</t>
  </si>
  <si>
    <t>Unsteady 2D natural convection driven sterilization of a non-Newtonian liquid inside a square container caused by external natural convection of a non-Newtonian fluid has been studied numerically. Carboxy-methyl-cellulose was chosen as the internal non-Newtonian liquid food and external heating fluid, both treated in terms of a Power Law model. Conjugate convective fluid and heat transport, described in terms of non linear coupled continuity, momentum, and energy equations, were solved by using the finite volume method with the SIMPLE algorithm. Time evolution for velocity and temperature distributions for inner liquid food and outer fluid flow are described. The effect of assuming pseudoplastic (n = 0.6), Newtonian (n = 1.0) and dilatant (n = 1.4) fluid models on fluid dynamics, natural convection and sterilization is analyzed. (C) 2013 Elsevier Ltd. All rights reserved.</t>
  </si>
  <si>
    <t>Lemus-Mondaca, Roberto/E-8348-2017</t>
  </si>
  <si>
    <t>Lemus-Mondaca, Roberto/0000-0002-1252-2573</t>
  </si>
  <si>
    <t>0017-9310</t>
  </si>
  <si>
    <t>1879-2189</t>
  </si>
  <si>
    <t>10.1016/j.ijheatmasstransfer.2013.01.079</t>
  </si>
  <si>
    <t>WOS:000318260200008</t>
  </si>
  <si>
    <t>Lopez-Sarrion, J; Reyes, CM</t>
  </si>
  <si>
    <t>Lopez-Sarrion, Justo; Reyes, Carlos M.</t>
  </si>
  <si>
    <t>Myers-Pospelov model as an ensemble of Pais-Uhlenbeck oscillators: unitarity and Lorentz invariance violation</t>
  </si>
  <si>
    <t>We study a generalization of the Pais-Uhlenbeck oscillator for fermionic variables. Next, we consider an ensemble of these oscillators and we identify a particular case of the Myers-Pospelov model which is relevant for effective theories of quantum gravity. Finally, by taking advantage of this connection, we analyze, for this model, unitarity at one loop order in the low energy regime where no ghost states can be created on-shell. This energy regime is the relevant one when we consider the Myers-Pospelov model as a true effective theory coming from a new space-time structure.</t>
  </si>
  <si>
    <t>Lopez Sarrion, Justo Javier/0000-0002-2868-194X</t>
  </si>
  <si>
    <t>10.1140/epjc/s10052-013-2391-0</t>
  </si>
  <si>
    <t>WOS:000318292200027</t>
  </si>
  <si>
    <t>Moraga, NO; Garrido, CP; Castillo, EF</t>
  </si>
  <si>
    <t>Korsunsky, AM</t>
  </si>
  <si>
    <t>Ao, SI; Gelman, L; Hukins, DWL; Hunter, A</t>
  </si>
  <si>
    <t>Moraga, Nelson O.; Garrido, Carlos P.; Castillo, Ernesto F.</t>
  </si>
  <si>
    <t>Fluid Dynamics and Heat Transfer in Non-Newtonian Annular Cylindrical Solidification of a Binary Alloy</t>
  </si>
  <si>
    <t>WORLD CONGRESS ON ENGINEERING - WCE 2013, VOL III</t>
  </si>
  <si>
    <t>Lecture Notes in Engineering and Computer Science</t>
  </si>
  <si>
    <t>World Congress on Engineering (WCE 2013)</t>
  </si>
  <si>
    <t>JUL 03-05, 2013</t>
  </si>
  <si>
    <t>Imperial Coll London, London, ENGLAND</t>
  </si>
  <si>
    <t>IAENG, Soc Artificial Intelligence,IAENG, Soc Bioinformat,IAENG, Soc Comp Sci,IAENG, Soc Data Mining,IAENG, Soc Elect Engn,IAENG, Soc Imaging Engn,IAENG, Soc Ind Engn,IAENG, Soc Informat Syst Engn,IAENG, Soc Internet Comp &amp; Web Serv,IAENG, Soc Mech Engn,IAENG, Soc Operat Res,IAENG, Soc Sci Comp,IAENG, Soc Software Engn,IAENG, Soc Software Engn,IAENG, Soc Wireless Networks</t>
  </si>
  <si>
    <t>Imperial Coll London</t>
  </si>
  <si>
    <t>Fluid mechanics and heat transfer of a power law non Newtonian binary alloy are described inside the annular space between concentric horizontal cylinders. Liquid to solid phase transformation, originated by external forced convective cooling through the thick walls of the cylindrical mold is described by a temperature dependent liquid phase change fraction. Governing nonlinear coupled continuity, linear momentum and energy partial differential equations are solved by using the finite volume method. Effects of Grashof number and radii ratio are investigated for pseudo plastics (n=0.2) and dilatant (n=1.5) flow behaviors of the Al-1.7wt%Si alloy. Results for the time evolution of velocity, streamlines and temperature are presented for both Newtonian and non-Newtonian cases. The presence of multicellular flows is found to increase as the power law index decreased from 1.0, and the Rayleigh number and the radii ratio increased, causing a faster solidification process.</t>
  </si>
  <si>
    <t>Castillo, Ernesto/D-1612-2015</t>
  </si>
  <si>
    <t>Castillo, Ernesto/0000-0001-7013-6008</t>
  </si>
  <si>
    <t>2078-0958</t>
  </si>
  <si>
    <t>978-988-19252-9-9</t>
  </si>
  <si>
    <t>WOS:000335870100127</t>
  </si>
  <si>
    <t>Montes, C; Vélez, JH; Ramírez, G; Isaacs, M; Arce, R; Aguirre, MJ</t>
  </si>
  <si>
    <t>Montes, C.; Velez, J. H.; Ramirez, G.; Isaacs, M.; Arce, R.; Aguirre, M. J.</t>
  </si>
  <si>
    <t>Critical Comparison between Modified Monier-Williams and Electrochemical Methods to Determine Sulfite in Aqueous Solutions</t>
  </si>
  <si>
    <t>SCIENTIFIC WORLD JOURNAL</t>
  </si>
  <si>
    <t>In the present work, known concentration of sulfite aqueous solutions in the presence and absence of gallic acid was measured to corroborate the validity of modified Monier-Williams method. Free and bound-sulfite was estimated by differential pulse voltammetry. To our surprise, the modified Monier-Williams method (also known as aspiration method) showed to be very inaccurate for free-sulfite, although suitable for bound-sulfite determination. The differential pulse approach, using the standard addition method and a correction coefficient, proved to be swift, cheap, and very precise and accurate.</t>
  </si>
  <si>
    <t>Arce, Roxana/V-8140-2019; Cifuentes, Jorge/P-7533-2018; Isaacs, Mauricio/N-3027-2013; Aguirre, Maria/A-3935-2013</t>
  </si>
  <si>
    <t>ARCE, ROXANA/0000-0002-1387-9232; Ramirez, Galo/0000-0002-6217-4730; Isaacs Casanova, Mauricio/0000-0003-0503-0949; , Roxana/0000-0002-7529-8011; Aguirre, Maria/0000-0003-1134-4469</t>
  </si>
  <si>
    <t>1537-744X</t>
  </si>
  <si>
    <t>10.1100/2012/168148</t>
  </si>
  <si>
    <t>WOS:000303924800001</t>
  </si>
  <si>
    <t>Huiliñir, C; Aspé, E; Roeckel, M</t>
  </si>
  <si>
    <t>Huilinir, Cesar; Aspe, Estrella; Roeckel, Marlene</t>
  </si>
  <si>
    <t>Modeling of the denitrification/anaerobic digestion process of salmon fishery wastewater in a biofilm tubular reactor</t>
  </si>
  <si>
    <t>The literature has paid scarce attention to the modeling of the denitrification-anaerobic digestion process in packed bed biofilm tubular reactors used to treat wastewater. The present study obtained a steady-state model for industrial salmon fishery wastewater treatment in a biofilm tubular reactor, including pH as a variable and the effect of biomass on hydrolysis. The axial profile of the reactor components and process efficiency were predicted with deviations below 6%. The optimal operating zone for the process was found at hydraulic retention time (HRT) &gt; 1.5 d and inlet protein concentration (S-prot,S-0) &lt; 3000 mg TOC L-1. Based on our results, we concluded that the removal of organic matter and nitrogen compounds depended mainly on HRT. The effluent pH was mainly affected by the C/N ratio, where a decrease increases pH. Organic matter removal was related with the anaerobic digestion process, while denitrification influenced mostly nitrate and nitrite removal. (C) 2011 Elsevier Ltd. All rights reserved.</t>
  </si>
  <si>
    <t>10.1016/j.jenvman.2011.01.015</t>
  </si>
  <si>
    <t>WOS:000289137000019</t>
  </si>
  <si>
    <t>Cuevas, C; Henríquez, HR</t>
  </si>
  <si>
    <t>Cuevas, Claudio; Henriquez, Hernan R.</t>
  </si>
  <si>
    <t>SOLUTIONS OF SECOND ORDER ABSTRACT RETARDED FUNCTIONAL DIFFERENTIAL EQUATIONS ON THE LINE</t>
  </si>
  <si>
    <t>JOURNAL OF NONLINEAR AND CONVEX ANALYSIS</t>
  </si>
  <si>
    <t>This work is concerned with second-order abstract retarded functional differential equations with infinite delay. We obtain a variation of constants formula for the nonhomogeneous equation, and applying this formula we establish the existence of mild solutions for the problem with nonlocal conditions, and the existence of mild solutions on the line.</t>
  </si>
  <si>
    <t>1345-4773</t>
  </si>
  <si>
    <t>1880-5221</t>
  </si>
  <si>
    <t>WOS:000294750000002</t>
  </si>
  <si>
    <t>Gonzalez, A; Vera, J; Castro, J; Dennett, G; Mellado, M; Morales, B; Correa, JA; Moenne, A</t>
  </si>
  <si>
    <t>Gonzalez, Alberto; Vera, Jeannette; Castro, Jorge; Dennett, Geraldine; Mellado, Macarena; Morales, Bernardo; Correa, Juan A.; Moenne, Alejandra</t>
  </si>
  <si>
    <t>Co-occurring increases of calcium and organellar reactive oxygen species determine differential activation of antioxidant and defense enzymes in Ulva compressa (Chlorophyta) exposed to copper excess</t>
  </si>
  <si>
    <t>PLANT CELL AND ENVIRONMENT</t>
  </si>
  <si>
    <t>In order to analyse copper-induced calcium release and (reactive oxygen species) ROS accumulation and their role in antioxidant and defense enzymes activation, the marine alga Ulva compressa was exposed to 10 mu M copper for 7 d. The level of calcium, extracellular hydrogen peroxide (eHP), intracellular hydrogen peroxide (iHP) and superoxide anions (SA) as well as the activities of ascorbate peroxidase (AP), glutathione reductase (GR), glutathione-S-transferase (GST), phenylalanine ammonia lyase (PAL) and lipoxygenase (LOX) were determined. Calcium release showed a triphasic pattern with peaks at 2, 3 and 12 h. The second peak was coincident with increases in eHP and iHP and the third peak with the second increase of iHP. A delayed wave of SA occurred after day 3 and was not accompanied by calcium release. The accumulation of iHP and SA was mainly inhibited by organellar electron transport chains inhibitors (OETCI), whereas calcium release was inhibited by ryanodine. AP activation ceased almost completely after the use of OETCI. On the other hand, GR and GST activities were partially inhibited, whereas defense enzymes were not inhibited. In contrast, PAL and LOX were inhibited by ryanodine, whereas AP was not inhibited. Thus, copper stress induces calcium release and organellar ROS accumulation that determine the differential activation of antioxidant and defense enzymes.</t>
  </si>
  <si>
    <t>González, Alberto/IYJ-8593-2023; Morales Castañeda, Bernardo/GPP-1642-2022</t>
  </si>
  <si>
    <t>Gonzalez Figueroa, Alberto/0000-0002-5777-9022</t>
  </si>
  <si>
    <t>0140-7791</t>
  </si>
  <si>
    <t>10.1111/j.1365-3040.2010.02169.x</t>
  </si>
  <si>
    <t>WOS:000281638000003</t>
  </si>
  <si>
    <t>Simpson, J; Jordán, D; Cifuentes, G; Morales, A; Briones, L</t>
  </si>
  <si>
    <t>Simpson, J.; Jordan, D.; Cifuentes, G.; Morales, A.; Briones, L.</t>
  </si>
  <si>
    <t>Mathematical simulation of column flotation in pilot scale</t>
  </si>
  <si>
    <t>REVISTA DE METALURGIA</t>
  </si>
  <si>
    <t>The Procemin-I area of the Centro Minero Metalurgico Tecnologia y Servicio (CIMM T &amp; S), has a full milling and flotation pilot plant in which several experiences are developed as: optimization of circuits, plant design, procurement of operating parameters, etc. Ones of the equipment in operation is the column flotation to pilot scale, witch have a medium level of automation. The problem presented in the operation of the column flotation is the low relationship during the operation between the operating basis parameters and the metallurgical results. The mathematical models used today to estimate the metallurgical results (i.e.: concentrate, tailing, enrichment and recovery) depending on variables that are manipulated by hand according the operator experience. But the process engineer needs tools without subjective vision to obtain the best performance of the column. The method used to help the column operation was a mathematical model based on the Stepwise Regression then considering empirical relationships between operational variables and experimental results. All the mathematicals relationship developed in this study have a good correlation (up 90% of precision), except one (up 70%) due by non regular mineralogical feed.</t>
  </si>
  <si>
    <t>Cifuentes, Gerardo/AAS-2148-2021</t>
  </si>
  <si>
    <t>Cifuentes, Gerardo/0000-0002-9543-1625</t>
  </si>
  <si>
    <t>0034-8570</t>
  </si>
  <si>
    <t>10.3989/revmetalm.0834</t>
  </si>
  <si>
    <t>WOS:000280261100001</t>
  </si>
  <si>
    <t>Labarca, R; Pumariño, A; Rodríguez, JA</t>
  </si>
  <si>
    <t>Labarca, Rafael; Pumarino, Antonio; Angel Rodriguez, Jose</t>
  </si>
  <si>
    <t>ON THE BOUNDARY OF TOPOLOGICAL CHAOS FOR THE MILNOR-THURSTON WORLD</t>
  </si>
  <si>
    <t>COMMUNICATIONS IN CONTEMPORARY MATHEMATICS</t>
  </si>
  <si>
    <t>In the present paper we characterize the boundary of topological chaos and the levels of the entropy for the Milnor-Thurston shift map.</t>
  </si>
  <si>
    <t>Rodríguez, J./K-2755-2014; Pumarino, Antonio/K-4256-2014</t>
  </si>
  <si>
    <t>Pumarino, Antonio/0000-0003-2295-6399</t>
  </si>
  <si>
    <t>0219-1997</t>
  </si>
  <si>
    <t>1793-6683</t>
  </si>
  <si>
    <t>10.1142/S0219199709003661</t>
  </si>
  <si>
    <t>WOS:000273142500007</t>
  </si>
  <si>
    <t>Rufs, AM; Valdebenito, A; Rezende, MC; Bertolottil, S; Previtali, C; Encinas, MV</t>
  </si>
  <si>
    <t>Rufs, A. M.; Valdebenito, A.; Rezende, M. C.; Bertolottil, S.; Previtali, C.; Encinas, M. V.</t>
  </si>
  <si>
    <t>Synthesis and photoinitiation activity of macroinitiators comprising benzophenone derivatives</t>
  </si>
  <si>
    <t>POLYMER</t>
  </si>
  <si>
    <t>Macrophotoinitiators bearing 4-substituted benzophenones bound to an N-isopropylacrylamide chain were synthesized in one-step reaction. Triethanolamine was used as coinitiator. These systems were evaluated as photoinitiators of the N-isopropylacrylamide polymerization in different solvents. They present a high photoinitiation efficiency that depends on the structure of the initiator and on the medium properties. In all solvents, the macroinitiators were more efficient than the corresponding low-molecular-weight analog. The photophysics of ketones was studied in the different solvents. The triplet state of the ketone was deactivated by the amine with a diffusional controlled rate. The characterization of the transients produced in this process explained the influence of the 4-substituent and of the solvent on the yield of the active radical and the polymerization efficiency. (c) 2008 Elsevier Ltd. All rights reserved.</t>
  </si>
  <si>
    <t>Encinas, Maria/L-9686-2014; Caroli, Marcos/H-3570-2019</t>
  </si>
  <si>
    <t>0032-3861</t>
  </si>
  <si>
    <t>1873-2291</t>
  </si>
  <si>
    <t>AUG 11</t>
  </si>
  <si>
    <t>10.1016/j.polymer.2008.06.021</t>
  </si>
  <si>
    <t>WOS:000258616200009</t>
  </si>
  <si>
    <t>Rubio, MA; Lissi, E; Jorquera, H; Salinas, E; Castro, J; Cádiz, M</t>
  </si>
  <si>
    <t>Rubio, Maria A.; Lissi, Eduardo; Jorquera, Hector; Salinas, Elizabeth; Castro, Julio; Cadiz, Marcela</t>
  </si>
  <si>
    <t>Carbon monoxide concentrations in Santiago City at street levels and their vertical gradient</t>
  </si>
  <si>
    <t>ENVIRONMENTAL MONITORING AND ASSESSMENT</t>
  </si>
  <si>
    <t>Carbon monoxide concentrations were measured at ground level (1 m) near heavy traffic streets in downtown Santiago de Chile in periods of low (November and December), intermediate (April) and high (May) ambient concentrations. Also, measurements were carried out at several heights (from 1 to 127 m) in Santiago's main street during winter time. Measurements carried out at ground level show maximum values during the morning rush hour, with values considerably higher than those reported by the urban air quality network, particularly in summer time. However, the measured values are below air quality standards. Vertical CO profiles were measured in a tower located in the center of downtown. Below 40 m (average altitude of neighboring buildings), the profiles do not show a consistent vertical gradient, with CO concentrations increasing or decreasing with height, regardless of atmospheric stability. In this low altitude range, the observed vertical profiles are poorly predicted by a street canyon model, and the measured concentrations can not be described by a simple exponential decay. At higher altitudes (40 and 127 m) a negative gradient in CO concentrations is observed, both for stable and unstable atmospheric conditions. The values of CO measured at 127 m are relatively well described by an Eulerian dispersion model running with current CO emission inventories for Santiago, although this model tends to predict stepper CO gradients than the observed ones.</t>
  </si>
  <si>
    <t>Rebolledo, Elizabeth/K-6620-2019; Bajo, Maria/ABF-6991-2020; Jorquera, Hector/B-8645-2014</t>
  </si>
  <si>
    <t>Castro Molinare, Julio/0000-0002-3357-783X; Jorquera, Hector/0000-0002-7462-7901</t>
  </si>
  <si>
    <t>0167-6369</t>
  </si>
  <si>
    <t>1-3</t>
  </si>
  <si>
    <t>10.1007/s10661-007-9857-1</t>
  </si>
  <si>
    <t>WOS:000254434400015</t>
  </si>
  <si>
    <t>Escrig, J; Lavín, R; Palma, JL; Denardin, JC; Altbir, D; Cortés, A; Gómez, H</t>
  </si>
  <si>
    <t>Escrig, J.; Lavin, R.; Palma, J. L.; Denardin, J. C.; Altbir, D.; Cortes, A.; Gomez, H.</t>
  </si>
  <si>
    <t>Geometry dependence of coercivity in Ni nanowire arrays</t>
  </si>
  <si>
    <t>NANOTECHNOLOGY</t>
  </si>
  <si>
    <t>Magnetic properties of arrays of nanowires produced inside the pores of anodic alumina membranes have been studied by means of vibrating sample magnetometer techniques. In these systems the length of the wires strongly influences the coercivity of the array. A simple model for the coercivity as a function of the geometry is presented which exhibits good agreement with experimental results. Magnetostatic interactions between the wires are responsible for a decrease of the coercive field.</t>
  </si>
  <si>
    <t>Denardin, Juliano/S-6407-2019; Palma, Juan/IAP-4554-2023; Altbir, Dora/R-6781-2018; Escrig, Juan/N-4304-2015</t>
  </si>
  <si>
    <t>Altbir, Dora/0000-0002-2945-4909; Escrig, Juan/0000-0002-3958-8185; Palma, JuanLuis/0000-0003-2068-174X; Gomez Meier, Carlos Humberto/0000-0002-9659-4215; Denardin, Juliano/0000-0002-1373-6207</t>
  </si>
  <si>
    <t>0957-4484</t>
  </si>
  <si>
    <t>1361-6528</t>
  </si>
  <si>
    <t>FEB 20</t>
  </si>
  <si>
    <t>10.1088/0957-4484/19/7/075713</t>
  </si>
  <si>
    <t>WOS:000252967300036</t>
  </si>
  <si>
    <t>Correa, F; Nieto, LM; Plyushchay, MS</t>
  </si>
  <si>
    <t>Correa, Francisco; Nieto, Luis-Miguel; Plyushchay, Mikhail S.</t>
  </si>
  <si>
    <t>Hidden nonlinear su(2|2) superunitary symmetry of N=2 superextended 1D Dirac delta potential problem</t>
  </si>
  <si>
    <t>We show that the N = 2 superextended 1D quantum Dirac delta potential problem is characterized by the hidden nonlinear su(2|2) superunitary symmetry. The unexpected feature of this simple supersymmetric system is that it admits three different Z(2)-gradings, which produce a separation of 16 integrals of motion into three different sets of 8 bosonic and 8 fermionic operators. These three different graded sets of integrals generate two different nonlinear, deformed forms of su(2|2), in which the Hamiltonian plays a role of a multiplicative central charge. On the ground state, the nonlinear superalgebra is reduced to the two distinct 2D Euclidean analogs of a superextended Poincare algebra used earlier in the literature for investigation of spontaneous supersymmetry breaking. We indicate that the observed exotic supersymmetric structure with three different Z(2)-gradings can be useful for the search of hidden symmetries in some other quantum systems, in particular, related to the Lame equation. (c) 2007 Elsevier B.V. All rights reserved.</t>
  </si>
  <si>
    <t>Nieto, Luis M./L-1692-2014; Correa, Francisco/S-4564-2018</t>
  </si>
  <si>
    <t>Nieto, Luis M./0000-0002-2849-2647; Correa, Francisco/0000-0003-1735-2822</t>
  </si>
  <si>
    <t>JAN 24</t>
  </si>
  <si>
    <t>10.1016/j.physletb.2007.11.046</t>
  </si>
  <si>
    <t>WOS:000252874300048</t>
  </si>
  <si>
    <t>Hölck, D; Barbé, J</t>
  </si>
  <si>
    <t>Wetter, NU; Frejlich, J</t>
  </si>
  <si>
    <t>Holck, Daniel; Barbe, Joaquim</t>
  </si>
  <si>
    <t>Improved pseudo-colored engraving print method</t>
  </si>
  <si>
    <t>RIAO/OPTILAS 2007</t>
  </si>
  <si>
    <t>AIP Conference Proceedings</t>
  </si>
  <si>
    <t>6th Ibero-American Meeting on Optics/9th Latin-American Meeting on Optics, Lasers, and Applications (RIAO/OPTILAS)</t>
  </si>
  <si>
    <t>OCT 21-26, 2007</t>
  </si>
  <si>
    <t>Campinas, BRAZIL</t>
  </si>
  <si>
    <t>State Sao Paulo Res Fdn,State Univ Campinas,Phys Inst Gleb Wataghin,Brazilian Soc Phys,Natl Council Sci &amp; Technol Dev,Opt Soc Amer,Int Soc Opt Engn,Int Commiss Opt,Abdus Salam Int Ctr Theoret Phys,European Opt Soc,Univ Campinas Res Fdn,Natl Council High Level Educ</t>
  </si>
  <si>
    <t>The engraving prints made by intaglio and relief techniques usually appear as black and white images consisting of a huge number of binary lines. Various textures and gray scales are obtained by changing the direction and densities of the lines in the engraving. In our previous work, we proposed an application for pseudo-color' engraving prints. In this contribution, we present an improvement of that method, leading to better resulting images. The proposed method can be done in real time using a white light optical correlator. The different color channels, R, G, and B could be encoded simultaneously using a color film for filter representation. In this way the pseudo-coloring process can be done in one cycle of the optical correlator.</t>
  </si>
  <si>
    <t>Barbe, Joaquim/Q-5419-2017</t>
  </si>
  <si>
    <t>Barbe, Joaquim/0000-0002-7260-5178</t>
  </si>
  <si>
    <t>0094-243X</t>
  </si>
  <si>
    <t>978-0-7354-0511-0</t>
  </si>
  <si>
    <t>WOS:000255857900017</t>
  </si>
  <si>
    <t>Serey, J; Quezada, L; Ontiveros, B; Soto, I; Carrasco, R</t>
  </si>
  <si>
    <t>Serey, J.; Quezada, L.; Ontiveros, B.; Soto, I.; Carrasco, R.</t>
  </si>
  <si>
    <t>Development of a competition model for a cryptosystem based on the analytical hierarchic process</t>
  </si>
  <si>
    <t>The objective of this paper is to develop and to validate a competition model which allows to determine when a cryptosystem type is the best-suiteddest to transmit in a communications channel, depending on the kind of technological used device (cellular phone, PDA, notebook, other ones). The results obtained for this dynamic analysis determine the kind of encryption that should be used at the channel in a given time.</t>
  </si>
  <si>
    <t>Serey, Joel/Q-7279-2019; Quezada, Luis/W-8168-2019; Ghassemlooy, Zabih/G-9521-2014</t>
  </si>
  <si>
    <t>Ghassemlooy, Zabih/0000-0002-5780-9703; Soto, Ismael/0000-0002-5501-5651; Quezada, Luis/0000-0003-1364-9266</t>
  </si>
  <si>
    <t>10.1109/CSNDSP.2008.4610715</t>
  </si>
  <si>
    <t>WOS:000259386600080</t>
  </si>
  <si>
    <t>Cruchaga, Marcela A.; Celentano, Diego J.; Tezduyar, Tayfun E.</t>
  </si>
  <si>
    <t>Collapse of a liquid column: numerical simulation and experimental validation</t>
  </si>
  <si>
    <t>COMPUTATIONAL MECHANICS</t>
  </si>
  <si>
    <t>This paper is focused on the numerical and experimental analyses of the collapse of a liquid column. The measurements of the interface position in a set of experiments carried out with shampoo and water for two different initial column aspect ratios are presented together with the corresponding numerical predictions. The experimental procedure was found to provide acceptable recurrence in the observation of the interface evolution. Basic models describing some of the relevant physical aspects, e. g. wall friction and turbulence, are included in the simulations. Numerical experiments are conducted to evaluate the influence of the parameters involved in the modeling by comparing the results with the data from the measurements. The numerical predictions reasonably describe the physical trends.</t>
  </si>
  <si>
    <t>0178-7675</t>
  </si>
  <si>
    <t>10.1007/s00466-006-0043-z</t>
  </si>
  <si>
    <t>WOS:000243968400009</t>
  </si>
  <si>
    <t>Lay-Son, L; Varas, P</t>
  </si>
  <si>
    <t>Lay-Son R, Luis; Varas F, Patricio</t>
  </si>
  <si>
    <t>The absence of brainstem reflexes does not predict short term mortality in anoxic ischemic coma</t>
  </si>
  <si>
    <t>Background: Anoxic-ischemic coma has a poor outcome with a high rate of mortality and morbidity. Therefore, clinical predictors of prognosis are needed,for therapeutic decision-making. Patients and methods: Prospective analysis of 46 patients, 31 male, age range 19-85 years, with anoxic-ischemic coma following cardiac arrest. All the patients included in our study remained comatose with a Glasgow Coma Scale (GCS) score of six or less points, after their stabilization in the Intensive Care Unit. They were evaluated clinically using the pupillary light reflex, corneal reflex and vestibulo-ocular reflex testing, induced by caloric stimulation with cold water. Survival was evaluated using life tables. All patients were followed until the thirtieth day after the anoxic-ischemic event. Results: Thirty five patients (76%) died within the next twenty-nine days, 8 patients (18%) reached the vegetative state, 2 patients (4%) achieved a recovery with disability, and only 1 patient (2%) was discharged without sequelae. One day, five and 30 days survival rates were 89, 53 and 29%, respectively. The abolition of all brainstem reflexes was not a predictor of mortality. Conclusion: Thirty day survival in this group of patients was 29% and the absence of brainstem reflexes was not a predictor of mortality.</t>
  </si>
  <si>
    <t>WOS:000238132800006</t>
  </si>
  <si>
    <t>Zolezzi, JA; Rudnick, H</t>
  </si>
  <si>
    <t>Transmission cost allocation by cooperative games and coalition formation</t>
  </si>
  <si>
    <t>IEEE TRANSACTIONS ON POWER SYSTEMS</t>
  </si>
  <si>
    <t>The allocation of costs of a transmission system to its users is still a pending problem in many electric sector market regulations. This paper contributes with a new allocation method among the electric market participants. Both cooperation and competition are defined as the leading principles to fair solutions and efficient cost allocation. The method is based mainly on the responsibility of the agents in the physical and economic use of the network, their rational behavior, the formation of coalitions, and cooperative game theory resolution mechanisms. The designed method is applicable to existing networks or to their expansion. Simulations are made with sample networks. Results conclude that adequate solutions are possible in a decentralized environment with open access to networks. Comparisons with traditional allocation systems are shown and cooperative game solutions compare better in economic and physical terms.</t>
  </si>
  <si>
    <t>; Rudnick, Hugh/F-8281-2013</t>
  </si>
  <si>
    <t>Zolezzi Cid, Juan Manuel/0009-0001-5377-0688; Rudnick, Hugh/0000-0002-5424-7784</t>
  </si>
  <si>
    <t>0885-8950</t>
  </si>
  <si>
    <t>1558-0679</t>
  </si>
  <si>
    <t>10.1109/TPWRS.2002.804941</t>
  </si>
  <si>
    <t>WOS:000179985800011</t>
  </si>
  <si>
    <t>Rabagliati, FM; Pérez, MA; Cancino, RA; Soto, MA; Rodríguez, FJ; León, AG; Ayal, HA; Quijada, R</t>
  </si>
  <si>
    <t>Polymerization of styrene by diphenylzinc-additive systems.: Part X.: Homo- and copolymerization of styrene using Ph2Zn-metallocene-MAO systems.</t>
  </si>
  <si>
    <t>Combination of diphenylzinc, Ph2Zn, cyclopentadienyl titanium trichloride, CpTiCl3, and methylaluminoxane, MAO, were used to initiate styrene, S, polymerization and its copolymerization with 1-hexadecene, 1-C16H32, and with p-tert-butylstyrene, p-(BuS)-S-t. For homopolymerization an almost pure syndiotatic polystyrene, s-PS, was obtained when using Ph2Zn-CpTiCl3-MAO combination, while other combinations of these components produced atactic polystyrene, a-PS, or almost no polymer at all. CpTiCl3-MAO and Ph2Zn-CpTiCl3-MAO were effective initiator systems for S/1-C16H32 and for S/p-(BuS)-S-t copolymerization. S/1-C16H32 copolymers showed crystalline melting temperature at range 235 - 255 degrees C while S/p-(BuS)-S-t copolymers did not show any melting temperature signal at DSC, but behave as stereoregular polymer.</t>
  </si>
  <si>
    <t>Rodríguez, Francisco/I-5283-2018</t>
  </si>
  <si>
    <t>Rodriguez-Mercado, Francisco/0000-0002-0530-6653; QUIJADA, RAUL/0000-0003-0791-6954</t>
  </si>
  <si>
    <t>WOS:000088306000008</t>
  </si>
  <si>
    <t>Aguirre, MJ; Cárdenas-Jirón, GI; Toro-Labbé, A; Zagal, JH</t>
  </si>
  <si>
    <t>A theoretical procedure to determine interaction energies in complex systems:: application to the oxygen-iron tetraazaporphyrin interaction</t>
  </si>
  <si>
    <t>JOURNAL OF MOLECULAR STRUCTURE-THEOCHEM</t>
  </si>
  <si>
    <t>24th International Congress of Theoretical Chemistry of Latin Expression</t>
  </si>
  <si>
    <t>SEP 20-25, 1998</t>
  </si>
  <si>
    <t>PUEBLA, MEXICO</t>
  </si>
  <si>
    <t>Benemerita Univ Autonoma Puebla,Univ Nacl Autonma Metropolitana Iztapalapa, Inst Phys,Inst Astrophys Opt &amp; Electr</t>
  </si>
  <si>
    <t>In this paper we present a theoretical model to determine interaction energies from the profiles of electronic global properties such as chemical potential and hardness, The procedure is based upon already established relationships among these properties and is applied to the qualitative analysis of the reduction mechanism of oxygen by the iron tetraazaporphyrin (FeTAP). As a result, the interaction is qualitatively rationalized in terms of a [physisorption] --&gt; [chemisorption] process where at O-2... FeTAP distances larger than 1.9 Angstrom the oxygen is physisorbed and the adduct is characterized by weak intermolecular interactions. For distances smaller than 1.9 Angstrom, the oxygen is chemisorbed, and the adduct is characterized by a complex with a formal Fe-O bond, The adduct structures generated from these mechanisms are separated by a potential barrier of about 6 kJ/mol. (C) 1999 Elsevier Science B.V. All rights reserved.</t>
  </si>
  <si>
    <t>Aguirre, Maria/A-3935-2013; zagal, jose/L-9648-2014; Toro-Labbe, Alejandro/J-5026-2013; Cardenas-Jiron, Gloria/H-9508-2012</t>
  </si>
  <si>
    <t>Toro-Labbe, Alejandro/0000-0001-9906-2153; Cardenas-Jiron, Gloria/0000-0003-4305-8088; Aguirre, Maria/0000-0003-1134-4469</t>
  </si>
  <si>
    <t>0166-1280</t>
  </si>
  <si>
    <t>DEC 15</t>
  </si>
  <si>
    <t>10.1016/S0166-1280(99)00242-0</t>
  </si>
  <si>
    <t>WOS:000084639500024</t>
  </si>
  <si>
    <t>Navarro, P; Wilkomirsky, I</t>
  </si>
  <si>
    <t>The effect of the oxygen dissolved in the adsorption of gold in activated carbon</t>
  </si>
  <si>
    <t>The effect of the oxygen dissolved on the adsorption of gold in a activated carbon such as these used for carbon in pulp (CIP) and carbon in leach (CIL) processes were studied. The research was oriented to dilucidate the effect of the oxygen dissolved in the gold solution on the kinetics and distribution of the gold adsorbed in the carbon under differents conditions of ionic strength, pH and gold concentration. It was found that the level of the oxygen dissolved influences directly the amount of gold adsorbed on the activated carbon, being this effect more relevant for low ionic strength solutions. The pH and initial gold concentration has no effect on this behavior.</t>
  </si>
  <si>
    <t>WILKOMIRSKY, IGOR/0000-0001-8259-7610</t>
  </si>
  <si>
    <t>SEP-OCT</t>
  </si>
  <si>
    <t>WOS:000083899700003</t>
  </si>
  <si>
    <t>Loyola, C; Saavedra, C; Gómez, I; Vásquez, C</t>
  </si>
  <si>
    <t>The amino acidic substitution of cysteine 167 by serine (C167S) in BstVI restriction endonuclease of Bacillus stearothermophilus V affects its conformation and thermostability</t>
  </si>
  <si>
    <t>The restriction endonuclease BstVI from Bacillus stearothermophilus V contains three cysteine residues at positions 134, 167 and 180. Titration of Cys residues with DTNB showed that none of them are involved in disulphide bond formation. Cysteine triplets 134 and 167 were modified by recombinant PCR to introduce a serine residue in each case. The mutated genes were cloned into pGEM-T vector and transformed into E. coli JM109. Even though pGEM-T is not designed for expression, the mutant proteins were efficiently expressed in E. coli. The endonuclease carrying the mutation (CS)-S-134 was purified to homogeneity but appeared to be very unstable. In contrast, the (CS)-S-167 mutant enzyme was stable when pure and was studied biochemically. This mutant enzyme was as stable and resistant to protein-denaturing agents as the wild type enzyme. The activity of both enzymes was not affected by preincubations of 2 h at 80 degrees C. A short preincubation at 95 degrees C caused a complete inactivation of the mutant enzyme while the wild type endonuclease retained 30% of its activity. Moreover, the (CS)-S-167 BstVI was more susceptible to be hydrolyzed by proteinase K and trypsine compared to the wild type endonuclease. These results show that the substitution Cys --&gt; Ser at position 167 affects the configuration and thermostability of BstVI restriction endonuclease. (C) Societe francaise de biochimie et biologie moleculaire / Elsevier, Paris.</t>
  </si>
  <si>
    <t>10.1016/S0300-9084(99)80060-1</t>
  </si>
  <si>
    <t>WOS:000080524500010</t>
  </si>
  <si>
    <t>Urzua, A; Caroli, M; Vasquez, L; Mendoza, L; Wilkens, M; Tojo, E</t>
  </si>
  <si>
    <t>Antimicrobial study of the resinous exudate and of diterpenoids isolated from Eupatorium salvia (Asteraceae)</t>
  </si>
  <si>
    <t>JOURNAL OF ETHNOPHARMACOLOGY</t>
  </si>
  <si>
    <t>The antimicrobial properties of the resinous exudate from twigs and leaves of Eupatorium salvia were tested against five Gram-negative and five Gram-positive bacteria. Comparison of the antimicrobial activities of 7-hydroxy-8(17)-labden-15-oic acid (salvic acid) and of its acetate, both compounds isolated from the plant, with that of the crude extract suggested that the latter ester derivative was the major active component in the exudate. These results validate the vernacular medicinal use of Eupatorium salvia as an antiseptic agent. (C) 1998 Elsevier Science Ireland Ltd. All rights reserved.</t>
  </si>
  <si>
    <t>Wilkens, Marcela/G-5928-2019; Tojo, Emilia/B-3532-2011</t>
  </si>
  <si>
    <t>Tojo, Emilia/0000-0002-7099-3437; Urzua, Alejandro/0000-0003-2638-0921; Rezende, Marcos/0000-0003-2040-9009</t>
  </si>
  <si>
    <t>0378-8741</t>
  </si>
  <si>
    <t>10.1016/S0378-8741(98)00068-3</t>
  </si>
  <si>
    <t>WOS:000077205200010</t>
  </si>
  <si>
    <t>Moll, AU; Rezende, MC; Beezer, A; Mitchell, J</t>
  </si>
  <si>
    <t>A calorimetric bioassay of diterpenoids from Chilean medicinal plants against Streptococcus mutans</t>
  </si>
  <si>
    <t>The activities of three diterpenoids isolated from Chilean medicinal plants, kaurenoic, 18-acetoxy-cis-cleroda-3, 13-Z-dien-15-oic-acid-and salvic acid, have been quantitatively evaluated against Streptococous mutans by means of a microcalorimetric technique. Salvic acid exhibited a reasonable antibacterial activity, comparable with that of control iodine.</t>
  </si>
  <si>
    <t>Caroli, Marcos/H-3570-2019; Mitchell, John/C-3754-2008</t>
  </si>
  <si>
    <t>Urzua, Alejandro/0000-0003-2638-0921; Rezende, Marcos/0000-0003-2040-9009; Mitchell, John/0000-0003-2945-3292</t>
  </si>
  <si>
    <t>WOS:000072914800012</t>
  </si>
  <si>
    <t>Biondic, M; Giacopello, S; Bassells, RE; Encinas, MV; Lissi, EA</t>
  </si>
  <si>
    <t>Polymerization photoinitiated by carbonyl compounds .11. Styrene polymerization photoinitiated by cyclododecanones</t>
  </si>
  <si>
    <t>JOURNAL OF POLYMER SCIENCE PART A-POLYMER CHEMISTRY</t>
  </si>
  <si>
    <t>To establish their potential as source of biradicals to initiate free-radical polymerization, 2-methyl- and 2,2,12-trimethylcyclododecanones were photolyzed in the presence of styrene. The initiation efficiency of both ketones is low-0.03. The molecular weight of the obtained polymer is ca. 25% higher than that obtained employing photoinitiators that produce monoradicals. This difference is explained in terms of a mixed polymerization mechanism comprising mono- and biradicals. (C) 1996 John Wiley &amp; Sons, Inc.</t>
  </si>
  <si>
    <t>0887-624X</t>
  </si>
  <si>
    <t>WOS:A1996UU54900014</t>
  </si>
  <si>
    <t>NYSTROM, JO; HENRIQUEZ, F</t>
  </si>
  <si>
    <t>MAGMATIC FEATURES OF IRON-ORES OF THE KIRUNA TYPE IN CHILE AND SWEDEN - ORE TEXTURES AND MAGNETITE GEOCHEMISTRY - A REPLY</t>
  </si>
  <si>
    <t>ECONOMIC GEOLOGY AND THE BULLETIN OF THE SOCIETY OF ECONOMIC GEOLOGISTS</t>
  </si>
  <si>
    <t>Henriquez, Fernando/C-9830-2009</t>
  </si>
  <si>
    <t>Henriquez, Fernando/0000-0002-8494-1435</t>
  </si>
  <si>
    <t>0361-0128</t>
  </si>
  <si>
    <t>10.2113/gsecongeo.90.2.473</t>
  </si>
  <si>
    <t>WOS:A1995RD03400022</t>
  </si>
  <si>
    <t>BAZLEY, NW; MILETTA, P</t>
  </si>
  <si>
    <t>APPROXIMATIONS TO PERIODIC-SOLUTIONS OF A DUFFING EQUATION</t>
  </si>
  <si>
    <t>10.1007/BF00944851</t>
  </si>
  <si>
    <t>WOS:A1983QX42200004</t>
  </si>
  <si>
    <t>Pap, Z; Vîrga, D; Stefan, AD; Bohle, SL; Medina, FM</t>
  </si>
  <si>
    <t>Pap, Zselyke; Virga, Delia; Stefan, Alina Daniela; Bohle, Sergio Lopez; Medina, Felipe Munoz</t>
  </si>
  <si>
    <t>Is Emotion the Engine? Positive Affect as the Mediator Between Employee Mindset and Performance in a Three-Wave Study</t>
  </si>
  <si>
    <t>Research in the educational and organizational fields theoretically suggests that individuals' implicit beliefs are deeply connected with their performance. This study provides insight into the emotional mechanism that connects employees' mindsets regarding growth (growth vs. fixed mindset) and stress (stress-is-enhancing vs. stress-is-debilitating mindset) to job performance. We hypothesized that employees with a stress-as-enhancing and a growth-oriented mindset (T1) would experience more positive affect (T2), increasing their job performance (T3). We tested these hypotheses using three-wave survey data from a sample of employees in various occupations. Our results showed that employees with a growth mindset and those who viewed stress as an experience that enhances learning, vitality, and productivity experienced more positive emotions one month later. The data also showed that performance was significantly predicted by growth mindset both directly and indirectly, while stress mindset was linked only to positive affect.</t>
  </si>
  <si>
    <t>Medina, Felipe/AAN-4304-2021; Virga, Delia/AAB-4022-2022; Bohle, Sergio/P-7698-2014; Pap, Zselyke/AHE-3103-2022; Stefan, Alina Daniela/NAX-6546-2025</t>
  </si>
  <si>
    <t>Virga, Delia/0000-0002-9321-4520</t>
  </si>
  <si>
    <t>2025 JAN 29</t>
  </si>
  <si>
    <t>10.1080/00223980.2025.2460646</t>
  </si>
  <si>
    <t>JAN 2025</t>
  </si>
  <si>
    <t>WOS:001425367900001</t>
  </si>
  <si>
    <t>Crespin, SJ; Alvarez, FS; Grimaldi, SJ</t>
  </si>
  <si>
    <t>Crespin, Silvio J.; Alvarez, Francisco S.; Grimaldi, Sofia J.</t>
  </si>
  <si>
    <t>El Salvador's misguided land use guidelines</t>
  </si>
  <si>
    <t>SCIENCE</t>
  </si>
  <si>
    <t>Álvarez, Fransisco S./AFJ-1903-2022; Crespin, Silvio/AAT-7564-2021</t>
  </si>
  <si>
    <t>Crespin, Silvio/0000-0002-2724-1117; Alvarez, Fransisco S./0000-0002-4018-775X</t>
  </si>
  <si>
    <t>0036-8075</t>
  </si>
  <si>
    <t>1095-9203</t>
  </si>
  <si>
    <t>10.1126/science.ads5378</t>
  </si>
  <si>
    <t>WOS:001420027500029</t>
  </si>
  <si>
    <t>Orchard, X; Fergnani, M</t>
  </si>
  <si>
    <t>Orchard, Ximena; Fergnani, Mario</t>
  </si>
  <si>
    <t>FROM COMPLICIT JOURNALISM TO MILITANT JOURNALISM: politicians as media critics and strategic news users in contested political scenarios</t>
  </si>
  <si>
    <t>BRAZILIAN JOURNALISM RESEARCH</t>
  </si>
  <si>
    <t>In this article we identify how critical discourses about the media and journalists are articulated on social media by political actors. We also analyze how such expressions of media criticism coexist with other strategic uses of news content in politicians' social media repertoires. The argument is based on a qualitative analysis of media-related Twitter posts (N=2062), from the 50 most active politicians' Twitter accounts in the month following the Chilean social uprising of October 2019. Our findings reveal that criticism ofjournalism came from both ends of the political spectrum, despite news about the protests being regularly shared and used as factual support for informing followers, position-taking, criticizing adversaries, and self-promotion. We discuss how these forms of politicians' interactions with the news operate as challenges to the authority of journalistic work.</t>
  </si>
  <si>
    <t>Orchard, Ximena/JWP-2934-2024</t>
  </si>
  <si>
    <t>1808-4079</t>
  </si>
  <si>
    <t>1981-9854</t>
  </si>
  <si>
    <t>e1677</t>
  </si>
  <si>
    <t>10.25200/BJR.v20n3.2024.1677</t>
  </si>
  <si>
    <t>WOS:001432244100001</t>
  </si>
  <si>
    <t>Viveros, A; Adasme, P; Firoozabadi, AD</t>
  </si>
  <si>
    <t>Viveros, Andres; Adasme, Pablo; Firoozabadi, Ali Dehghan</t>
  </si>
  <si>
    <t>Optimal Topology Management for Software-Defined Networks Minimizing Latency and Using Network Slicing</t>
  </si>
  <si>
    <t>COMPLEXITY</t>
  </si>
  <si>
    <t>In this paper, we analyze the problem of managing users from different slices connecting to a software-defined network (SDN). We seek to minimize the propagation latency between switches and controllers as well as between controllers themselves. We also minimize the connection latency between users and their network access nodes. Thus, the main highlights of the paper are to formally represent the problem utilizing two equivalent mixed-integer quadratic programming models. The first one represents the user requirements of each slice by using a membership matrix. The second one consists of subsets of users separated within each slice requirement. Subsequently, the above models are analyzed in a standard linearized version. Finally, they are compared with a proposed local search math-heuristic algorithm. The proposed models and algorithm are solved with the CPLEX solver with default options. To the best of our knowledge, this journal paper constitutes a first attempt to incorporate network slicing in SDN allowing flexibility, resource efficiency, security, and effective management of the network facilitating the deployment of customized and adaptive services. Besides, our models allow us to deal with the management of connecting users to either controller or switch-type nodes depending on the slice to which each user belongs. For security reasons, a certain slice could only have access to the network controllers, while the rest of the users that belong to the other slices can connect to the switch-type nodes of the network. From the numerical experiments, we observe that the linear models show a better performance in terms of CPU times and the best solutions obtained. Similarly, our proposed approximation algorithm achieves near-optimal solutions in significantly shorter CPU times, for all the input graph networks, when compared to the proposed exact models which allows for finding the optimal solutions.</t>
  </si>
  <si>
    <t>Adasme, Pablo/0000-0003-2500-3294; Viveros, Andres/0000-0003-4917-6798</t>
  </si>
  <si>
    <t>1076-2787</t>
  </si>
  <si>
    <t>1099-0526</t>
  </si>
  <si>
    <t>JUN 24</t>
  </si>
  <si>
    <t>10.1155/2024/4849198</t>
  </si>
  <si>
    <t>WOS:001263634500001</t>
  </si>
  <si>
    <t>Rojas-Andrade, R; Zurita, SA; Bravo, GP</t>
  </si>
  <si>
    <t>Rojas-Andrade, Rodrigo; Zurita, Samuel Aranguren; Bravo, Gabriel Prosser</t>
  </si>
  <si>
    <t>Teachers as School Mental Health Professionals and their Daily Practices</t>
  </si>
  <si>
    <t>SCHOOL MENTAL HEALTH</t>
  </si>
  <si>
    <t>Despite the fundamental role of teachers in School Mental Health Systems, their work has been under-recognized and under-supported. Moreover, few studies on this role have been conducted in low- and middle-income countries. This study explores and describes the mental health actions undertaken by teachers in schools and categorizes them using latent class analysis. The study collected data from 726 teachers in Chile using snowball sampling. Three self-reported questionnaires were administered: Mental Health Actions and Teaching Role Questionnaire; Interprofessional Competence in Mental Health Questionnaire and Checklist of Mental Health Issues Addressed in School. The results showed that teachers play a significant role in identifying and addressing mental health issues among students, with 90% of respondents reporting that they had provided support to students with mental health concerns. The results also suggest that teachers face several challenges in this role, including a lack of training and resources, time constraints, and the need for better communication and collaboration with mental health professionals. Six latent class of teachers was founded: ow activity Class, Classroom-Centered Class, Individual Emotional Support-Centered Class, Self-Care and Professional Development Class, Mental Health Curriculum-Centered Class, and High activity Class. Based on the results provides applied recommendations for teachers to support their students' mental health, such as creating a safe and supportive classroom environment, promoting social-emotional learning, and collaborating with specialised school mental health professionals. Overall, this study highlights the need for a comprehensive and integrated approach to school mental health that involves teachers, mental health professionals, and other stakeholders.</t>
  </si>
  <si>
    <t>Prosser Bravo, Gabriel/0000-0003-1255-5890; Aranguren Zurita, Samuel Alejandro/0000-0001-6623-0114</t>
  </si>
  <si>
    <t>1866-2625</t>
  </si>
  <si>
    <t>1866-2633</t>
  </si>
  <si>
    <t>10.1007/s12310-024-09664-8</t>
  </si>
  <si>
    <t>APR 2024</t>
  </si>
  <si>
    <t>WOS:001208816900001</t>
  </si>
  <si>
    <t>Pierre, L; Bugueño, JEB; Bongiorno, PAL; Mediano, AT; Rodríguez-Mercado, FJ</t>
  </si>
  <si>
    <t>Pierre, Lissage; Bugueno, Julio Elias Bruna; Bongiorno, Patricio Alejandro Leyton; Mediano, Alejandra Torres; Rodriguez-Mercado, Francisco Javier</t>
  </si>
  <si>
    <t>Colorimetric Indicator Based on Gold Nanoparticles and Sodium Alginate for Monitoring Fish Spoilage</t>
  </si>
  <si>
    <t>In this work, a colorimetric indicator based on gold nanoparticles (AuNP) and a biodegradable and eco-friendly polymer (sodium alginate, Alg.), was developed for the real-time detection of fish spoilage products. The AuNPs and the colorimetric indicator were characterized using UV-VIS, FTIR spectroscopies, TGA, DSC, XRD, TEM, and colorimetry. The UV-VIS spectrum and TEM showed the successful synthesis, the spherical shape, and the size of AuNPs. The results indicated color changes of the indicator in packaged fish on day 9 of storage at a refrigerated temperature (5 degrees C. These results showed the successful application of the colorimetric indicator in the detection of TVB-N in packaged fish.</t>
  </si>
  <si>
    <t>Bruna, Julio E./0000-0001-9656-6022; Leyton Bongiorno, Patricio/0000-0002-0951-0280; Pierre, Lissage/0009-0002-4142-008X; Rodriguez-Mercado, Francisco/0000-0002-0530-6653</t>
  </si>
  <si>
    <t>10.3390/polym16060829</t>
  </si>
  <si>
    <t>WOS:001192742800001</t>
  </si>
  <si>
    <t>Villavicencio-Tejo, F; Olesen, M; LLanos, EAA; Quintanilla, RA</t>
  </si>
  <si>
    <t>Villavicencio-Tejo, Francisca; Olesen, Margrethe; Ampuero LLanos, Estibaliz A.; Quintanilla, Rodrigo A.</t>
  </si>
  <si>
    <t>The activation of Nrf2 pathway prevents neurodegenerative damage induced by hippocampal expression of caspase-3 cleaved tau</t>
  </si>
  <si>
    <t>FREE RADICAL BIOLOGY AND MEDICINE</t>
  </si>
  <si>
    <t>21st Biennial Congress of the Society-for-Free-Radical-Research-International (SFRRI)</t>
  </si>
  <si>
    <t>NOV 15-18, 2023</t>
  </si>
  <si>
    <t>Punta del Este, URUGUAY</t>
  </si>
  <si>
    <t>Soc Free Rad Res Int</t>
  </si>
  <si>
    <t>QUINTANILLA, RODRIGO/ABG-8829-2021</t>
  </si>
  <si>
    <t>Quintanilla, Rodrigo/0000-0002-9582-6379</t>
  </si>
  <si>
    <t>0891-5849</t>
  </si>
  <si>
    <t>1873-4596</t>
  </si>
  <si>
    <t>S166</t>
  </si>
  <si>
    <t>S167</t>
  </si>
  <si>
    <t>10.1016/j.freeradbiomed.2023.10.379</t>
  </si>
  <si>
    <t>WOS:001098825800369</t>
  </si>
  <si>
    <t>Gómez, G; Rincón, A; Cruz, N</t>
  </si>
  <si>
    <t>Gomez, Gabriel; Rincon, Angel; Cruz, Norman</t>
  </si>
  <si>
    <t>Black holes with Abelian and Non-Abelian charges and their impact on matter accretion flows</t>
  </si>
  <si>
    <t>In this paper, we study the black hole spacetime structure of a model consisting of the standard Maxwell theory and a p-power-Yang-Mills term. This non-linear contribution introduces a non-Abelian charge into the global solution, resulting in a modified structure of the standard Reissner-Nordstr delta m black hole. Specifically, we focus on the model with p = 1/2, which gives rise to a new type of modified Reissner-Nordstr delta m black hole. For this class of black holes, we compute the event horizon, the innermost stable circular orbit, and the conditions to preserve the weak cosmic censorship conjecture. The latter condition sets a well-established relation between the electric and the Yang-Mills charges. As a first astrophysical implication, the accretion properties of spherical steady flows around this new modified Reissner-Nordstr delta m black hole are investigated in detail. Concretely, we compute the critical radius that establishes the condition for having stable transonic flow in terms of the local sound speed and the involved charges. Extensive numerical examples of how the Yang-Mills charge affects the accretion process of an isothermal fluid in comparison to the standard Reissner-Nordstr delta m and Schwarzschild black holes are displayed. Finally, analytical solutions in the fully relativistic regime, along with numerical computations, of the mass accretion rate for a polytropic fluid in terms of the electric and Yang-Mills charges are obtained. As a main result, the mass accretion rate efficiency is considerably improved, with respect to the standard Reissner-Nordstr delta m and Schwarzschild solutions, for negative values of the Yang-Mills charge.</t>
  </si>
  <si>
    <t>Rincon, Angel/L-1189-2019; Gomez, Gabriel/MVW-4321-2025</t>
  </si>
  <si>
    <t>Rincon, Angel/0000-0001-8069-9162; Gomez Diaz, Luis Gabriel/0000-0002-3618-9824</t>
  </si>
  <si>
    <t>10.1016/j.aop.2023.169489</t>
  </si>
  <si>
    <t>WOS:001107513900001</t>
  </si>
  <si>
    <t>Baladron, J; Vitay, J; Fietzek, T; Hamker, FH</t>
  </si>
  <si>
    <t>Baladron, Javier; Vitay, Julien; Fietzek, Torsten; Hamker, Fred H.</t>
  </si>
  <si>
    <t>The contribution of the basal ganglia and cerebellum to motor learning: A neuro-computational approach</t>
  </si>
  <si>
    <t>Motor learning involves a widespread brain network including the basal ganglia, cerebellum, motor cortex, and brainstem. Despite its importance, little is known about how this network learns motor tasks and which role different parts of this network take. We designed a systems-level computational model of motor learning, including a cortex-basal ganglia motor loop and the cerebellum that both determine the response of central pattern generators in the brainstem. First, we demonstrate its ability to learn arm movements toward different motor goals. Second, we test the model in a motor adaptation task with cognitive control, where the model replicates human data. We conclude that the cortex-basal ganglia loop learns via a novelty-based motor prediction error to determine concrete actions given a desired outcome, and that the cerebellum minimizes the remaining aiming error. Author summaryIn this study, we aimed to better understand motor learning using a neuro-computational approach. While previous work emphasized different learning regimes of the various components, the main novelty of our study is the interplay of its components. Notably, we show that the model accounts well for motor adaptation data of experiments that involve a cognitive strategy.</t>
  </si>
  <si>
    <t>Hamker, Fred/0000-0001-9104-7143; Fietzek, Torsten/0000-0002-3264-3372</t>
  </si>
  <si>
    <t>1553-734X</t>
  </si>
  <si>
    <t>e1011024</t>
  </si>
  <si>
    <t>10.1371/journal.pcbi.1011024</t>
  </si>
  <si>
    <t>WOS:000962668700003</t>
  </si>
  <si>
    <t>Quintero, KR; Palma, LNC</t>
  </si>
  <si>
    <t>Quintero, Katherine Restrepo; Palma, Lorena Natalia Cuadra</t>
  </si>
  <si>
    <t>Female ecosystem: empowering women entrepreneurship through mentoring and work networks in Chile</t>
  </si>
  <si>
    <t>REVISTA CIENTIFICA GENERAL JOSE MARIA CORDOVA</t>
  </si>
  <si>
    <t>Female relations in the business world are fundamental to reducing the gender gap in the sector. In this study, collaborative work networks were created during a mentoring program with businesswomen in Valparaiso (Chile), involving recognizing role models to understand the sisterhood they promote to benefit their professional and business growth. In this qualitative research, participants were interviewed, and a behavioral perception analysis was carried out on the concepts of empowerment, sorority, role models, and mentoring. It was found that these processes allow women entrepreneurs to share experiences and create scenarios of trust, solidarity, empathy, and empowerment. Creating networks and links helps narrow the gender gaps for women entrepreneurs in the region.</t>
  </si>
  <si>
    <t>1900-6586</t>
  </si>
  <si>
    <t>2500-7645</t>
  </si>
  <si>
    <t>JUL-SEP</t>
  </si>
  <si>
    <t>10.21830/19006586.590</t>
  </si>
  <si>
    <t>WOS:001295432500013</t>
  </si>
  <si>
    <t>Pavelic, MR; Contreras-Salinas, S</t>
  </si>
  <si>
    <t>Ramirez Pavelic, Monica; Contreras-Salinas, Sylvia</t>
  </si>
  <si>
    <t>Intercultural Sensitivity Scale in University Students of Pedagogy Majors in Chile</t>
  </si>
  <si>
    <t>REVISTA EDUCACION</t>
  </si>
  <si>
    <t>The study focused on the validation and application of an intercultural sensitivity scale. The objective of the research was to know and compare the degree of intercultural sensitivity of the different disciplines and level of practice of the pedagogy students of the Faculty of Education of the Central University of Chile, considering for this a division by types of practice (initial, intermediate or professional). The investigators worked with a proportionate stratified random sample, made up of more than 30% of the students of each of the six majors of the Faculty of Education, composed of 227 students University students of this Faculty (19.4% men and 77.1% women), who answered a self-application questionnaire. Initially, a cultural adaptation of the items was carried out with the help of expert judges. For the validation of the scale, a reliability analysis was applied to all the items. After its application to the Chilean sample, the results of validation of the instrument yielded a Cronbach Alpha of .87, concluding that the majors of Differential Education, Basic Education, English and Nursery Education were above the total average of the differentiated, reflecting an adequate intercultural sensitivity, while Education Physics and Mathematics were below this average. In conclusion, the validity and reliability of the instrument is confirmed, as well as its adaptation to the local context. Likewise, the investigators consider that this scale could be used as a valid and reliable measure in Chilean university students of pedagogy, which is also favored by its easy and rapid application.</t>
  </si>
  <si>
    <t>Ramírez, Mónica/HIU-0655-2022</t>
  </si>
  <si>
    <t>0379-7082</t>
  </si>
  <si>
    <t>2215-2644</t>
  </si>
  <si>
    <t>10.15517/revedu.v46i2.49833</t>
  </si>
  <si>
    <t>WOS:000822501500024</t>
  </si>
  <si>
    <t>Reyes, AK; Dominguez-Flores, CE; Rayas, JA; Monzon-Hernandez, D; Martinez-Garcia, A; Cordero, RR</t>
  </si>
  <si>
    <t>Reyes, Ana Karen; Dominguez-Flores, Carmen E.; Rayas, Juan A.; Monzon-Hernandez, David; Martinez-Garcia, Amalia; Cordero, Raul R.</t>
  </si>
  <si>
    <t>Real-Time Temperature Monitoring in an Optical Trap</t>
  </si>
  <si>
    <t>IEEE PHOTONICS TECHNOLOGY LETTERS</t>
  </si>
  <si>
    <t>This work demonstrates, for the first time to our knowledge, that it is possible to measure the temperature of an optical trap (OT) using an optical fiber sensor tip. A polymer capped fiber optic Fabry-Perot interferometer, which is structure and temperature sensing characteristics have been well studied, was used. The surface of the polymer cavity, attached to the single-mode fiber tip immersed in Phosphate Buffered Saline, was placed in the optical trap. A temperature change of 1.63 +/- 0.021 degrees C was measured when the power of the laser, emitting at 975nm, was increased by 100 mW. The proposed setup facilitates the measurement of temperature, since it does not require the use of fluorescent dyes and it even works while having a captured particle; these advantages allow it to be included in any OT system.</t>
  </si>
  <si>
    <t>Rayas, Juan/CAG-8266-2022; Cordero, Raul/M-7979-2017; Dominguez-Flores, Carmen E./AAY-1832-2021</t>
  </si>
  <si>
    <t>Cordero, Raul R./0000-0001-7607-7993; Dominguez Flores, Carmen Edith/0000-0002-1111-6442</t>
  </si>
  <si>
    <t>1041-1135</t>
  </si>
  <si>
    <t>1941-0174</t>
  </si>
  <si>
    <t>10.1109/LPT.2022.3141376</t>
  </si>
  <si>
    <t>WOS:000745511600005</t>
  </si>
  <si>
    <t>Fuentealba, D; Flores, C; Soto, I; Zamorano, R; Reid, S</t>
  </si>
  <si>
    <t>Fuentealba, Diego; Flores, Cristian; Soto, Ismael; Zamorano, Raul; Reid, Samantha</t>
  </si>
  <si>
    <t>Guidelines for Digital Twins in 5G Agriculture</t>
  </si>
  <si>
    <t>New devices for the Internet of Things (IoT) and 5G enable monitoring and controlling of environments and objects in agriculture and other areas. Digital Twins is a growing concept connecting IoT with applications to automate agriculture, predicting crop behavior through data analysis. However, there is a conceptual gap between the digital twin concept and its application to real development. This work proposes a novel meta classes model to guide designs on digital twins in agriculture based on a bibliometric analysis to identify the current works in the area. The proposed design considers several meta classes such as communication devices, sensors, actuators, historical sensing, visualization, Human-Machine Interfaces, decisions, physical objects, and physical sectors. These meta-classes can work on a Jetson nano processor or a Raspberry Pi because they can be implemented in several languages and frameworks.</t>
  </si>
  <si>
    <t>Fuentealba, Diego/AAM-8509-2020</t>
  </si>
  <si>
    <t>Zamorano-Illanes, Raul/0000-0002-3995-697X</t>
  </si>
  <si>
    <t>10.1109/CSNDSP54353.2022.9907935</t>
  </si>
  <si>
    <t>WOS:001331792600115</t>
  </si>
  <si>
    <t>Marina, H; Soto, I; Valerio, J; Zamorano-Illanes, R; Toledo-Mercado, E; Wang, R</t>
  </si>
  <si>
    <t>Marina, Henry; Soto, Ismael; Valerio, Javier; Zamorano-Illanes, Raul; Toledo-Mercado, Esteban; Wang, Rui</t>
  </si>
  <si>
    <t>Automatic Traffic Light Detection Using AI for VLC</t>
  </si>
  <si>
    <t>This paper presents a method for performing traffic light detection using computer vision. Reliable traffic light detection and classification is crucial for automated driving in urban environments. By using big data and artificial intelligence, a complex dataset belonging to an urban area in China is preprocessed to determine the level of vehicular congestion, and then different machine learning algorithms are applied to a dataset of traffic light images in order to validate them in the urban environment to be studied, this process is explained step by step. The models obtained in this work can be applied in optical camera communication (OCC) systems, and also in intelligent transportation systems (ITS), using tracking channels for visible light communication (VLC). The two optical channels, VLC and OCC, are simulated in terms of the quality of information received in order to apply the previously generated datasets. In this work, a traffic light feature dataset has been generated from images and two traffic light classification models present in images and video frames have been generated from their features, obtaining a maximum accuracy of 94.52 %.</t>
  </si>
  <si>
    <t>Marina Leyva, Henry/0000-0003-1598-3241; Zamorano-Illanes, Raul/0000-0002-3995-697X</t>
  </si>
  <si>
    <t>10.1109/CSNDSP54353.2022.9908024</t>
  </si>
  <si>
    <t>WOS:001331792600083</t>
  </si>
  <si>
    <t>Rocamora, V; Broitman, C; Olivares, Y; Toloza, MP</t>
  </si>
  <si>
    <t>Rocamora, Veronica; Broitman, Claudio; Olivares, Yanira; Paz Toloza, Maria</t>
  </si>
  <si>
    <t>Communicate the risk of SARS-COV-2: televised reports from the Chilean Ministry of Health</t>
  </si>
  <si>
    <t>CUADERNOS INFO</t>
  </si>
  <si>
    <t>Given the relevance of communication in risk situations to deliver timely information to affected groups, as well as its ability to generate collective meanings, this research aims to analyze the communication deployment of the first stage of the COVID-19 pandemic in Chile from the perspective degrees frisk communication. From a qualitative approach, we conducted a reflective thematic analysis of 88 videos corresponding to the daily coronavirus reports broadcast by Chilean open television, between March 17 and June 12, 2020. Three stages established are: triumphalist, tension, and crisis; in those, we observe a communication focused on promoting the government's management rather than delivering timely information to the population. The use of some discursive resources stands out, such as the metaphor of war or individual responsibility, which generate tension with the need to generate collective meanings to mobilize the population.</t>
  </si>
  <si>
    <t>Rocamora Villena, Veronica/0000-0001-7611-8820</t>
  </si>
  <si>
    <t>0719-3661</t>
  </si>
  <si>
    <t>0719-367X</t>
  </si>
  <si>
    <t>10.7764/cdi.52.43065</t>
  </si>
  <si>
    <t>WOS:000804187900005</t>
  </si>
  <si>
    <t>Salazar, DB; Williams, C</t>
  </si>
  <si>
    <t>Barrera Salazar, Daniel; Williams, Chris</t>
  </si>
  <si>
    <t>Families of Bianchi modular symbols: critical base-change p-adic L-functions and p-adic Artin formalism</t>
  </si>
  <si>
    <t>SELECTA MATHEMATICA-NEW SERIES</t>
  </si>
  <si>
    <t>Let K be an imaginary quadratic field. In this article, we study the eigenvariety for GL(2)/K, proving an etaleness result for the weight map at non-critical classical points and a smoothness result at base-change classical points. We give three main applications of this; let f be a p-stabilised newform of weight k &gt;= 2 without CM by K. Suppose f has finite slope at p and its base-change f/K to K is p-regular. Then: (1) We construct a two-variable p-adic L-function attached to f/K under assumptions on f that conjecturally always hold, in particular with no non-critical assumption on f /K. (2) We construct three-variable p-adic L-functions over the eigenvariety interpolating the p-adic L-functions of classical base-change Bianchi cusp forms. (3) We prove that these base-change p-adic L-functions satisfy a p-adic Artin formalism result, that is, they factorise in the same way as the classical L-function under Artin formalism.</t>
  </si>
  <si>
    <t>Barrera Salazar, daniel/0000-0002-5677-2339; Wang-Erickson, Carl/0000-0002-1230-7574; Williams, Chris/0000-0001-8545-0286</t>
  </si>
  <si>
    <t>1022-1824</t>
  </si>
  <si>
    <t>1420-9020</t>
  </si>
  <si>
    <t>10.1007/s00029-021-00693-8</t>
  </si>
  <si>
    <t>WOS:000686666200001</t>
  </si>
  <si>
    <t>Riquelme, N; Robert, P; Arancibia, C</t>
  </si>
  <si>
    <t>Riquelme, Natalia; Robert, Paz; Arancibia, Carla</t>
  </si>
  <si>
    <t>Understanding older people perceptions about desserts using word association and sorting task methodologies</t>
  </si>
  <si>
    <t>FOOD QUALITY AND PREFERENCE</t>
  </si>
  <si>
    <t>Techniques derived from psychology and consumer research have gained interest in the food science area to study consumers' opinions and perceptions concerning food products. For that reason, Word Association (WA) and Sorting Task (ST) methods were applied to study older people's perceptions about desserts. In the WA study, older people (&gt;60 years old) were asked about the first four words that come to mind using the following stimuli: dessert, healthy, ideal, indulgent, and ideal dessert. For ST, they had to classify 15 dessert photographs into four groups related to healthiness and hedonic perception categories. WA and ST data were analyzed by correspondence analysis and multiple correspondence analysis, respectively. Regarding WA, older people 187 terms distributed in 11 main categories: sensory characteristics, fruits, diet-health related terms, dairy products, other desserts, among others. The perceptual map showed that the different stimuli were related to emotions, healthy characteristics, hedonic characteristics, and traditional products. In the ST methodology, older people classified desserts mainly by their composition. Fruits, jelly, and yogurts were grouped in the healthy category, while the products with high sugar and fat content, such as cake, ice cream, lemon pie, were grouped in the unhealthy category. In conclusion, it is possible to know older people's opinions about desserts using WA and ST methodologies, where fruits and dairy-based desserts are considered healthy and appetizing alternatives.</t>
  </si>
  <si>
    <t>Robert, Paz/G-8198-2014; Arancibia, Carla/AAN-2290-2020</t>
  </si>
  <si>
    <t>Riquelme Hinojosa, Natalia Andrea/0000-0003-3490-1045</t>
  </si>
  <si>
    <t>0950-3293</t>
  </si>
  <si>
    <t>1873-6343</t>
  </si>
  <si>
    <t>10.1016/j.foodqual.2021.104423</t>
  </si>
  <si>
    <t>OCT 2021</t>
  </si>
  <si>
    <t>WOS:000706786800007</t>
  </si>
  <si>
    <t>Singer, N</t>
  </si>
  <si>
    <t>Singer, Nestor</t>
  </si>
  <si>
    <t>How committed are you to becoming a translator? Defining translator identity statuses</t>
  </si>
  <si>
    <t>INTERPRETER AND TRANSLATOR TRAINER</t>
  </si>
  <si>
    <t>Research on translator identity is scarce in the translation literature. This study explores translator identity in the context of translator education. Translator identity is understood here as the students' perceptions concerning 1) the translator they envisage to become and 2) the competence they perceive to be developing in order to translate effectively. Concretely, the paper examines translation students' fluctuation in their translator identity statuses, i.e. the degree of commitment to their translator identity, over the course of one year. To do this, twelve participants from two different Chilean translator programmes engaged in three semi-structured interview rounds during the fourth year of their studies. Thirty-six interviews were transcribed and annotated using the Interpretative Phenomenological Analysis (IPA). The emerging themes suggest a crisis-reflection-reconnection process leading to commitment development, which was determined by 1) the participants' immediateness of action taken after a crisis and 2) their emotional inclination. These elements impacted their subsequent attitude towards practice, their self-efficacy beliefs and their academic performance. The participants' experiential accounts enabled the definition of identity statuses for the translator education setting: achievers' commitment remained constant during the year, while conservers and seekers suffered a loss of commitment triggered by external sources, particularly from supra-contextual crises.</t>
  </si>
  <si>
    <t>Singer, Néstor/I-3200-2019</t>
  </si>
  <si>
    <t>Singer, Nestor/0000-0001-7772-9906</t>
  </si>
  <si>
    <t>1750-399X</t>
  </si>
  <si>
    <t>1757-0417</t>
  </si>
  <si>
    <t>APR 3</t>
  </si>
  <si>
    <t>10.1080/1750399X.2021.1968158</t>
  </si>
  <si>
    <t>WOS:000687076400001</t>
  </si>
  <si>
    <t>Muñoz, K; Ahumada, D; Arenas, F; Guerrero, C; Illanes, A; Vera, C</t>
  </si>
  <si>
    <t>Munoz, Kevin; Ahumada, Diego; Arenas, Felipe; Guerrero, Cecilia; Illanes, Andres; Vera, Carlos</t>
  </si>
  <si>
    <t>Effect of product partition on the synthesis of butyl-β-D-galactoside from Aspergillus oryzae</t>
  </si>
  <si>
    <t>The effect of donor substrate and products partitioning on the performance of butyl-beta-galactoside synthesis with Aspergillus oryzae beta-galactosidase was studied. Firstly, the partition coefficient of the donor substrate (lactose) and the reaction products (glucose, galactose and butyl-beta-galactoside) were determined in the aqueous and organic phases of the reaction medium. In the temperature range studied (30 to 50 degrees C), butyl beta-galactoside was roughly 130 and 30-fold more soluble in the organic phase than lactose and the monosaccharides, respectively. Afterward, the effect of the 1-butanol/aqueous phase ratio (alpha) on the reaction was evaluated in the range from 0.25 to 4. Results show that higher values of alpha reduce the incidence of secondary hydrolysis by favoring the extraction of butyl-beta-galactoside into the organic phase where it is not hydrolyzed, leading to higher yields. Also, major interfacial properties for butyl-beta-galactoside were determined at 25 degrees C.</t>
  </si>
  <si>
    <t>Vera Vera, Carlos Felipe/0000-0003-2179-9467; Guerrero, Cecilia/0000-0002-4701-3525</t>
  </si>
  <si>
    <t>10.1016/j.biortech.2021.125697</t>
  </si>
  <si>
    <t>WOS:000696034600007</t>
  </si>
  <si>
    <t>Fierro, M; Gutierrez, C; Bubnovich, V; Ripoll, N; Toledo, M</t>
  </si>
  <si>
    <t>Fierro, Matias; Gutierrez, Cristobal; Bubnovich, Valeri; Ripoll, Nicolas; Toledo, Mario</t>
  </si>
  <si>
    <t>Thermal effect of hollow spheres in a filtration combustion process</t>
  </si>
  <si>
    <t>Filtration combustion, or porous media combustion, deals with the partial or total oxidation of a fuel in presence of a solid phase, achieving a more dynamic heat transfer process than conventional technologies. The thermal performance of the solid media has a direct effect on the reaction process, and commonly features a packed bed structure composed of solid spheres. The main objective of this manuscript is to investigate the thermal effect of hollow spheres as an inert solid medium in a filtration combustion process. A heat transfer analysis was developed considering the internal radiation of the hollow spheres and its density reduction in comparison with solid spheres. Then a one-dimensional model based on a two temperatures (gas and solid) approximation was presented using a one-step combustion chemistry for lean methane-air mixtures. Numerical and experimental results with hollow spheres as packed bed are in good agreement and demonstrate higher combustion wave temperatures and propagation rates than solid spheres. Upstream and downstream wave propagations were observed in the range of air-fuel ratios studied. It is shown that hollow spheres as packed bed is a good option for new designs of porous media burners.</t>
  </si>
  <si>
    <t>Ripoll Kameid, Nicolas/AAY-6743-2020; Toledo, Mario/Q-4859-2019</t>
  </si>
  <si>
    <t>Toledo, Mario/0000-0001-6443-9256; Ripoll Kameid, Nicolas/0000-0002-8556-0271; Fierro Rivas, Matias Alonso/0000-0003-2373-1597</t>
  </si>
  <si>
    <t>1873-5606</t>
  </si>
  <si>
    <t>10.1016/j.applthermaleng.2021.117037</t>
  </si>
  <si>
    <t>JUN 2021</t>
  </si>
  <si>
    <t>WOS:000677529700004</t>
  </si>
  <si>
    <t>Pérez, LE; Ziegler-Rodríguez, K; Pérez, ATE; Vásquez, OC; Vázquez-Rowe, I</t>
  </si>
  <si>
    <t>Espinoza Perez, Lorena; Ziegler-Rodriguez, Kurt; Espinoza Perez, Andrea Teresa; Vasquez, Oscar C.; Vazquez-Rowe, Ian</t>
  </si>
  <si>
    <t>Closing the gap in the municipal solid waste management between metropolitan and regional cities from developing countries: A life cycle assessment approach</t>
  </si>
  <si>
    <t>WASTE MANAGEMENT</t>
  </si>
  <si>
    <t>Municipal solid waste (MSW) management is an important challenge in developing and emerging countries, where two realities co-exist. On the one hand, their metropolitan cities exhibit an integrated MSW system with a specialized fleet for the collection and landfills for the final disposal, concentrating on environmental initiatives such as municipal recycling programs. On the other hand, their regional cities show an MSW system based on adapted transports for collection and open dumps for final disposal. Besides, they face other environmental problems due to local conditions. This research proposes a life cycle assessment (LCA) approach to close the gap between these two realities. In particular, we study the city of Valdivia (Chile), one of the main regional capitals of South America, which shares similarities with other southern regional cities in the Global South. This city disposes 95% of its MSW in open dumps and presents one of the highest environmental pollution rates in Latin America. We analyze the greenhouse gas (GHG) emissions and energy performance of six scenarios, seeking a solution for these problems. The results obtained show that a waste-to-energy scenario would generate savings of GHG emission and particulate matter, reaching 11.3% and 21.8%, respectively. Using our LCA approach, we can provide environmental evidence to highlight the importance of improving MSW management in regional cities, closing the gap with MSW management in metropolitan cities, and contributing to national targets such as United Nations Sustainable Development Goals and Nationally-Determined Contributions. (c) 2021 Elsevier Ltd. All rights reserved.</t>
  </si>
  <si>
    <t>Vázquez-Rowe, Ian/JRY-6839-2023; Espinoza, Lorena/GVU-7778-2022; Espinoza Perez, Andrea Teresa/M-4426-2014</t>
  </si>
  <si>
    <t>Vasquez, Oscar C./0000-0002-1393-4692; Ziegler, Kurt/0000-0002-7134-9037; Espinoza Perez, Lorena/0000-0001-6737-8479; Espinoza Perez, Andrea Teresa/0000-0002-6362-9100</t>
  </si>
  <si>
    <t>0956-053X</t>
  </si>
  <si>
    <t>1879-2456</t>
  </si>
  <si>
    <t>APR 1</t>
  </si>
  <si>
    <t>10.1016/j.wasman.2021.02.020</t>
  </si>
  <si>
    <t>WOS:000631975400005</t>
  </si>
  <si>
    <t>Contreras, F; Amenabar, MJ; Blamey, JM</t>
  </si>
  <si>
    <t>Contreras, Francisca; Amenabar, Maximiliano J.; Blamey, Jenny M.</t>
  </si>
  <si>
    <t>Purification and characterization of two thermostable xylanases from a halotolerant Bacillus sp. Asc6BA isolated from Salar de Ascotan, Atacama Desert</t>
  </si>
  <si>
    <t>EXTREMOPHILES</t>
  </si>
  <si>
    <t>Two extracellular xylanases, denominated X2 and X3, were purified and characterized from the halotolerant bacterium Bacillus sp. Asc6BA isolated from Salar de Ascotan in the Atacama Desert. Xylanases were purified by anion exchange, cation exchange and size exclusion liquid chromatography. Xylanase X2 and X3 were purified similar to 690-fold and similar to 629-fold, respectively, compared to the concentrated extracellular fraction with a final specific activity of 169 and 154 u mg(-1), respectively. Optimal conditions of pH and temperature of xylanolytic activity were 6.0 and 60 degrees C for X2 and 7.0 and 60 degrees C for X3. Half-life of X2 xylanase was 30 min at 50 degrees C, while X3 xylanase was remarkably more thermostable, retaining more than 70% of its activity after 32 h of incubation at 50 degrees C. X2 exhibited K-m, V-max and k(cat) values of 7.17 mg mL(-1), 1.28 mM min(-1) mg(-1) and 425.33 s(-1), respectively. X3 exhibited K-m, V-max and k(cat) values of 6.00 mg mL(-1), 19.25 mM min(-1) mg(-1) and 82,515 s(-1), respectively. In addition to their thermal stabilities, these enzymes were shown to be resistant to freeze-drying. These stability properties, in addition to the ability of these enzymes to be active in a wide range of temperatures and pHs, make these xylanases good candidates for industrial applications.</t>
  </si>
  <si>
    <t>Blamey, Jenny/M-2637-2014; Amenabar, Maximiliano/AAD-5354-2020</t>
  </si>
  <si>
    <t>Amenabar, Maximiliano/0000-0003-1890-5353; Blamey, Jenny/0000-0002-7640-316X; Contreras, Francisca/0000-0001-8134-1445</t>
  </si>
  <si>
    <t>1431-0651</t>
  </si>
  <si>
    <t>1433-4909</t>
  </si>
  <si>
    <t>10.1007/s00792-020-01210-z</t>
  </si>
  <si>
    <t>WOS:000604811200001</t>
  </si>
  <si>
    <t>Fernández-Grandón, C; Soto, I; Zabala-Blanco, D; Alavia, W; García, V</t>
  </si>
  <si>
    <t>Fernandez-Grandon, Carlos; Soto, Ismael; Zabala-Blanco, David; Alavia, Wilson; Garcia, Veronica</t>
  </si>
  <si>
    <t>SVM and ANN classification using GLCM and HOG features for COVID-19 and Pneumonia detection from Chest X-rays</t>
  </si>
  <si>
    <t>2021 THIRD SOUTH AMERICAN COLLOQUIUM ON VISIBLE LIGHT COMMUNICATIONS (SACVLC 2021)</t>
  </si>
  <si>
    <t>3rd South American Colloquium on Visible Light Communications (SACVLC)</t>
  </si>
  <si>
    <t>NOV 12-12, 2021</t>
  </si>
  <si>
    <t>Toledo, BRAZIL</t>
  </si>
  <si>
    <t>Univ Tecnologica Fed Parana,IEEE Commun Soc,IEEE,Univ Santiago Chile, Departtamento Ingn Electrica,SBrT</t>
  </si>
  <si>
    <t>Due to the coronavirus pandemic and the lack of an automatic COVID-19 diagnostic system to relieve congestion in health centers and to support the traceability of this disease, this article exposes the implementation of algorithms for automatic diagnosis of lung diseases such as COVID-19 and Pneumonia from chest X-rays (CXR) through GLCM and HOG features extraction using 6300 patches. Then, selecting the best features and different classifiers such as an Support Vector Machine (SVM) and Artificial Neural Network (ANN) to obtain a system maximum accuracy of 93,73% for SVM.</t>
  </si>
  <si>
    <t>Alavia, Wilson/AGY-3117-2022; García, Verónica/AAM-1175-2021</t>
  </si>
  <si>
    <t>, Carlos Fernandez-Grandon/0009-0005-9613-2415; Alavia, Wilson/0000-0001-5674-8489</t>
  </si>
  <si>
    <t>978-1-6654-4225-1</t>
  </si>
  <si>
    <t>10.1109/SACVLC53127.2021.9652248</t>
  </si>
  <si>
    <t>WOS:000760247000005</t>
  </si>
  <si>
    <t>Viera, E; Kaschel, H; Valencia, C</t>
  </si>
  <si>
    <t>Viera, Eduardo; Kaschel, Hector; Valencia, Claudio</t>
  </si>
  <si>
    <t>ECG processing algorithm in the QRS complex</t>
  </si>
  <si>
    <t>2021 IEEE IFAC INTERNATIONAL CONFERENCE ON AUTOMATION/XXIV CONGRESS OF THE CHILEAN ASSOCIATION OF AUTOMATIC CONTROL (IEEE IFAC ICA - ACCA2021)</t>
  </si>
  <si>
    <t>IEEE IFAC International Conference on Automation (ICA) / 24th Congress of the Chilean-Association-of-Automatic-Control (ACCA)</t>
  </si>
  <si>
    <t>MAR 22-26, 2021</t>
  </si>
  <si>
    <t>IEEE,Int Federat Automat Control,IEEE Consejo Chile,Chilean Assoc Automat Control,IEEE Chilean Chapter Control Syst,IEEE Chilean Chapter SMC,IEEE Chilean Chapter Educat,IEEE Syst Man &amp; Cybernet Soc,IEEE Control Syst Soc,IEEE Educ Soc,Asociac Ind Elect Elect Chile</t>
  </si>
  <si>
    <t>This research shows the development of a novel algorithm for the processing of ECG (electrocardiograms) focused on the QRS complex, which measures the speed and acceleration of the heart rate based on the detection and generation of the R peaks. The objective is to establish a time window where the algorithm will run, allowing the early detection of arrhythmias in the heart rhythm, using few hardware and software resources, designed to be implemented in basic MCUs, performing an analysis in the time domain of the ECG. In addition, the design of an IIR filter of the Butterworth type is shown, specially designed for the elimination of Gaussian and Rayleight type noise, ensuring the obtaining of the R peaks of the QRS complex. The performance tests will be done with 5 ECG samples, four of them with medically normal ECG (Normal Sinus Rhythm), and one with atrial arrhythmia problems. This will ensure that the algorithm works, verifying that at large dispersions of heart rhythm accelerations it is possible to detect arrhythmias, in a simple processing system. Opening the way to the detection of arrhythmias based on the behavior of the acceleration of the heart rate.</t>
  </si>
  <si>
    <t>Viera, Eduardo/X-4490-2019</t>
  </si>
  <si>
    <t>Viera Riquelme, Eduardo/0000-0001-5264-1377; Kaschel, Hector/0000-0002-0868-7834</t>
  </si>
  <si>
    <t>978-1-6654-0127-2</t>
  </si>
  <si>
    <t>10.1109/ICAACCA51523.2021.9465280</t>
  </si>
  <si>
    <t>WOS:000855764500042</t>
  </si>
  <si>
    <t>Cerda, P; Iturriaga, L</t>
  </si>
  <si>
    <t>Cerda, Patricio; Iturriaga, Leonelo</t>
  </si>
  <si>
    <t>Existence of solution for quasilinear equations involving local conditions</t>
  </si>
  <si>
    <t>PROCEEDINGS OF THE ROYAL SOCIETY OF EDINBURGH SECTION A-MATHEMATICS</t>
  </si>
  <si>
    <t>In this paper, we study the existence of weak solutions of the quasilinear equation {-div(a(vertical bar del u vertical bar(2))del u) = lambda f(x, u) in Omega, u = 0 on partial derivative Omega, where a : R -&gt; [0, infinity is C-1 and a nonincreasing continuous function near the origin, the nonlinear term f : Omega x R -&gt; R is a Caratheiodory function verifying certain superlinear conditions only at zero, and lambda is a positive parameter. The existence of the solution relies on C-1-estimates and variational arguments.</t>
  </si>
  <si>
    <t>Iturriaga, Leonelo/F-6339-2012</t>
  </si>
  <si>
    <t>Iturriaga, Leonelo/0000-0001-7621-7976; Cerda, Patricio/0000-0002-0823-8174</t>
  </si>
  <si>
    <t>0308-2105</t>
  </si>
  <si>
    <t>1473-7124</t>
  </si>
  <si>
    <t>10.1017/prm.2019.59</t>
  </si>
  <si>
    <t>WOS:000595576100015</t>
  </si>
  <si>
    <t>Rodriguez, C; Barbosa, KA; Coutinho, D</t>
  </si>
  <si>
    <t>Rodriguez, Carlos; Barbosa, Karina A.; Coutinho, Daniel</t>
  </si>
  <si>
    <t>Robust Filtering for Discrete-Time Linear Parameter-Varying Descriptor Systems</t>
  </si>
  <si>
    <t>This paper deals with robust state estimation for discrete-time, linear parameter varying (LPV) descriptor systems. It is assumed that all the system state-space matrices are affine functions of the uncertain parameters and both the parameters and their variations are bounded functions of time with known minimum and maximum values. First, necessary and sufficient conditions are proposed for admissibility and bounded realness for discrete linear time-varying (DLTV) descriptor systems. Next, two convex optimisation based methods are proposed for designing admissible stationary linear descriptor filters for LPV descriptor systems which ensure a prescribed upper bound on the l(2)-induced gain from the noise signal to the estimation error regardless of model uncertainties. The proposed filter design results were based on parameter-dependent generalised Lyapunov functions, and full-order, augmented-order and reduced-order filters were considered. Numerical examples are presented to show the effectiveness of the proposed filtering scheme. In particular, the proposed approach was used to estimate the state variables of a controlled horizontal 2-DOF robotic manipulator based on noisy measurements.</t>
  </si>
  <si>
    <t>Rodriguez ledesma, Carlos Mario/IUP-4591-2023; Barbosa, Karina/A-2236-2014; Coutinho, Daniel/M-6790-2013</t>
  </si>
  <si>
    <t>Coutinho, Daniel/0000-0002-4249-1288; Barbosa, Karina A./0000-0001-7183-2662; Rodriguez L., Carlos M./0000-0002-2087-136X</t>
  </si>
  <si>
    <t>10.3390/sym12111871</t>
  </si>
  <si>
    <t>WOS:000593822400001</t>
  </si>
  <si>
    <t>Hernández-Vielma, C; Ortega-Aguilera, R; Cruchaga, M</t>
  </si>
  <si>
    <t>Hernandez-Vielma, Cesar; Ortega-Aguilera, Roberto; Cruchaga, Marcela</t>
  </si>
  <si>
    <t>Assessment of simultaneous and nested conservative augmented Lagrangian schemes for constrained multibody dynamics</t>
  </si>
  <si>
    <t>PROCEEDINGS OF THE INSTITUTION OF MECHANICAL ENGINEERS PART K-JOURNAL OF MULTI-BODY DYNAMICS</t>
  </si>
  <si>
    <t>Two alternative schemes used for the solution of multibody systems are reported and compared between them to evaluate their performance. Within the context of kinematic constraints imposed via augmented Lagrangian technique, one scheme proposes a simultaneous iterative solution for the computation of the Lagrangian multipliers and the nonlinear Newton-Raphson iterations. The second scheme uses a more classical Uzawa approach to compute the Lagrangian multipliers, and the nonlinear iterations are nested into the multiplier update loop. The performance of the methodology is tested by solving numerical experiments: simple, double, triple, and 10 bars pendulums with revolute joints. Moreover, 2D and 3D analyses are performed. The computed results using both the simultaneous iterative, and the nested iterative techniques, are reported to evaluate: kinematic responses, energy conservation, constraints verification, and iterations reduction.</t>
  </si>
  <si>
    <t>Vielma, César/ABD-8055-2020; Ortega, Roberto/IZE-4038-2023; Cruchaga, Marcela/M-7522-2014</t>
  </si>
  <si>
    <t>Hernandez Vielma, Cesar Alejandro/0000-0001-5156-6192</t>
  </si>
  <si>
    <t>1464-4193</t>
  </si>
  <si>
    <t>2041-3068</t>
  </si>
  <si>
    <t>10.1177/1464419320963999</t>
  </si>
  <si>
    <t>WOS:000582185200001</t>
  </si>
  <si>
    <t>Gutiérrez, EJD; Espinoza, KG</t>
  </si>
  <si>
    <t>Diez Gutierrez, Enrique Javier; Gajardo Espinoza, Katherine</t>
  </si>
  <si>
    <t>Educating and Evaluating in Times of Coronavirus: the Situation in Spain</t>
  </si>
  <si>
    <t>REMIE-MULTIDISCIPLINARY JOURNAL OF EDUCATIONAL RESEARCH</t>
  </si>
  <si>
    <t>As a result of the state of alarm, decreed due to the COVID-19 pandemic in Spain, all educational centers were closed and the educational system was reorganized so that 10 million students could continue their education remotely. This research, which is exploratory in nature, has investigated the vision that the families and, above all, the students themselves have of the educational measures that have been taken to deal with this period. 3400 Spaniards answered a survey, whose answers were analyzed, following mainly quantitative techniques (descriptive statistical analysis,) but also qualitative ones (content analysis.) Five fundamental ideas were identified from the results: (1) the digital divide adds to and amplifies the social divide, increasing inequality in times of crisis; (2) technologies, which have been an essential ally during the crisis, are not an alternative to the face-to-face educational relationship, but are an increasingly enriching tool to support the teaching-learning process; (3) it is necessary to rethink the current encyclopedic curriculum in order to discern what is dispensable from what is indispensable and to prioritize relevant content; (4) evaluation is not about grading, it is about understanding how the learning process has taken place in order to help each student to keep moving forward, and (5) it is necessary to  look after people  and give priority to their overall well-being, so that  no one is left behind.</t>
  </si>
  <si>
    <t>Gajardo Espinoza, Katherine/AET-4762-2022; Diez-Gutierrez, Enrique-Javier/K-1416-2014</t>
  </si>
  <si>
    <t>Gajardo Espinoza, Katherine/0000-0001-9972-6116; Diez-Gutierrez, Enrique-Javier/0000-0003-3399-5318</t>
  </si>
  <si>
    <t>2014-2862</t>
  </si>
  <si>
    <t>10.4471/remie.2020.5604</t>
  </si>
  <si>
    <t>WOS:000541825200001</t>
  </si>
  <si>
    <t>Rivera-Araya, J; Huynh, ND; Kaszuba, M; Chávez, R; Schlömann, M; Levicán, G</t>
  </si>
  <si>
    <t>Rivera-Araya, Javier; Ngoc Dieu Huynh; Kaszuba, Marek; Chavez, Renato; Schloemann, Michael; Levican, Gloria</t>
  </si>
  <si>
    <t>Mechanisms of NaCl-tolerance in acidophilic iron-oxidizing bacteria and archaea: Comparative genomic predictions and insights</t>
  </si>
  <si>
    <t>HYDROMETALLURGY</t>
  </si>
  <si>
    <t>For most acidophilic iron-oxidizing bioleaching microorganisms, chloride ions are toxic even at low concentrations since they are able to induce an acidification of the cytoplasm and osmotic stress. To identify molecular determinants for osmotic tolerance of these microorganisms, a genomic analysis based on the complete genomes of twelve iron oxidizers was carried out. Genes for a complete or partial repertoire of K+ transporters Kdp and Ygg were found in most of the genomes. Representatives of Nitrospirae, Firmicutes and Actinobacteria harbor genes for the biosynthesis of (5-hydroxy)ectoine and trehalose. Members of the phylum Nitrospirae appeared to be better equipped with classical mechanisms for osmotic tolerance than representatives of other phyla. The moderately halotolerant bacteria Acidihalobacter prosperus V6 and Leptospirillum ferriphilum Sp-Cl did not show overrepresentation of these mechanisms. In agreement with the bioinformatics results, minimal inhibitory concentrations (MICs) of NaCl showed that Sulfobacillus thermosulfidooxidans, Ferrimicrobium acidiphilum and Leptospirillum ferriphilum were more tolerant than Acidithiobacillus ferrooxidans. Furthermore, external supplementation of ectoine led to an increase in NaCl MIC for L. ferriphilum and F. acidiphilum. These results may provide useful insights for designing chloride-based technologies to bioprocess minerals.</t>
  </si>
  <si>
    <t>Levican, Gloria/R-5191-2019; Kaszuba, Marek/D-2201-2013</t>
  </si>
  <si>
    <t>0304-386X</t>
  </si>
  <si>
    <t>1879-1158</t>
  </si>
  <si>
    <t>10.1016/j.hydromet.2020.105334</t>
  </si>
  <si>
    <t>WOS:000537628300002</t>
  </si>
  <si>
    <t>Bull, J; Sepúlveda, J</t>
  </si>
  <si>
    <t>Ahram, T; Karwowski, W; Pickl, S; Taiar, R</t>
  </si>
  <si>
    <t>Bull, Jessica; Sepulveda, Juan</t>
  </si>
  <si>
    <t>Considerations for the Strategic Design of the Humanitarian Supply Chain: Towards a Reference Model</t>
  </si>
  <si>
    <t>HUMAN SYSTEMS ENGINEERING AND DESIGN II</t>
  </si>
  <si>
    <t>2nd International Conference on Human Systems Engineering and Design (IHSED) - Future Trends and Applications</t>
  </si>
  <si>
    <t>SEP 16-18, 2019</t>
  </si>
  <si>
    <t>Univ Bundeswehr Munchen, Munich, GERMANY</t>
  </si>
  <si>
    <t>Univ Bundeswehr Munchen</t>
  </si>
  <si>
    <t>The strategic design of supply chain is a key factor for organizations, we know that it is not possible to make correct operational decisions if they are not aligned with the strategy of the organization. This same rule applies to humanitarian supply chains, we will not have efficient answers if there is no prior planning. The objective of this research is to identify, on the basis of the Chilean experience and the literature review, the main considerations that should be taken into account when carrying out the strategic design of humanitarian supply chains in order to increase the capacity to respond to natural disasters. The study aims to provide the basic guidelines for the creation of a reference model for humanitarian supply chains, through the identification of the main challenges that humanitarian supply chain management faces today and the critical factors that increase the response capacity of the community.</t>
  </si>
  <si>
    <t>978-3-030-27928-8; 978-3-030-27927-1</t>
  </si>
  <si>
    <t>10.1007/978-3-030-27928-8_92</t>
  </si>
  <si>
    <t>WOS:000625366900092</t>
  </si>
  <si>
    <t>Calquín-Donoso, C; Guerra-Arrau, R; Vásquez-Vásquez, S; Yáñez-Urbina, C</t>
  </si>
  <si>
    <t>Calquin-Donoso, Claudia; Guerra-Arrau, Rodrigo; Vasquez-Vasquez, Sebastian; Yanez-Urbina, Cristopher</t>
  </si>
  <si>
    <t>CONSTRUCTING FACTS: ANALYSIS OF THE METAPHORS USED IN THE CHILEAN SCIENTIFIC PRODUCTION ON ATTACHMENT AND EARLY CHILDHOOD</t>
  </si>
  <si>
    <t>LIMITE-REVISTA DE FILOSOFIA Y PSICOLOGIA</t>
  </si>
  <si>
    <t>The article presents the results of an analysis aimed at understanding the meanings of childhood and its care in the Chilean scientific production on attachment. To achieve this aim, a metaphor analysis was performed on 19 scientific articles on attachment published by Chilean researchers during the period 2010-2017 in journals cataloged in Web of Science, Scielo and Scopus. The metaphors analyzed show the displacements of cultural meanings in scientific research and the ways in which naturalistic, business, computer, warlike lexicons, among others, model the ways of conceptualizing childhood and the mother-child relationship.</t>
  </si>
  <si>
    <t>Guerra-Arrau, Rodrigo/JYP-3330-2024; Yáñez-Urbina, Cristopher/AFO-9564-2022; donoso, claudia/B-9630-2019</t>
  </si>
  <si>
    <t>0718-1361</t>
  </si>
  <si>
    <t>0718-5065</t>
  </si>
  <si>
    <t>WOS:000617097000018</t>
  </si>
  <si>
    <t>Devés, E; Mery, CJ</t>
  </si>
  <si>
    <t>Deves, E; Alvarez, ST</t>
  </si>
  <si>
    <t>Deves, Eduardo; Jorquera Mery, Constanza</t>
  </si>
  <si>
    <t>LATIN AMERICAN THINKING ON INTERNATIONAL AND GLOBAL ISSUES</t>
  </si>
  <si>
    <t>PROBLEMATICAS INTERNACIONALES Y MUNDIALES DESDE EL PENSAMIENTO LATINOAMERICANO: TEORIAS, ESCUELAS, CONCEPTOS, DOCTRINAS, FIGURAS</t>
  </si>
  <si>
    <t>Coleccion Estudios de las Ideas</t>
  </si>
  <si>
    <t>978-956-6095-02-6</t>
  </si>
  <si>
    <t>WOS:000608865900040</t>
  </si>
  <si>
    <t>Pizarro, GD; Marambio, OG; Jeria-Orell, M; Oyarzún, DP; Martin-Trasanco, R; Sánchez, J</t>
  </si>
  <si>
    <t>Pizarro, Guadalupe del C.; Marambio, Oscar G.; Jeria-Orell, Manuel; Oyarzun, Diego P.; Martin-Trasanco, Rudy; Sanchez, Julio</t>
  </si>
  <si>
    <t>Nanosized spherical and porous films based on poly(acrylic acid)-b-poly(N-phenylmaleimide) and poly(hydroxypropyl metacrylate)-b-poly(N-phenylmaleimide): Optical, thermal and morphological properties</t>
  </si>
  <si>
    <t>COGENT ENGINEERING</t>
  </si>
  <si>
    <t>In the present work, we have investigated the effect of the chemical structure, concentration and solvent on the morphological properties of diblock copolymers at a certain percentage of humidity. The block copolymers were prepared using the atom transfer radical polymerization (ATRP) to obtain well-defined amphiphilic block copolymers with controlled molecular weights and molecular weight narrow size distribution. Breath figures (BF) method was used for the formation of porous materials or microspheres under certain experimental conditions, where the role of the water involved is crucial. The self-assembly behavior of these copolymers in presence of water drops was investigated by optical microscopy and scanning electron microscopy (SEM) exhibiting their ability to form spherical micelles under certain experimental conditions. The morphological properties of the films indicated that these diblock copolymers promotes the coexistence of porous and microspheres in the surface of the films.</t>
  </si>
  <si>
    <t>Sanchez, Julio/AEO-4360-2022; PIZARRO, GUADALUPE/V-3353-2017; Oyarzun, Diego/MTF-4062-2025; Martin-Trasancos, Rudy/L-2791-2017</t>
  </si>
  <si>
    <t>Sanchez, Julio/0000-0003-4245-0096</t>
  </si>
  <si>
    <t>2331-1916</t>
  </si>
  <si>
    <t>10.1080/23311916.2020.1744920</t>
  </si>
  <si>
    <t>WOS:000526663500001</t>
  </si>
  <si>
    <t>Quijada-Maldonado, E; Allain, A; Pérez, B; Merlet, G; Cabezas, R; Tapia, R; Romero, J</t>
  </si>
  <si>
    <t>Quijada-Maldonado, E.; Allain, A.; Perez, B.; Merlet, G.; Cabezas, R.; Tapia, R.; Romero, J.</t>
  </si>
  <si>
    <t>Selective liquid-liquid extraction of molybdenum (VI) and rhenium (VII) from a synthetic pregnant leach solution: Comparison between extractants and diluents</t>
  </si>
  <si>
    <t>A study on the selective solvent extraction (SX) of Molybdenum (Mo) and Rhenium (Re) from a synthetic pregnant leach solution (PLS) has been carried out using two diluents: kerosene and the ionic liquid (IL) 1-octyl-3-methylimidazolium bis(trifluoromethylsufonyl)imide ([omim] [Tf2N]) and two extractants: di(ethylhexyl) phosphoric acid (D2EHPA) and the IL trioctylmethylammonium bis(2-ethylhexyl) phosphinate [TOMA] [D2EHP]. It can be concluded that the D2EHPA extractant in kerosene achieved selective Mo-Re extractions, times was achieved when replacing kerosene with [omim] [Tf2N], but this time with low extraction percentages. This work shows how ionic liquids, as extractants or diluents, can improve the selective separations in industrial metal extractions.</t>
  </si>
  <si>
    <t>Cabezas, Rene/AAY-2094-2020; Romero, Julio/I-6705-2013; Tapia, Ricardo/T-7170-2017; Merlet Venturelli, Gaston/B-4109-2019</t>
  </si>
  <si>
    <t>Merlet Venturelli, Gaston/0000-0003-2602-6471; Quijada-Maldonado, Esteban/0000-0003-1411-4327; Romero, Julio/0000-0002-1229-1592; Tapia, Ricardo/0000-0003-4407-3845; Cabezas, Rene/0000-0002-4162-3429</t>
  </si>
  <si>
    <t>10.1016/j.mineng.2019.106060</t>
  </si>
  <si>
    <t>WOS:000498752100033</t>
  </si>
  <si>
    <t>Zúñiga, A; Laporte, D; González, A; Gómez, M; Sáez, CA; Moenne, A</t>
  </si>
  <si>
    <t>Zuniga, Antonio; Laporte, Daniel; Gonzalez, Alberto; Gomez, Melissa; Saez, Claudio A.; Moenne, Alejandra</t>
  </si>
  <si>
    <t>Isolation and Characterization of Copper- and Zinc- Binding Metallothioneins from the Marine Alga Ulva compressa (Chlorophyta)</t>
  </si>
  <si>
    <t>INTERNATIONAL JOURNAL OF MOLECULAR SCIENCES</t>
  </si>
  <si>
    <t>In this work, transcripts encoding three metallothioneins from Ulva compressa (UcMTs) were amplified: The 5 ' and 3 ' UTRs by RACE-PCR, and the open reading frames (ORFs) by PCR. Transcripts encoding UcMT1.1 (Crassostrea-like), UcMT2 (Mytilus-like), and UcMT3 (Dreissena-like) showed a 5 ' UTR of 61, 71, and 65 nucleotides and a 3 ' UTR of 418, 235, and 193 nucleotides, respectively. UcMT1.1 ORF encodes a protein of 81 amino acids (MW 8.2 KDa) with 25 cysteines (29.4%), arranged as three motifs CC and nine motifs CXC; UcMT2 ORF encode a protein of 90 amino acids (9.05 kDa) with 27 cysteines (30%), arranged as three motifs CC, nine motifs CXC, and one motif CXXC; UcMT3 encode a protein of 139 amino acids (13.4 kDa) with 34 cysteines (24%), arranged as seven motifs CC and seven motifs CXC. UcMT1 and UcMT2 were more similar among each other, showing 60% similarity in amino acids; UcMT3 showed only 31% similarity with UcMT1 and UcMT2. In addition, UcMTs displayed structural similarity with MTs of marine invertebrates MTs and the terrestrial invertebrate Caenorhabtidis elegans MTs, but not with MTs from red or brown macroalgae. The ORFs fused with GST were expressed in bacteria allowing copper accumulation, mainly in MT1 and MT2, and zinc, in the case of the three MTs. Thus, the three MTs allowed copper and zinc accumulation in vivo. UcMTs may play a role in copper and zinc accumulation in U. compressa.</t>
  </si>
  <si>
    <t>Zúñiga, Antonio/AAG-2749-2019; Sáez, Claudio/AAP-6923-2021; Figueroa, Alberto/AAA-7911-2020</t>
  </si>
  <si>
    <t>Laporte, Daniel/0000-0003-0883-0917; Moenne, Alejandra/0000-0002-7309-9713; Saez, Claudio/0000-0002-5037-3484; Gonzalez Figueroa, Alberto/0000-0002-5777-9022; Zuniga-Thayer, Antonio/0000-0001-5371-6895</t>
  </si>
  <si>
    <t>1422-0067</t>
  </si>
  <si>
    <t>10.3390/ijms21010153</t>
  </si>
  <si>
    <t>WOS:000515378000153</t>
  </si>
  <si>
    <t>Gabriel Palma, Jose</t>
  </si>
  <si>
    <t>Deindustrialization, premature deindustrialization, and Dutch disease</t>
  </si>
  <si>
    <t>The frustration in Latin America with neoliberal economic reforms has reawakened a number of debates, especially about inequality (Palma, 2019a) and productivity growth -in 2018, the region's average productivity was just 8% higher than in 1980, equivalent to an annual average growth rate of just 0.2%-. Meanwhile, in the previous cycle, from 1950 to 1980, productivity levels more than doubled, with an annual growth rate of 2.8%. One of these debates is related to the problem of deindustrialization -in particular, the question of whether it is premature or if it includes a component of Dutch disease-. This paper analyses the role of manufacturing in economic growth, and shows the dynamics of that deindustrialization in high-income as well as middle-income countries. It concludes that the success of emerging Asia is rooted in its ideological pragmatism, which led it in the 1980s and early 1990s to use reforms as a mechanism for strengthening and accelerating their already ambitious processes of industrialization -not for carrying out a non-creative destruction of their manufacturing, as happened in almost all of Latin America-. This in spite of the fact that many of the industrialization processes in emerging Asia suffered, in its time, from similar problems to those experienced by Latin American industrialization, if not worse.</t>
  </si>
  <si>
    <t>10.20430/ete.v86i344.970</t>
  </si>
  <si>
    <t>WOS:000489312000003</t>
  </si>
  <si>
    <t>Palominos, P; Quezada, LE; Gonzalez, MA</t>
  </si>
  <si>
    <t>Palominos, Pedro; Quezada, Luis E.; Gonzalez, Miguel A.</t>
  </si>
  <si>
    <t>Incorporating the voice of the client in establishing the flexibility requirement in a production system</t>
  </si>
  <si>
    <t>INTERNATIONAL JOURNAL OF PRODUCTION ECONOMICS</t>
  </si>
  <si>
    <t>This work proposes a methodology to consider the perspective of the client in the establishment of the level of flexibility required for a production system. For doing, the current level of manufacturing flexibility is measured and compared with the market requirements for the current products. The methodology uses the Kano design and the QFD technique to identify the required product's characteristics. These characteristics are input into the House of Flexibility, using the QFD approach to deploy manufacturing flexibility and determining the flexibility level required to manufacture the product. This flexibility is contrasted with the factory's current level of manufacturing flexibility. The purpose of the methodology is to evaluate the level of manufacturing flexibility of the factory, to know if it is necessary make investments in order to increase both the company's flexibility and its competitiveness in the markets with the products. The application of the proposed methodology in an apparel company is shown as an illustration.</t>
  </si>
  <si>
    <t>Palominos, Pedro/0000-0002-5695-3025</t>
  </si>
  <si>
    <t>0925-5273</t>
  </si>
  <si>
    <t>1873-7579</t>
  </si>
  <si>
    <t>10.1016/j.ijpe.2019.01.029</t>
  </si>
  <si>
    <t>WOS:000466622400004</t>
  </si>
  <si>
    <t>Vidal, J; Huilñir, C; Santander, R; Silva-Agredo, J; Torres-Palma, R; Salazar, R</t>
  </si>
  <si>
    <t>Vidal, Jorge; Huilnir, Cesar; Santander, Rocio; Silva-Agredo, Javier; Torres-Palma, Ricardo A.; Salazar, Ricardo</t>
  </si>
  <si>
    <t>Degradation of ampicillin antibiotic by electrochemical processes: evaluation of antimicrobial activity of treated water</t>
  </si>
  <si>
    <t>3rd Iberoamerican Congress on Advanced Oxidation Technologies (CIPOA) . 2nd Colombian Conference on Advanced Oxidation Processes (CCPAOX)</t>
  </si>
  <si>
    <t>NOV 14-17, 2017</t>
  </si>
  <si>
    <t>Guatape, COLOMBIA</t>
  </si>
  <si>
    <t>Ampicillin (AMP) is an antibiotic widely used in hospitals and veterinary clinics around the world for treating infections caused by bacteria. Therefore, it is common to find traces of this antibiotic in wastewater from these entities. In this work, we studied the mineralization of this antibiotic in solution as well as the elimination of its antimicrobial activity by comparing different electrochemical advanced oxidation processes (EAOPs), namely electro-oxidation with hydrogen peroxide (EO-H2O2), electro-Fenton (EF), and photo electro-Fenton (PEF). With PEF process, a high degradation, mineralization, and complete elimination of antimicrobial activity were achieved in 120-min electrolysis with high efficiency. In the PEF process, fast mineralization rate is caused by hydroxyl radicals (center dot OH) that are generated in the bulk, on the anode surface, by UV radiation, and most importantly, by the direct photolysis of complexes formed between Fe3+ and some organic intermediates. Moreover, some products and intermediates formed during the degradation of the antibiotic Ampicillin, such as inorganic ions, carboxylic acids, and aromatic compounds, were determined by photometric and chromatographic methods. An oxidation pathway is proposed for the complete conversion to CO2.</t>
  </si>
  <si>
    <t>Huilinir, Cesar/IYS-6899-2023; Salazar, Ricardo/L-7870-2013; Santander, Rocio/K-7645-2013; Torres, Ricardo/K-4063-2014</t>
  </si>
  <si>
    <t>Salazar-Gonzalez, Ricardo/0000-0003-2180-6022; Huilinir, Cesar/0000-0002-3487-684X; Torres, Ricardo/0000-0003-4583-9849; Vidal, Jorge/0000-0002-1334-377X; Silva Agredo, Javier/0000-0002-8230-0917</t>
  </si>
  <si>
    <t>10.1007/s11356-018-2234-5</t>
  </si>
  <si>
    <t>WOS:000458990300024</t>
  </si>
  <si>
    <t>Pérez-Salas, CP; Cobo-Rendón, R; Herrera, C; Bustos, C; Candia, J</t>
  </si>
  <si>
    <t>Perez-Salas, Claudia P.; Cobo-Rendon, Rubia; Herrera, Constanza; Bustos, Claudio; Candia, Jessica</t>
  </si>
  <si>
    <t>Validation of Life Habits Assessment Questionnaire (LIFE-H) to assess participation of children and young people with Cerebral Palsy in Chile</t>
  </si>
  <si>
    <t>TERAPIA PSICOLOGICA</t>
  </si>
  <si>
    <t>Participation is a human right that must be guaranteed. However, various physical and social restrictions make it difficult for people with neurological conditions to participate in their community. Many Latin American countries do not have validated instruments to analyze the participation of these groups. The present investigation used an instrumental design to evaluate the psychometric properties of the Life Habits Assessment Questionnaire (LiFE-H) in a sample of 123 people with cerebral palsy between 9 and 21 years old (M = 14.14; DE = 2.89). Adequate internal consistency indices were detected. The two-dimensional structure proposed by the authors was not replicated through confirmatory factor analysis. However, the exploratory factor analysis of the data evidenced a general factor that explained 69.55% of the variance. It is concluded that LIFE-H is an ideal instrument for the study of participation as a global construct in this population.</t>
  </si>
  <si>
    <t>Herrera, Constanza/JXW-6809-2024; Pérez-Salas, Claudia/GSN-1534-2022; Cobo-Rendon, Rubia/AAJ-2481-2020; Bustos, Claudio/F-3359-2012</t>
  </si>
  <si>
    <t>Cobo-Rendon, Rubia/0000-0002-3350-071X; Bustos, Claudio/0000-0003-3478-9858</t>
  </si>
  <si>
    <t>0718-4808</t>
  </si>
  <si>
    <t>10.4067/S0718-48082019000200104</t>
  </si>
  <si>
    <t>WOS:000481655600003</t>
  </si>
  <si>
    <t>Auquilla, AR; Salamea, HT; Alvarado-Cando, O; Molina, JK; Cedillo, PAS</t>
  </si>
  <si>
    <t>GarciaTirado, J; Munoz, D; Alvarez, H; BoteroCastro, H</t>
  </si>
  <si>
    <t>Ricardo Auquilla, Andres; Torres Salamea, Hugo; Alvarado-Cando, O.; Kern Molina, John; Sari Cedillo, Pablo A.</t>
  </si>
  <si>
    <t>Implementation of a Telerobotic System Based on the Kinect Sensor for the Inclusion of People with Physical Disabilities in the Industrial Sector</t>
  </si>
  <si>
    <t>2019 IEEE 4TH COLOMBIAN CONFERENCE ON AUTOMATIC CONTROL (CCAC): AUTOMATIC CONTROL AS KEY SUPPORT OF INDUSTRIAL PRODUCTIVITY</t>
  </si>
  <si>
    <t>IEEE 4th Colombian Conference on Automatic Control (CCAC) - Automatic Control as Key Support of Industrial Productivity</t>
  </si>
  <si>
    <t>OCT 15-18, 2019</t>
  </si>
  <si>
    <t>IEEE,IEEE Colombia,CSS Colombian Chapter,Electroequipos,Natl Instruments,MathWorks,Componentes Electronicas</t>
  </si>
  <si>
    <t>This article describes the design and implementation of a telerobotic system through the Kinect sensor for the inclusion of people with physical disabilities in the industrial environment. For the development of the system, a master slave architecture was used and the communication was made wirelessly using the HC-05 module that uses a Bluetooth v2.0 protocol, for the movement of the servomotors of the 4 OFD manipulator and Arduino board was used. The validation of the system was carried out by performing a manual and an automatic process by a group of people who manipulated the robot by hand gestures.</t>
  </si>
  <si>
    <t>Alvarado Cando, Omar/AAV-9138-2021; Torres, Hugo/AAC-2017-2020</t>
  </si>
  <si>
    <t>Alvarado Cando, Omar/0000-0001-7502-5155; Torres Salamea, Hugo Marcelo/0000-0001-7814-6251</t>
  </si>
  <si>
    <t>978-1-5386-6962-4</t>
  </si>
  <si>
    <t>10.1109/ccac.2019.8921359</t>
  </si>
  <si>
    <t>WOS:000556163800096</t>
  </si>
  <si>
    <t>Contreras, RA; Pizarro, M; Köhler, H; Sáez, CA; Zúñiga, GE</t>
  </si>
  <si>
    <t>Contreras, Rodrigo A.; Pizarro, Marisol; Kohler, Hans; Saez, Claudio A.; Zuniga, Gustavo E.</t>
  </si>
  <si>
    <t>Copper stress induces antioxidant responses and accumulation of sugars and phytochelatins in Antarctic Colobanthus quitensis (Kunth) Bartl</t>
  </si>
  <si>
    <t>Background: In field, C. quitensis is subjected to many abiotic extreme environmental conditions, such as low temperatures, high UV-B, salinity and reduced water potentials, but not metal or metalloid high concentrations in soil, however, other members of Caryophyllaceae family have tolerance to high concentrations of metals, this is the case of Silene genre. In this work, we hypothesize that C. quitensis have the same mechanisms of Silene to tolerate metals, involving accumulation and induction of antioxidant systems, sugar accumulation and the induction of thiols such as phytochelatins to tolerate. Results: The results showing an effective antioxidant defensive machinery involving non-enzymatic antioxidants such as phenolics, GSH and ascorbic acid, in another hand, GSH-related oligomers (phytochelatins) and sugars was induced as a defensive mechanism. Conclusions: Colobanthus quitensis exhibits certain mechanisms to tolerate copper in vitro demonstrating its plasticity to tolerate several abiotic stress conditions.</t>
  </si>
  <si>
    <t>Contreras, Rodrigo/I-1871-2013; Sáez, Claudio/AAP-6923-2021; Zuñiga, Gustavo/P-8306-2015</t>
  </si>
  <si>
    <t>Saez, Claudio/0000-0002-5037-3484; Contreras, Rodrigo/0000-0001-9970-3125; Zuniga, Gustavo/0000-0002-8286-9468</t>
  </si>
  <si>
    <t>10.1186/s40659-018-0197-0</t>
  </si>
  <si>
    <t>WOS:000450360100002</t>
  </si>
  <si>
    <t>Gómez, F; Barrientos, J</t>
  </si>
  <si>
    <t>Gomez, Fabiola; Barrientos, Jaime</t>
  </si>
  <si>
    <t>COMMITMENT TO THE RELATIONSHIP A RESOURCE THAT MEDIATES THE RELATIONSHIP BETWEEN INTERNALIZED HOMOPHOBIA AND SAME-SEX RELATIONSHIP SATISFACTION</t>
  </si>
  <si>
    <t>INTERNATIONAL JOURNAL OF BEHAVIORAL MEDICINE</t>
  </si>
  <si>
    <t>Gómez, Fabiola/W-3604-2018; Barrientos, Jaime/GMW-8081-2022</t>
  </si>
  <si>
    <t>Gomez, Fabiola/0000-0002-8390-9476; Barrientos, Jaime/0000-0001-8497-3552</t>
  </si>
  <si>
    <t>1070-5503</t>
  </si>
  <si>
    <t>1532-7558</t>
  </si>
  <si>
    <t>P231</t>
  </si>
  <si>
    <t>S76</t>
  </si>
  <si>
    <t>WOS:000446532700238</t>
  </si>
  <si>
    <t>Lovera-Copa, JA; Alavia, W; Tíjaro-Rojas, R; Piceros, E</t>
  </si>
  <si>
    <t>Lovera-Copa, J. A.; Alavia, W.; Tijaro-Rojas, R.; Piceros, E.</t>
  </si>
  <si>
    <t>Prediction and correlation of the solubility of alkali chlorides in different solvent mixtures and temperatures</t>
  </si>
  <si>
    <t>Based on the Pitzer model modified by Wu et al. for polymer-salt-aqueous two-phase ternary systems at ambient temperature, this work aims to extend such a model to quaternary systems consisting of a polymer, two salts, and water at different temperatures. This new model is applied to the correlation and prediction of the liquid-solid equilibrium (LSE) of the quaternary systems NaCl+KCl+PEG4000+H2O at 298 K and NaCl+KCl+C2H5OH+H2O at 298 and 313 K. The model contains six binary parameters and ten mixture parameters. The binary parameters are estimated from the liquid-vapor equilibrium (LVE) data of the corresponding salt-water binary systems, while the mixture parameters are obtained from solubility data of ternary systems. The results show that the predicted solubility values of the salt in the quaternary systems are consistent with the experimental data reported in the literature. Better agreement is obtained when the polymer-salt-salt mixture parameter is included. The influence of temperature and the solvent type on the parameters are also discussed in this work. The results provide useful information for the simulation of extractive crystallization processes of inorganic salts with a polymer or an alcohol as the solvent. (C) 2018 Elsevier B.V. All rights reserved.</t>
  </si>
  <si>
    <t>Alavia, Wilson/AGY-3117-2022</t>
  </si>
  <si>
    <t>TIJARO-ROJAS, ROCIO/0000-0002-7963-0325; Piceros Fuentes, Eder Cristobal/0000-0003-2337-848X; Alavia, Wilson/0000-0001-5674-8489</t>
  </si>
  <si>
    <t>APR 15</t>
  </si>
  <si>
    <t>10.1016/j.fluid.2018.01.001</t>
  </si>
  <si>
    <t>WOS:000428097200004</t>
  </si>
  <si>
    <t>Quezada, LE; López-Ospina, HA; Palominos, PI; Oddershede, AM</t>
  </si>
  <si>
    <t>Quezada, Luis E.; Lopez-Ospina, Hector A.; Palominos, Pedro I.; Oddershede, Astrid M.</t>
  </si>
  <si>
    <t>Identifying causal relationships in strategy maps using ANP and DEMATEL</t>
  </si>
  <si>
    <t>COMPUTERS &amp; INDUSTRIAL ENGINEERING</t>
  </si>
  <si>
    <t>This paper presents a method for identifying the causal relationships between strategic objectives in a strategy map of a Balanced Scorecard. The Analytic Network Process (ANP) is used to estimate the direct influence between strategic objectives, and the Decision Making Trial and Evaluation Laboratory (DEMATEL) is used to obtain a matrix containing the full influences (direct and indirect) between those factors. Finally, a criterion is used to select those relationships that are important enough to be considered in the Impact-relation map defined by DEMATEL. The literature shows some cases in which ANP and DEMATEL are combined to build a strategy map; however, they are used in a completely different way from how they are utilized in the method proposed in this paper. As an illustration, the method is applied in a manufacturing company.</t>
  </si>
  <si>
    <t>Palominos, Pedro/0000-0002-5695-3025; Lopez-Ospina, Hector/0000-0001-8144-6394</t>
  </si>
  <si>
    <t>0360-8352</t>
  </si>
  <si>
    <t>1879-0550</t>
  </si>
  <si>
    <t>10.1016/j.cie.2018.02.020</t>
  </si>
  <si>
    <t>WOS:000430785500016</t>
  </si>
  <si>
    <t>Tapia, PC</t>
  </si>
  <si>
    <t>Herbetta, A; DeCarvalho, AMM; Macusaya, C; Nahuelquir, F; Apinaje, JK; Kraho, LJ; Bogados, M; Rodriguez, ME; Arzu, MC; Quintiliano, M; Michelena, M</t>
  </si>
  <si>
    <t>Tapia, Pedro Canales</t>
  </si>
  <si>
    <t>THOUGHT AND THE FIGHT Indigenous peoples in Latin America: organization and discussions with transcendence Introduction</t>
  </si>
  <si>
    <t>PENSAMIENTO Y LA LUCHA: LOS PUEBLOS INDIGENAS EN AMERICA LATINA: ORGANIZACION Y DISCUSIONES CON TRASCENDENCIA</t>
  </si>
  <si>
    <t>978-956-8416-60-7</t>
  </si>
  <si>
    <t>WOS:000442145800001</t>
  </si>
  <si>
    <t>Rosero, LFT</t>
  </si>
  <si>
    <t>Restrepo, SL; Rosero, LFT; Visbal, JDM; Espitia, CAP; Chasin, NH; Garcia, SB; Cera, SI; Pacheco, AG; Montes, IV; Revelo, DR; Revelo, GR; Solano, SO; Santos, MDI</t>
  </si>
  <si>
    <t>Trejos Rosero, Luis Fernando</t>
  </si>
  <si>
    <t>THE COLOMBIAN CARIBBEAN AS CURRENT POSTCONFLICT SCENARIO NEW VIOLENCES AND PROCESSES OF CAPTURE AND COOPTED REALIGNMENT OF THE STATE</t>
  </si>
  <si>
    <t>CONFLICTO ARMADO Y TRANSICION HACIA EL POSCONFLICTO: UNA APROXIMACION DESDE EL CARIBE</t>
  </si>
  <si>
    <t>978-958-741-963-4; 978-958-741-962-7</t>
  </si>
  <si>
    <t>WOS:000482970600003</t>
  </si>
  <si>
    <t>Gómez, M; González, A; Moenne, F; Sáez, CA; Moenne, A</t>
  </si>
  <si>
    <t>Gomez, M.; Gonzalez, A.; Moenne, F.; Saez, C. A.; Moenne, A.</t>
  </si>
  <si>
    <t>Copper-induced early responses involve the activation of Transient Receptor Potential (TRP) channels, release of amino acids, serotonin and adrenalin, and activation of homologs of glutamate, adrenalin and serotonin receptors in the marine alga Ulva compressa</t>
  </si>
  <si>
    <t>ALGAL RESEARCH-BIOMASS BIOFUELS AND BIOPRODUCTS</t>
  </si>
  <si>
    <t>It has been previously shown that U. compressa cultivated with 10 aeM copper showed the activation of Transient Receptor Potential (TRP) channels at 4, 8 and 13 min allowing copper ions entry and transient depolarizations. Here, the alga was incubated with copper and with inhibitors of human TRP channels that were incorporated just after copper addition (time 0), and after 1 and 2 min of copper exposure, and membrane depolarizations were detected at 4, 8 and 13 min. Copper induced the activation of a TRP A1/C5/M8 at time 0, a TRP A1/C4/M8/V1 after 1 min, and a TRP A1/C5/M8, after 2 min of copper exposure. In addition, EGTA, a specific calcium chelator, did not inhibit depolarization events when added at time 0, and after 1 and 2 min, whereas bathocuproine, a specific copper chelator, inhibited transient depolarizations at 4, 8 and 13 min. In addition, inhibitors of human GluR of NMDA type, added at time 0, and GluR of AMPA/KA types, added after 1 and 2 min as well as inhibitors of serotonin and adrenalin receptors added after 2 min inhibited depolarizations at 4, 8 and 13 min. Furthermore, amino acids, serotonin and adrenalin were release to culture medium in response to copper excess. Thus, copper ions induces the activation of TRP channels allowing extracellular copper ions entry leading to transient depolarizations, release of aminoacids, serotonin, and adrenalin, and activation of homologs of glutamate, adrenalin and serotonin receptors which are involved in the activation of TRPs and depolarizations observed at 4, 8 and 12 min of copper exposure.</t>
  </si>
  <si>
    <t>Sáez, Claudio/AAP-6923-2021</t>
  </si>
  <si>
    <t>Saez, Claudio/0000-0002-5037-3484</t>
  </si>
  <si>
    <t>2211-9264</t>
  </si>
  <si>
    <t>10.1016/j.algal.2017.07.009</t>
  </si>
  <si>
    <t>WOS:000411731800013</t>
  </si>
  <si>
    <t>APPLICATION OF MEASURE OF NONCOMPACTNESS TO VOLTERRA EQUATIONS OF CONVOLUTION TYPE</t>
  </si>
  <si>
    <t>Sufficient conditions for the existence of at least one solution of a nonlinear integral equation with a general kernel are established. The existence result is proved in C([0, T], E), where E denotes an arbitrary Banach space. We use the Darbo-Sadovskii fixed point theorem and techniques of measure of noncompactness. We extend and generalize results obtained by other authors in the context of fractional differential equations. One example illustrates the theoretical results.</t>
  </si>
  <si>
    <t>10.1216/JIE-2016-28-4-441</t>
  </si>
  <si>
    <t>WOS:000391538200001</t>
  </si>
  <si>
    <t>Tamayo, L; Azócar, M; Kogan, M; Riveros, A; Páez, M</t>
  </si>
  <si>
    <t>Tamayo, Laura; Azocar, Manuel; Kogan, Marcelo; Riveros, Ana; Paez, Maritza</t>
  </si>
  <si>
    <t>Copper-polymer nanocomposites: An excellent and cost-effective biocide for use on antibacterial surfaces</t>
  </si>
  <si>
    <t>MATERIALS SCIENCE AND ENGINEERING C-MATERIALS FOR BIOLOGICAL APPLICATIONS</t>
  </si>
  <si>
    <t>The development of polymer nanocomposites with antimicrobial properties has been a key factor for controlling or inhibiting the growth of microorganisms and preventing foodborne diseases and nosocomial infections. Commercially available antibacterial products based on silver-polymer are the most widely used despite the fact that copper is considerably less expensive. The incorporation of copper nanoparticles as antibacterial agents in polymeric matrices to generate copper-polymer nanocomposites have presented excellent results in inhibiting the growth of a broad spectrum of microorganisms. The potential applications in food packaging, medical devices, textiles and pharmaceuticals and water treatment have generated an increasing number of investigations on preparing copper based nanocomposites and alternative polymeric matrices, as potential hosts of nano-modifiers. This review presents a comprehensive compilation of previous published work on the subject, mainly related to the antimicrobial activity of copper polymer nanocomposites. Within all the phenomenology associated to antibacterial effects we highlight the possible mechanisms of action. We discuss the differences in the susceptibility of Gram negative and positive bacteria to the antibacterial activity of nanocomposites, and influencing factors. As well, the main applications of copper polymer-metal nanocomposites are described, considering their physical and chemical characteristics. Finally, some commercially available copper-polymer nanocomposites are described. (C) 2016 Elsevier B.V. All rights reserved.</t>
  </si>
  <si>
    <t>Tamayo, Laura/I-8942-2018; Paez, Maritza/M-2010-2014; riveros, ana/AAD-2134-2020; Azocar, Manuel/I-1226-2013; kogan, Marcelo/I-2868-2013</t>
  </si>
  <si>
    <t>Kogan, Marcelo/0000-0003-0608-5087; Azocar Guzman, Manuel/0000-0003-1098-4659; Tamayo, Laura/0000-0003-1159-5305; paez, maritza/0000-0001-5881-884X; Riveros, Ana Luisa/0000-0002-1926-4562</t>
  </si>
  <si>
    <t>0928-4931</t>
  </si>
  <si>
    <t>1873-0191</t>
  </si>
  <si>
    <t>10.1016/j.msec.2016.08.041</t>
  </si>
  <si>
    <t>WOS:000383930900160</t>
  </si>
  <si>
    <t>Volochinsky, DP; Araneda, MJR; Espejo, MIR; Fernández, MT</t>
  </si>
  <si>
    <t>Pasmanik Volochinsky, Diana; Rodriguez Araneda, Maria Jose; Reyes Espejo, Maria Isabel; Tarride Fernandez, Mario</t>
  </si>
  <si>
    <t>Reconstruction of the ethos of industrial civil engineer career in Chile: a preliminary approach</t>
  </si>
  <si>
    <t>Acta Bioethica</t>
  </si>
  <si>
    <t>Looking for Industrial Engineering professional ethos reconstruction from its actors' subjectivity, a qualitative research on professional experience and meaning construction on ethics and interculturality, in Chilean Industrial engineers and students who had already finished their last practicum, is reported. All participants had studied or were still studying in Chilean public universities. Inquiry was performed by means of individual and group interviews which provided 19 texts, afterwards analyzed by means of Grounded Theory procedures. Results allow to adventure that Industrial Engineering ethos, in Chile, had as its nucleus efficiency, and so, tasks quality itself. Nevertheless, this ethos is tensioned with the aspiration to transform this discipline in one whose professionals also would work being conscious of its social responsibility. According to these results, it's feasible to presume that, at least in Chile, Industrial Engineering is experiencing a reconstruction process in its moral character.</t>
  </si>
  <si>
    <t>Reyes Espejo, Maria Isabel/0000-0003-0454-0584</t>
  </si>
  <si>
    <t>1726-569X</t>
  </si>
  <si>
    <t>WOS:000392726500022</t>
  </si>
  <si>
    <t>Chiluiza, ELR; Donoso, PN</t>
  </si>
  <si>
    <t>Recalde Chiluiza, Eduardo Luis; Navarro Donoso, Patricio</t>
  </si>
  <si>
    <t>Chalcopyrite Leaching in Acidic Chloride Solution without Sulphates</t>
  </si>
  <si>
    <t>JOURNAL OF THE MEXICAN CHEMICAL SOCIETY</t>
  </si>
  <si>
    <t>Chalcopyrite leaching in acidic chloride solution without sulphates. The effect of dissolved oxygen and ferrous/ferric/cupric ions in solution on the leaching behavior of chalcopyrite and the phenomenology of the passivating layer formation on the chalcopyrite surface in an aqueous acidic chlorinated medium with dissolved oxygen and without sulphate are studied. The research was performed using pure chalcopyrite samples with particle sizes of +45 to -75 microns (-200+325 mesh). It was found that the formation of hydrogen sulfide (H2S) at room temperature and atmospheric pressure is a possible precursor of passivating species that prevent chalcopyrite dissolution.</t>
  </si>
  <si>
    <t>1870-249X</t>
  </si>
  <si>
    <t>1665-9686</t>
  </si>
  <si>
    <t>WOS:000398807900008</t>
  </si>
  <si>
    <t>Martín-Rodríguez, A; Aravena, D; Ruiz, E</t>
  </si>
  <si>
    <t>Martin-Rodriguez, Alejandro; Aravena, Daniel; Ruiz, Eliseo</t>
  </si>
  <si>
    <t>DFT approaches to transport calculations in magnetic single-molecule devices</t>
  </si>
  <si>
    <t>THEORETICAL CHEMISTRY ACCOUNTS</t>
  </si>
  <si>
    <t>Electron transport properties of single-molecule devices based on the [Fe(tzpy)(2)(NCS)(2)] complex placed between two gold electrodes have been explored using three different atomistic DFT methods. This kind of single-molecule devices is quite appealing because they can present magnetoresistance effects at room temperature. The three employed computational approaches are: (i) self-consistent non-equilibrium Green functions (NEGF) with periodic models that can be described as the most accurate between the state-of-art methods, and two non-self-consistent NEGF approaches using either periodic or non-periodic description of the electrodes (ii and iii). The analysis of the transmission spectra obtained with the three methods indicates that they provide similar qualitative results. To obtain a reasonable agreement with the experimental data, it is mandatory to employ density functionals beyond the commonly employed GGA (i.e., hybrid functionals) or to include on-site corrections for the Coulomb repulsion (GGA+U method).</t>
  </si>
  <si>
    <t>Ruiz, Eliseo/A-6268-2011; Aravena, Daniel/F-2174-2011</t>
  </si>
  <si>
    <t>Ruiz, Eliseo/0000-0001-9097-8499; Aravena, Daniel/0000-0003-3140-4852; Martin-Rodriguez, Alejandro/0000-0003-1676-5502</t>
  </si>
  <si>
    <t>1432-881X</t>
  </si>
  <si>
    <t>1432-2234</t>
  </si>
  <si>
    <t>JUL 15</t>
  </si>
  <si>
    <t>10.1007/s00214-016-1941-6</t>
  </si>
  <si>
    <t>WOS:000382127800002</t>
  </si>
  <si>
    <t>García-Herrera, CM; Bustos, CA; Celentano, DJ; Ortega, R</t>
  </si>
  <si>
    <t>Garcia-Herrera, Claudio M.; Bustos, Claudio A.; Celentano, Diego J.; Ortega, Roberto</t>
  </si>
  <si>
    <t>Mechanical analysis of the ring opening test applied to human ascending aortas</t>
  </si>
  <si>
    <t>COMPUTER METHODS IN BIOMECHANICS AND BIOMEDICAL ENGINEERING</t>
  </si>
  <si>
    <t>This work presents experiments, modelling and numerical simulation aimed at describing the mechanical response of human ascending aortas in the ring opening test. The objective is to quantify, from the opening angles measured in the test, the residual stress distribution along the artery wall and, afterwards, how this stress pattern changes when the artery is subjected to standard physiological pressures. The cases studied correspond to four groups including both healthy and pathological arteries. The tissues are characterized via tensile test measurements that enable to derive the material parameters of two constitutive models adopted in the present analysis. Overall, the numerical results obtained for all groups were found to be a useful data that allow to estimate the residual stress and their influence on the vessels under normal and hypertension physiological conditions.</t>
  </si>
  <si>
    <t>Ortega, Roberto/IZE-4038-2023; Celentano, Diego/JQW-5027-2023; García-Herrera, Claudio/ABE-8991-2020; Ortega, Roberto/H-2046-2015</t>
  </si>
  <si>
    <t>Garcia-Herrera, Claudio/0000-0002-1283-8551; Ortega, Roberto/0000-0002-2218-0845</t>
  </si>
  <si>
    <t>1025-5842</t>
  </si>
  <si>
    <t>1476-8259</t>
  </si>
  <si>
    <t>10.1080/10255842.2016.1183125</t>
  </si>
  <si>
    <t>WOS:000386378400007</t>
  </si>
  <si>
    <t>Flores, JR</t>
  </si>
  <si>
    <t>Rojas Flores, Jorge</t>
  </si>
  <si>
    <t>Images of Women in the Comic Book OKEY. Chile, 1949-1965</t>
  </si>
  <si>
    <t>This article shows how women were represented in a particular comic book, the most important for more than a decade, geared towards children and young people, which circulated in Chile between 1949 and 1965. Many prominent models of femininity are studied. Some women play the role of the hero's companions or villains, while others assume a variety of leading roles. Throughout the period changes were observed in the way in which sensuality was expressed, as well as various forms of censorship.</t>
  </si>
  <si>
    <t>WOS:000368046200006</t>
  </si>
  <si>
    <t>dos Santos, JPC; Henríquez, HR</t>
  </si>
  <si>
    <t>Carvalho dos Santos, Jose Paulo; Henriquez, Hernan R.</t>
  </si>
  <si>
    <t>Existence of S-asymptotically ω-periodic solutions to abstract integro-differential equations</t>
  </si>
  <si>
    <t>The main aim of this work is to study the existence of S-asymptotically omega-periodic solutions for a class of abstract integro-differential equations modeled in the following form d/dt [x(t) + integral(t)(0) N(t - s)x(s)ds] = Ax(t) + integral(t)(0) B(t - s)x(s)ds + f(t,x(t)), t &gt;= 0, x(0) = x(0) is an element of X, where A, B(t) for t &gt;= 0 are closed linear operators defined on a common domain D(A) which is dense in X, N(t) for t &gt;= 0 are bounded linear operators on X, and f : [0, infinity) x X --&gt; X is an appropriate function. The existence results are obtained by applying the theory of exponentially stable resolvent operators. We also discuss an application of these results. (C) 2015 Elsevier Inc. All rights reserved.</t>
  </si>
  <si>
    <t>Santos, José/F-9905-2012</t>
  </si>
  <si>
    <t>10.1016/j.amc.2015.01.005</t>
  </si>
  <si>
    <t>WOS:000349979300010</t>
  </si>
  <si>
    <t>Toro-Ascuy, D; Tambley, C; Beltran, C; Mascayano, C; Sandoval, N; Olivares, E; Medina, RA; Spencer, E; Martín, MCS</t>
  </si>
  <si>
    <t>Toro-Ascuy, Daniela; Tambley, Carolina; Beltran, Carolina; Mascayano, Carolina; Sandoval, Nicolas; Olivares, Eduardo; Medina, Rafael A.; Spencer, Eugenio; Cortez-San Martin, Marcelo</t>
  </si>
  <si>
    <t>Development of a Reverse Genetic System for Infectious Salmon Anemia Virus: Rescue of Recombinant Fluorescent Virus by Using Salmon Internal Transcribed Spacer Region 1 as a Novel Promoter</t>
  </si>
  <si>
    <t>Infectious salmon anemia (ISA) is a serious disease of marine-farmed Atlantic salmon (Salmo salar) caused by ISA virus (ISAV), belonging to the genus Isavirus, family Orthomyxoviridae. There is an urgent need to understand the virulence factors and pathogenic mechanisms of ISAV and to develop new vaccine approaches. Using a recombinant molecular biology approach, we report the development of a plasmid-based reverse genetic system for ISAV, which includes the use of a novel fish promoter, the Atlantic salmon internal transcribed spacer region 1 (ITS-1). Salmon cells cotransfected with pSS-URG-based vectors expressing the eight viral RNA segments and four cytomegalovirus (CMV)-based vectors that express the four proteins of the ISAV ribonucleoprotein complex allowed the generation of infectious recombinant ISAV (rISAV). We generated three recombinant viruses, wild-type rISAV(901_09) and rISAVr(S6-NotI-HPR) containing a NotI restriction site and rISAV(S6/EGFP-HPR) harboring the open reading frame of enhanced green fluorescent protein (EGFP), both within the highly polymorphic region (HPR) of segment 6. All rescued viruses showed replication activity and cytopathic effect in Atlantic salmon kidney-infected cells. The fluorescent recombinant viruses also showed a characteristic cytopathic effect in salmon cells, and the viruses replicated to a titer of 6.5 x 10(5) PFU/ml, similar to that of the wild-type virus. This novel reverse genetics system offers a powerful tool to study the molecular biology of ISAV and to develop a new generation of ISAV vaccines to prevent and mitigate ISAV infection, which has had a profound effect on the salmon industry.</t>
  </si>
  <si>
    <t>Medina, Rafael/AAW-4418-2020; Toro-Ascuy, Daniela/JDC-8224-2023</t>
  </si>
  <si>
    <t>Spencer, Eugenio/0000-0001-6109-140X; Medina, Rafael A./0000-0002-5013-6884; Mascayano Collado, Carolina Lorena/0000-0002-3488-9309; Toro-Ascuy, Daniela/0000-0002-2563-9711</t>
  </si>
  <si>
    <t>10.1128/AEM.03153-14</t>
  </si>
  <si>
    <t>WOS:000348927600003</t>
  </si>
  <si>
    <t>Honorato, G; Plaza, S</t>
  </si>
  <si>
    <t>Honorato, Gerardo; Plaza, Sergio</t>
  </si>
  <si>
    <t>Dynamical aspects of some convex acceleration methods as purely iterative algorithm for Newton's maps</t>
  </si>
  <si>
    <t>In this paper we define purely iterative algorithm for Newton's maps which is a slight modification of the concept of purely iterative algorithm due to Smale. For this, we use a characterization of rational maps which arise from Newton's method applied to complex polynomials. We prove the Scaling Theorem for purely iterative algorithm for Newton's map. Then we focus our study in dynamical aspects of three root-finding iterative methods viewed as a purely iterative algorithm for Newton's map: Whittaker's iterative method, the super-Halley iterative method and a modification of the latter. We give a characterization of the attracting fixed points which correspond to the roots of a polynomial. Also, numerical examples are included in order to show how to use the characterization of fixed points. Finally, we give a description of the parameter spaces of the methods under study applied to a one-parameter family of generic cubic polynomials. (C) 2014 Elsevier Inc. All rights reserved.</t>
  </si>
  <si>
    <t>Plata, Sergio/AAA-6144-2019</t>
  </si>
  <si>
    <t>Honorato Gutierrez, Gerardo Andres/0009-0006-1647-5600</t>
  </si>
  <si>
    <t>10.1016/j.amc.2014.11.083</t>
  </si>
  <si>
    <t>WOS:000347405500046</t>
  </si>
  <si>
    <t>Caron, PA; Cruchaga, MA; Larreteguy, AE</t>
  </si>
  <si>
    <t>Caron, Pablo A.; Cruchaga, Marcela A.; Larreteguy, Axel E.</t>
  </si>
  <si>
    <t>Sensitivity analysis of finite volume simulations of a breaking dam problem</t>
  </si>
  <si>
    <t>INTERNATIONAL JOURNAL OF NUMERICAL METHODS FOR HEAT &amp; FLUID FLOW</t>
  </si>
  <si>
    <t>Purpose - The present work is a numerical study of a breaking dam problem. The purpose of this paper is to assess the effect of turbulence and surface tension models in the prediction of the interface position in a long-term analysis. Additionally, dimensional effects are analyzed by carrying out both 2D and 3D simulations. Design/methodology/approach - Finite volume simulations performed with the different models are compared between them and contrasted with numerical results computed using other numerical techniques and experimental data. Findings - The reported numerical results are in general in good agreement with experimental results available in the literature. They are also consistent with numerical solutions of other authors obtained using different numerical techniques. The results show that the laminar simulations exhibit strong mesh size dependency, while the turbulence models seem to help in producing mesh-independent solutions. Surface tension modeling does not seem to play a relevant role in the interface evolution. Practical implications - Model validation. Originality/value - The value of the present work encompass the comparison of different flow conditions used to simulate a free surface problem and their validation by contrasting numerical results with experiments. Also, the results shown in the present work are a contribution to the understanding of the role of some specific aspects of the models in the simulation of the proposed problem.</t>
  </si>
  <si>
    <t>Cruchaga, Marcela/M-7522-2014</t>
  </si>
  <si>
    <t>Cruchaga, Marcela/0000-0002-8708-2402; Caron, Pablo Alfredo/0000-0003-0507-6648; Larreteguy, Axel Eduardo/0000-0003-0785-874X</t>
  </si>
  <si>
    <t>0961-5539</t>
  </si>
  <si>
    <t>1758-6585</t>
  </si>
  <si>
    <t>10.1108/HFF-10-2014-0308</t>
  </si>
  <si>
    <t>WOS:000366496900015</t>
  </si>
  <si>
    <t>Valencia, PJL; Aguirre, JAC; Zaballos, IL; Pérez, VGQ; Rodríguez, GM</t>
  </si>
  <si>
    <t>Lozano Valencia, Pedro Jose; Cadinanos Aguirre, Jose Antonio; Latasa Zaballos, Itxaro; Quintanilla Perez, Victor Guillermo; Meaza Rodriguez, Guillermo</t>
  </si>
  <si>
    <t>BIOGEOGRAPHICAL VALUATION AND EVALUATION OF THE DIVERSE VEGETAL LANDSCAPES OF THE MEDITERRANEAN REGION OF CHILE BY ITS ORDINATION AND MANAGEMENT</t>
  </si>
  <si>
    <t>BOLETIN DE LA ASOCIACION DE GEOGRAFOS ESPANOLES</t>
  </si>
  <si>
    <t>The study presented in this paper takes part of a research project carried out for the past 15 years and it is, for now, its last stage. It's a global landscape valuation method focused on vegetation as a main element of different units that can be evaluated. So far, the use of this method has resulted in numerous works: books, articles, book chapters, communications and presentations and it has been applied in the study of different temperate and boreal regions of Europe. The method has been applied in the study and assessment of diverse vegetation landscapes of the Chilean Mediterranean Region. The objective to verify its effectiveness and viability in other areas to the previously outlined.</t>
  </si>
  <si>
    <t>Aguirre, Jose/AAA-8025-2019; Lozano-Valencia, Pedro José/AAB-5623-2019</t>
  </si>
  <si>
    <t>0212-9426</t>
  </si>
  <si>
    <t>2605-3322</t>
  </si>
  <si>
    <t>10.21138/bage.1818</t>
  </si>
  <si>
    <t>WOS:000352464500004</t>
  </si>
  <si>
    <t>Espinosa, C; Gorigoitía, J</t>
  </si>
  <si>
    <t>Espinosa, Christian; Gorigoitia, Juan</t>
  </si>
  <si>
    <t>IS THE TECHNICAL ANALYSIS IN PERIODS OF FINANCIAL CRISIS USEFUL? Evidence for the latin amerian stock markets</t>
  </si>
  <si>
    <t>Espinosa-Méndez, Christian/G-5177-2019</t>
  </si>
  <si>
    <t>WOS:000342252900003</t>
  </si>
  <si>
    <t>Lewandowski, M; Makris, D; Velastin, SA; Nebel, JC</t>
  </si>
  <si>
    <t>Lewandowski, Michal; Makris, Dimitrios; Velastin, Sergio A.; Nebel, Jean-Christophe</t>
  </si>
  <si>
    <t>Structural Laplacian Eigenmaps for Modeling Sets of Multivariate Sequences</t>
  </si>
  <si>
    <t>IEEE TRANSACTIONS ON CYBERNETICS</t>
  </si>
  <si>
    <t>A novel embedding-based dimensionality reduction approach, called structural Laplacian Eigenmaps, is proposed to learn models representing any concept that can be defined by a set of multivariate sequences. This approach relies on the expression of the intrinsic structure of the multivariate sequences in the form of structural constraints, which are imposed on dimensionality reduction process to generate a compact and data-driven manifold in a low dimensional space. This manifold is a mathematical representation of the intrinsic nature of the concept of interest regardless of the stylistic variability found in its instances. In addition, this approach is extended to model jointly several related concepts within a unified representation creating a continuous space between concept manifolds. Since a generated manifold encodes the unique characteristic of the concept of interest, it can be employed for classification of unknown instances of concepts. Exhaustive experimental evaluation on different datasets confirms the superiority of the proposed methodology to other state-of-the-art dimensionality reduction methods. Finally, the practical value of this novel dimensionality reduction method is demonstrated in three challenging computer vision applications, i.e., view-dependent and view-independent action recognition as well as human-human interaction classification.</t>
  </si>
  <si>
    <t>Makris, Dimitrios/D-4224-2009; Nebel, Jean-Christophe/B-5655-2009</t>
  </si>
  <si>
    <t>Nebel, Jean-Christophe/0000-0003-1812-5269; VELASTIN, SERGIO ALEJANDRO/0000-0001-6775-7137; Makris, Dimitrios/0000-0001-6170-0236</t>
  </si>
  <si>
    <t>2168-2267</t>
  </si>
  <si>
    <t>2168-2275</t>
  </si>
  <si>
    <t>10.1109/TCYB.2013.2277664</t>
  </si>
  <si>
    <t>WOS:000337960000017</t>
  </si>
  <si>
    <t>Sola Morales, S; Barroso Peña, G</t>
  </si>
  <si>
    <t>Sola Morales, Salome; Barroso Pena, Gonzalo</t>
  </si>
  <si>
    <t>The nonfiction comic as a source for the study of armed conflicts: Chronicles of Jerusalem</t>
  </si>
  <si>
    <t>HISTORIA Y COMUNICACION SOCIAL</t>
  </si>
  <si>
    <t>This paper questions which contributions can have a comic, as an hybrid genre, on the historical research of the Arab-Israeli conflict. Specifically, we analyze the discourse and the historical content of the comic book Jerusalem: Chronicles from the Holy City, by Guy Delisle, in relation to three topics: first, the configuration of the context of reference and the pretense of neutrality; second, the use of sources and the construction of the story; and third, the prospective of the conflict. The main conclusion we have reached is that this non-fiction comic is a very useful complementary source for historical research and comprehension of this conflict that still no have solution.</t>
  </si>
  <si>
    <t>Sola-Morales, Salomé/D-6581-2016</t>
  </si>
  <si>
    <t>1137-0734</t>
  </si>
  <si>
    <t>1988-3056</t>
  </si>
  <si>
    <t>10.5209/rev_HICS.2014.v19.47294</t>
  </si>
  <si>
    <t>WOS:000347642800014</t>
  </si>
  <si>
    <t>Galué, L; Prado, H; Kalla, S</t>
  </si>
  <si>
    <t>Galue, L.; Prado, H.; Kalla, S.</t>
  </si>
  <si>
    <t>Some results on Laplace-Stieltjes transform</t>
  </si>
  <si>
    <t>KUWAIT JOURNAL OF SCIENCE</t>
  </si>
  <si>
    <t>Two general theorems on Laplace-Stieltjes transform are established. One theorem is a generalized convolution theorem, while the second is a generalized Parseval theorem for a operator with kernel k(s,t). Several special cases can be derived from these theorems. One section is devoted to applications of these theorems to evaluate some integrals.</t>
  </si>
  <si>
    <t>2307-4108</t>
  </si>
  <si>
    <t>2307-4116</t>
  </si>
  <si>
    <t>WOS:000333064700001</t>
  </si>
  <si>
    <t>Chitgian-Urzúa, V; Urzúa, A; Vera-Villarroel, P</t>
  </si>
  <si>
    <t>Chitgian-Urzua, Violeta; Urzua M., Alfonso; Vera-Villarroel, Pablo</t>
  </si>
  <si>
    <t>PRELIMINARY ANALYSIS OF PSYCHOLOGICAL WELLNESS SCALES IN CHILEAN POPULATION</t>
  </si>
  <si>
    <t>REVISTA ARGENTINA DE CLINICA PSICOLOGICA</t>
  </si>
  <si>
    <t>We analysed the psychometric properties of the brief Spanish version of Psychological Well-Being Scales by Ryff in a sample of 300 adults from the city of Santiago of Chile. In order to do it, reliability (internal consistency and temporal stability), construct validity and convergent and divergent validity were estimated with the following instruments: Subjective Happiness Scale, State-Trait Optimism Questionnaire and Beck Depression Inventory (BDI). The main results showed an alpha of 0.89 and temporal stability of 0.80 (3 weeks apart). The correlations between scales and instruments were adequate and significant in line with the theoretical expectations. However, the data do not conform to the theoretical proposal of six factors proposed, indicating the need to further study about the variables that compose the scale for its use in Latin-American population.</t>
  </si>
  <si>
    <t>Urzua, Alfonso/A-1208-2012; Vera-Villarroel, Pablo/A-1134-2011</t>
  </si>
  <si>
    <t>Urzua, Alfonso/0000-0002-0882-2194; Vera-Villarroel, Pablo/0000-0001-9187-8414</t>
  </si>
  <si>
    <t>0327-6716</t>
  </si>
  <si>
    <t>1851-7951</t>
  </si>
  <si>
    <t>WOS:000319965600002</t>
  </si>
  <si>
    <t>Guzmán, V; Barozet, E; Candia, E; Ihnen, B; Leiva, B</t>
  </si>
  <si>
    <t>Guzman, Virginia; Barozet, Emmanuelle; Candia, Eduardo; Ihnen, Bernardita; Leiva, Bettina</t>
  </si>
  <si>
    <t>Capabilities and gender: sum or system of inequalities? The Chilean case</t>
  </si>
  <si>
    <t>CEPAL REVIEW</t>
  </si>
  <si>
    <t>Barozet, Emmanuelle/LWH-8106-2024</t>
  </si>
  <si>
    <t>0251-2920</t>
  </si>
  <si>
    <t>1684-0348</t>
  </si>
  <si>
    <t>WOS:000307383000003</t>
  </si>
  <si>
    <t>Vera-Villarroel, P; Pávez, P; Silva, J</t>
  </si>
  <si>
    <t>Vera-Villarroel, Pablo; Pavez, Paula; Silva, Jaime</t>
  </si>
  <si>
    <t>The causal role of the optimism; towards an etiological model of well-being</t>
  </si>
  <si>
    <t>Research into the psychological resources that benefit health and well-being have increased dramatically in recent years. The latest data from highly rigorous and controlled studies show some of the benefits that produce positive states and affects, as well as optimism and well-being, among other positive states in physical and psychological health. In spite of this evidence, there is little information about the mechanisms and variables related to the processes of well-being, optimism and positive affects. In addition, there is no real consensus regarding the psychological and/or neurophysiological mechanisms that explain the relation to positive states and their benefit for health and mainly with respect to the causal or etiological variables of well-being. The scientific evidence about the benefits of positive states like optimism, happiness and mainly well-being is reviewed. A conceptual causal model is proposed which suggests that the level of subjective and psychological well-being is previously influenced by the level of optimism. This way, and based on the prior literature and evidence, it is proposed that optimism, being a condition learned from childhood, may stimulate the greatest number of positive experiences and positive emotions. These positive affect states would then mediate the relation between optimism and well-being and their consequences.</t>
  </si>
  <si>
    <t>pavez, paula/ITT-0755-2023; Vera-Villarroel, Pablo/A-1134-2011</t>
  </si>
  <si>
    <t>10.4067/S0718-48082012000200008</t>
  </si>
  <si>
    <t>WOS:000305048800008</t>
  </si>
  <si>
    <t>Labarca, R; Vásquez, L</t>
  </si>
  <si>
    <t>Labarca, Rafael; Vasquez, Lautaro</t>
  </si>
  <si>
    <t>A characterization of the kneading sequences associated to Lorenz maps of the interval</t>
  </si>
  <si>
    <t>BULLETIN OF THE BRAZILIAN MATHEMATICAL SOCIETY</t>
  </si>
  <si>
    <t>In this paper we characterize the kneading sequences associated to Lorenz maps of the interval.</t>
  </si>
  <si>
    <t>Vasquez, Lautaro/0000-0002-7104-2895</t>
  </si>
  <si>
    <t>1678-7544</t>
  </si>
  <si>
    <t>1678-7714</t>
  </si>
  <si>
    <t>10.1007/s00574-012-0011-5</t>
  </si>
  <si>
    <t>WOS:000304694700003</t>
  </si>
  <si>
    <t>Cepeda, V; Cofre, C; González, R; MacKenzie, S; Vidal, R; Reyes, F</t>
  </si>
  <si>
    <t>Cepeda, Victoria; Cofre, Catalina; Gonzalez, Ruth; MacKenzie, Simon; Vidal, Rodrigo; Reyes, Felipe</t>
  </si>
  <si>
    <t>Identification of genes involved in immune response of Atlantic salmon (Salmo salar) to IPN virus infection, using expressed sequence tags (EST) analysis (vol 318, pg 54, 2011)</t>
  </si>
  <si>
    <t>AQUACULTURE</t>
  </si>
  <si>
    <t>Reyes-López, Felipe/S-1760-2018</t>
  </si>
  <si>
    <t>Mackenzie, Simon/0000-0003-1845-6826; Reyes-Lopez, Felipe E./0000-0002-5001-457X</t>
  </si>
  <si>
    <t>0044-8486</t>
  </si>
  <si>
    <t>MAR 29</t>
  </si>
  <si>
    <t>10.1016/j.aquaculture.2012.01.002</t>
  </si>
  <si>
    <t>WOS:000304290700044</t>
  </si>
  <si>
    <t>Molina, M; Ortega, R; Escudey, M</t>
  </si>
  <si>
    <t>Molina, Mauricio; Ortega, Rodrigo; Escudey, Mauricio</t>
  </si>
  <si>
    <t>Evaluation of the AB-DTPA multiextractant in Chilean soils of different origin with special regard to available phosphorus</t>
  </si>
  <si>
    <t>ARCHIVES OF AGRONOMY AND SOIL SCIENCE</t>
  </si>
  <si>
    <t>The objective of this study was to evaluate the suitability of the ammonium bicarbonate diethylenetriaminepentaacetic acid (AB-DTPA) multiextractant to estimate the available P, exchangeable cations (K, Ca, Mg, Na) and extractable micronutrients (Cu, Fe, Mn, Zn) in comparison with conventional soil tests (Olsen-P, NH4OAc-exchangeable cations and DTPA-extractable micronutrients) in alkaline, acidic and volcanic acidic soils (n = 50). Exchangeable cations and extractable micronutrients were determined in soil extracts by ICP-OES. Phosphorus was determined colorimetrically in Olsen extracts, while in AB-DTPA extracts, P was determined both colorimetrically (AB-DTPA(C)-P) and by ICP-OES (AB-DTPA(ICP)-P). In 14 soils, the available soil and plant P were determined in a pot experiment with ryegrass (Lolium multiflorum L). Both the AB-DTPA(C)-P and AB-DTPA(ICP)-P were highly correlated with Olsen-P in alkaline and acidic soils. All P extractants were highly correlated with plant P concentration and uptake, but in soils with Olsen-P &lt;20 mg kg(-1) the AB-DTPA-P showed weaker relationships with P availability. The AB-DTPA method can be recommended to estimate the available P in alkaline and acidic soils, excluding Andisols, which typically contain very low amounts of available P. For K, Mg, Na, Cu, Fe, Mn and Zn, the multiextractant was highly correlated with respective conventional tests in all soils.</t>
  </si>
  <si>
    <t>0365-0340</t>
  </si>
  <si>
    <t>1476-3567</t>
  </si>
  <si>
    <t>10.1080/03650340.2010.546787</t>
  </si>
  <si>
    <t>WOS:000305565800007</t>
  </si>
  <si>
    <t>Ribera, AE; Zuñiga, G</t>
  </si>
  <si>
    <t>Ribera, A. E.; Zuniga, G.</t>
  </si>
  <si>
    <t>Induced plant secondary metabolites for phytopatogenic fungi control: a review</t>
  </si>
  <si>
    <t>JOURNAL OF SOIL SCIENCE AND PLANT NUTRITION</t>
  </si>
  <si>
    <t>Pathogenic fungi constitute one of the main infectious agents in plants, causing alterations during developmental stages including post-harvest. Phytopathogenic fungi are controlled by synthetic fungicides; however, the use of these is progressively restricted due to both, the harmful effects of pesticides on the environment and human health and the appearance of highly resistant fungal strains. Therefore, there is a great demand for novel natural fungicides. Higher plants are rich source of bioactive secondary metabolites of wide variety such as tannins, terpenoids, saponins, alkaloids, flavonoids, and other compounds, reported to have in vitro antifungal properties. Thus, secondary metabolites with antifungal activity represent an alternative for achieving a sustainable control of phytopathogenic fungi and to reduce the heavy reliance of synthetic pesticides used to control them. Plant antifungal metabolites may be preformed inhibitors that are present constitutively in healthy plants (phytoanticipins), or they may be synthesized de novo in response to pathogen attack or another stress conditions (phytoalexins). These molecules may be used directly or considered as a precursor for developing better fungicidal molecules. This review presents a selection of antifungal agents induced in plants during fungal attack that can be potentially used for phytopathogenic fungi control in crops.</t>
  </si>
  <si>
    <t>Zuñiga, Gustavo/P-8306-2015</t>
  </si>
  <si>
    <t>0718-9508</t>
  </si>
  <si>
    <t>0718-9516</t>
  </si>
  <si>
    <t>10.4067/S0718-95162013005000029</t>
  </si>
  <si>
    <t>WOS:000317737000020</t>
  </si>
  <si>
    <t>Segura, R; Pradena, M; Pinto, D; Godoy, F; Nagles, E; Arancibia, V</t>
  </si>
  <si>
    <t>Segura, Rodrigo; Pradena, Milenco; Pinto, Deny; Godoy, Fernando; Nagles, Edgar; Arancibia, Veronica</t>
  </si>
  <si>
    <t>Adsorptive stripping voltammetry of nickel with 1-nitroso-2-napthol using a bismuth film electrode</t>
  </si>
  <si>
    <t>A sensitive procedure is presented for the voltammetric determination of nickel. The procedure involves an adsorptive accumulation of nickel 1-nitroso-2-napthol (NN) complex on a bismuth film electrode prepared ex situ by electrodeposition. The most suitable operating conditions and parameters such as pH, ligand concentration (C(NN)), adsorptive potential (E(ads)), adsorptive time (t(ads)), scan rate and others were selected and the determination of nickel in aqueous solutions using the standard addition method was possible. The adsorbed Ni-NN complex gives a well defined cathodic stripping peak current at -0.70 V. which was used for the determination of nickel in the concentration range of 10.0-70.0 mu g L(-1) (pH 7.5; C(NN) 6.5 mu mol L(-1); E(ads) -0.30V; t(ads) 60 s) with a detection limit of 0.1 mu g L(-1). The relative standard deviation for a solution containing 10.0 mu g L(-1) of Ni(II) was 3.5% (n = 4). The proposed method was validated determining Ni(II) in certified reference waste water (SPS-WW1) and Certified Reference Water for Trace Elements (TMDA 51.3) with satisfactory results. Then lake water samples were analyzed. (C) 2011 Published by Elsevier BM.</t>
  </si>
  <si>
    <t>Segura, Rodrigo/J-6696-2016</t>
  </si>
  <si>
    <t>Godoy, Fernando/0000-0002-3916-4753; Arancibia, Veronica/0000-0001-7493-0460; Segura, Rodrigo/0000-0001-5747-2357; Nagles Vidal, Edgar Orlando/0000-0002-2957-2817</t>
  </si>
  <si>
    <t>10.1016/j.talanta.2011.07.062</t>
  </si>
  <si>
    <t>WOS:000296115600009</t>
  </si>
  <si>
    <t>Adasme, P; Lisser, A; Soto, I</t>
  </si>
  <si>
    <t>Adasme, Pablo; Lisser, Abdel; Soto, Ismael</t>
  </si>
  <si>
    <t>Robust semidefinite relaxations for a quadratic OFDMA resource allocation scheme</t>
  </si>
  <si>
    <t>COMPUTERS &amp; OPERATIONS RESEARCH</t>
  </si>
  <si>
    <t>This paper proposes two robust binary quadratically constrained quadratic programs (BQCQP) for wireless Orthogonal Frequency Division Multiple Access (OFDMA) networks. The first one is based on a scenario uncertainty approach from Kouvelis and Yu [1] and the second is based on an interval uncertainty approach from Bertsimas and Sim [2]. Both robust models allow to decide what modulations and what sub-carriers are going to be used by a particular user in the system depending on its bit rate requirements. Thus, we derive two robust semidefinite relaxations to compute lower bounds. Our numerical results show, in average near optimal integrality gaps of 4.12% and 1.15% under the scenario and interval approach when compared to the optimal solution of the problem derived by linearizing the two quadratic models with Fortet linearization method. Some comparison between the two robust approaches is also provided. (c) 2011 Elsevier Ltd All rights reserved.</t>
  </si>
  <si>
    <t>Soto, Ismael/0000-0002-5501-5651; Adasme, Pablo/0000-0003-2500-3294</t>
  </si>
  <si>
    <t>0305-0548</t>
  </si>
  <si>
    <t>1873-765X</t>
  </si>
  <si>
    <t>10.1016/j.cor.2011.01.002</t>
  </si>
  <si>
    <t>WOS:000288410200002</t>
  </si>
  <si>
    <t>Contreras-Porcia, L; Dennett, G; González, A; Vergara, E; Medina, C; Correa, JA; Moenne, A</t>
  </si>
  <si>
    <t>Contreras-Porcia, Loretto; Dennett, Geraldine; Gonzalez, Alberto; Vergara, Eva; Medina, Cristobal; Correa, Juan A.; Moenne, Alejandra</t>
  </si>
  <si>
    <t>Identification of Copper-Induced Genes in the Marine Alga Ulva compressa (Chlorophyta)</t>
  </si>
  <si>
    <t>MARINE BIOTECHNOLOGY</t>
  </si>
  <si>
    <t>In order to identify genes/proteins involved in copper tolerance, the marine alga Ulva compressa was cultivated with 10 mu M copper for 3 days. The activities of antioxidant enzymes ascorbate peroxidase (AP), peroxiredoxin (PRX), thioredoxin (TRX), and glutathione-S-transferase (GST) and the level of lipoperoxides were determined in the alga cultivated with and without copper addition. Antioxidant enzyme activities and lipoperoxides level increased in response to copper excess, indicating that the alga was under oxidative stress. A cDNA library was prepared using U. compressa cultivated with 10 mu M copper for 3 days. A total of 3 x 10(4) clones were isolated and 480 clones were sequenced, resulting in 235 non-redundant ESTs, of which 104 encode proteins with known functions. Among them, we identified proteins involved in (1) antioxidant metabolism such as AP, PRX, TRX, GST, and metalothionein (MET), (2) signal transduction, such as calmodulin (CAM), (3) calcium-dependent protein kinase (CDPK) and nucleoside diphosphate kinase (NDK), (4) gene expression, (5) protein synthesis and degradation, and (6) chloroplast and mitochondria electron transport chains. Half of the identified proteins are potentially localized in organelles. The relative level of 18 genes, including those coding for AP, PRX, TRX, GST, MET, CAM, CDPK, and NDK were determined by quantitative RT-PCR in the alga cultivated with 10 mu M copper for 0 to 7 days. Transcript levels increased in response to copper stress and most of them reached a maximum at days 3 and 5. Thus, the selected genes are induced by copper stress and they are probably involved in copper acclimation and tolerance.</t>
  </si>
  <si>
    <t>González, Alberto/IYJ-8593-2023; Contreras-Porcia, Loretto/F-9593-2016</t>
  </si>
  <si>
    <t>Vergara Jimenez, Eva Marilyn/0000-0001-6876-7943; Contreras-Porcia, Loretto/0000-0002-6511-2244; Medina-Moenne, Cristóbal/0000-0003-2340-2793; Gonzalez Figueroa, Alberto/0000-0002-5777-9022</t>
  </si>
  <si>
    <t>1436-2228</t>
  </si>
  <si>
    <t>1436-2236</t>
  </si>
  <si>
    <t>10.1007/s10126-010-9325-8</t>
  </si>
  <si>
    <t>WOS:000291168500020</t>
  </si>
  <si>
    <t>Montalba, R; Arriagada, C; Alvear, M; Zúñiga, GE</t>
  </si>
  <si>
    <t>Montalba, Rene; Arriagada, Cesar; Alvear, Marysol; Zuniga, Gustavo E.</t>
  </si>
  <si>
    <t>Effects of conventional and organic nitrogen fertilizers on soil microbial activity, mycorrhizal colonization, leaf antioxidant content, and Fusarium wilt in highbush blueberry (Vaccinium corymbosum L.)</t>
  </si>
  <si>
    <t>SCIENTIA HORTICULTURAE</t>
  </si>
  <si>
    <t>A study was conducted in the greenhouse to determine the effects of conventional and organic nitrogen (N) fertilizer on Fusarium wilt, caused by Fusarium solani, in northern highbush blueberry (Vaccinium corymbosum L. 'Legacy'). Root colonization by mycorrhizal fungi, soil microbial activity, and leaf antioxidants content was also measured the treatments. Plants grown with organic N fertilizer exhibited a lower incidence of Fusarium wilt than those grown with conventional N fertilizer (5% and 30% by the end of the experiment, respectively). Organic fertilizer also increased the soil biota activity, mycorrhizal colonization, and leaf antioxidant content relative to conventional N source. The results suggest that organic N fertilizer may improve the tolerance of blueberry to soil pathogens, such as F. solani. (C) 2010 Elsevier B.V. All rights reserved.</t>
  </si>
  <si>
    <t>Montalba, Rene/AAP-1279-2020; Zuñiga, Gustavo/P-8306-2015</t>
  </si>
  <si>
    <t>Zuniga, Gustavo/0000-0002-8286-9468; Arriagada, Cesar/0000-0002-8549-6302</t>
  </si>
  <si>
    <t>0304-4238</t>
  </si>
  <si>
    <t>1879-1018</t>
  </si>
  <si>
    <t>JUL 26</t>
  </si>
  <si>
    <t>10.1016/j.scienta.2010.04.046</t>
  </si>
  <si>
    <t>WOS:000280660000035</t>
  </si>
  <si>
    <t>Hasanoglu, A; Romero, J; Pérez, B; Plaza, A</t>
  </si>
  <si>
    <t>Hasanoglu, A.; Romero, J.; Perez, B.; Plaza, A.</t>
  </si>
  <si>
    <t>Ammonia removal from wastewater streams through membrane contactors: Experimental and theoretical analysis of operation parameters and configuration</t>
  </si>
  <si>
    <t>Ammonia removal from water was studied through hydrophobic hollow fiber and flat sheet membrane contactors. These hydrophobic membrane contactors were used to separate the water stream to be treated and a receiving solution. A diluted solution of sulfuric acid was used as a receiving solution to accelerate the removal of ammonia by means of a reaction converting the ammonia into ammonium sulfate ((NH4)(2)SO4), which could be recovered as a by-product [1-3]. Experimental work using commercial hollow fibers under different operation configurations, temperature and hydrodynamic conditions allowed obtaining significantly high extraction percentages of ammonia up to 99.83%. A theoretical model has been developed based on a resistance-in-series model that satisfies with the data those obtained from the experiments. The mass transfer of ammonia has been described by means of both Knudsen and molecular diffusion. However, it has not found a significant difference between the results obtained from the two mechanisms indicating both transport regimes could be possible for the studied system. The circulation configuration of the solutions was found to have a strong effect on the efficiency of the process. Thus, the best circulation configuration of the solutions for the hollow fiber contactors entailed the flow of feed solution in the shellside while the receiving solution in the lumenside of the membranes. (C) 2010 Elsevier BM. All rights reserved.</t>
  </si>
  <si>
    <t>Hasanoğlu, Ayça/AAZ-4636-2020; Romero, Julio/I-6705-2013</t>
  </si>
  <si>
    <t>Romero, Julio/0000-0002-1229-1592; Plaza, Andrea/0000-0001-9475-007X; Hasanoglu, Ayca/0000-0002-2988-8504</t>
  </si>
  <si>
    <t>JUN 1</t>
  </si>
  <si>
    <t>10.1016/j.cej.2010.03.064</t>
  </si>
  <si>
    <t>WOS:000279137900018</t>
  </si>
  <si>
    <t>Skurtys, O; Acevedo, C; Pedreschi, F; Enrione, J; Osorio, F; Aguilera, JM</t>
  </si>
  <si>
    <t>Hollingworth, CS</t>
  </si>
  <si>
    <t>Skurtys, O.; Acevedo, C.; Pedreschi, F.; Enrione, J.; Osorio, F.; Aguilera, J. M.</t>
  </si>
  <si>
    <t>FOOD HYDROCOLLOID EDIBLE FILMS AND COATINGS</t>
  </si>
  <si>
    <t>FOOD HYDROCOLLOIDS: CHARACTERISTICS, PROPERTIES AND STRUCTURES</t>
  </si>
  <si>
    <t>Food Science and Technology Series</t>
  </si>
  <si>
    <t>In this chapter book, we present and discuss some aspects of hydrocolloid edible films and coating. The film-forming materials is presented and the physical properties (e.g. thickness, mechanical, optical and thermodynamic properties, water and gases barrier) of the film and coating are examined in detail. The main techniques used to form edible coatings as spray systems or immersion procedures are discussed as well as the solvent casting and the extrusion processes for the edible films. The main disadvantage of these techniques is the lost of quality of the edible coatings and films since there is no control over the shape, size and size distribution of the dispersed elements (e.g. additives, ingredients, etc.) in the support structure matrix is poor. Thus, microfluidic applications are presented and discussed to solve some of these problems and to improve film qualities.</t>
  </si>
  <si>
    <t>Aguilera, Jose/D-1383-2014; Enrione, Javier/I-9225-2014; skurtys, olivier/HNS-4835-2023; osorio, fernando/AAY-7304-2021</t>
  </si>
  <si>
    <t>skurtys, olivier/0000-0003-1432-7242; osorio, fernando/0000-0001-7206-0924; Aguilera, Jose Miguel/0000-0001-5754-2722</t>
  </si>
  <si>
    <t>978-1-60876-222-4</t>
  </si>
  <si>
    <t>WOS:000284345000002</t>
  </si>
  <si>
    <t>Vasalos, I; Carrasco, RA; Woo, WL; Soto, I</t>
  </si>
  <si>
    <t>Vasalos, I.; Carrasco, R. A.; Woo, W. L.; Soto, I.</t>
  </si>
  <si>
    <t>Nonlinear complex behaviour of TCP in UMTS networks and performance analysis</t>
  </si>
  <si>
    <t>IET CIRCUITS DEVICES &amp; SYSTEMS</t>
  </si>
  <si>
    <t>Nonlinear dynamic behaviour of transmission control protocol (TCP) in universal mobile telecommunications system (UMTS) networks is proposed. The dynamic characteristics of TCP are explored using the fundamentals of chaos theory, and the occurrence of chaotic behaviour in relation to the feedback that is received (packet drops, packet delays) by TCP from the network is explained theoritically. To validate the concept proposed, a model of the UMTS network is built and simulated under various user traffic loads. Using standard chaos methodology, it was found that inside the UMTS the TCP exhibits aperiodicity and sensitivity to initial conditions that are inherent characteristics of chaos. In particular, simulation results illustrate that as the traffic load increases, the behaviour of the network ranges from periodically stable to chaotic, with a direct impact on the quality of service of the network.</t>
  </si>
  <si>
    <t>Woo, Wai/T-3662-2018</t>
  </si>
  <si>
    <t>Soto, Ismael/0000-0002-5501-5651; Woo, Wai Lok/0000-0002-8698-7605</t>
  </si>
  <si>
    <t>1751-858X</t>
  </si>
  <si>
    <t>1751-8598</t>
  </si>
  <si>
    <t>10.1049/iet-cds:20070042</t>
  </si>
  <si>
    <t>WOS:000254487900010</t>
  </si>
  <si>
    <t>Carvajal, K; Acuña, G</t>
  </si>
  <si>
    <t>Liu, D; Fei, S; Hou, ZG; Zhang, HG; Sun, CY</t>
  </si>
  <si>
    <t>Carvajal, Karina; Acuna, Gonzalo</t>
  </si>
  <si>
    <t>Estimation of state variables in semiautogenous mills by means of a neural moving horizon state estimator</t>
  </si>
  <si>
    <t>ADVANCES IN NEURAL NETWORKS - ISNN 2007, PT 1, PROCEEDINGS</t>
  </si>
  <si>
    <t>4th International Symposium on Neural Networks (ISNN 2007)</t>
  </si>
  <si>
    <t>JUN 03-07, 2007</t>
  </si>
  <si>
    <t>Nanjing, PEOPLES R CHINA</t>
  </si>
  <si>
    <t>Natl Nat Sci Fdn China,KC Wong Educ Fdn,SE Univ China,Chinese Univ Hong Kong,Univ Illinois, Chicago</t>
  </si>
  <si>
    <t>A method of moving horizon state estimation (MHSE) including a recurrent neural network as the dynamic model is used as an estimator of the filling level of the mill for a semiautogenous ore grinding process. The results are compared to those of a simple neural network acting as an estimator. They show the advantages of the Neural-MHSE, especially concerning robustness under large perturbations of the state variables (index of agreement &gt; 0.9), which would favor its application to industrial scale processes.</t>
  </si>
  <si>
    <t>Acuna Leiva, Gonzalo Pedro/0000-0002-0519-7792</t>
  </si>
  <si>
    <t>978-3-540-72382-0</t>
  </si>
  <si>
    <t>WOS:000247063100146</t>
  </si>
  <si>
    <t>Quezada, M; Henríquez, S; Vargas, M; Cardenas, H; Tapia, A; Rios, M; Salvatierra, AM; Orihuela, PA; Croxatto, HB; Velasquez, L</t>
  </si>
  <si>
    <t>Quezada, Marisol; Henriquez, Soledad; Vargas, Macarena; Cardenas, Hugo; Tapia, Alejandro; Rios, Miguel; Salvatierra, Ana M.; Orihuela, Pedro A.; Croxatto, Horacio B.; Velasquez, Luis</t>
  </si>
  <si>
    <t>Proenkephalin A and the γ-aminobutyric acid A receptor π subunit:: expression, localization, and dynamic changes in human secretory endometrium</t>
  </si>
  <si>
    <t>FERTILITY AND STERILITY</t>
  </si>
  <si>
    <t>Objective: To compare mRNA and protein levels of proenkephalin A (PEA) and gamma-aminobutyric acid A receptor pi subunit (pi GABA-R) in human secretory endometrium before and during receptivity and to determine the cell phenotypes where they are expressed. Design: Prospective and observational, comparing prereceptive vs. receptive stages of secretory endometrium within the same nonconceptional menstrual cycle. Setting: University and non-governmental organization (NGO)-based academic and clinical research facilities. Patient(s): Seven healthy, multiparous, surgically sterilized women with spontaneous regular menstrual cycles. Intervention(s): Endometrial biopsies were obtained on LH+3 and LH+7 within the same cycle. Main Outcome Measure(s): Levels of PEA and pi GABA-R mRNA were determined by real-time PCR, and protein presence, by immunofluorescence. Result(s): The mRNA level of PEA fell, whereas that of pi GABA-R increased, during endometrial receptivity. Positive immunostaining of PEA was found in the luminal and glandular epithelium, whereas that of pi GABA-R was in luminal epithelium and stromal cells. Conclusion(s): The discrete cell-phenotype localization and timing of the changes in the level of PEA and of pi GABA-R mRNA and protein suggest an important role for these molecules in switching the human endometrium from a refractory to a receptive state.</t>
  </si>
  <si>
    <t>Tapia-Pizarro, Alejandro/IUQ-1738-2023</t>
  </si>
  <si>
    <t>Henriquez, Soledad/0000-0003-3507-6534; Velasquez, Luis/0000-0002-9479-1792</t>
  </si>
  <si>
    <t>0015-0282</t>
  </si>
  <si>
    <t>1556-5653</t>
  </si>
  <si>
    <t>10.1016/j.fertnstert.2006.05.033</t>
  </si>
  <si>
    <t>WOS:000242863400028</t>
  </si>
  <si>
    <t>Vallejos, JP</t>
  </si>
  <si>
    <t>Pinto Vallejos, Julio</t>
  </si>
  <si>
    <t>The awakening of the proletarian: The Socialist Worker's Party and the construction of worker identity in Chile</t>
  </si>
  <si>
    <t>HAHR-HISPANIC AMERICAN HISTORICAL REVIEW</t>
  </si>
  <si>
    <t>0018-2168</t>
  </si>
  <si>
    <t>10.1215/00182168-2006-048</t>
  </si>
  <si>
    <t>WOS:000242104700003</t>
  </si>
  <si>
    <t>Vargas, MF; Rubilar, P; Tapia, A; Henríquez, S; Quezada, M; Gangi, L; Munroe, D; Salvatierra, AM; Croxatto, H; Velásquez, L</t>
  </si>
  <si>
    <t>Expression of complement component inhibitors is increased in the endometrium during the receptive period and decreased in infertile women with implantation failure</t>
  </si>
  <si>
    <t>Joint Meeting of the 2nd Latinamerican Symposium on Fetal-Mateanal Interaction and Placenta/19th Annual Meeting of the Chilean-Society-of-Physiological-Sciences</t>
  </si>
  <si>
    <t>NOV 06-09, 2005</t>
  </si>
  <si>
    <t>Chilean Soc Physiol Sci</t>
  </si>
  <si>
    <t>A71</t>
  </si>
  <si>
    <t>WOS:000233996200258</t>
  </si>
  <si>
    <t>Ispolatov, I; Karttunen, M</t>
  </si>
  <si>
    <t>Anomalously slow phase transitions in self-gravitating systems</t>
  </si>
  <si>
    <t>PHYSICAL REVIEW E</t>
  </si>
  <si>
    <t>The kinetics of collapse and explosion transitions in microcanonical self-gravitating ensembles is analyzed. A system of point particles interacting via an attractive soft Coulomb potential and confined to a spherical container is considered. We observed that for 100-200 particles collapse takes 10(3)-10(4) particle crossing times to complete; i.e., it is by two to three orders of magnitude slower than the velocity relaxation. In addition, it is found that the collapse time decreases rapidly with an increase of the soft-core radius. We found that such an anomalously long collapse time is caused by the slow energy exchange between a higher-temperature compact core and relatively cold diluted halo. The rate of energy exchange between the faster modes of the core particles and slower-moving particles of the halo is exponentially small in the ratio of the frequencies of these modes. As the soft-core radius increases and the typical core modes become slower, the ratio of core and halo frequencies decreases and the collapse accelerates. Implications for astrophysical systems and phase transition kinetics are discussed.</t>
  </si>
  <si>
    <t>Karttunen, Mikko/G-4531-2010; Ispolatov, Iaroslav/E-8544-2010</t>
  </si>
  <si>
    <t>Karttunen, Mikko/0000-0002-8626-3033; Ispolatov, Iaroslav/0000-0002-0201-3396</t>
  </si>
  <si>
    <t>1539-3755</t>
  </si>
  <si>
    <t>1550-2376</t>
  </si>
  <si>
    <t>10.1103/PhysRevE.70.026102</t>
  </si>
  <si>
    <t>WOS:000223784600011</t>
  </si>
  <si>
    <t>Palma, W; Zevallos, M</t>
  </si>
  <si>
    <t>Analysis of the correlation structure of square time series</t>
  </si>
  <si>
    <t>JOURNAL OF TIME SERIES ANALYSIS</t>
  </si>
  <si>
    <t>This paper analyses the asymptotic behaviour of the autocorrelation structure exhibited by squares of time series with a Wold expansion where the input error is a sequence of random variables with mean zero and finite kurtosis. Two important cases are discussed: (i) when the errors are independent and, (ii) when the errors are uncorrelated but their squares are correlated. Both situations are addressed when the process exhibits short or long memory. Consequences of these results on certain models widely used in many disciplines are also discussed.</t>
  </si>
  <si>
    <t>Zevallos, Mauricio/A-2521-2013</t>
  </si>
  <si>
    <t>, Wilfredo/0000-0002-7814-2653</t>
  </si>
  <si>
    <t>0143-9782</t>
  </si>
  <si>
    <t>1467-9892</t>
  </si>
  <si>
    <t>10.1111/j.1467-9892.2004.01797.x</t>
  </si>
  <si>
    <t>WOS:000221974800006</t>
  </si>
  <si>
    <t>Sáenz, C; Sepúlveda, E; Matsuhiro, B</t>
  </si>
  <si>
    <t>Opuntia spp mucilage's:: a functional component with industrial perspectives</t>
  </si>
  <si>
    <t>JOURNAL OF ARID ENVIRONMENTS</t>
  </si>
  <si>
    <t>Opuntia genus is widely known for its mucilage production. Mucilage, a complex carbohydrate with a great capacity to absorb water, should be considered a potential source of industrial hydrocolloid. Mucilage contains varying proportions of L-arabinose, D-galactose, L-rhamnose, and D-xylose, as well as galacturonic acid. The mucilage content found in the cactus cladodes is influenced not only by the management of the crop but is also dependent on the temperature, irrigation and the rain. In some countries, small farmers use cactus mucilage to purify drinking water. Another traditional use is for improving house paint. Recently, a cactus cladode extract was tested to improve water infiltration in soils. Other properties of cactus mucilage, particularity culinary uses, have also been mentioned. (C) 2003 Elsevier Ltd. All rights reserved.</t>
  </si>
  <si>
    <t>Saenz, Carmen/I-1027-2013</t>
  </si>
  <si>
    <t>0140-1963</t>
  </si>
  <si>
    <t>1095-922X</t>
  </si>
  <si>
    <t>10.1016/S0140-1963(03)00106-X</t>
  </si>
  <si>
    <t>WOS:000220418100001</t>
  </si>
  <si>
    <t>Prado, HE</t>
  </si>
  <si>
    <t>Reduced Weil models for representations of GL(2, R) and Barnes' Lemma</t>
  </si>
  <si>
    <t>JOURNAL OF THE LONDON MATHEMATICAL SOCIETY-SECOND SERIES</t>
  </si>
  <si>
    <t>0024-6107</t>
  </si>
  <si>
    <t>10.1112/S002461079600453X</t>
  </si>
  <si>
    <t>WOS:A1997WN21900013</t>
  </si>
  <si>
    <t>Sotomayor, CP; Aguilar, LF; Campos, AM; Lissi, EA</t>
  </si>
  <si>
    <t>Effect of the incorporation of alkanols upon the properties of DPPC vesicles, dependence with the solute concentration and topology</t>
  </si>
  <si>
    <t>Diphenylhexatriene (DPH) and three 9-antroyloxy derivatives of stearic acid (AS) with the fluorescent moiety localized at different carbons of the stearyl chain, has been employed as fluorescent probes to study the changes produced in DPPC large unilamellar vesicles by the incorporation of several alkanols of different topology. From the modification of the fluorescence anisotropy of these probes, the effect of the alkanol incorporation upon different parts of the bilayer are evaluated. The biphasic behavior observed using AS probes is interpreted in terms of crowding the interface followed by a disorganization of the central parts of the bilayer. Differences in the behavior of the AS probes indicate that the fluidification of the central parts of the bilayer is considerably larger than the disorganization of the bilayer borders. The hypothesis that probes molecules create their own defects, where the fluorophore rotation is rather unhindered, is raised in order to explain !he existence of fluorescence anisotropy maxima of two of the AS probes at relative low alkanol intravesicular concentrations.</t>
  </si>
  <si>
    <t>Aguilar, Luis/0000-0002-6038-3475</t>
  </si>
  <si>
    <t>WOS:A1996UD45500014</t>
  </si>
  <si>
    <t>Torres, R; Villarroel, L; Salgado, I; DelleMonache, F</t>
  </si>
  <si>
    <t>Free and acylated ent-kauranols from Bahia ambrosioides Lag: Structural determination and C-13-NMR data.</t>
  </si>
  <si>
    <t>The resinous extract of Bahia ambrosioides Lag. afforded five know compounds and three new acyl-ent-kauranols, 17-O-(3-hydroxy-3'methyl)pentanoate-16 alpha-ent-kauranol (1f); 17-O-(3'-hydroxy-3'-methyl)butanoate-16 alpha-ent-kauranol (Ig) and 17-O-(3'-isopropoxyl)propanoate-16 alpha-ent-kauranol (1h). The structures were elucidated by high field H-1 and C-13-NMR spectroscopy and MS-FAB.</t>
  </si>
  <si>
    <t>WOS:A1995TN57900017</t>
  </si>
  <si>
    <t>VASCHETTO, ME; RETAMAL, BA; CONTRERAS, ML; ZAGAL, JH; BULHOES, LOS</t>
  </si>
  <si>
    <t>THEORETICAL-STUDIES OF PHYSICOCHEMICAL PROPERTIES OF ANILINE OLIGOMERS - ANALYSIS OF COUNTERION INFLUENCE</t>
  </si>
  <si>
    <t>STRUCTURAL CHEMISTRY</t>
  </si>
  <si>
    <t>We present some semiempirical quantum chemistry calculations, geometric structures, charge distribution, gap energy, and enthalpy of formation (Delta H-f) for aniline oligomers in the different oxidation states using the AM1 method. A linear relationship between calculated optical transition values and the experimental reported ones was found. The effect of the interaction between the chloride counterion and these molecules was analyzed and indicates a decrease both in Delta H-f of the aniline oligomers in the radical cation state and in Delta E(SOMO-LUMO). The withdrawal of one electron from the reduced aniline tetramer to form a radical cation in the presence of chloride (Cl-) yields to the radical cation band, similar to the polaron band in the polyaniline case. Contrary to the expected results, our calculations show that Cl- was able to transfer about 80% of its charge to the oligomers.</t>
  </si>
  <si>
    <t>zagal, jose/L-9648-2014; Bulhões, Luis Otavio/GNW-3845-2022</t>
  </si>
  <si>
    <t>S. Bulhoes, Luis Otavio/0000-0002-9772-4034</t>
  </si>
  <si>
    <t>1040-0400</t>
  </si>
  <si>
    <t>10.1007/BF02281739</t>
  </si>
  <si>
    <t>WOS:A1995QT99200008</t>
  </si>
  <si>
    <t>ENCINAS, MV; ROJAS, MC; GOLDIE, H; CARDEMIL, E</t>
  </si>
  <si>
    <t>COMPARATIVE STEADY-STATE FLUORESCENCE STUDIES OF CYTOSOLIC RAT-LIVER (GTP), SACCHAROMYCES-CEREVISIAE (ATP) AND ESCHERICHIA-COLI (ATP) PHOSPHO ENOL PYRUVATE CARBOXYKINASES</t>
  </si>
  <si>
    <t>BIOCHIMICA ET BIOPHYSICA ACTA</t>
  </si>
  <si>
    <t>Two members of the ATP-dependent class of phosphoenolpyruvate (PEP) carboxykinases (Saccharomyces cerevisiae and Escherichia coli PEP carboxykinase), and one member of the GTP-dependent class (the cytosolic rat liver enzyme) have been comparatively analyzed by taking advantage of their intrinsic fluorescence. The S. cerevisiae and the rat liver enzymes show intrinsic fluorescence with a maximum emission characteristic of moderately buried tryptophan residues, while the E. coli carboxykinase shows somewhat more average exposure for these fluorophores. The fluorescence of the three proteins was similarly quenched by the polar compound acrylamide, but differences were observed for the ionic quencher iodide. For the ATP-dependent enzymes, these last experiments indicate more exposure to the aqueous media of the tryptophan population of the E. coli than of the S. cerevisiae enzyme. The effect of nucleotides on the emission intensities and quenching efficiencies revealed substrate-induced conformational changes in the E. coli and cytosolic rat liver PEP carboxykinases. The addition of Mn2+ or of the adenosine nucleotides in the presence of Mg2+ induced an enhancement in the fluorescence of the E. coli enzyme. The addition of guanosine or inosine nucleotides to the rat liver enzyme quenched its fluorescence. From the ligand-induced fluorescence changes, dissociation constants of 40 +/- 6 muM, 10 +/- 0.8 muM, and 15 +/- 1 muM were obtained for Mn2+, MgATP and MgADP binding to the E. coli enzyme, respectively. For the cytosolic rat liver PEP carboxykinase, the respective values for GDP, IDP and ITP binding are 6 +/- 0.5 muM, 6.7 +/- 0.4 muM and 10.1 +/- 1.7 muM. A comparison of the dissociation constants obtained in this work with those reported for other PEP carboxykinases is presented.</t>
  </si>
  <si>
    <t>0006-3002</t>
  </si>
  <si>
    <t>MAR 5</t>
  </si>
  <si>
    <t>10.1016/0167-4838(93)90147-J</t>
  </si>
  <si>
    <t>WOS:A1993KQ76000028</t>
  </si>
  <si>
    <t>MATSUHIRO, B; RIVAS, P; LAMBA, D</t>
  </si>
  <si>
    <t>POLYSACCHARIDES FROM NUCLEAR-PHASES OF GRACILARIA-CHILENSIS</t>
  </si>
  <si>
    <t>Aqueous extraction at 95-degrees-C of cystocarpic, female gametophytic and tetrasporophytic Gracilaria chilensis gave agar-type polysaccharides. Hydrolysis, ion-exchange chromatography and NMR spectroscopy analyses showed no remarkable differences among the polysaccharides from the different nuclear phases. The results obtained indicate that they are mixtures of related polymers, which range from neutral polysaccharides to highly sulfated galactans.</t>
  </si>
  <si>
    <t>Lamba, Doriano/B-2961-2011</t>
  </si>
  <si>
    <t>Lamba, Doriano/0000-0001-6859-7868</t>
  </si>
  <si>
    <t>WOS:A1992JD37000003</t>
  </si>
  <si>
    <t>CACERES, T; SOTO, H; LISSI, E; CISTERNAS, R</t>
  </si>
  <si>
    <t>INDOOR HOUSE POLLUTION - APPLIANCE EMISSIONS AND INDOOR AMBIENT CONCENTRATIONS</t>
  </si>
  <si>
    <t>ATMOSPHERIC ENVIRONMENT</t>
  </si>
  <si>
    <t>Emission rates for CO, NO, NO2 and CH2O from several unvented gas and kerosene heaters frequently employed in domestic heating were measured. The indoor concentrations generated by these emissions were evaluated and compared to those determined in typical houses. The predicted and measured values exceeded the short term air quality standards accepted in most countries.</t>
  </si>
  <si>
    <t>1352-2310</t>
  </si>
  <si>
    <t>1873-2844</t>
  </si>
  <si>
    <t>10.1016/0004-6981(83)90253-6</t>
  </si>
  <si>
    <t>WOS:A1983RC12700010</t>
  </si>
  <si>
    <t>GILLLAMBIAS, FJ; ESCUDEYCASTRO, AM; SANTOSBLANCO, J</t>
  </si>
  <si>
    <t>APPARENT SURFACE COVERAGE DETERMINATION IN NIO/GAMMA-AL2OO AND COO/GAMMA-AL2O3 SYSTEMS</t>
  </si>
  <si>
    <t>JOURNAL OF CATALYSIS</t>
  </si>
  <si>
    <t>0021-9517</t>
  </si>
  <si>
    <t>10.1016/0021-9517(83)90044-1</t>
  </si>
  <si>
    <t>WOS:A1983RF89000022</t>
  </si>
  <si>
    <t>HOJMAN, R; SMAILAGIC, A</t>
  </si>
  <si>
    <t>EXACT-SOLUTIONS OF STRONG GRAVITY IN GENERALIZED METRICS</t>
  </si>
  <si>
    <t>JOURNAL OF MATHEMATICAL PHYSICS</t>
  </si>
  <si>
    <t>0022-2488</t>
  </si>
  <si>
    <t>10.1063/1.525581</t>
  </si>
  <si>
    <t>WOS:A1983PY85500019</t>
  </si>
  <si>
    <t>Cho, AYH; Carrasco-Bozo, M; Soto-Piñeira, C; Silva, C; Ormazábal-Toledo, R; Sandoval-Altamirano, C; Gunther, G</t>
  </si>
  <si>
    <t>Cho, Analia Young Hwa; Carrasco-Bozo, Matias; Soto-Pineira, Christian; Silva, Christian; Ormazabal-Toledo, Rodrigo; Sandoval-Altamirano, Catalina; Gunther, German</t>
  </si>
  <si>
    <t>Oxazol-Fused Phenalenones: Tuning Fluorescence and Singlet Oxygen Generation with Solvent and Substituent</t>
  </si>
  <si>
    <t>CHEMISTRY-AN ASIAN JOURNAL</t>
  </si>
  <si>
    <t>Typically, singlet oxygen is generated by photosensitization, with 1H-phenalen-1-one (PN) being an efficient photosensitizer that achieves nearly unity quantum yield across various solvents. However, the molecule lacks the ability to fluoresce, which could otherwise provide spatiotemporal information for potential theranostic applications. Moreover, its absorption spectrum should be red-shifted to move toward the visible range, ideally approaching the therapeutic window without compromising ability to generate singlet oxygen. We resolved to explore the option of fusing new aromatic rings to the tricyclic PN structure. A series of 9-substituted 7H-phenaleno[2,1-d]oxazol-7-one were synthesized and characterized. The results indicate that introduction of an oxazole ring does not significantly disturb the efficient photosensitization of the core 1H-phenalen-1-one, as evidenced by 9-methyl-7H-phenaleno[2,1-d]oxazol-7-one) which presented Phi Delta near unity across various solvents; albeit it lacked fluorescence. In contrast, aromatic derivatives exhibit a balanced behavior between fluorescence and photosensitization. In polar protic media, fluorescence is preferred, while in apolar media, photosensitization is favored. The substituent effect was analyzed with electron-donating groups favoring non-radiative processes, particularly in polar media. Electron-attracting/neutral groups exhibited a mixed behavior between fluorescence, intersystem crossing (ISC), and non-radiative processes. Theoretical calculations suggest that observed excitation profiles and photochemical behavior correlates with electron density remotion from PN core.</t>
  </si>
  <si>
    <t>Gunther, German/I-1028-2013; Ormazabal-Toledo, Rodrigo/AAO-5694-2020; Ormazabal-Toledo, Rodrigo/I-2490-2013</t>
  </si>
  <si>
    <t>Ormazabal-Toledo, Rodrigo/0000-0003-1777-0426</t>
  </si>
  <si>
    <t>1861-4728</t>
  </si>
  <si>
    <t>1861-471X</t>
  </si>
  <si>
    <t>2025 APR 7</t>
  </si>
  <si>
    <t>10.1002/asia.202500060</t>
  </si>
  <si>
    <t>APR 2025</t>
  </si>
  <si>
    <t>WOS:001460257200001</t>
  </si>
  <si>
    <t>Navarrete, A; Manquian, C; Vivas, L; Serafini, D; Singh, DP</t>
  </si>
  <si>
    <t>Navarrete, Alberto; Manquian, Carolina; Vivas, Leonardo; Serafini, Daniel; Singh, Dinesh Pratap</t>
  </si>
  <si>
    <t>Controlled growth-dependent electrochemical behavior of cobalt and 1,3,5 benzene-tricarboxylic acid-based MOFs for efficient supercapacitor applications</t>
  </si>
  <si>
    <t>This study investigates the synthesis and electrochemical performance of cobalt-BTC acid -based metal -organic frameworks (Co-MOFs) under different hydrothermal conditions. The crystal growth was controlled by varying the concentration of NaOH during synthesis, resulting in three Co-BTC MOF varieties (labeled as COMOFDW-0mM, COMOFDW-3mM, and COMOFDW-6mM). Exhaustive structural-microstructural characterizations, including X-ray diffraction (XRD), scanning electron microscopy (SEM), and N 2 adsorption -desorption isotherms, elucidate the structural and morphological variation among these Co-BTC MOF varieties. The crystal structures of COMOFDW-0mM and COMOFDW-3mM exhibit similar laminar configurations, while COMOFDW-6mM shows major variations, such as changes in the coordination modes between BTC and cobalt complexes and differences in BTC plane directions in MOF crystal faces. SEM images reveal distinctive needle -like morphologies, and the as -synthesized crystals exhibit varying aspect ratios. Nitrogen adsorption -desorption isotherms indicate variations in the presence of micropores and mesoporosities, revealing microstructural differences. Electrochemical evaluations in a three -electrode system reveal superior performance for COMOFDW-6mM, with a maximum specific capacitance of 261.27 F/g, an energy density of 7.34 Wh/kg, and a maximum power density of 1325.2 W/kg under 2 M KOH electrolyte. Two -electrode coin cell measurements further validate its potential, maintaining competitive capacitance values. This systematic exploration of CoMOFs not only elucidates the impact of growth conditions on crystal structures but also underscores the potential for tailoring electrochemical properties. Moreover, the findings present opportunities for further enhancements through composite strategies, opening new avenues for advancing MOFs in energy storage applications.</t>
  </si>
  <si>
    <t>Vivas, Leonardo/S-1584-2019; SINGH, DINESH/A-2509-2011</t>
  </si>
  <si>
    <t>SINGH, DINESH/0000-0002-2893-7749; Vivas, Leonardo/0000-0001-5044-9680; Manquian Villalobos, Carolina/0000-0003-1329-7790</t>
  </si>
  <si>
    <t>10.1016/j.matchemphys.2024.129142</t>
  </si>
  <si>
    <t>MAR 2024</t>
  </si>
  <si>
    <t>WOS:001219100600001</t>
  </si>
  <si>
    <t>Gonzalez, A; Galdames, S</t>
  </si>
  <si>
    <t>Gonzalez, Alvaro; Galdames, Sergio</t>
  </si>
  <si>
    <t>Imagining Educational Leadership for a New World</t>
  </si>
  <si>
    <t>PERSPECTIVA EDUCACIONAL</t>
  </si>
  <si>
    <t>galdames, sergio/P-5604-2019; González Torres, Álvaro/GQY-8883-2022</t>
  </si>
  <si>
    <t>0718-9729</t>
  </si>
  <si>
    <t>WOS:001249338600001</t>
  </si>
  <si>
    <t>Lubián, C; Córdoba, C</t>
  </si>
  <si>
    <t>Lubian, Carlos; Cordoba, Claudia</t>
  </si>
  <si>
    <t>Concentration of Migrant Students in Santiago (Chile) and Institutional Discourses: Differences with the Spanish Case</t>
  </si>
  <si>
    <t>REICE-REVISTA IBEROAMERICANA SOBRE CALIDAD EFICACIA Y CAMBIO EN EDUCACION</t>
  </si>
  <si>
    <t>In the context of a growing increase in the migrant population in Chile, we analyze the uneven distribution and problematic incorporation of these students in schools of Santiago, where the segregation reaches its greatest magnitude. Through a mixed methods analysis -quantitative, geographical and qualitative- we present a picture of the school concentration in Greater Santiago calculated through indicators of segregation, and a discursive analysis of heads of high-concentration schools (CAC) about the reasons for this concentration. Finally, we compare the results with a similar case study carried out in Spain. The results point, firstly, to very high and heterogeneous levels of segregation in the Chilean capital; secondly, to an unequal location of schools in the territory, which draws and reproduces unequal levels of school concentration by district; thirdly, there are CACs in charge of the schooling of migrant students that reproduce dynamics of institutionalized school concentration. The discussion of comparative results suggests differences in the conception of school concentration, more standardized, functional and accepted in the Chilean case, probably as a result of more deeply rooted educational market logics.</t>
  </si>
  <si>
    <t>Lubián, Carlos/HNR-1449-2023</t>
  </si>
  <si>
    <t>1696-4713</t>
  </si>
  <si>
    <t>10.15366/reice2024.22.1.004</t>
  </si>
  <si>
    <t>WOS:001131887700001</t>
  </si>
  <si>
    <t>Vicencio, F; Torres-Olivares, S; Flores, EIS</t>
  </si>
  <si>
    <t>Flores, EIS; Astroza, R; Das, R</t>
  </si>
  <si>
    <t>Vicencio, Felipe; Torres-Olivares, Sebastian; Flores, Erick I. Saavedra</t>
  </si>
  <si>
    <t>Seismic Structure-Soil-Structure Interaction Between a Pair of Cross-Laminated Timber Buildings Under Seismic Loads</t>
  </si>
  <si>
    <t>RECENT ADVANCES ON THE MECHANICAL BEHAVIOUR OF MATERIALS, ICM 2023</t>
  </si>
  <si>
    <t>Lecture Notes in Civil Engineering</t>
  </si>
  <si>
    <t>14th International Conference on the Mechanical Behaviour of Materials (ICM)</t>
  </si>
  <si>
    <t>JUL 12-14, 2023</t>
  </si>
  <si>
    <t>Univ Santiago, Dept Civil Engn</t>
  </si>
  <si>
    <t>Frequently, buildings in urban areas are designed by considering the response of structures as stand-alone i.e., a single structure, with no neighbouring structures. Nevertheless, the existence of a high density of buildings in large metropolitan areas inevitably results in the likelihood of seismic interaction of adjacent buildings through the underlying soil. This problem is better known as Structure-Soil-Structure Interaction (SSSI), and this interaction can either increase or decrease the seismic response of a structure, and its relevance was highlighted in early studies (Lee and Wesley in Nucl Eng Des 24:374-387, [1]; Kobori et al. Dynamical cross-interaction between two foundation, [2]; Wong and Luco in Soil Dyn Earthq Eng 5:149-158, [3]; Triantafyllidis and Prange in Soil Dyn Earthq Eng 7:40-52, [4]). In this research, we explore the influence of Structure-Soil-Structure Interaction (SSSI) between a pair of cross-laminated timber (CLT) buildings under seismic excitation. A complete 3-dimensional high-order model of the soil and buildings is performed. The finite element method is used for the numerical simulations in ANSYS. The interaction effects are investigated for different heights of the buildings and soil properties. Results suggest that the SSSI can affect displacement, inter-story drift and accelerations. The impact of the SSSI effects is more relevant for loose soil.</t>
  </si>
  <si>
    <t>Vicencio, Felipe/AAH-6860-2021</t>
  </si>
  <si>
    <t>Vicencio, Felipe/0000-0001-6692-8192</t>
  </si>
  <si>
    <t>2366-2557</t>
  </si>
  <si>
    <t>2366-2565</t>
  </si>
  <si>
    <t>978-3-031-53377-8; 978-3-031-53375-4; 978-3-031-53374-7</t>
  </si>
  <si>
    <t>10.1007/978-3-031-53375-4_1</t>
  </si>
  <si>
    <t>WOS:001298122200001</t>
  </si>
  <si>
    <t>Pérez-Lantero, P; Seara, C</t>
  </si>
  <si>
    <t>Perez-Lantero, Pablo; Seara, Carlos</t>
  </si>
  <si>
    <t>Center of maximum-sum matchings of bichromatic points</t>
  </si>
  <si>
    <t>DISCRETE MATHEMATICS</t>
  </si>
  <si>
    <t>Let R and B be two point sets in the plane with |R| = |B| = n. Let M = {(r(i), b(i)), i = 1, 2, ... , n} be a perfect matching that matches points of R with points of B and maximizes Sigma(n)(i=1) ||r(i) - b(i)||, the total Euclidean distance of the matched pairs. In this paper, we prove that there exists a point o of the plane (the center of M) such that ||r(i) - o|| + ||b(i) - o|| &lt;= root 2 ||r(i) -b(i)|| for all i is an element of{1, 2, ..., n}. (c) 2023 Elsevier B.V. All rights reserved.</t>
  </si>
  <si>
    <t>Seara, Carlos/Z-3370-2019</t>
  </si>
  <si>
    <t>0012-365X</t>
  </si>
  <si>
    <t>1872-681X</t>
  </si>
  <si>
    <t>10.1016/j.disc.2023.113822</t>
  </si>
  <si>
    <t>WOS:001133396600001</t>
  </si>
  <si>
    <t>Lizama, C; Murillo-Arcila, M</t>
  </si>
  <si>
    <t>Lizama, Carlos; Murillo-Arcila, Marina</t>
  </si>
  <si>
    <t>Periodic solutions for the Blackstock-Crighton-Westervelt equation</t>
  </si>
  <si>
    <t>We investigate the Blackstock-Crighton-Westervelt equation which models nonlinear acoustic wave propagation in thermally relaxing viscous fluids. We prove existence and regularity, in a Lp -Lq setting, of time-periodic solutions for a given sufficiently small time-periodic forcing data, and homogeneous Dirichlet boundary conditions over a cylindrical domain. We show maximal Lp-regularity for the abstract linearized model. We use techniques of operator-valued Fourier multiplier theorems combined with a generalized version of the implicit function theorem. &amp; COPY; 2023 Elsevier Ltd. All rights reserved.</t>
  </si>
  <si>
    <t>1873-5215</t>
  </si>
  <si>
    <t>10.1016/j.na.2023.113277</t>
  </si>
  <si>
    <t>WOS:001058370900001</t>
  </si>
  <si>
    <t>Kooshki, L; Zarneshan, SN; Fakhri, S; Moradi, SZ; Echeverria, J</t>
  </si>
  <si>
    <t>Kooshki, Leila; Zarneshan, Seyede Nazanin; Fakhri, Sajad; Moradi, Seyed Zachariah; Echeverria, Javier</t>
  </si>
  <si>
    <t>The pivotal role of JAK/STAT and IRS/PI3K signaling pathways in neurodegenerative diseases: Mechanistic approaches to polyphenols and alkaloids</t>
  </si>
  <si>
    <t>PHYTOMEDICINE</t>
  </si>
  <si>
    <t>Background: Neurodegenerative diseases (NDDs) are characterized by progressive neuronal dysfunctionality which results in disability and human life-threatening events. In recent decades, NDDs are on the rise. Besides, conventional drugs have not shown potential effectiveness to attenuate the complications of NDDs. So, exploring novel therapeutic agents is an urgent need to combat such disorders. Accordingly, growing evidence indicates that polyphenols and alkaloids are promising natural candidates, possessing several beneficial pharmacological effects against diseases. Considering the complex pathophysiological mechanisms behind NDDs, Janus kinase (JAK), insulin receptor substrate (IRS), phosphoinositide 3-kinase (PI3K), and signal transducer and activator of transcription (STAT) seem to play critical roles during neurodegeneration/neuroregeneration. In this line, modulation of the JAK/STAT and IRS/PI3K signaling pathways and their interconnected mediators by polyphenols/alkaloids could play pivotal roles in combating NDDs, including Alzheimer's disease (AD), Parkinson's disease (PD), Huntington's disease (HD), stroke, aging, multiple sclerosis (MS), amyotrophic lateral sclerosis (ALS), depression and other neurological disorders. Purpose: Thus, the present study aimed to investigate the neuroprotective roles of polyphenols/alkaloids as multi-target natural products against NDDs which are critically passing through the modulation of the JAK/STAT and IRS/PI3K signaling pathways. Study design and Methods: A systematic and comprehensive review was performed to highlight the modulatory roles of polyphenols and alkaloids on the JAK/STAT and IRS/PI3K signaling pathways in NDDs, according to the PRISMA guideline, using scholarly electronic databases, including Scopus, PubMed, ScienceDirect, and associated reference lists. Results: In the present study 141 articles were included from a total of 1267 results. The results showed that phenolic compounds such as curcumin, epigallocatechin-3-gallate, and quercetin, and alkaloids such as berberine could be introduced as new strategies in combating NDDs through JAK/STAT and IRS/PI3K signaling pathways. This is the first systematic review that reveals the correlation between the JAK/STAT and IRS/PI3K axis which is targeted by phytochemicals in NDDs. Hence, this review highlighted promising insights into the neuroprotective potential of polyphenols and alkaloids through the JAK/STAT and IRS/PI3K signaling pathway and interconnected mediators toward neuroprotection. Conclusion: Amongst natural products, phenolic compounds and alkaloids are multi-targeting agents with the most antioxidants and anti-inflammatory effects possessing the potential of combating NDDs with high efficacy and lower toxicity. However, additional reports are needed to prove the efficacy and possible side effects of natural products.</t>
  </si>
  <si>
    <t>Echeverría, Javier/E-9989-2011; Moradi, Seyed Zachariah/ABA-9171-2020</t>
  </si>
  <si>
    <t>Echeverria, Javier/0000-0002-1688-968X; Moradi, Seyed Zachariah/0000-0003-0579-3495</t>
  </si>
  <si>
    <t>0944-7113</t>
  </si>
  <si>
    <t>1618-095X</t>
  </si>
  <si>
    <t>10.1016/j.phymed.2023.154686</t>
  </si>
  <si>
    <t>FEB 2023</t>
  </si>
  <si>
    <t>WOS:000965177700001</t>
  </si>
  <si>
    <t>Hurtado-Venegas, I; Martínez, VA; Vasco, DA; Ortega-Aguilera, R; Zapata, PA; Cataño, FA; Mestra, AS</t>
  </si>
  <si>
    <t>Hurtado-Venegas, Ignacio; Martinez, Victor A.; Vasco, Diego A.; Ortega-Aguilera, Roberto; Zapata, Paula A.; Catano, Francisco A.; Mestra, Alifhers S.</t>
  </si>
  <si>
    <t>Numerical Study About Nanofluids of Spherical and Tube-Shaped TiO2 Nanomaterials on the Thermal Performance and Entropy Generation of Different Cross-Section Microchannel Heat Sinks</t>
  </si>
  <si>
    <t>JOURNAL OF NANOFLUIDS</t>
  </si>
  <si>
    <t>We numerically evaluated the thermal performance of microchannel heat sinks, considering rectangular, hexagonal, and circular cross-sections. Moreover, as a passive heat transfer augmentation technique, dimples were added to improve the rectangular microchannel heat sinks. These simulations use nanofluids based on TiO2 nanoparticles or nanotubes dispersed in bidistilled water as working fluids. The mathematical model considered variable thermophysical properties of the nanofluids; for this purpose, polynomial fittings correlate the dependence of the thermophysical properties on the temperature. We considered a heat flux of q = 50 W/cm(2) at the microchannel's lower surface as a boundary condition along with laminar flow conditions. The numerical simulations allowed the Nusselt numbers and entropy generation calculation, which were the basis for the thermal performance calculation. Regarding the effect of TiO2 nanoparticles shape, spherical TiO2 nanoparticles based nanofluids using rectangular microchannels improve the Nusselt number. Moreover, the frictional entropy decreases with nanofluids based on TiO2 nanotubes, but the thermal entropy decreases with nanofluids based on TiO2 nanotubes. Incorporating dimples in the rectangular microchannel enhances the Nusselt numbers and lowers the entropy generation. Considering the Reynolds number range and from the perspective of Nusselt number and entropy generation, we concluded that the microchannels must be operated at a high Reynolds number to improve the microchannel heat sinks thermal performance.</t>
  </si>
  <si>
    <t>Mestra, Alifhers/MTD-4570-2025; Vasco, Diego/AAA-4480-2020; Ortega, Roberto/IZE-4038-2023</t>
  </si>
  <si>
    <t>Catano, Francisco/0009-0008-8736-4267; Vasco, Diego Andres/0000-0001-7456-4683; Martinez, Victor A./0000-0002-1750-8180</t>
  </si>
  <si>
    <t>2169-432X</t>
  </si>
  <si>
    <t>2169-4338</t>
  </si>
  <si>
    <t>10.1166/jon.2023.1911</t>
  </si>
  <si>
    <t>WOS:000980092000007</t>
  </si>
  <si>
    <t>Becerra, D</t>
  </si>
  <si>
    <t>Becerra, Diego</t>
  </si>
  <si>
    <t>Philosophical confusions and straw men within post-rationalist/constructivist clinical psychology theoretical foundations</t>
  </si>
  <si>
    <t>The post-rationalist approach in psychotherapy is proposed by Vittorio Guidano as an epistemology for a new era that goes beyond rationalism. However, such an approach creates a caricatured vision of empiricism-objectivism and then opposes it. By analyzing the seminal book The Self in Process (Guidano, 1991/1994) and writings of other theorists associated with the approach, I will argue that their disconnection with major developments in twentieth-century philosophy leads them to posit philosophically problematic theses without noticing their internal inconsistencies. I will argue that Guidano (i) fails to define central philosophical terms (process, knowledge, truth), (ii) presents an internally contradictory (if not unintelligible) definition of reality (iii) that is inconsistent with developments in his theory, and (iv) perpetuates the Cartesian dogma of first-person infallibility. I will conclude that current realist philosophies pick up Guidano's epistemic concerns, and that postrationalism's emphasis on the construction of one's own reality may hinder the understanding of the other in therapy and promote interventions that ignore social and biochemical causal factors. Finally, I will show that despite the common caricature that current psychotherapeutic theory makes of early 20th-century positivism (logical empiricism), Carnap's linguistic pluralism, Neurath's epistemic fallibilism and Hempel's aletic coherentism -among other positivist theses- are akin to several constructivist premises of Guidano et al.'s post-rationalism.</t>
  </si>
  <si>
    <t>WOS:001057514100005</t>
  </si>
  <si>
    <t>Robles-Planells, B; Arancibia-Carvallo, C; Araos, LP; Guerra-Arredondo, S; Zañartu-Mellado, R; Jeria, F; Vidal, M; Vallejos-Vidal, E; Reyes-Lopez, FE</t>
  </si>
  <si>
    <t>Robles-Planells, Barbara; Arancibia-Carvallo, Camila; Araos, Loreto P.; Guerra-Arredondo, Silvana; Zanartu-Mellado, Rodrigo; Jeria, Fernanda; Vidal, Mabel; Vallejos-Vidal, Eva; Reyes-Lopez, Felipe E.</t>
  </si>
  <si>
    <t>Modulation of immune genes in skin wound repair of pre-smolt Atlantic salmon (Salmo salar)</t>
  </si>
  <si>
    <t>FISH &amp; SHELLFISH IMMUNOLOGY</t>
  </si>
  <si>
    <t>1050-4648</t>
  </si>
  <si>
    <t>1095-9947</t>
  </si>
  <si>
    <t>P-19</t>
  </si>
  <si>
    <t>WOS:001050952100020</t>
  </si>
  <si>
    <t>Aburto, I; Muñoz, M; Vidal, M; Aliaga, C; Domínguez, M</t>
  </si>
  <si>
    <t>Aburto, Ignacio; Munoz, Marcel; Vidal, Matias; Aliaga, Carolina; Dominguez, Moises</t>
  </si>
  <si>
    <t>Extending the ?-system of inverted solvatochromic phenolate-based dyes shifts their inversion point due to an increment in their sensitivity to solvent polarizability</t>
  </si>
  <si>
    <t>JOURNAL OF MOLECULAR LIQUIDS</t>
  </si>
  <si>
    <t>Two pairs of phenolate-based dyes with a p-connecting system of different lengths were synthesized, and their spectral variations were investigated in pure solvents of variable polarity and methanol-dichloromethane solvent mixtures. All the dyes studied exhibited inverted solvatochromism, and multi -parametric analysis of their solvatochromic absorption bands of these dyes revealed that the solvent acidity and polarizability are mainly responsible for this behavior. The extension of the p-connecting sys-tem brings out of the shifts of the spectral behavior exhibited by the dyes towards shorter wavelengths with a concomitant displacement of the position where their solvatochromic inversion takes place towards higher solvent polarity due to an increment in the ability of the extended dyes to sense the sol-vent polarizability, without modifying the specific solute-solvent interactions in the first or the second solvation layer, a result confirmed by theoretical calculations.(c) 2022 Elsevier B.V. All rights reserved.</t>
  </si>
  <si>
    <t>Domínguez, Moisés/P-2227-2019</t>
  </si>
  <si>
    <t>0167-7322</t>
  </si>
  <si>
    <t>1873-3166</t>
  </si>
  <si>
    <t>10.1016/j.molliq.2022.120784</t>
  </si>
  <si>
    <t>WOS:000929732700003</t>
  </si>
  <si>
    <t>Singular perturbation and initial layer for the abstract Moore-Gibson-Thompson equation</t>
  </si>
  <si>
    <t>We investigate the singular limit of a third-order abstract equation in time, in relation to the complete second-order Cauchy problem on Banach spaces, where the principal operator is the generator of a strongly continuous cosine family. Assuming that an initial datum is ill prepared, the initial layer problem is studied. We show convergence, which is uniform on compact sets that stay away from zero, as long as initial data are sufficiently smooth. Our method employs suitable results from the theory of general resolvent families of operators. The abstract formulation of the third-order in time equation is inspired by the Moore-Gibson-Thompson equation, which is the linearization of a model that currently finds applications in the propagation of ultrasound waves, displacement of certain viscoelastic materials, flexible structural systems that possess internal damping and the theory of thermoelasticity. (c) 2022 Elsevier Inc. All rights reserved.</t>
  </si>
  <si>
    <t>10.1016/j.jmaa.2022.126507</t>
  </si>
  <si>
    <t>JUL 2022</t>
  </si>
  <si>
    <t>WOS:000854015600016</t>
  </si>
  <si>
    <t>Assessment of the Digital Competence of Future Teachers from a Gender Perspective</t>
  </si>
  <si>
    <t>RIED-REVISTA IBEROAMERICANA DE EDUCACION A DISTANCIA</t>
  </si>
  <si>
    <t>Digital competence is one of the key competencies to achieve a digitally literate citizenship. In university education, this competence is relevant in the curriculum, which should be developed based on this specific professional context and also in a way that allows enrichment the academic training and personal development of each student. Digital competence acquires special relevance to develop digital competence among teachers, for which it is necessary to work on it during the first years of initial teacher training. This article presents the results of research developed with first-year Pedagogy students from three Chilean public universities. The purpose of the study was to determine the level of digital competence among students and to make visible the influence of gender on the levels of achievement in this competence through the application of the assessment instrument COMPDIG-PED, based on the European Framework of Digital Competences (DIGCOMP). A quantitative methodology was used to carry out the research with a stratified representative sample of 817 students. The results show that statistically significant differences are identified in the areas of Communication and Collaboration, Creation of Digital Content and Problem Solving, in which men scored higher than women. This issue highlights the digital gender gap in the initial training of future teachers in the context of the study.</t>
  </si>
  <si>
    <t>Fernández-Sánchez, Mª/K-5511-2014</t>
  </si>
  <si>
    <t>1138-2783</t>
  </si>
  <si>
    <t>1390-3306</t>
  </si>
  <si>
    <t>10.5944/ried.25.2.32128</t>
  </si>
  <si>
    <t>WOS:000824538600033</t>
  </si>
  <si>
    <t>Muñoz, C; Galvez, D; Enjolras, M; Camargo, M; Alfaro, M</t>
  </si>
  <si>
    <t>Munoz, Camila; Galvez, Daniel; Enjolras, Manon; Camargo, Mauricio; Alfaro, Miguel</t>
  </si>
  <si>
    <t>Relationship between innovation and exports in enterprises: A support tool for synergistic improvement plans</t>
  </si>
  <si>
    <t>TECHNOLOGICAL FORECASTING AND SOCIAL CHANGE</t>
  </si>
  <si>
    <t>Innovation and exports are strong drivers of enterprise competitiveness, therefore the development of models for managing these capabilities has been widely studied. As a result, different approaches have been proposed to explore the synergistic relationship between innovation and exports. The main accepted paradigm is causal; however, recent studies lean towards a common-space approach between the two capabilities. In this research, the objective is to establish improvement plans that exploit the synergistic effects between innovation and export activities in companies. For this, the assessment models of innovation capability and export capability in the literature are studied. These models are the basis for establishing relationships between innovation and export practices or activities based on their similarities and resource use. Then, a model is proposed to establish improvement strategies of innovation capability based on the similarities with export capability and vice versa. This model is applied to a case of study in a company in the wine sector. It is expected that the proposed model will provide a tool for enterprises to simultaneously strengthen innovation and export capabilities.</t>
  </si>
  <si>
    <t>CAMARGO, Mauricio/HJP-7111-2023</t>
  </si>
  <si>
    <t>Enjolras, Manon/0000-0003-4570-1989</t>
  </si>
  <si>
    <t>0040-1625</t>
  </si>
  <si>
    <t>1873-5509</t>
  </si>
  <si>
    <t>10.1016/j.techfore.2022.121489</t>
  </si>
  <si>
    <t>JAN 2022</t>
  </si>
  <si>
    <t>WOS:000783040300014</t>
  </si>
  <si>
    <t>Adasme, P; Viveros, A; Firoozabadi, AD; Soto, I</t>
  </si>
  <si>
    <t>Awan, I; Younas, M; Poniszewska-Maranda, A</t>
  </si>
  <si>
    <t>Adasme, Pablo; Viveros, Andres; Dehghan Firoozabadi, Ali; Soto, Ismael</t>
  </si>
  <si>
    <t>Mathematical Models for Minimizing Latency in Software-Defined Networks</t>
  </si>
  <si>
    <t>MOBILE WEB AND INTELLIGENT INFORMATION SYSTEMS, MOBIWIS 2022</t>
  </si>
  <si>
    <t>18th International Conference on Mobile Web and Intelligent Information Systems (MobiWIS)</t>
  </si>
  <si>
    <t>AUG 22-24, 2022</t>
  </si>
  <si>
    <t>In this paper, we propose mixed-integer quadratic and linear programming models to minimize the worst latency in software-defined wireless networks (SDNs). Our models are adapted from classical combinatorial optimization problems referred to as the p-median and stable set problems in the literature. For each of the two adapted models, we further derive two additional formulations. The latter is achieved by applying simple convex and linearization techniques. In summary, we obtain six mathematical formulations for minimizing latency in SDNs. We conduct substantial numerical experiments to compare the behavior of all the proposed models in terms of CPU times, the number of branch and bound nodes, and the optimal solutions obtained with the CPLEX solver. Our numerical results indicate that the first linear model allows one to obtain the optimal solution of each instance in significantly less CPU time than the other ones. Finally, we test all our models for different numbers of controllers and switches in the network while varying the degree of importance between the worst shortest path distances of switch-controller and inter-controller pairs.</t>
  </si>
  <si>
    <t>978-3-031-14391-5; 978-3-031-14390-8</t>
  </si>
  <si>
    <t>10.1007/978-3-031-14391-5_10</t>
  </si>
  <si>
    <t>WOS:000870672500010</t>
  </si>
  <si>
    <t>Yáñez, JO; Paillán, IP</t>
  </si>
  <si>
    <t>Orellana Yanez, Jose; Pozo Paillan, Ignacio</t>
  </si>
  <si>
    <t>THE POLITICAL GEOGRAPHICAL THOUGHT OF JOSE RODRIGUEZ ELIZONDO ON BOLIVIA-CHILE RELATIONS IN THEIR CONTRADICTIONS</t>
  </si>
  <si>
    <t>REVISTA ESTUDIOS HEMISFERICOS Y POLARES</t>
  </si>
  <si>
    <t>Novel concepts and processes expressed in the interview with Jose Rodriguez Elizondo, considered a relevant figure for the Chilean academy and foreign policy, are identified. Among the methods used, primarily, was the application of an in-depth interview to the academic and intellectual, which was stressed via content analysis, adding a review of functional academic texts to the construction of the theoretical framework focused on the relationship of social constructivism and other currents of thought coming from the theory of international relations. In main conclusions, the responsibility of Chile in the deficit management of the victory of the War of the Pacific from its culmination to the present is observed, and from this, the inability to accept that the solution passes through a trilateral relationship between Arica, Bolivia, and Chile, given what Arica implies for the three countries from the historical, economic, and territorial imaginary. Analytical interdisciplinarity is essential to advance proposals for solutions, regardless of the positive results obtained by Chile in the ICJ on October 1, 2018.</t>
  </si>
  <si>
    <t>0718-9230</t>
  </si>
  <si>
    <t>WOS:000807819400001</t>
  </si>
  <si>
    <t>Catrileo, D; Moreira, S; Ganga, MA; Godoy, L</t>
  </si>
  <si>
    <t>Catrileo, Daniela; Moreira, Sandra; Angelica Ganga, Maria; Godoy, Liliana</t>
  </si>
  <si>
    <t>Effect of Light and p-Coumaric Acid on the Growth and Expression of Genes Related to Oxidative Stress in Brettanomyces bruxellensis LAMAP2480</t>
  </si>
  <si>
    <t>Brettanomyces bruxellensis is considered the most significant contaminant yeast in the wine industry since it causes a deterioration in the organoleptic properties of the wine and significant economic losses. This deterioration is due to the production of volatile phenols from hydroxycinnamic acids. These compounds possess antimicrobial properties; however, B. bruxellensis can resist this effect because it metabolizes them into less toxic ones. Recent studies have reported that B. bruxellensis grows under different stress conditions, including p-coumaric acid (pCA) but effective methods for its control have not been found yet. Since that in other yeasts, such as Saccharomyces cerevisiae, it has been described that light affects its growth, and we evaluated whether the light would have a similar effect on B. bruxellensis. The results show that at light intensities of 2,500 and 4,000 lux in the absence of pCA, B. bruxellensis LAMAP2480 does not grow in the culture medium; however, when the medium contains this acid, the yeast adapts to both factors of stress managing to grow. The expression of genes related to oxidative stress in B. bruxellensis LAMAP2480, such as SOD1, GCN4, and ESBP6, showed a higher relative expression when the yeast was exposed to 2,500 lux compared to 4,000 lux, agreeing with the growth curves. This suggests that a higher expression of the genes studied would be related to stress-protective effects by pCA.</t>
  </si>
  <si>
    <t>Olivares, Liliana/AAB-6276-2020; Ganga, Maria/S-8176-2019</t>
  </si>
  <si>
    <t>Godoy Olivares, Liliana/0000-0001-5110-5978</t>
  </si>
  <si>
    <t>NOV 25</t>
  </si>
  <si>
    <t>10.3389/fmicb.2021.747868</t>
  </si>
  <si>
    <t>WOS:000886359200001</t>
  </si>
  <si>
    <t>Riveros, F; Guajardo, N; Valenzuela, MB; Bernardes, AM; Ferreira, JZ; Cifuentes, G</t>
  </si>
  <si>
    <t>Riveros, Felipe; Guajardo, Nicolas; Bravo Valenzuela, Marcelo; Bernardes, Andrea Moura; Ferreira, Jane Zoppas; Cifuentes, Gerardo</t>
  </si>
  <si>
    <t>Removal of nitrates from copper-containing aqueous acidic leach solutions by electrodialysis</t>
  </si>
  <si>
    <t>MINERAL PROCESSING AND EXTRACTIVE METALLURGY-TRANSACTIONS OF THE INSTITUTIONS OF MINING AND METALLURGY</t>
  </si>
  <si>
    <t>The north of Chile is characterised by a large content of caliche minerals which represent high amounts of sodium and potassium nitrates. The presence of these nitrates, in copper-containing aqueous acid leach solutions, are responsible for serious problems in the hydrometallurgical extraction of copper-from-ore. The main problems are: extractant losses due to nitration and/ or hydrolysis and negative effects upon bioleaching microorganisms such as lower growth cell and higher microbial lag times. On the basis of these problems, the objective of this work was to evaluate electrodialysis (ED) as an alternative method for removal for nitrates from copper-containing aqueous acid leach solutions. For this purpose, ED experiments in a three-compartment cell using both real and synthetic solutions at different current densities, flow rate and temperature were studied. It was found that high temperature, high flow rate and low current densities favour the ED performance, under the range investigated. Thus, optimum operating conditions were found at 40 degrees C, 120 Lh(-1) and 150 A m(-2), where current efficiencies (CE) of 96.4% and 89.4% were obtained for synthetic and real catholyte, respectively. Likewise, the energy consumption (EC) was 25% lesser (0.75 kWh kg(-1)) with real catholyte versus 1.01 k Wh kg(-1) consumed using synthetic catholyte. These results demonstrated that electrodialysis could be applied for removal of nitrates from copper-containing aqueous acid leach solutions as an alternative technology.</t>
  </si>
  <si>
    <t>Cifuentes, Gerardo/AAS-2148-2021; Moura Bernardes, Andrea/F-7504-2012</t>
  </si>
  <si>
    <t>CIFUENTES-NAVA, Gerardo/0000-0001-6848-3457; Cifuentes, Gerardo/0000-0002-9543-1625; Moura Bernardes, Andrea/0000-0001-7687-0908</t>
  </si>
  <si>
    <t>2572-6641</t>
  </si>
  <si>
    <t>2572-665X</t>
  </si>
  <si>
    <t>JUL 3</t>
  </si>
  <si>
    <t>10.1080/25726641.2019.1591067</t>
  </si>
  <si>
    <t>WOS:000686351700004</t>
  </si>
  <si>
    <t>Franchini, E; Herrera-Valenzuela, T</t>
  </si>
  <si>
    <t>Franchini, Emerson; Herrera-Valenzuela, Tomas</t>
  </si>
  <si>
    <t>Developing flexibility for combat sports athletes</t>
  </si>
  <si>
    <t>REVISTA DE ARTES MARCIALES ASIATICAS</t>
  </si>
  <si>
    <t>The range of motion of a joint is extremely important in combat sports, especially when there is a need to execute a certain motor gesture with maximum range of movement, as in throwing techniques such as uchimata in judo, certain types of guards in Brazilian jiu-jitsu or the high kicks common in a variety of striking combat sports. Therefore, in this chapter, we will discuss the elements related to flexibility response during training sessions or combat sports competitions, flexibility tests commonly used for these athletes, and the monitoring and control of the evolution of flexibility in athletes. We will also present the means and methods used for the development of flexibility and longitudinal studies on the development of flexibility in combat sports athletes. Finally, this chapter supports based on the evidence the inclusion of flexibility development within training sessions is an important consideration to maximize performance and other physical capabilities that may be affected both acutely or in the long-term by flexibility.</t>
  </si>
  <si>
    <t>Herrera-Valenzuela, Tomas/L-1819-2019; Franchini, Emerson/B-9119-2012</t>
  </si>
  <si>
    <t>Franchini, Emerson/0000-0002-0769-8398; Herrera-Valenzuela, Tomas/0000-0002-5219-5896</t>
  </si>
  <si>
    <t>2174-0747</t>
  </si>
  <si>
    <t>10.18002/rama.v16i1s.7005</t>
  </si>
  <si>
    <t>WOS:000632219600009</t>
  </si>
  <si>
    <t>Antileo, EL</t>
  </si>
  <si>
    <t>Loncon Antileo, Elisa</t>
  </si>
  <si>
    <t>Chile, Plurinational and Intercultural State</t>
  </si>
  <si>
    <t>ARQ</t>
  </si>
  <si>
    <t>Loncon, Elisa/0000-0003-3239-1723</t>
  </si>
  <si>
    <t>0717-6996</t>
  </si>
  <si>
    <t>WOS:000611784600015</t>
  </si>
  <si>
    <t>Ahumada, D; Arenas, F; Martínez-Gómez, F; Guerrero, C; Illanes, A; Vera, C</t>
  </si>
  <si>
    <t>Ahumada, Diego; Arenas, Felipe; Martinez-Gomez, Fabian; Guerrero, Cecilia; Illanes, Andres; Vera, Carlos</t>
  </si>
  <si>
    <t>Synthesis of Butyl-β-D-Galactoside in the Ternary System: Acetone/1-Butanol/Aqueous Solution</t>
  </si>
  <si>
    <t>The enzymatic synthesis of short-tailed alkyl glucosides is generally carried out in an aqueous-organic biphasic reaction medium with a rather low fatty alcohol concentration in the aqueous phase (where the synthesis occurs). Thus, hydrolytic reactions have a significant impact on the synthesis performance. Given this background, the use of acetone as cosolvent was studied for the synthesis of butyl-beta-galactoside withAspergillus oryzae beta-galactosidase. The liquid-liquid equilibrium of the reaction mixture components (acetone/1-butanol/aqueous solution) was determined and the single- and two-phase regions were defined at 30, 40, and 50 degrees C. It was observed that the liquid-liquid equilibrium of the ternary system acetone/1-butanol/water differs significantly from the one obtained using an aqueous solution (50 mM McIlvaine buffer pH 4.5; 5 g L-1) instead of water. This is mainly because of the salting-out effect of the buffer; nevertheless, the presence of lactose also altered the equilibrium. Having this in mind, the effects of temperature (30 and 50 degrees C) and reaction mixture composition were assessed. Three general conditions were evaluated: single-phase ternary system (30% acetone), two-phase ternary system (10% acetone) and two-phase binary system (0% acetone). Acetone had a deleterious effect on enzyme stability at 50 degrees C, leading to low reaction yields. However, no enzyme deactivation was detected at 30 degrees C. Moreover, a reaction yield of 0.98 mol mol(-1) was attained in the 30/50/20% (w/w) mixture of acetone/1-butanol/aqueous solution. This very high yield can be explained by the huge increase in the concentration of 1-butanol and the reduction of water activity. The synthesis was carried out using also the beta-galactosidase immobilized in glyoxal-agarose and amino-glyoxal-agarose, and by aggregation and crosslinking. In the case of agarose-derived catalysts, two average particle diameters were assessed to evaluate the presence of internal mass transfer limitations. Best yield (0.88 mol mol(-1)) was obtained with glyoxal-agarose derivatives and the particle size had non-effect on yield. The chemical structure of butyl-beta-galactoside was determined by NMR and FT-IR.</t>
  </si>
  <si>
    <t>JUL 23</t>
  </si>
  <si>
    <t>10.3389/fbioe.2020.00859</t>
  </si>
  <si>
    <t>WOS:000560292300001</t>
  </si>
  <si>
    <t>Donoso, CC; Arrau, RG; Vásquez, S</t>
  </si>
  <si>
    <t>Calquin Donoso, Claudia; Guerra Arrau, Rodrigo; Vasquez, Sebastian</t>
  </si>
  <si>
    <t>Narratives of women about motherhood in a context of socio-health intervention in early childhood in Chile today</t>
  </si>
  <si>
    <t>SAUDE E SOCIEDADE</t>
  </si>
  <si>
    <t>The results of a study aimed at knowing the narratives about motherhood and the network of meanings attributed to the benefits of a state system of child health care, in a group of users in the city of Santiago, Chile, are presented. Through a qualitative-narrative strategy, three narratives about motherhood are presented in the context of intervention: conversion, entrepreneurial and ambivalent. It is concluded that the care device is a central reference in the experience of motherhood as it offers meanings about ideal motherhood and guided by experts. We appreciate that the objects for the upbringing that the system provides, play an important role for the construction of the meanings around the maternity itself and the state benefits. The multiplicity of positions that these narratives offer show the ways in which women self-produce as mothers but also the identifications, resistance, confrontations and questions in key areas for the system itself, such as the promotion of breastfeeding.</t>
  </si>
  <si>
    <t>Guerra-Arrau, Rodrigo/JYP-3330-2024; Vásquez, Sebastián/IQS-5371-2023</t>
  </si>
  <si>
    <t>CALQUIN DONOSO, CLAUDIA/0000-0002-1102-648X; Guerra-Arrau, Rodrigo/0000-0002-0573-6194</t>
  </si>
  <si>
    <t>0104-1290</t>
  </si>
  <si>
    <t>10.1590/s0104-12902020190991</t>
  </si>
  <si>
    <t>WOS:000595542100001</t>
  </si>
  <si>
    <t>Reyes-Lillo, D; Hernandez-Garrido, C</t>
  </si>
  <si>
    <t>Reyes-Lillo, Danilo; Hernandez-Garrido, Carlos</t>
  </si>
  <si>
    <t>Creating a MOOC to develop information skills during the coronavirus pandemic</t>
  </si>
  <si>
    <t>EDUCATION FOR INFORMATION</t>
  </si>
  <si>
    <t>Hernandez-Garrido, Carlos/KCK-0742-2024</t>
  </si>
  <si>
    <t>Hernandez-Garrido, Carlos/0000-0002-6832-4955; Reyes, Danilo/0000-0002-0141-8324</t>
  </si>
  <si>
    <t>0167-8329</t>
  </si>
  <si>
    <t>1875-8649</t>
  </si>
  <si>
    <t>10.3233/EFI-200007</t>
  </si>
  <si>
    <t>WOS:000574867700009</t>
  </si>
  <si>
    <t>Echeverría, J; González-Teuber, M; Urzúa, A</t>
  </si>
  <si>
    <t>Echeverria, Javier; Gonzalez-Teuber, Marcia; Urzua, Alejandro</t>
  </si>
  <si>
    <t>Antifungal activity against Botrytis cinerea of labdane-type diterpenoids isolated from the resinous exudate of Haplopappus velutinus Remy (Asteraceae)</t>
  </si>
  <si>
    <t>NATURAL PRODUCT RESEARCH</t>
  </si>
  <si>
    <t>Two labdane diterpenoids were isolated, from the resinous exudate of Haplopappus velutinus Remy (Asteraceae); the main compound was identified as 7,13-(E)-labdadien-15,18-dioic-acid-18-methyl ester (1) and the minor compound identified as 7-labden-15,18-dioic-acid-18-methyl ester (2). Their structures were obtained using FTIR, MS, HRMS and NMR data: 1D NMR (H-1, C-13 and DEPT-135), 2D homonuclear NMR (COSY and NOESY) and heteronuclear NMR (HSQC and HMBC). The trans stereochemistry of the decalin moiety of compounds 1 and 2 was established through NOESY experiments of the reduction product of 1; 7-labden-15,18-diol (1a). Diterpenoids 1 and 1a are described for the first time and showed antifungal activity, inhibiting approximately 40% mycelial growth of Botrytis cinerea. [GRAPHICS] .</t>
  </si>
  <si>
    <t>González-Teuber, Marcia/ABH-2318-2021; Echeverría, Javier/AAK-3323-2020</t>
  </si>
  <si>
    <t>Gonzalez-Teuber, Marcia/0000-0003-0565-9333; Urzua, Alejandro/0000-0003-2638-0921; Echeverria, Javier/0000-0002-1688-968X</t>
  </si>
  <si>
    <t>1478-6419</t>
  </si>
  <si>
    <t>1478-6427</t>
  </si>
  <si>
    <t>AUG 18</t>
  </si>
  <si>
    <t>10.1080/14786419.2018.1443093</t>
  </si>
  <si>
    <t>WOS:000472075600021</t>
  </si>
  <si>
    <t>Mondaca, J; Fierro, A; Rothmann, S</t>
  </si>
  <si>
    <t>Mondaca, Jose; Fierro, Andres; Rothmann, Sergio</t>
  </si>
  <si>
    <t>Parochodaeus bituberculatus (Erichson) (Coleoptera: Ochodaeidae) and Faargia gentilii (Martinez) (Coleoptera: Scarabaeidae), two species newly discovered in Chile</t>
  </si>
  <si>
    <t>ZOOTAXA</t>
  </si>
  <si>
    <t>The presence in Chile of scarab beetles (Coleoptera: Scarabaeoidea) described originally from Peru and Argentina have been reported previously, as a result of the distributional corridors through passes in the Andes Mountains (Gutierrez 1947, 1950; Roig-Junent et al. 2005; Ruiz-Manzanos 2006; Mondaca 2011). The purpose of this paper is to report the presence of Parochodaeus bituberculatus (Erichson, 1847) (Coleoptera: Ochodaeidae: Ochodaeinae: Ochodaeini) and Faargia gentilii (Martinez, 1975) (Coleoptera: Scarabaeidae: Melolonthinae: Tanyproctini) in Chile, expanding the distribution of the second species to the west of the Andes Mountain range. The presence of both species in Chile is not surprising, due to the similarity of habitats in the collection areas with neighboring localities in Peru and Argentina. The specimens were borrowed from the private collection of the first author (JMEC); the Museo Nacional de Historia Natural, Santiago, Chile (MNNC); and the Unit of Entomology, Laboratories and Agricultural Quarantine Station of the Agricultural and Livestock Service, Pudahuel, Chile (SAGC). The species identifications were made using the original descriptions of both species, in addition to comparisons with the holotype of P. bituberculatus housed in the Museum fur Naturkunde der Humboldt-Universitat zu Berlin (Berlin, Germany) and paratypes of F. gentilii housed in the Canadian Museum of Nature (Ottawa, Ontario, Canada).</t>
  </si>
  <si>
    <t>Mondaca, José/GRJ-9860-2022</t>
  </si>
  <si>
    <t>Mondaca, Jose/0000-0003-0478-3877</t>
  </si>
  <si>
    <t>1175-5326</t>
  </si>
  <si>
    <t>1175-5334</t>
  </si>
  <si>
    <t>10.11646/zootaxa.4608.1.12</t>
  </si>
  <si>
    <t>WOS:000468436100012</t>
  </si>
  <si>
    <t>Bravo, M; Prado, H; Reyes, EG</t>
  </si>
  <si>
    <t>Bravo, Mauricio; Prado, Humberto; Reyes, Enrique G.</t>
  </si>
  <si>
    <t>Nonlinear pseudo-differential equations defined by elliptic symbols on Lp(n) and the fractional Laplacian</t>
  </si>
  <si>
    <t>We develop an L-p((n))-functional calculus appropriated for interpreting non-classical symbols of the form a(-), and for proving existence of solutions to nonlinear pseudo-differential equations of the form [1 + a(-)](s/2)(u) = V (, u). We use the theory of Fourier multipliers for constructing suitable domains sitting inside L-p((n)) on which the formal operator appearing in the above equation can be rigorously defined, and we prove existence of solutions belonging to these domains. We include applications of the theory to equations of physical interest involving the fractional Laplace operator such as (generalizations of) the (focusing) Allen-Cahn, Benjamin-Ono and nonlinear Schrodinger equations.</t>
  </si>
  <si>
    <t>10.1007/s11856-019-1854-x</t>
  </si>
  <si>
    <t>WOS:000470717200009</t>
  </si>
  <si>
    <t>An ODE approach for fractional Dirichlet problems with gradient nonlinearity</t>
  </si>
  <si>
    <t>In the present work we study existence of solutions of fractional Dirichlet problems in the presence of coercive gradient terms with growth comparable and slightly bigger than the order of the nonlocal elliptic operator. We develop a 1-dimensional reduction that allows us to construct barriers via ODE methods and therefore to obtain existence results based on an integral criterion that resembles the classical second-order case.</t>
  </si>
  <si>
    <t>Quaas, Alexander/JXN-7606-2024</t>
  </si>
  <si>
    <t>Davila, Gonzalo/0000-0001-9923-2909; Quaas, Alexander/0000-0003-0602-7151</t>
  </si>
  <si>
    <t>1432-1823</t>
  </si>
  <si>
    <t>10.1007/s00209-018-2074-5</t>
  </si>
  <si>
    <t>WOS:000463716800005</t>
  </si>
  <si>
    <t>Kozlova, O; Noguera, JD</t>
  </si>
  <si>
    <t>Kozlova, Olesia; de Jesus Noguera, Jose</t>
  </si>
  <si>
    <t>Achievers or slackers? Per capita income trends in European countries</t>
  </si>
  <si>
    <t>JOURNAL OF POLICY MODELING</t>
  </si>
  <si>
    <t>This paper studies the catching up process of the per capita income of Western European countries for the 1870-2014 period. The contribution to the literature is twofold. First, the use of the Kejriwal and Perron (2010) algorithm allows us to detect any number of structural breaks in the level and in the trend without prior knowledge of the integration order. This is a significant improvement over the algorithms previously used in the literature which limits the number of possible structural breaks to two. In fact, we find that some countries show more than two breaks. Second, we use the longest data series in the literature. That enables us to tell a much richer story about the catching up process in Western Europe. We find that events like the World Wars, the creation of the European Economic Community and the information technology revolution, among others, were likely to cause such breaks. (C) 2018 The Society for Policy Modeling. Published by Elsevier Inc. All rights reserved.</t>
  </si>
  <si>
    <t>0161-8938</t>
  </si>
  <si>
    <t>1873-8060</t>
  </si>
  <si>
    <t>10.1016/j.jpolmod.2018.08.004</t>
  </si>
  <si>
    <t>WOS:000451495300014</t>
  </si>
  <si>
    <t>Perez, P; Menares, C</t>
  </si>
  <si>
    <t>Perez, Patricio; Menares, Camilo</t>
  </si>
  <si>
    <t>Forecasting of Hourly PM2.5 in South-West Zone in Santiago de Chile</t>
  </si>
  <si>
    <t>AEROSOL AND AIR QUALITY RESEARCH</t>
  </si>
  <si>
    <t>We present the results of a neural network model designed for the forecasting of hourly PM2.5 concentrations in Santiago, Chile. The study focuses on the observed values at two of the monitoring stations, which are located in the south-west zone of the city and are among the stations that register the highest concentrations during the period between April and August. This is the season when air quality is very often in ranges that are harmful to the population and some restrictions on emissions become useful. The forecasting model is a multilayer neural network. The input variables are observed values of hourly PM10 and PM2.5 concentrations measured at the station of interest and at a neighboring station at 7 PM of the present day and some observed and forecasted meteorological variables. NO2 concentrations during the morning and afternoon hours, which may be associated with secondary particle formation, are also used as input. The implemented models are trained with 2014 and 2015 data and tested with 2016 values. Information is collected until 7 PM of the present day, and the largest forecasting error up to 21 hours in advance is 32%. The accuracy of this forecasting is better than that obtained with a neural model previously used for the forecasting of hourly PM2.5 concentrations in the north-west zone in Santiago. Our neural models show better results than those obtained with linear models with the same input variables. The developed models provide a tool for anticipating episodes in Santiago and other cities with similarly unfavorable conditions for pollutant dispersion.</t>
  </si>
  <si>
    <t>Perez, Patricio/AAS-7390-2020</t>
  </si>
  <si>
    <t>Perez, Patricio/0000-0003-1234-4233</t>
  </si>
  <si>
    <t>1680-8584</t>
  </si>
  <si>
    <t>2071-1409</t>
  </si>
  <si>
    <t>10.4209/aaqr.2018.01.0029</t>
  </si>
  <si>
    <t>WOS:000445921200015</t>
  </si>
  <si>
    <t>González, A; Sáez, CA; Moenne, A</t>
  </si>
  <si>
    <t>Gonzalez, Alberto; Saez, Claudio A.; Moenne, Alejandra</t>
  </si>
  <si>
    <t>Copper-induced activation of TRPs and VDCCs triggers a calcium signature response regulating gene expression in Ectocarpus siliculosus</t>
  </si>
  <si>
    <t>PEERJ</t>
  </si>
  <si>
    <t>certain multicellular photoautotrophs, such as plants and green macroalgae, it has been demonstrated that calcium signaling importantly mediates tolerance to copper excess. However, there is no information in brown macroalgae, which are phylogenetically distant from green algae and plants. We have previously shown that chronic copper levels (2.5 mu M) activate transient receptor potential (TRP) channels in the model brown macroalga Ectocarpus siliculosus, allowing extracellular calcium entry at 13, 29, 39 and 51 min. Here, we showed that intracellular calcium increases also occurred at 3 and 5 h of exposure; these increases were inhibited by antagonists of voltage-dependent calcium channels (VDCCs); a chelating agent of extracellular calcium; an antagonist of endoplasmic reticulum (ER) ATPase; and antagonists of cADPR-, NAADP-and IP3- dependent calcium channels. Thus, copper activates VDCCs allowing extracellular calcium entry and intracellular calcium release from the ER via cADPR-, IP3- and NAADP-dependent channels. Furthermore, the level of transcripts encoding a phytochelatin synthase (PS) and a metallothionein (MT) were analyzed in the alga exposed to 2.5 mu M copper from 3 to 24 h. The level of ps and mt transcripts increased until 24 h and these increases were inhibited by antagonists of calmodulins (CaMs), calcineurin B-like proteins (CBLs) and calcium-dependent protein kinases (CDPKs). Finally, activation of VDCC was inhibited by a mixture of TRP antagonists and by inhibitors of protein kinases. Thus, copper-mediated activation of TRPs triggers VDCCs via protein kinases, allowing extracellular calcium entry and intracellular calcium release from ER that, in turn, activate CaMs, CBLs and CDPKs increasing expression of PS and MT encoding genes in E. siliculosus.</t>
  </si>
  <si>
    <t>Sáez, Claudio/AAP-6923-2021; González, Alberto/IYJ-8593-2023</t>
  </si>
  <si>
    <t>Saez, Claudio/0000-0002-5037-3484; Gonzalez Figueroa, Alberto/0000-0002-5777-9022; Moenne, Alejandra/0000-0002-7309-9713</t>
  </si>
  <si>
    <t>2167-8359</t>
  </si>
  <si>
    <t>e4556</t>
  </si>
  <si>
    <t>10.7717/peerj.4556</t>
  </si>
  <si>
    <t>WOS:000430306100001</t>
  </si>
  <si>
    <t>Gidi, L; Canales, C; Aguirre, MJ; Armijo, F; Ramírez, G</t>
  </si>
  <si>
    <t>Gidi, Leyla; Canales, Camila; Aguirre, Maria J.; Armijo, Francisco; Ramirez, Galo</t>
  </si>
  <si>
    <t>Four-Electron Reduction of Oxygen Electrocatalyzed by a Mixture of Porphyrin Complexes onto Glassy Carbon Electrode</t>
  </si>
  <si>
    <t>INTERNATIONAL JOURNAL OF ELECTROCHEMICAL SCIENCE</t>
  </si>
  <si>
    <t>In this work a new composite electrode for the electrocatalytic reduction of oxygen (ORR) is presented. For this purpose, glassy carbon electrodes (GC) were modified with Co-II and Fe-II octaethylporphyrins. The system that presents the highest electrocatalytic activity towards ORR is GC modified with a mixture of both octaethylporphyrins in 1:1 volume proportion (GC Co-Fe 1:1) over the GC electrodes modified with Co-II and Fe-II octaethylporphyrins separately. This modified electrode can reduce O-2 through two reduction processes (four electrons each), by the generation of H2O as final product, in two active sites of different chemical nature. All the electrodic systems were morphologically characterized by atomic-force microscopy (AFM) and electrically characterized by electrochemical impedance spectroscopy (EIS). It was found that the electroactive system (GC Co-Fe 1:1) presents high differences on its surface and performs the lowest charge transfer resistance (Rct) in comparison to the rest of the modified systems and GC itself.</t>
  </si>
  <si>
    <t>Armijo, Francisco/G-3391-2013; Aguirre, Maria/A-3935-2013</t>
  </si>
  <si>
    <t>Aguirre, Maria/0000-0003-1134-4469; Ramirez, Galo/0000-0002-6217-4730; Canales, Camila/0000-0002-4966-3601; Armijo, Francisco/0000-0002-2479-6280</t>
  </si>
  <si>
    <t>1452-3981</t>
  </si>
  <si>
    <t>10.20964/2018.02.07</t>
  </si>
  <si>
    <t>WOS:000429100400038</t>
  </si>
  <si>
    <t>Gutiérrez, S; Orellana, D; Martínez, C; Mena, VG</t>
  </si>
  <si>
    <t>Gutierrez, Sindy; Orellana, Daniel; Martinez, Claudio; Garcia Mena, Veronica</t>
  </si>
  <si>
    <t>Characterization of Campylobacter jejuni samples coming form poultry meat and feces</t>
  </si>
  <si>
    <t>Background: Campylobacter jejuni is one of the main causal agents of food borne diseases. Infections with this pathogen are mainly caused by chicken meat consumption. Aim: To characterize antibiotic resistance and virulence factors in C. jejuni strains obtained from chicken meat and poultry feces in Central Chile. Material and Methods: The presence of C. jejuni in 30 meat and 40 feces samples from poultry was studied. From these samples, we obtained 40 strains which were characterized at the molecular level for the presence of 16 genes involved in virulence using PCR. In parallel, antibiotic resistance for ciprofloxacin, nalidixic acid, tetracycline, erythromycin, azithromycin, chloramphenicol y ampicillin was analyzed. Results: Twenty and 63% of feces and chicken meat samples were positive for C. jejuni, respectively. Moreover, a high percentage of strains showed antibiotic resistance, where 27% of strains were resistant to all tested antibiotics, except for azithromycin. Finally, 10% of the strains coming from feces contained 14 out of 16 virulence genes evaluated. Only 23% of the strains did not contain any of these genes. Conclusions: A high percentage of feces and chicken meat samples are contaminated with C. jejuni. Moreover, these strains show a high genetic and phenotypic diversity represented by their antibiotic resistance profiles and the presence of virulence factors.</t>
  </si>
  <si>
    <t>García, Verónica/AAM-1175-2021; Martinez, Claudio/MGS-9961-2025</t>
  </si>
  <si>
    <t>garcia, veronica/0000-0002-5312-925X</t>
  </si>
  <si>
    <t>10.4067/s0034-98872017001201551</t>
  </si>
  <si>
    <t>WOS:000429615300006</t>
  </si>
  <si>
    <t>Beltrán-Castillo, S; Morgado-Valle, C; Eugenín, J</t>
  </si>
  <si>
    <t>VonBernhardi, R; Eugenin, J; Muller, KJ</t>
  </si>
  <si>
    <t>Beltran-Castillo, Sebastian; Morgado-Valle, Consuelo; Eugenin, Jaime</t>
  </si>
  <si>
    <t>The Onset of the Fetal Respiratory Rhythm: An Emergent Property Triggered by Chemosensory Drive?</t>
  </si>
  <si>
    <t>PLASTIC BRAIN</t>
  </si>
  <si>
    <t>Advances in Experimental Medicine and Biology</t>
  </si>
  <si>
    <t>The mechanisms responsible for the onset of respiratory activity during fetal life are unknown. The onset of respiratory rhythm may be a consequence of the genetic program of each of the constituents of the respiratory network, so they start to interact and generate respiratory cycles when reaching a certain degree of maturation. Alternatively, generation of cycles might require the contribution of recently formed sensory inputs that will trigger oscillatory activity in the nascent respiratory neural network. If this hypothesis is true, then sensory input to the respiratory generator must be already formed and become functional before the onset of fetal respiration. In this review, we evaluate the timing of the onset of the respiratory rhythm in comparison to the appearance of receptors, neurotransmitter machinery, and afferent projections provided by two central chemoreceptive nuclei, the raphe and locus coeruleus nuclei.</t>
  </si>
  <si>
    <t>Beltran Castillo, Sebastian/AAT-2028-2021; Morgado-Valle, Consuelo/G-6109-2019</t>
  </si>
  <si>
    <t>Morgado-Valle, Consuelo/0000-0003-0158-7096; Beltran-Castillo, Sebastian/0000-0003-4550-6323</t>
  </si>
  <si>
    <t>0065-2598</t>
  </si>
  <si>
    <t>2214-8019</t>
  </si>
  <si>
    <t>978-3-319-62817-2; 978-3-319-62815-8</t>
  </si>
  <si>
    <t>10.1007/978-3-319-62817-2_10</t>
  </si>
  <si>
    <t>10.1007/978-3-319-62817-2</t>
  </si>
  <si>
    <t>WOS:000438289100010</t>
  </si>
  <si>
    <t>Domínguez, M; Rezende, MC</t>
  </si>
  <si>
    <t>Dominguez, Moises; Caroli Rezende, Marcos</t>
  </si>
  <si>
    <t>A Monte Carlo-quantum mechanics study of a solvatochromic π* probe</t>
  </si>
  <si>
    <t>JOURNAL OF MOLECULAR MODELING</t>
  </si>
  <si>
    <t>The solvation and the solvatochromic behavior of 5-(dimethylamino)-5'-nitro-2,2'-bithiophene 1, the basis of a pi* scale of solvent polarities, was investigated theoretically in toluene, dichloromethane, methanol and formamide with a Monte Carlo and quantum mechanics (QM/MM) iterative approach. The calculated transition energies of the solvatochromic band of 1, obtained as averages of statistically uncorrelated configurations, including the solute and explicit solvent molecules of the first solvation layer, besides showing good agreement with the experimental transitions, reproduced very well the positive solvatochromism of this probe in various solvents.</t>
  </si>
  <si>
    <t>Domínguez, Moisés/P-2227-2019; Caroli, Marcos/H-3570-2019</t>
  </si>
  <si>
    <t>Rezende, Marcos/0000-0003-2040-9009; Dominguez, Moises/0000-0002-8444-3065</t>
  </si>
  <si>
    <t>1610-2940</t>
  </si>
  <si>
    <t>0948-5023</t>
  </si>
  <si>
    <t>10.1007/s00894-016-3083-0</t>
  </si>
  <si>
    <t>WOS:000382748100023</t>
  </si>
  <si>
    <t>Iturbe-Ormaetxe, I; Romero, JG</t>
  </si>
  <si>
    <t>Iturbe-Ormaetxe, Inigo; Romero, J. Gabriel</t>
  </si>
  <si>
    <t>Financing public goods and attitudes toward immigration</t>
  </si>
  <si>
    <t>EUROPEAN JOURNAL OF POLITICAL ECONOMY</t>
  </si>
  <si>
    <t>We study a model where individuals choose both the level of provision of a public good and the quota of low-skilled immigrants that are allowed into the country. Individuals can supplement the public good in the private market. Immigrants affect natives through three channels: (i) the labor market; (ii) tax collection; (iii) the quality of the public good. We find that the higher the political weight of the rich (highly skilled) is, the less tolerant the poor and the middle-class are toward immigration and the more demanding they are toward increasing public spending. The rich are the most favorable to immigration. As they have more weight, the political outcome is closer to their preferences and further from the preferences of the other groups. We use data from the European Social Survey to test the implications of our model. (C) 2016 Elsevier B.V. All rights reserved.</t>
  </si>
  <si>
    <t>Romero, Jose/AAE-1999-2020; iturbe-ormaetxe, inigo/H-4674-2015</t>
  </si>
  <si>
    <t>iturbe-ormaetxe, inigo/0000-0002-2385-2471; Romero-Ciavatto, Jose Gabriel/0000-0002-4142-4331</t>
  </si>
  <si>
    <t>0176-2680</t>
  </si>
  <si>
    <t>1873-5703</t>
  </si>
  <si>
    <t>10.1016/j.ejpoleco.2016.07.006</t>
  </si>
  <si>
    <t>WOS:000383309900009</t>
  </si>
  <si>
    <t>Espinoza, J; Urzúa, A; Tampe, J; Parra, L; Quiroz, A</t>
  </si>
  <si>
    <t>Espinoza, Javier; Urzua, Alejandro; Tampe, Jocelyne; Parra, Leonardo; Quiroz, Andres</t>
  </si>
  <si>
    <t>Repellent Activity of the Essential Oil from the Heartwood of Pilgerodendron uviferum (D. Don) Florin against Aegorhinus superciliosus (Coleoptera: Curculionidae)</t>
  </si>
  <si>
    <t>MOLECULES</t>
  </si>
  <si>
    <t>The weevil Aegorhinus superciliosus Guerin (Coleoptera: Curculionidae), which is endemic to Central-Southern Chile and Argentina, is one of the major berry pests in Chile and the most important pest in the La Araucania Region (38 degrees 44'9 '' S, 72 degrees 35'25 '' W). Due to the poor effectiveness and problems surrounding the implementation of the traditional control methods using organophosphate and carbamate insecticides, new strategies for controlling this pest are needed. In this communication, we evaluated the behavioral responses of male and female A. superciliosus to volatile compounds released from the essential oil (EO) obtained from the heartwood of Pilgerodendron uviferum (D. Don) Florin using olfactometric bioassays. The composition of the EO was analyzed using gas chromatography (GC) and gas chromatography/mass spectrometry (GC/MS). According to these analyses, delta-cadinol (24.16%), cubenol (22.64%), 15-copaenol (15.46%) and delta-cadinene (10.81%) were the principal components of the EO. The Pilgerodendron uviferum EO, which is almost exclusively composed of sesquiterpenes (99.5%), exhibited a repellent effect against A. superciliosus adults, regardless of the sex or concentration used (56.6 mg/cm(3) and 1.58 x 10(-2) mg/cm(3)). The EO has low volatility and greater persistence than the EOs composed of monoterpenes and is considered a good model in the search for raspberry weevil repellents.</t>
  </si>
  <si>
    <t>Quiroz, Andres/I-2748-2018; Echeverría, Javier/AAK-3323-2020</t>
  </si>
  <si>
    <t>Urzua, Alejandro/0000-0003-2638-0921; Espinoza Maldonado, Javier/0000-0003-0153-8534</t>
  </si>
  <si>
    <t>1420-3049</t>
  </si>
  <si>
    <t>10.3390/molecules21040533</t>
  </si>
  <si>
    <t>WOS:000375155000140</t>
  </si>
  <si>
    <t>Navarro, R; Arancibia, C; Herrera, ML; Matiacevich, S</t>
  </si>
  <si>
    <t>Navarro, Rosa; Arancibia, Carla; Lidia Herrera, Maria; Matiacevich, Silvia</t>
  </si>
  <si>
    <t>Effect of type of encapsulating agent on physical properties of edible films based on alginate and thyme oil</t>
  </si>
  <si>
    <t>FOOD AND BIOPRODUCTS PROCESSING</t>
  </si>
  <si>
    <t>Active edible coatings incorporating antimicrobial agents such as thyme oil are studied to improve the shelf-life of fresh foods. The type of encapsulating agents used to microencapsulate the active compound could affect both, emulsions and film's physical properties. The aim was to study the effect of different encapsulating agents (trehalose, beta-cyclodextrin and TWeen 20) on physical and antimicrobial properties of alginate/thyme oil emulsions and films. Physical and antimicrobial characterization of film-forming emulsion and films were developed. Results showed differences in rheological behavior, particle size and stability of emulsions by encapsulating type. The highest stability of emulsions containing Tween 20 (instability of 0.69%) was attributed to more interactions between components (observed by FTIR) and the lowest particle size, but other samples also showed high stability (instability &lt;5%). The stability of emulsions did not correlate with films microstructure indicating that interactions amount components changed when solvent was evaporated. Films containing trehalose and p-cyclodextrin had less color and opacity than Tween 20, which is an advantage by industrial applications by coating due cannot affect the organoleptic characteristics of a fresh product. In conclusion, it is important the choice of encapsulating agent in order to use for developing active coatings with potential for applications in fresh food. (C) 2015 The Institution of Chemical Engineers. Published by Elsevier B.V. All rights reserved.</t>
  </si>
  <si>
    <t>Arancibia, Carla/AAN-2290-2020</t>
  </si>
  <si>
    <t>0960-3085</t>
  </si>
  <si>
    <t>1744-3571</t>
  </si>
  <si>
    <t>10.1016/j.fbp.2015.11.001</t>
  </si>
  <si>
    <t>WOS:000370105600007</t>
  </si>
  <si>
    <t>Navia, P; Osorio, R</t>
  </si>
  <si>
    <t>Navia, Patricio; Osorio, Rodrigo</t>
  </si>
  <si>
    <t>El Mercurio Lies, and La Tercera Lies More. Political Bias in Newspaper Headlines in Chile, 1994-2010</t>
  </si>
  <si>
    <t>In this article we examine the presence of bias in Chile's two main daily newspapers, El Mercurio and La Tercera, both of which have historically been associated with the political right. We analyse their principal headlines in the first 100 days of rule of presidents Eduardo Frei (1994-2000), Ricardo Lagos (2000-2006), Michelle Bachelet (2006-2010) and Sebastian Pinera (2010-2014). We find that La Tercera was more critical of all these presidents than El Mercurio. In La Tercera we also identify an ideological bias in favour of Pinera as compared to the centre-left presidents, and in El Mercurio a greater bias against Bachelet than the other presidents.</t>
  </si>
  <si>
    <t>; Navia, Patricio/B-1052-2009</t>
  </si>
  <si>
    <t>Osorio, Rodrigo/0000-0002-7365-5054; Navia, Patricio/0000-0001-9398-8393</t>
  </si>
  <si>
    <t>10.1111/blar.12364</t>
  </si>
  <si>
    <t>WOS:000361062100003</t>
  </si>
  <si>
    <t>Fernandez, AM; Dufey, M</t>
  </si>
  <si>
    <t>Maria Fernandez, Ana; Dufey, Michele</t>
  </si>
  <si>
    <t>Adaptation of Collins' Revised Adult Attachment Dimensional Scale to the Chilean Context</t>
  </si>
  <si>
    <t>PSICOLOGIA-REFLEXAO E CRITICA</t>
  </si>
  <si>
    <t>The Adult Attachment Revised Scale is a measure of relationship attachment that contains three dimensions: closeness, dependence and anxiety. In Study 1, the scale was translated and applied to a sample of 420 university students in order to assess reliability. In addition, the scale criterion validity was estimated through measures of self-perception and affectivity. The results of Study 1 supported the internal consistency of two dimensions of attachment, but dependence was lower than expected (alpha = .62). A confirmatory factor analysis was conducted and failed to reach a convergent fit, thus demonstrating that two of the items in dependence were considered problematic. In Study 2, difficult items in Study 1 were reworded and the new version of the scale was applied to 81 participants. The results of two subsequent CFAs showed adequate fit of the scale and increased internal consistency with this new wording (alpha &gt; .73), which replaced the expression depend on others by getting help from others, which is a better construct representation of the meaning of dependence in the context of attachment closeness. Therefore, not only did we adapt the three dimensions of the attachment scale, but also provided evidence of its validity related to locally adapted instruments.</t>
  </si>
  <si>
    <t>Dufey, Michele/E-1358-2011; Fernandez, Ana Maria/E-6429-2011</t>
  </si>
  <si>
    <t>Fernandez, Ana Maria/0000-0003-4132-5891</t>
  </si>
  <si>
    <t>0102-7972</t>
  </si>
  <si>
    <t>1678-7153</t>
  </si>
  <si>
    <t>10.1590/1678-7153.201528204</t>
  </si>
  <si>
    <t>WOS:000358382600004</t>
  </si>
  <si>
    <t>Bridi, R; Lobato, S; López-Alarcón, C; Lissi, E</t>
  </si>
  <si>
    <t>Bridi, Raquel; Lobato, Sergio; Lopez-Alarcon, Camilo; Lissi, Eduardo</t>
  </si>
  <si>
    <t>Influence of the growing region, quality classification and harvest year on the ORAC (Oxygen Radical Absorbance Capacity) index of Chilean Cabernet Sauvignon red wines</t>
  </si>
  <si>
    <t>CIENCIA E INVESTIGACION AGRARIA</t>
  </si>
  <si>
    <t>In the present work, we studied the effect of the growing region (IV, Metropolitan or VI - VII regions), quality classification (Varietal, Reserva, and Gran Reserva) and harvest year (2000-2012) on the total phenolic content and antioxidant capacity of thirty-six Chilean Cabernet Sauvignon red wine samples. The Folin-Ciocalteu (PC) and (Oxygen Radical Absorbance Capacity) ORAC methods, employing fluorescein and pyrogallol red as probes, were applied to establish the properties of the wine samples. The obtained results show a strong dependence at of the three indexes on the grape growing region, with higher values obtained in wines from the IV region. These results can be related to the climatic characteristics of this Region, which include dry weather and large temperature differences (nearly 20 degrees C) between day and night.</t>
  </si>
  <si>
    <t>Bridi, Raquel/JCN-9916-2023; Lopez, Camilo/J-5770-2013; bridi, raquel/F-1572-2015</t>
  </si>
  <si>
    <t>Lopez, Camilo/0000-0002-0174-8972; bridi, raquel/0000-0002-3891-5770</t>
  </si>
  <si>
    <t>0718-1620</t>
  </si>
  <si>
    <t>10.4067/S0718-16202014000300012</t>
  </si>
  <si>
    <t>WOS:000348254700012</t>
  </si>
  <si>
    <t>Portnoy, DS; Hollenbeck, CM; Vidal, RR; Gold, JR</t>
  </si>
  <si>
    <t>Portnoy, David S.; Hollenbeck, Christopher M.; Vidal, R. Rodrigo; Gold, John R.</t>
  </si>
  <si>
    <t>A Comparison of Neutral and Immune Genetic Variation in Atlantic Salmon, Salmo salar L. in Chilean Aquaculture Facilities</t>
  </si>
  <si>
    <t>Genetic diversity was assessed in samples of cultured Atlantic salmon, Salmo salar L., obtained from facilities in Chile between 2005 and 2010, a period of time during which the infectious pathogens Infectious Salmon Anemia (ISA) virus, Caligus rogercresseyi (sea lice), and Piscirickettsia salmonis (salmon rickettsial syndrome) were common. Two panels of microsatellite markers were utilized: one with microsatellites with no known gene associations (neutral) and one featuring microsatellites linked to putative immune-related genes (immune-related). Allelic richness and gene diversity across samples were significantly greater in neutral loci as compared to immune-related loci. Both diversity measures were homogeneous among samples for immune-related loci and heterogeneous among samples for neutral loci. Immune-related loci were identified as F-ST outliers in pairwise comparisons of samples at a 10-fold higher frequency than neutral loci. These results indicate that neutral and immune-related portions of the Atlantic salmon genome may have differed in response to the gauntlet of pathogens and that monitoring of specific, well characterized immune-related loci as well as neutral loci in cultured species could be useful when disease control and prevention is a goal.</t>
  </si>
  <si>
    <t>JUN 11</t>
  </si>
  <si>
    <t>e99358</t>
  </si>
  <si>
    <t>10.1371/journal.pone.0099358</t>
  </si>
  <si>
    <t>WOS:000338631000080</t>
  </si>
  <si>
    <t>Garcia-Segura, S; Salazar, R; Brillas, E</t>
  </si>
  <si>
    <t>Garcia-Segura, Sergi; Salazar, Ricardo; Brillas, Enric</t>
  </si>
  <si>
    <t>Mineralization of phthalic acid by solar photoelectro-Fenton with a stirred boron-doped diamond/air-diffusion tank reactor: Influence of Fe3+ and Cu2+ catalysts and identification of oxidation products</t>
  </si>
  <si>
    <t>Here, the substrate decay and mineralization rate for 100 cm(3) of a 2.0 mM phthalic acid solution in 0.10 M Na2SO4 of pH 3.0 have been studied by electro-Fenton (EF) and solar photoelectro-Fenton (SPEF). The electrochemical cell was a stirred tank reactor containing a 3 cm(2) boron-doped diamond (BDD) anode and a 3 cm(2) air-diffusion cathode that generates H2O2. Cu2+ and/or Fe3+ were added as catalysts with total concentration of 0.50 mM and a constant current density of 33.3 mA cm(-2) was applied. In EF with Cu-2* or Fe3+ alone and SPEF with only Cu2+, phthalic acid decayed slowly and poor mineralization was reached because the main oxidant was (OH)-O-center dot produced at the BDD surface from water oxidation. In contrast, the substrate destruction was largely enhanced using SPEF with 0.50 mM Fe3+ since a high quantity of oxidant (OH)-O-center dot was produced in the bulk induced by photo-Fenton reaction. This treatment led to an almost total mineralization by the photolysis of generated Fe(III)-carboxylate complexes. In all cases, the decay of phthalic acid obeyed a pseudo-first-order reaction. The combination of Cu2+ and Fe-3* as catalysts accelerated the mineralization process in SPEF because Cu(II)-carboxylate complexes were also removed with (OH)-O-center dot formed from photo-Fenton reaction. The best SPEF process was found for 0.125 mM Cu2+ +0.375 mM Fe3+, giving rise to 99% mineralization with 40% current efficiency and 0.294 kWh g(-1) TOC energy consumption. Eleven aromatics and six short-linear carboxylic acids were identified as oxidation products. A plausible reaction sequence for phthalic acid mineralization involving all the detected products was finally proposed. (C) 2013 Elsevier Ltd. All rights reserved.</t>
  </si>
  <si>
    <t>Salazar, Ricardo/L-7870-2013; Garcia-Segura, Sergi/B-6406-2019</t>
  </si>
  <si>
    <t>Brillas, Enric/0000-0001-8147-4651; Garcia-Segura, Sergi/0000-0002-1417-6416; Salazar-Gonzalez, Ricardo/0000-0003-2180-6022</t>
  </si>
  <si>
    <t>10.1016/j.electacta.2013.09.097</t>
  </si>
  <si>
    <t>WOS:000330491500077</t>
  </si>
  <si>
    <t>García-Herrera, CM; Celentano, DJ</t>
  </si>
  <si>
    <t>Garcia-Herrera, Claudio M.; Celentano, Diego J.</t>
  </si>
  <si>
    <t>Modelling and numerical simulation of the human aortic arch under in vivo conditions</t>
  </si>
  <si>
    <t>BIOMECHANICS AND MODELING IN MECHANOBIOLOGY</t>
  </si>
  <si>
    <t>This work presents the modelling and simulation of the mechanical behaviour of the human aortic arch under in vivo conditions with pressure levels within the normal and hypertension physiological range. The cases studied correspond to young and aged arteries without cardiovascular pathologies. First, the tissue of these two groups is characterised via in vitro tensile test measurements that make it possible to derive the material parameters of a hyperelastic isotropic constitutive model. Then, these material parameters are used in the simulation of young and aged aortic arches subjected to in vivo normal and hypertension conditions. Overall, the numerical results were found not only to provide a realistic description of the mechanical behaviour of the vessel but also to be useful data that allow the adequate definition of stress/stretch-based criteria to predict its failure.</t>
  </si>
  <si>
    <t>Celentano, Diego/JQW-5027-2023; García-Herrera, Claudio/ABE-8991-2020</t>
  </si>
  <si>
    <t>Garcia-Herrera, Claudio/0000-0002-1283-8551</t>
  </si>
  <si>
    <t>1617-7959</t>
  </si>
  <si>
    <t>1617-7940</t>
  </si>
  <si>
    <t>10.1007/s10237-013-0471-6</t>
  </si>
  <si>
    <t>WOS:000325815300006</t>
  </si>
  <si>
    <t>Arias, ML; Herrera, VP</t>
  </si>
  <si>
    <t>Luque Arias, Miria; Perez Herrera, Viviana</t>
  </si>
  <si>
    <t>Andean oral practices: the guitar fox</t>
  </si>
  <si>
    <t>ESTUDIOS FILOLOGICOS</t>
  </si>
  <si>
    <t>The aim of the present study is to demonstrate how in the oral discourse of an Andean tale, the Aymara community has acquired meanings and senses which come from the western culture, and how they are reflected through a syncretic view of the world. To bring this closer together, Godenzzi's text analysis model, and 2002 Calsamiglia and Tuson's function of deixis were used in the tale The guitarist fox, which was collected in the highlands of the Parinacota (Chile) province. The main results of this study show that Andean communities, from ancestral times, have been incorporating a series of oral discourse practices which can explain their present reality.</t>
  </si>
  <si>
    <t>0071-1713</t>
  </si>
  <si>
    <t>0717-6171</t>
  </si>
  <si>
    <t>WOS:000328633900005</t>
  </si>
  <si>
    <t>Campos, R; Rojas, O; Marín, M; Mendoza, M</t>
  </si>
  <si>
    <t>Kilpatrick, P; Milligan, P; Stotzka, R</t>
  </si>
  <si>
    <t>Campos, Rodrigo; Rojas, Oscar; Marin, Mauricio; Mendoza, Marcelo</t>
  </si>
  <si>
    <t>Distributed Ontology-Driven Focused Crawling</t>
  </si>
  <si>
    <t>PROCEEDINGS OF THE 2013 21ST EUROMICRO INTERNATIONAL CONFERENCE ON PARALLEL, DISTRIBUTED, AND NETWORK-BASED PROCESSING</t>
  </si>
  <si>
    <t>Euromicro Conference on Parallel Distributed and Network-Based Processing</t>
  </si>
  <si>
    <t>21st Euromicro International Conference on Parallel, Distributed, and Network-Based Processing (PDP)</t>
  </si>
  <si>
    <t>FEB 27-MAR 01, 2013</t>
  </si>
  <si>
    <t>Belfast, NORTH IRELAND</t>
  </si>
  <si>
    <t>Queens Univ Belfast,Euromicro</t>
  </si>
  <si>
    <t>Focused crawlers are programs designed to download web pages which are relevant to specific topics. Using information gathered at running time, focused crawlers explore the web following promissory hyperlinks and fetching only pages which appear to be relevant. These crawlers are receiving increasing attention because they favor the construction of vertical search engines, allowing users to focus on specific topics of information, providing higher accuracy and reducing computational costs involved in query processing. In this article, we introduce an efficient focused crawling strategy which considers a number of distributed focused crawlers which recover relevant pages to a given knowledge domain. We propose an ontology-based knowledge representation approach to drive the crawler to specific segments of the web. Experimental results with actual samples of the Web show the feasibility and efficiency of our strategy.</t>
  </si>
  <si>
    <t>Rojas, Oscar/ABG-3625-2021; Marin, Mauricio/GLR-7700-2022; Mendoza, Marcelo/D-2312-2014</t>
  </si>
  <si>
    <t>Mendoza, Marcelo/0000-0002-7969-6041; Rojas Diaz, Oscar/0000-0002-7754-9996; Marin, Mauricio/0000-0003-0662-7149</t>
  </si>
  <si>
    <t>1066-6192</t>
  </si>
  <si>
    <t>978-0-7695-4939-2; 978-1-4673-5321-2</t>
  </si>
  <si>
    <t>10.1109/PDP.2013.23</t>
  </si>
  <si>
    <t>WOS:000321123000015</t>
  </si>
  <si>
    <t>Vivanco, F; Rica, S; Melo, F</t>
  </si>
  <si>
    <t>Vivanco, Francisco; Rica, Sergio; Melo, Francisco</t>
  </si>
  <si>
    <t>Dynamical arching in a two dimensional granular flow</t>
  </si>
  <si>
    <t>GRANULAR MATTER</t>
  </si>
  <si>
    <t>A study of grains flow in a two dimensional hopper using particle tracking and photoelastic methods is presented in this article. An intermittent network of contact forces consisting of force chains and arches is observed. This network is responsible for fluctuations in the average vertical velocity. The magnitude of these fluctuations depends on the hopper's geometry, and it quickly reduces for large aperture size and small inclination angles. The average velocity field is described using a combination of harmonic angular functions and a power law of radial position. The mass flow rate is determined through the average velocity field and a Beverloo type scaling is obtained. We found that the effect of the inclination angle on the mass flow rate is given by . It is also found that the critical aperture size, approaching jamming, depends linearly on . At small D/d, the time average of the network of contact forces shows a boundary with characteristics resembling the free fall arch. We show that an arch can be built following the principal compression orientation of the stress tensor which captures the characteristics of the arches observed experimentally.</t>
  </si>
  <si>
    <t>Rica, Sergio/G-9865-2011; Melo, Francisco/M-3923-2014; Vivanco, Francisco/AAB-8928-2019</t>
  </si>
  <si>
    <t>Rica, Sergio/0000-0003-0695-6700; Melo, Francisco Esteban/0000-0001-6818-5476</t>
  </si>
  <si>
    <t>1434-5021</t>
  </si>
  <si>
    <t>10.1007/s10035-012-0359-7</t>
  </si>
  <si>
    <t>WOS:000308249100002</t>
  </si>
  <si>
    <t>Contreras, A; García, V; Salinas, F; Urzúa, U; Ganga, MA; Martínez, C</t>
  </si>
  <si>
    <t>Contreras, A.; Garcia, V.; Salinas, F.; Urzua, U.; Ganga, M. A.; Martinez, C.</t>
  </si>
  <si>
    <t>Identification of genes related to nitrogen uptake in wine strains of Saccharomyces cerevisiae</t>
  </si>
  <si>
    <t>WORLD JOURNAL OF MICROBIOLOGY &amp; BIOTECHNOLOGY</t>
  </si>
  <si>
    <t>The yeast Saccharomyces cerevisiae is the main microorganism responsible for wine fermentation and its development influences the quality of wine. A problem affecting these types of fermentations, generating important losses in this industry, are the slow or stuck fermentations which may result from low nitrogen availability in the must. Therefore, several studies have been directed towards identifying genes involved in nitrogen metabolism using high throughput strategies which include subjecting the yeast to changes in the type or concentration of the available nitrogen source. However, this type of approach can also generate responses in the yeast that do not necessarily alter the expression of genes related to nitrogen metabolism. In this work, by using intraspecific hybridisation of wild wine yeast strains we obtained genetically and oenologically similar strains with differences in the consumption of nitrogen sources. Using the same must, the global expression patterns of these yeasts were compared by microarrays, the analysis of which identified 276 genes that varied in their expression between the strains analysed. The functional analysis of the genes with a known function indicates that some participate in nitrogen metabolism, alcoholic fermentation, ion transport and transcriptional regulation. Furthermore, differences were observed in the expression of genes which have been partially associated to nitrogen, as in the case of ZRT1 and ATO2. Interestingly, many of the genes identified have no known function or have not been previously associated to this phenotype.</t>
  </si>
  <si>
    <t>García, Verónica/AAM-1175-2021; Contreras, Angela/AAD-7854-2019; Ganga, Maria/S-8176-2019; Martinez, Claudio/MGS-9961-2025; Salinas, Francisco/W-3269-2017; Urzua, Ulises/AAK-8708-2021</t>
  </si>
  <si>
    <t>Salinas, Francisco/0000-0002-8391-8145; garcia, veronica/0000-0002-5312-925X; Urzua, Ulises/0000-0003-0522-5754; Martinez, Claudio/0000-0001-8564-9287</t>
  </si>
  <si>
    <t>0959-3993</t>
  </si>
  <si>
    <t>1573-0972</t>
  </si>
  <si>
    <t>10.1007/s11274-011-0911-3</t>
  </si>
  <si>
    <t>WOS:000300290400037</t>
  </si>
  <si>
    <t>Amat, S; Bermúdez, C; Busquier, S; Legaz, MJ; Plaza, S</t>
  </si>
  <si>
    <t>Amat, S.; Bermudez, C.; Busquier, S.; Legaz, M. J.; Plaza, S.</t>
  </si>
  <si>
    <t>On a Family of High-Order Iterative Methods under Kantorovich Conditions and Some Applications</t>
  </si>
  <si>
    <t>This paper is devoted to the study of a class of high-order iterative methods for nonlinear equations on Banach spaces. An analysis of the convergence under Kantorovich-type conditions is proposed. Some numerical experiments, where the analyzed methods present better behavior than some classical schemes, are presented. These applications include the approximation of some quadratic and integral equations.</t>
  </si>
  <si>
    <t>Sáez, Sonia/AAA-6148-2019; Plata, Sergio/AAA-6144-2019</t>
  </si>
  <si>
    <t>10.1155/2012/782170</t>
  </si>
  <si>
    <t>WOS:000308160500001</t>
  </si>
  <si>
    <t>Zambra, CE; Moraga, NO; Escudey, M</t>
  </si>
  <si>
    <t>Zambra, C. E.; Moraga, N. O.; Escudey, M.</t>
  </si>
  <si>
    <t>Heat and mass transfer in unsaturated porous media: Moisture effects in compost piles self-heating</t>
  </si>
  <si>
    <t>A mathematical model relating heat and mass transfer in compost pile disposal in field is presented. The unsteady non linear mathematical diffusion model is solved through the finite volume method. The volumetric heat generation caused by the action of aerobic bacteria and by oxidation of cellulose in a porous media is incorporated as a function of the means moisture by a source term. Field studies in compost pile exposed to atmospheric conditions were made trying to reproduce the conditions in which self-heating and combustion may take place. Inside a compost pile made of solid residues obtained after municipal waste water treatment, temperature changes, oxygen contents and moisture were measured in time and depth. The mathematical model and numerical simulations in two dimensions, describe the internal changes of heat, oxygen and moisture observed in fields conditions and with this quantify the effects of the moisture in the temperature and oxygen concentration. (C) 2011 Elsevier Ltd. All rights reserved.</t>
  </si>
  <si>
    <t>13-14</t>
  </si>
  <si>
    <t>10.1016/j.ijheatmasstransfer.2011.01.031</t>
  </si>
  <si>
    <t>WOS:000291237700010</t>
  </si>
  <si>
    <t>García-Huidobro, M; Yarur, C</t>
  </si>
  <si>
    <t>Garcia-Huidobro, Marta; Yarur, Cecilia</t>
  </si>
  <si>
    <t>Existence of singular solutions for a Dirichlet problem containing a Dirac mass</t>
  </si>
  <si>
    <t>We give general existence results of solutions (u, v) to the Dirichlet problem {-Delta u = f (x, u, v) + c delta(0), -Delta u = g(x, u, v) + d delta(0) u = v = 0 on partial derivative B, in D'(B), (P) where B is the unit ball centered at zero in R(N), N &gt;= 3, delta(0) is the Dirac mass at 0 and c, d are nonnegative constants. No assumptions on the sign of the functions f and g are required. We also characterize the set of (c, d) such that problem (P) admits a solution in some particular cases of the nonlinearities f and g. (C) 2011 Elsevier Ltd. All rights reserved.</t>
  </si>
  <si>
    <t>10.1016/j.na.2011.01.005</t>
  </si>
  <si>
    <t>WOS:000288255600006</t>
  </si>
  <si>
    <t>Barrera, JO; García, CM</t>
  </si>
  <si>
    <t>Ortiz Barrera, Jade; Manzo Garcia, Caterina</t>
  </si>
  <si>
    <t>Interventions after the Hearthquake and Tsunami of february 27/2010: The Experience of the Sociedad Chilena de Psicologia Clinica (SCPC)</t>
  </si>
  <si>
    <t>The next article describes in systematic form the activities done by Chilean society of clinical psychology after the earthquake and the tsunami which were on February 27(th) of 2010, in the south and center zone of Chile. Inside this, it's presents coordination of trainings to psychologists and health's equipments who worked in area, preparation of written material that was delivered to the people in Santiago city and the work with Investigation Police in the diffusion of information to public in the Talcahuano zero zone. Finally, it is thought over about the need to be prepared to react in front of disaster natural's situations, especially for geographic constitution that have our country. It's evident incorporate in the curricular meshes of the different psychologist's schools, courses or at least unities centered in post traumatic stress, their boarding and treatments, like emergency's situations, catastrophes and actions orientated to his confronting.</t>
  </si>
  <si>
    <t>0716-6184</t>
  </si>
  <si>
    <t>WOS:000293210700010</t>
  </si>
  <si>
    <t>Jesam, C; Salvatierra, AM; Schwartz, JL; Croxatto, HB</t>
  </si>
  <si>
    <t>Jesam, Cristian; Maria Salvatierra, Ana; Schwartz, Jill L.; Croxatto, Horacio B.</t>
  </si>
  <si>
    <t>Suppression of Follicular Rupture With Meloxicam, A Cyclooxygenase-2 Inhibitor: Potential for Emergency Contraception EDITORIAL COMMENT</t>
  </si>
  <si>
    <t>OBSTETRICAL &amp; GYNECOLOGICAL SURVEY</t>
  </si>
  <si>
    <t>0029-7828</t>
  </si>
  <si>
    <t>1533-9866</t>
  </si>
  <si>
    <t>10.1097/OGX.0b013e3181e39ca0</t>
  </si>
  <si>
    <t>WOS:000279400600016</t>
  </si>
  <si>
    <t>Iturriaga, L; Lorca, S; Ubilla, P</t>
  </si>
  <si>
    <t>Iturriaga, Leonelo; Lorca, Sebastian; Ubilla, Pedro</t>
  </si>
  <si>
    <t>A quasilinear problem without the Ambrosetti-Rabinowitz-type condition</t>
  </si>
  <si>
    <t>We study the existence of a positive solution of a p-superlinear equation involving the p-Laplacian operator. The main difficulty here is that the nonlinearity considered does Hot necessarily verify the well-known Ambrosetti-Rabinowitz condition. As an application; by performing an adequate change of variables we obtain an existence result of a quasilinear equation depending on the gradient.</t>
  </si>
  <si>
    <t>Iturriaga, Leonelo/0000-0001-7621-7976</t>
  </si>
  <si>
    <t>10.1017/S0308210509000432</t>
  </si>
  <si>
    <t>WOS:000277352300009</t>
  </si>
  <si>
    <t>Espinoza, V</t>
  </si>
  <si>
    <t>Silva, P; Cleuren, H</t>
  </si>
  <si>
    <t>Espinoza, Vicente</t>
  </si>
  <si>
    <t>CITIZENS' INVOLVEMENT AND SOCIAL POLICIES IN CHILE: PATRONAGE OR PARTICIPATION?</t>
  </si>
  <si>
    <t>WIDENING DEMOCRACY: CITIZENS AND PARTICIPATORY SCHEMES IN BRAZIL AND CHILE</t>
  </si>
  <si>
    <t>CEDLA Latin America Studies</t>
  </si>
  <si>
    <t>Espinoza, Vicente/EAY-3744-2022</t>
  </si>
  <si>
    <t>1572-6401</t>
  </si>
  <si>
    <t>978-90-474-3189-3</t>
  </si>
  <si>
    <t>WOS:000302494900012</t>
  </si>
  <si>
    <t>Troncoso, E; Pedreschi, F; Zúñiga, RN</t>
  </si>
  <si>
    <t>Troncoso, E.; Pedreschi, F.; Zuniga, R. N.</t>
  </si>
  <si>
    <t>Comparative study of physical and sensory properties of pre-treated potato slices during vacuum and atmospheric frying</t>
  </si>
  <si>
    <t>The objective of this research was to study the effect of different processing conditions on physical and sensory properties of potato chips. Potato slices of Desiree and Panda varieties (diameter: 30 mm; thickness: 3 mm) were pre-treated in the following ways: (i) control or unblanched slices without pre-drying; (ii) blanched slices in hot water at 85 degrees C for 3.5 min and air-dried at 60 degrees C until a final moisture content of similar to 0.6 kg water/kg dry solid; (iii) control slices soaked in a 3.5 kg/m(3) sodium metabisulphite solution at 20 degrees C for 3 min and pH adjusted to 3. Pre-treated slices were fried at 120 and 140 degrees C under vacuum conditions (5.37 kPa, absolute pressure) and under atmospheric pressure until they reached a final moisture content of similar to 1.8 kg water/100 kg (wet basis). An experimental design (3 x 2(3)) was used to analyze the effect of pre-treatment, potato variety, type of frying and frying temperature over the following responses: oil content, instrumental color and texture and sensory evaluation. Vacuum frying increased significantly (p &lt; 0.05) oil content and decreased instrumental color and textural parameters. Sensory attributes, flavor quality and overall quality, were significantly improved using vacuum frying. The higher frying temperature (140 degrees C) increased Delta E, maximum breaking force, hardness and crispness and decreased L* and b* values. On the other hand, Panda potato variety improved the color of the product. A great improvement on color parameters was obtained using sulphited potato slices instead of the other pre-treatments. Although, the better flavor was obtained for control potato chips, no significant differences were found for overall quality between control and sulphited potato chips. Significant correlations (p &lt; 0.01) between sensory and instrumental responses were found. (C) 2008 Swiss Society of Food Science and Technology. Published by Elsevier Ltd. All rights reserved.</t>
  </si>
  <si>
    <t>pedreschi, franco/F-8844-2013</t>
  </si>
  <si>
    <t>Zuniga, Rommy/0000-0002-4195-8085; Troncoso, Elizabeth/0000-0002-6749-774X</t>
  </si>
  <si>
    <t>10.1016/j.lwt.2008.05.013</t>
  </si>
  <si>
    <t>WOS:000260523100029</t>
  </si>
  <si>
    <t>García, CF; Moyano, PC; Pedreschi, F</t>
  </si>
  <si>
    <t>Garcia, Claudia F.; Moyano, Pedro C.; Pedreschi, Franco</t>
  </si>
  <si>
    <t>Enthalpy-Entropy Compensation for Water Loss of Vegetable Tissues during Air Drying</t>
  </si>
  <si>
    <t>DRYING TECHNOLOGY</t>
  </si>
  <si>
    <t>Transition state theory was used to study enthalpy-entropy compensation for water loss during air drying of potato and apple slices. Slices of either potato or apple of 4-mm thickness, 40mm diameter and air drying temperatures of 323, 333, 343, and 353K were employed in the experiments. Moisture content and internal potato and apple slice temperatures were recorded during the drying runs. Water loss during drying was described by the unsteady-state Fick's equation and moisture diffusivity evolution was established by applying the method of the slopes. Thus, the experimental drying curve was compared to the theoretical diffusion curve, and the slope of the two curves were estimated at the same moisture content to in order give the corresponding value of diffusivity. During drying, the moisture diffusivity reached a maximum value as the water content of potato and apple slice was around 1kg water/kg dry solid, regardless of the air temperature. The isokinetic temperature was found to be 320.2 and 312.8K for potato and apple tissues, respectively. These values were greater than the experimental harmonic mean temperature, which was found to be 307.4 and 308.3K for potato and apple tissues, respectively. Thus, it was concluded that the water loss process is enthalpy controlled.</t>
  </si>
  <si>
    <t>0737-3937</t>
  </si>
  <si>
    <t>PII 905565923</t>
  </si>
  <si>
    <t>10.1080/07373930802466997</t>
  </si>
  <si>
    <t>WOS:000260907400019</t>
  </si>
  <si>
    <t>Hoelck, Daniel; Barbe, Joaquim</t>
  </si>
  <si>
    <t>Engraving print classification</t>
  </si>
  <si>
    <t>A print is a mark, or drawing, made in or upon a plate, stone, woodblock or other material which is cover with ink and then is press usually into a paper reproducing the image on the paper. Engraving prints usually are image composed of a group of binary lines, specially those are made with relief and intaglio techniques. Varying the number and the orientation of lines, the drawing of the engraving print is conformed. For this reason we propose an application based on image processing methods to classify engraving prints.</t>
  </si>
  <si>
    <t>WOS:000255857900195</t>
  </si>
  <si>
    <t>Travieso-Torres, JC; Duarte-Mermoud, MA</t>
  </si>
  <si>
    <t>Travieso-Torres, Juan C.; Duarte-Mermoud, Manuel A.</t>
  </si>
  <si>
    <t>Two simple and novel SISO controllers for induction motors based on adaptive passivity</t>
  </si>
  <si>
    <t>ISA TRANSACTIONS</t>
  </si>
  <si>
    <t>The design of two single-input single-output (SISO) controllers for induction motors based on adaptive passivity is presented in this paper. The two controllers work together with a field orientation block. Because of the adaptive nature of the proposed controllers, the knowledge of the set motor-load parameters is not needed and robustness under variations of such parameters is guaranteed. Simple proportional controllers for the torque, rotor flux and stator current control loops are used, due to the control simplification given by the use of feedback passive equivalence. A new principle called the Torque-Flux Control Principle is also stated in this article, which considerably simplifies the controller design, diminishing the control efforts and avoiding also rotor flux estimation. (c) 2007, ISA. Published by Elsevier Ltd. All rights reserved.</t>
  </si>
  <si>
    <t>Travieso Torres, Juan carlos/N-6437-2019; Duarte-Mermoud, Manuel A./I-2693-2013</t>
  </si>
  <si>
    <t>Travieso Torres, Juan carlos/0000-0002-9246-4827; Duarte-Mermoud, Manuel A./0000-0003-2367-4553</t>
  </si>
  <si>
    <t>0019-0578</t>
  </si>
  <si>
    <t>1879-2022</t>
  </si>
  <si>
    <t>10.1016/j.isatra.2007.05.007</t>
  </si>
  <si>
    <t>WOS:000252908100008</t>
  </si>
  <si>
    <t>Maximal regularity of discrete second order Cauchy problems in Banach spaces</t>
  </si>
  <si>
    <t>We characterize the discrete maximal regularity for second order difference equations by means of spectral and R-boundedness properties of the resolvent set.</t>
  </si>
  <si>
    <t>10.1080/10236190701458857</t>
  </si>
  <si>
    <t>WOS:000250982900005</t>
  </si>
  <si>
    <t>Retamal, JC; Delgado, A; Saavedra, C</t>
  </si>
  <si>
    <t>Retamal, J. C.; Delgado, A.; Saavedra, C.</t>
  </si>
  <si>
    <t>Atom-field entanglement at the collapse region</t>
  </si>
  <si>
    <t>PHYSICS LETTERS A</t>
  </si>
  <si>
    <t>It is shown that the atom-field interaction, in the context of the Jaynes-Cummings model, leads periodically to a Schmidt decomposition of the atom-field state at times within the first collapse region. For some initial average photon number maximally entangled atom-field state are generated. (c) 2006 Elsevier B.V. All rights reserved.</t>
  </si>
  <si>
    <t>Saavedra, Carlos/C-4262-2008; Retamal, Juan/G-6425-2010; Delgado, Aldo/M-1707-2014</t>
  </si>
  <si>
    <t>Delgado, Aldo/0000-0002-8968-5733; Retamal Abarzua, Juan Carlos/0000-0002-7174-7879; Saavedra, Carlos/0000-0003-3156-3853</t>
  </si>
  <si>
    <t>0375-9601</t>
  </si>
  <si>
    <t>1873-2429</t>
  </si>
  <si>
    <t>JUN 19</t>
  </si>
  <si>
    <t>10.1016/j.physleta.2006.02.007</t>
  </si>
  <si>
    <t>WOS:000238333700002</t>
  </si>
  <si>
    <t>Maturana, HR; Poerksen, B</t>
  </si>
  <si>
    <t>The view of the systemicist: A conversation</t>
  </si>
  <si>
    <t>JOURNAL OF CONSTRUCTIVIST PSYCHOLOGY</t>
  </si>
  <si>
    <t>In this reflective dialogue, Humberto Maturana speaks about his understanding of living systems and its implications for psychotherapy. Dismissing the myth of instructive interaction, Maturana argues that a simple causal conceptualization of therapeutic procedures producing precise and predictable effects in clients is incoherent with a theory of structure-determined systems. Instead, he contends that every therapeutic action is embedded in a network of relationships, whose dynamics must be appreciated by therapists in order for them to participate in the client's system and at the same time maintain the distance necessary to relate reflectively and in a noncontrolling fashion. Maturana contends that the profound and unbiased understanding that can follow from this stance fosters an awareness of the observer-dependent nature of  pathology, and provides grounds for a critique of larger cultural systems in shaping the distress or liberation of their members.</t>
  </si>
  <si>
    <t>1072-0537</t>
  </si>
  <si>
    <t>10.1080/10720530490483167</t>
  </si>
  <si>
    <t>WOS:000223436000001</t>
  </si>
  <si>
    <t>Soto, MA; Sotomayor, CP; Lissi, EA</t>
  </si>
  <si>
    <t>Peroxyl radicals promoted changes in water permeability through gramicidin channels in DPPC and lecithin-PC vesicles</t>
  </si>
  <si>
    <t>CHEMISTRY AND PHYSICS OF LIPIDS</t>
  </si>
  <si>
    <t>Gramicidin incorporation to DPPC or lecithin-PC large unilamellar vesicles (LUVs) leads to pore formation that, under hyper-osmotic conditions, produces a noticeable increase in the rate of trans-membrane water flow. This pore formation is more efficient in the more fluid lecithin-PC LUVs. Exposure of these vesicles to peroxyl radicals generated in the aerobic thermolysis of 2,2-azo-bis(2-amidinopropane) (AAPH), changes the physical properties of the bilayer (as sensed employing fluorescent probes), modifies gramicidin molecules (as sensed by the decrease in Trp fluorescence) and notably reduces the transbilayer rate of water outflow. In order to evaluate if this reduced water-transport capacity is due to changes in the membrane due to lipid-peroxidation and/or direct damage to gramicidin channels, results obtained in the oxidable vesicles (lecithin-PC) were compared to those obtained in DPPC vesicles. The data obtained show that most of the water transport efficiency loss can be ascribed to a direct disruption of gramicidin channels by AAPH derived peroxyl radicals. (C) 2002 Elsevier Science Ireland Ltd. All rights reserved.</t>
  </si>
  <si>
    <t>Soto-Arriaza, Marco/J-8918-2017</t>
  </si>
  <si>
    <t>Soto-Arriaza, Marco/0000-0003-4502-6960</t>
  </si>
  <si>
    <t>0009-3084</t>
  </si>
  <si>
    <t>PII S0009-3084(02)00163-9</t>
  </si>
  <si>
    <t>10.1016/S0009-3084(02)00163-9</t>
  </si>
  <si>
    <t>WOS:000182181900007</t>
  </si>
  <si>
    <t>Evelson, P; Travacio, M; Repetto, M; Escobar, J; Llesuy, S; Lissi, EA</t>
  </si>
  <si>
    <t>Evaluation of total reactive antioxidant potential (TRAP) of tissue homogenates and their cytosols</t>
  </si>
  <si>
    <t>This study evaluates the possibility of obtaining total reactive antioxidant potential (TRAP) indexes in homogenates and their cytosolic fractions by a procedure based on the quenching of luminol luminescence induced by the thermolysis of 2,2'-azo-bis(2-amidinopropane). Measurements were performed in rat brain, liver, kidney, and heart homogenates. TRAP indexes can be easily determined both in homogenates and their cytosolic fractions. The results obtained indicate that heart homogenates are the least and liver homogenates the most protected of the systems considered. Glutathione is the measured antioxidant that contributes the most to TRAP values, while uric acid makes a significant contribution only in liver. A calculation of theoretical TRAP values from the measured concentrations of the main antioxidants (glutathione, uric acid, ascorbic acid, and alpha-tocopherol) for the different homogenates shows that, in most tissues (liver, brain, and kidney), nearly 50% of the experimentally determined TRAP values are not accounted for. This difference is mainly due to the contribution of proteins to the measured TRAP. (C) 2001 Academic Press.</t>
  </si>
  <si>
    <t>Repetto, Marisa/R-5086-2016; Evelson, Pablo Andres/J-1245-2014</t>
  </si>
  <si>
    <t>Francisca Llesuy, Susana/0000-0001-6818-051X; Evelson, Pablo Andres/0000-0001-7920-7968</t>
  </si>
  <si>
    <t>10.1006/abbi.2001.2292</t>
  </si>
  <si>
    <t>WOS:000168254800011</t>
  </si>
  <si>
    <t>Sáez, E; Szántó, I; Monsalve, A</t>
  </si>
  <si>
    <t>Three limit cycles for a first-order exothermic chemical reaction in a continuous stirred-tank reactor</t>
  </si>
  <si>
    <t>JOURNAL OF MATHEMATICAL CHEMISTRY</t>
  </si>
  <si>
    <t>We study a first-order exothermic chemical reaction in a continuous stirred-tank reactor modelled by a 3-parameter family of vector fields in R-2. We prove that there exist regions in R-3 which contain points that depend on parameters such that the chemical reaction has 0, 1, 2, or 3 small amplitude limit cycles that surround the origin. We conclude that this model can reach two stable small amplitude limit cycles. Finally, we show that one of these regions contains the point in the parameter space considered by Gurel and Lapidus [6] who proved numerically the existence of one stable limit cycle.</t>
  </si>
  <si>
    <t>Monsalve, Alberto/0000-0002-5772-8815; szanto, ivan/0009-0009-5704-0816</t>
  </si>
  <si>
    <t>0259-9791</t>
  </si>
  <si>
    <t>1572-8897</t>
  </si>
  <si>
    <t>10.1023/A:1019191507881</t>
  </si>
  <si>
    <t>WOS:000089539500015</t>
  </si>
  <si>
    <t>Vásquez, JA; Vega, JMA; Matsuhiro, B; Urzúa, C</t>
  </si>
  <si>
    <t>The ecological effects of mining discharges on subtidal habitats dominated by macroalgae in northern Chile:: population and community level studies</t>
  </si>
  <si>
    <t>HYDROBIOLOGIA</t>
  </si>
  <si>
    <t>XVIth International Seaweed Symposium on the Seaweed Industry and Research and Development - A Solid Partnership</t>
  </si>
  <si>
    <t>CEBU, PHILIPPINES</t>
  </si>
  <si>
    <t>Dept Sci &amp; Technol, Philippines,FMC Marine Colloids, Philippines,Genn Philippines Inc,Japan Seaweed Assoc,Marinalg Int,Natl Acad Sci &amp; Technol,Shemberg Mkt Corp,SE Asian Fisheries Dev Ctr,Land Bank Philippines,MCPI Corp,Westmont Bank Philippines</t>
  </si>
  <si>
    <t>In 1996/97, a study was carried out to evaluate several variables related to the potential ecological effects of soluble copper and iron released as the result of direct dumping of mine tailing into the littoral zone of the Pacific Ocean off northern Chile. Variables studied included: 1. content of copper and iron in mining discharges; 2. distribution of Cu and Fe in seawater at study sites; 3. distribution of Cu and Fe in the seaweed Lessonia trabeculata and in its alginates (obtained from frond, stipe and holdfast); 4. alterations in Lessonia morphology; and 5. variability in the macroinvertebrate community associated with Lessonia holdfasts and the inter-plant subtidal community. The variables were evaluated for different depths and distance from discharge sources, as well as for control areas far from any mining activity. It was observed that tailings from copper mining caused more ecological perturbation than those from iron mining; however, the lack of organisms very close to tailing discharges could be caused by stress produced by loading of fine sediments rather than by the presence of heavy metals. This work shows that the concentrations of heavy metals in seawater, plants, and alginates of Lessonia in contaminated and control sites were highly variable, decreasing with depth and distance from the contamination source. What were originally considered as control areas far from anthropogenic metal release, showed high concentration of heavy metal due to natural orogenetic processes occurring along the Chilean coast.</t>
  </si>
  <si>
    <t>Vega, JM/M-2401-2016</t>
  </si>
  <si>
    <t>0018-8158</t>
  </si>
  <si>
    <t>WOS:000082676900027</t>
  </si>
  <si>
    <t>Encinas, MV; Lissi, EA; Norambuena, E</t>
  </si>
  <si>
    <t>Inhibition of styrene polymerization by β-nitrostyrene.: A novel inhibition mechanism</t>
  </si>
  <si>
    <t>MACROMOLECULES</t>
  </si>
  <si>
    <t>The AIBN-initiated polymerization of beta-nitrostyrene, as well as its copolymerization with styrene, is negligible. Millimolar concentrations of nitro compound lead to a notable decrease of the polymerization rate of styrene and the molecular weight of the produced polymers. These results, together with the NMR analysis of the polymers, show that beta-nitrostyrene acts as a strong inhibitor of styrene polymerization. A mechanism that involves the release of NO2 is proposed to explain the behavior of beta-nitrostyrene as inhibitor.</t>
  </si>
  <si>
    <t>0024-9297</t>
  </si>
  <si>
    <t>10.1021/ma9712965</t>
  </si>
  <si>
    <t>WOS:000075347600001</t>
  </si>
  <si>
    <t>CASSELS, BK; ASENCIO, M; CONGET, P; SPEISKY, H; VIDELA, LA; LISSI, EA</t>
  </si>
  <si>
    <t>STRUCTURE-ANTIOXIDATIVE ACTIVITY RELATIONSHIPS IN BENZYLISOQUINOLINE ALKALOIDS</t>
  </si>
  <si>
    <t>PHARMACOLOGICAL RESEARCH</t>
  </si>
  <si>
    <t>The antioxidative properties of the aporphines boldine, glaucine and apomorphine, and of the benzyltetrahydroisoquinolines (+/-)-coclaurine and (+/-)-norarmepavine were compared in the brain homogenate autoxidation model. The IC50 values found lay in the 16-20 mu M range for the aporphines and were 131.7 mu M, and 79.3 mu M for coclaurine and norarmepavine, respectively. These results indicate that the antioxidative capacity (AC) of these compounds is related to the presence of the biphenyl system rather than phenol groups. The non-phenolic glaucine inhibited the 2,2'-azobis-(2-amidinopropane)(AAP)-induced inactivation of lysozyme with an IC50 value of 12 mu M, while the corresponding values for the phenolic coclaurine and norarmepavine were 10 and 20 mu M, respectively. N-Methylation of glaucine to its quaternary ammonium reduced its protective effect by two-thirds. This result suggests that a benzylic hydrogen neighbouring a nitrogen lone electron pair may be the key to the protective effect of non-phenolic aporphines.</t>
  </si>
  <si>
    <t>SPEISKY, HERNAN/E-6146-2013; Cassels, Bruce/H-6937-2013</t>
  </si>
  <si>
    <t>Conget, Paulette/0000-0002-2530-7936</t>
  </si>
  <si>
    <t>1043-6618</t>
  </si>
  <si>
    <t>10.1016/1043-6618(95)80054-9</t>
  </si>
  <si>
    <t>WOS:A1995QR85400003</t>
  </si>
  <si>
    <t>BAGGIO, RF; MOYA, SA; SCHMIED, R; GULPPI, M; GUERRERO, J; SARTORI, R; GARLAND, MT</t>
  </si>
  <si>
    <t>BIS(3,3'-DIMETHYLENE-2,2'-BIQUINOLINIUM) TETRABROMOAURATE(III) DIBROMOAURATE(I)</t>
  </si>
  <si>
    <t>ACTA CRYSTALLOGRAPHICA SECTION C-CRYSTAL STRUCTURE COMMUNICATIONS</t>
  </si>
  <si>
    <t>The structure of the title compound, (C20H15N2)[AuBr3], has been determined. It consists of two anions, [AuBr4](-) and [AuBr2](-), attached to two 3,3'-dimethylene-2,2'-biquinolinium (or 6,7-dihydro-benzo[2,1-b:3,4-b']diquinolium cations by hydrogen bonds.</t>
  </si>
  <si>
    <t>Gulppi, Miguel/KTA-6210-2024</t>
  </si>
  <si>
    <t>Gulppi, Miguel/0000-0001-6099-4463</t>
  </si>
  <si>
    <t>0108-2701</t>
  </si>
  <si>
    <t>10.1107/S0108270194000077</t>
  </si>
  <si>
    <t>WOS:A1994PT88100026</t>
  </si>
  <si>
    <t>OLEA, AF; ENCINAS, MV; LISSI, EA</t>
  </si>
  <si>
    <t>QUENCHING OF CARBONYL N-PISTAR EXCITED TRIPLETS BY MACROMOLECULES</t>
  </si>
  <si>
    <t>Encinas, Maria/L-9686-2014; Olea, Andres/AAF-6955-2019</t>
  </si>
  <si>
    <t>WOS:A1982PC18700030</t>
  </si>
  <si>
    <t>FERRAUDI, GJ; ENDICOTT, JF</t>
  </si>
  <si>
    <t>PHOTOSTIMULATED SOLVOLYTIC REACTIONS OF A MACROCYCLIC COPPER COMPLEX</t>
  </si>
  <si>
    <t>INORGANIC CHEMISTRY</t>
  </si>
  <si>
    <t>0020-1669</t>
  </si>
  <si>
    <t>10.1021/ic50177a018</t>
  </si>
  <si>
    <t>WOS:A1977DZ16900018</t>
  </si>
  <si>
    <t>Fernández, AI; Jarufe, J; Segarra, P; Cavieres, P</t>
  </si>
  <si>
    <t>Fernandez, Alberto I.; Jarufe, Juan; Segarra, Pablo; Cavieres, Patricio</t>
  </si>
  <si>
    <t>Management of Construction Planning Process in Massive Underground Mining by Integrating LPS and CIT through Action Research</t>
  </si>
  <si>
    <t>JOURNAL OF CONSTRUCTION ENGINEERING AND MANAGEMENT</t>
  </si>
  <si>
    <t>Currently, in massive underground mining (MUM) many processes lack standardized methodologies for effective resource and time management. One such area is construction planning, which involves multiple time horizons and complex interactions between variables and activities. In recent years, methodologies rooted in lean philosophies have been applied to improve process control and compliance in MUM, but they often face difficulties to address site-specific constraints and intertemporal dependencies. Inadequate management of these factors can lead to significant project delays, consequently affecting production milestones. To address this gap, this paper introduces a planning methodology based in a central management system called Last Planner System (LPS) and continuous improvement tools (CIT), aimed to generate an improvement in the reliability of the processes led by the planning area. Action research (AR) is applied to evaluate existing practices for similar projects, implement the methodology, reflect upon and analyze the results, and develop guidelines for the methodology's reproducibility. The project assessed is a MUM operation in its initial construction stage characterized by specific operational constraints and constant deviations to the programming. The proposed methodology advanced project commissioning by three months, enabling the completion of all activities scheduled in the master plan's milestones and promoting operational continuity. Performance metrics validate the methodology's effectiveness, with limitations and confounding factors discussed. The methodology offers several benefits to the organization, including a traceable master plan (MP), the collaborative planning of operational constraints, and a dynamic visual monitoring of key project metrics.</t>
  </si>
  <si>
    <t>Segarra, Pablo/G-2695-2011</t>
  </si>
  <si>
    <t>0733-9364</t>
  </si>
  <si>
    <t>1943-7862</t>
  </si>
  <si>
    <t>10.1061/JCEMD4.COENG-15323</t>
  </si>
  <si>
    <t>WOS:001444639200016</t>
  </si>
  <si>
    <t>Oyarzo, ANM; Rojas, CA</t>
  </si>
  <si>
    <t>Oyarzo, A. L. D. O. NICOLaS M. A. L. D. O. N. A. D. O.; Rojas, Christian Alvarez</t>
  </si>
  <si>
    <t>Even if they tell us. Racism, classism and Chile's most beloved team</t>
  </si>
  <si>
    <t>Rojas, Christian/T-5865-2019</t>
  </si>
  <si>
    <t>10.7770/CUHSO-V34N2-ART638</t>
  </si>
  <si>
    <t>WOS:001400716100042</t>
  </si>
  <si>
    <t>On proportional hybrid operators in the discrete setting</t>
  </si>
  <si>
    <t>In this article, we introduce a new nonlocal operator H-alpha defined as a linear combination of the discrete fractional Caputo operator and the fractional sum operator. A new dual operator R-alpha is also introduced by replacing the discrete fractional Caputo operator with the discrete fractional Riemann-Liouville operator. It is shown that it corresponds to a natural discretization of a proportional hybrid operator defined by the Riemann-Liouville operator instead of Caputo hybrid operator. We then analyze the most important properties of these operators, such as their inverse operator and the Z-transform, among others. As an application, we solve difference equations equipped with these operators and obtain explicit solutions for them in terms of trivariate Mittag-Leffler sequences.</t>
  </si>
  <si>
    <t>10.1002/mma.10551</t>
  </si>
  <si>
    <t>OCT 2024</t>
  </si>
  <si>
    <t>WOS:001336275700001</t>
  </si>
  <si>
    <t>Pinheiro, IKAD; Ferrari, GLD; da Silva, DRP</t>
  </si>
  <si>
    <t>Pinheiro, Ingrid Kelly Alves Dos Santos; Ferrari, Gerson Luis de Moraes; da Silva, Danilo Rodrigues Pereira</t>
  </si>
  <si>
    <t>Purpose and Audience of Public Policies Promoting Physical Activity and Reducing Sedentary Behavior in South American Countries</t>
  </si>
  <si>
    <t>EUROPEAN JOURNAL OF PUBLIC HEALTH</t>
  </si>
  <si>
    <t>Ferrari, Gerson/HHM-6173-2022</t>
  </si>
  <si>
    <t>1101-1262</t>
  </si>
  <si>
    <t>1464-360X</t>
  </si>
  <si>
    <t>SEP 26</t>
  </si>
  <si>
    <t>_2</t>
  </si>
  <si>
    <t>10.1093/eurpub/ckae114.105</t>
  </si>
  <si>
    <t>WOS:001334725000029</t>
  </si>
  <si>
    <t>Salas-Bruggink, D; Guzmán, H; Espina, G; Blamey, JM</t>
  </si>
  <si>
    <t>Salas-Bruggink, Diego; Guzman, Hardy; Espina, Giannina; Blamey, Jenny M.</t>
  </si>
  <si>
    <t>Recombinant Expression and Characterization of a Novel Thermo-Alkaline Lipase with Increased Solvent Stability from the Antarctic Thermophilic Bacterium Geobacillus sp. ID17</t>
  </si>
  <si>
    <t>Lipases are enzymes that hydrolyze long-chain carboxylic esters, and in the presence of organic solvents, they catalyze organic synthesis reactions. However, the use of solvents in these processes often results in enzyme denaturation, leading to a reduction in enzymatic activity. Consequently, there is significant interest in identifying new lipases that are resistant to denaturing conditions, with extremozymes emerging as promising candidates for this purpose. Lip7, a lipase from Geobacillus sp. ID17, a thermophilic microorganism isolated from Deception Island, Antarctica, was recombinantly expressed in E. coli C41 (DE3) in functional soluble form. Its purification was achieved with 96% purity and 23% yield. Enzymatic characterization revealed Lip7 to be a thermo-alkaline enzyme, reaching a maximum rate of 3350 U mg(-1) at 50 degrees C and pH 11.0, using p-nitrophenyl laurate substrate. Notably, its kinetics displayed a sigmoidal behavior, with a higher kinetic efficiency (k(cat)/K-m) for substrates of 12-carbon atom chain. In terms of thermal stability, Lip7 demonstrates stability up to 60 degrees C at pH 8.0 and up to 50 degrees C at pH 11.0. Remarkably, it showed high stability in the presence of organic solvents, and under certain conditions even exhibited enzymatic activation, reaching up to 2.5-fold and 1.35-fold after incubation in 50% v/v ethanol and 70% v/v isopropanol, respectively. Lip7 represents one of the first lipases from the bacterial subfamily I.5 and genus Geobacillus with activity and stability at pH 11.0. Its compatibility with organic solvents makes it a compelling candidate for future research in biocatalysis and various biotechnological applications.</t>
  </si>
  <si>
    <t>Salas Bruggink, Diego Ignacio Jesus/0009-0004-1498-6509; Espina, Giannina/0000-0002-6308-7217</t>
  </si>
  <si>
    <t>1661-6596</t>
  </si>
  <si>
    <t>10.3390/ijms25147928</t>
  </si>
  <si>
    <t>WOS:001278852800001</t>
  </si>
  <si>
    <t>Barzegari, E; Ghanbari-Movahed, M; Shafiei, S; Farzaei, MH; Echeverría, J</t>
  </si>
  <si>
    <t>Barzegari, Ebrahim; Ghanbari-Movahed, Maryam; Shafiei, Sahar; Farzaei, Mohammad Hosein; Echeverria, Javier</t>
  </si>
  <si>
    <t>Natural flavonoids for the amelioration of acetaminophen-induced hepatotoxicity: a systems pharmacology-based study</t>
  </si>
  <si>
    <t>CHEMICAL PAPERS</t>
  </si>
  <si>
    <t>Natural flavonoids have been promising in protecting against liver injuries induced by acetaminophen overdose, the leading cause of drug-induced hepatotoxicity. The present research was focused on an integrative approach to shed light on the currently unclear targeted pathways and possible molecular mechanisms involved in such alleviating effects. This study aimed to apply systems pharmacogenomics to identify the proteins and pathways targeted by flavonoids that ameliorate acetaminophen-induced hepatotoxicity (AIH), as well as to comparatively examine the potential utility of both targets and phytoligands for treating AIH. The overall research plan involves evidence-based compiling of AIH-protecting flavonoids, systems-based target screening, and target-flavonoid interaction studies by molecular modeling. Overlapping elements between predicted compounds' targets and disease-related targets were used to build an expanded protein-protein interaction (PPI) network to identify the significant pathways involved in the hepatoprotective effects of the flavonoids. Compound-target-pathway data integration provided a final set of targets and ligands, which were used for molecular interaction studies by using molecular docking. Prostaglandin-endoperoxide synthase 2 (PTGS2) was a hub in the PPI network, a central element in the compound-target-pathway network, the best target for chrysin, and the top receptor for oroxyloside. Monoamine oxidase A (MAOA) was a commonly predicted target, a central element in the integrative network, and the best target for seven out of the ten flavonoids. PTGS2-oroxyloside, MAOA-quercetin, CFTR-oroxyloside, and MAOA-naringenin were identified as the most capable complexes of flavonoid nutraceuticals with AIH therapeutical targets to be further studied for treating AIH.</t>
  </si>
  <si>
    <t>Farzaei, Mohammad/M-5779-2017; Barzegari, Ebrahim/S-8848-2019; Echeverría, Javier/E-9989-2011</t>
  </si>
  <si>
    <t>Barzegari, Ebrahim/0000-0002-4412-6129</t>
  </si>
  <si>
    <t>0366-6352</t>
  </si>
  <si>
    <t>2585-7290</t>
  </si>
  <si>
    <t>10.1007/s11696-024-03556-6</t>
  </si>
  <si>
    <t>JUN 2024</t>
  </si>
  <si>
    <t>WOS:001251880500002</t>
  </si>
  <si>
    <t>Plaza-Vega, F; Araya, H</t>
  </si>
  <si>
    <t>Plaza-Vega, Francisco; Araya, Hector</t>
  </si>
  <si>
    <t>Anchovy (Engraulis ringens) and Pacific sardine (Sardinops sagax) variability changes in northern Chile associated with the environment and inter species synchronicity: GARCH model with exogenous variable and hybrid Bayesian deep learning estimation approach</t>
  </si>
  <si>
    <t>PROGRESS IN OCEANOGRAPHY</t>
  </si>
  <si>
    <t>Small pelagic fish species, such as anchovy (Engraulis ringens) and Pacific sardine (Sardinops sagax), play a crucial role in marine ecosystems worldwide as they serve as an important food source for higher-order predators, such as seabirds, marine mammals, and larger fish species; also from their high productivity in terms of fishery landings, they help with maintaining food security. However, small pelagic populations are known for their variability, with fluctuations in their distribution and abundance influenced by interactions with environmental and human-related factors in different spatio-temporal scales. This study aims to investigate the variability in anchovy and sardine populations in northern Chile and their potential environmental drivers by using a class of models that address the changes in variability (i.e. variance) over time, namely Generalized autoregressive conditional heteroskedasticity (GARCH) models. In particular, this work considers a GARCH model that includes an additional term in the variance, that could help to better model the variability fluctuations of both anchovy and sardine, explained by environmental factors. Since there is no estimation procedures for those type of models, we propose a hybrid Approximate Bayesian Computation (ABC) procedure that involves the use of Deep Learning structures for estimating the parameters of the model and obtain posterior distributions. The results are two-fold: First, the proposal of a new time series model that better explain conditional variance with exogenous variables and a novel estimation procedure, and second, a novel approach for establishing explicit models that address the variability of small pelagic fisheries and their interaction with the environment.</t>
  </si>
  <si>
    <t>0079-6611</t>
  </si>
  <si>
    <t>1873-4472</t>
  </si>
  <si>
    <t>10.1016/j.pocean.2023.103190</t>
  </si>
  <si>
    <t>WOS:001158438200001</t>
  </si>
  <si>
    <t>Poblete, T; Millán, D; Rezende, MC</t>
  </si>
  <si>
    <t>Poblete, Teresa; Millan, Daniela; Rezende, Marcos Caroli</t>
  </si>
  <si>
    <t>Synergism in the solvation of solvatochromic probes in binary mixtures with ionic liquids</t>
  </si>
  <si>
    <t>The preferential solvation of two perichromic dyes, 4-amino-N-methylphthalimide (4-AMP) and Nile Red (NR) in binary mixtures of an ionic liquid ([bmim][X], where X = BF4, PF6, Tf2N and DCA) with a protic or non-protic solvent, was investigated, in search of examples of a synergetic or hyperpolar behavior. Synergism was generally observed in those mixtures where the two pure components had similar polarity values, according to the employed probe. A parallel was drawn between the observed synergism in these IL mixtures and the phenomenon of hydrotropism, also observed with organic solutes in aqueous IL mixtures. More generally, in binary mixtures with organic solvents, ionic liquids can act as solvatotropes, promoting the dye solvation by formation of solute-specific aggregates with all species present in the mixture. By stabilizing the dipolar excited state of 4-AMP or NR through hydrogen-bonds and electrostatic interactions in these aggregates, a hyperpolar milieu is generated, which surpasses the polarities of the two pure components. Solvatotropism seems to offer a more realistic picture than the solvent-exchange model, originally developed for simpler systems, to the phenomenon of preferential solvation in binary mixtures with ionic liquids.</t>
  </si>
  <si>
    <t>Caroli, Marcos/H-3570-2019; Millan, Daniela/ABD-4398-2021</t>
  </si>
  <si>
    <t>Millan, Daniela/0000-0002-4264-7967; Poblete, Teresa/0009-0006-3482-3867</t>
  </si>
  <si>
    <t>A</t>
  </si>
  <si>
    <t>10.1016/j.molliq.2023.123227</t>
  </si>
  <si>
    <t>WOS:001104021900001</t>
  </si>
  <si>
    <t>Lecaros, R; Morales, R; Pérez, A; Zamorano, S</t>
  </si>
  <si>
    <t>Lecaros, Rodrigo; Morales, Roberto; Perez, Ariel; Zamorano, Sebastian</t>
  </si>
  <si>
    <t>Discrete Carleman estimates and application to controllability for a fully-discrete parabolic operator with dynamic boundary conditions</t>
  </si>
  <si>
    <t>We consider a fully-discrete approximation of a 1-D heat equation with dynamic boundary conditions for which we provide a controllability result. The proof of this result is based on a relaxed observability inequality for the corresponding adjoint system. This is conducted using a suitable Carleman estimate for such models where the discrete parameters h and At are connected to one of the large Carleman parameters.&amp; COPY; 2023 Elsevier Inc. All rights reserved.</t>
  </si>
  <si>
    <t>Zamorano, Sebastián/AAY-2547-2020; Lecaros, Rodrigo/LBH-1804-2024</t>
  </si>
  <si>
    <t>Morales Ponce, Roberto Alejandro/0000-0003-1193-7803; Lecaros, Rodrigo/0000-0003-3929-7684; Perez, Ariel/0000-0001-8024-669X</t>
  </si>
  <si>
    <t>AUG 25</t>
  </si>
  <si>
    <t>10.1016/j.jde.2023.05.014</t>
  </si>
  <si>
    <t>MAY 2023</t>
  </si>
  <si>
    <t>WOS:001012778400001</t>
  </si>
  <si>
    <t>Córdoba, AG; Malfitano, APS</t>
  </si>
  <si>
    <t>Guajardo Cordoba, Alejandro; Serrata Malfitano, Ana Paula</t>
  </si>
  <si>
    <t>A critical approach to the foundations of occupational therapy: contributions to an Alternative Occupational Therapy</t>
  </si>
  <si>
    <t>CADERNOS BRASILEIROS DE TERAPIA OCUPACIONAL-BRAZILIAN JOURNAL OF OCCUPATIONAL THERAPY</t>
  </si>
  <si>
    <t>This essay addresses, from a critical perspective of the Global South, what has been called the foundations of occupational therapy. It argues that these so-called foundations rely on certain constitutive categories that form the basis of the construction of concepts, theories, and frameworks with which the discipline operates, including mainly the notion of occupational nature, the concept of the individual, among others. These categories that support what has been referred to as the foundations of our work primarily derive from the world-system in which scientific disciplines have been produced, including occupational therapy, and correspond to the rationality of the modern Western, North Eurocentric project. The purpose of this essay is to critically analyze and reflect upon the fundamental categories of occupational therapy from a critical position of the Global South, which will open up the possibility of producing an occupational therapy radically different from those of the modern Western world-system. We will refer to it as alternative occupational therapy, which is based on a radical rupture from the central categories of the profession. As an introduction, we propose other categories that promote a historically situated, decolonized understanding of the discipline oriented towards recognition and a South-South praxis that fosters intercultural dialogues breaking away from the universalism, monotopism, and monoculturalism of occupational therapy.</t>
  </si>
  <si>
    <t>Malfitano, Ana/G-1637-2012</t>
  </si>
  <si>
    <t>Malfitano, Ana/0000-0002-0502-3194</t>
  </si>
  <si>
    <t>2526-8910</t>
  </si>
  <si>
    <t>e3491</t>
  </si>
  <si>
    <t>10.1590/2526-8910.ctoARF267634912</t>
  </si>
  <si>
    <t>WOS:001175962800019</t>
  </si>
  <si>
    <t>Lüer, A; Fierro, A</t>
  </si>
  <si>
    <t>Luer, Alfredo; Fierro, Andres</t>
  </si>
  <si>
    <t>New species of Hemicoelinum Espanol, 1971 (Coleoptera: Ptinidae) from Chile</t>
  </si>
  <si>
    <t>REVISTA CHILENA DE ENTOMOLOGIA</t>
  </si>
  <si>
    <t>A new species of Anobiinae (Coleoptera: Ptinidae) of the genus Hemicoelinum Espanol, 1971, H. ornatus sp. n. is described, based on specimens collected in central and southern Chile. Diagnostic characters of the new taxon are indicated, mainly those contained in the pronotum, elytra, and pilosity. Photographs of the adult and of the male and female genitalia are presented.</t>
  </si>
  <si>
    <t>0034-740X</t>
  </si>
  <si>
    <t>0718-8994</t>
  </si>
  <si>
    <t>10.35249/rche.49.3.23.03</t>
  </si>
  <si>
    <t>WOS:001043548500003</t>
  </si>
  <si>
    <t>Adasme, P; de Andrade, RC</t>
  </si>
  <si>
    <t>Adasme, Pablo; de Andrade, Rafael Castro</t>
  </si>
  <si>
    <t>Minimum weight clustered dominating tree problem</t>
  </si>
  <si>
    <t>We discuss minimum weight clustered dominating trees that find applications in the wireless sensor network design based on a clustered independent set structure. A cluster consists of a master sensor and the sensors belonging to its sensing radius. Masters collect, filter, and transmit the sensed data to a cen-tral sensor responsible for processing all sensed information. The data sent from a cluster to the central sensor follow a unique path. It alternates between a master and a bridge node, in this order. A bridge allows data communication between two neighboring clusters. The larger the distance between masters and bridges, the higher the energy consumption for data transmission. To reduce energy consumption and increase the network lifetime, we investigate a clustered tree structure of minimum total link dis-tances. We propose hop-and flow-based models, introduce valid inequalities for them, and discuss five exponential families of cuts when embedded into the branch-and-cut framework of the CPLEX solver. Our models benefit properly of the CPLEX Benders' decomposition. We also highlight the differences be-tween the topology of the clustered tree of minimum cost and the one of the (non-clustered) minimum dominating tree of the corresponding instances in terms of cost and number of solution nodes.(c) 2022 Elsevier B.V. All rights reserved.</t>
  </si>
  <si>
    <t>Adasme, Pablo/U-1735-2019; Andrade, Rafael/P-8202-2016</t>
  </si>
  <si>
    <t>Andrade, Rafael/0000-0003-2562-412X</t>
  </si>
  <si>
    <t>10.1016/j.ejor.2022.08.014</t>
  </si>
  <si>
    <t>DEC 2022</t>
  </si>
  <si>
    <t>WOS:000954320000001</t>
  </si>
  <si>
    <t>Madrid, MP</t>
  </si>
  <si>
    <t>Madrid, Maria Paz</t>
  </si>
  <si>
    <t>EMERGENCE OFACADEMIC FREEDOM IN THEAMERICAN ACADEMICAND LEGAL CONTEXTS</t>
  </si>
  <si>
    <t>REVISTA CHILENA DE DERECHO</t>
  </si>
  <si>
    <t>This paper presents the historical arguments that shaped the concept of aca-demic freedom in the American context. The first cases on academic freedom are studied, whose main characteristic is that they were not presented before a court, but rather, they pro-moted academic debates. These arguments addressed the very notion of academic freedom, as well as the role played by universities and academic communities in the society. Because of this, this paper includes the opinions of actors directly involved in the most famous cases. Finally, this paper analyzes judicial cases, in which courts closely followed the arguments de-veloped in academic debates.</t>
  </si>
  <si>
    <t>0718-3437</t>
  </si>
  <si>
    <t>10.7764/R.493.3</t>
  </si>
  <si>
    <t>WOS:000990009700004</t>
  </si>
  <si>
    <t>Xiao, WD; Xiao, LP; Lv, YH; Yin, WZ; Sanchez, J; Zhai, SR; An, QD; Sun, RC</t>
  </si>
  <si>
    <t>Xiao, Wei-Dong; Xiao, Ling -Ping; Lv, Yi-Hui; Yin, Wen-Zheng; Sanchez, Julio; Zhai, Shang-Ru; An, Qing-Da; Sun, Run-Cang</t>
  </si>
  <si>
    <t>Lignin-derived carbon coated nanoscale zero-valent iron as a novel bifunctional material for efficient removal of Cr(VI) and organic pollutants</t>
  </si>
  <si>
    <t>Efficient removal of heavy metal ions and organic pollutants in wastewater is of great significance to healthy development of ecosystems. However, the facile preparation of novel functional materials for robust removal of both types of contaminants still remain a challenge. Herein, bifunctional composites derived from nanoscale zero-valent iron (nZVI) coated with lignin-derived carbon (LC) were fabricated via a carbothermal reduction strategy and denoted as Fe-0@LC. This hybrid material exhibits superior performance with a maximum heavy metal removal amount of Cr(VI) as high as 575.4 mg/g from aqueous solutions. Notably, the elimination rate of Cr(VI) (100 mg/L) by F-0@LC could reach up to 100% through adsorption and reduction. Furthermore, the obtained Fe-0@LC occurs Fenton-like reactions without additional supply of H2O2 toward effective degradation of organic pollutants, including 100%, 100% and 80% for methylene blue, methyl orange and congo red, respectively. The in-depth experimental and theoretical analyses reveal the synergistic effects between the catalytic Fe0 center and the lignin-derived carbon boost the activity for catalytic degradation of organic dyes and Cr(VI) in the optimized conditions. This work not only provides critical insights into rational design, working mechanism, and application of bio-functional materials for wastewater treatment, but also achieves the goal of treating waste with waste .</t>
  </si>
  <si>
    <t>Sun, Run-Cang/Z-3747-2019; Sanchez, Julio/AEO-4360-2022; Xiao, W/AAF-6354-2021; Zhai, Shangru/AAF-5162-2021; Xiao, Ling-Ping/C-1259-2011</t>
  </si>
  <si>
    <t>Xiao, Ling-Ping/0000-0003-4088-6101</t>
  </si>
  <si>
    <t>10.1016/j.seppur.2022.121689</t>
  </si>
  <si>
    <t>WOS:000828785700002</t>
  </si>
  <si>
    <t>Espina, G; Munoz-Ibacache, SA; Caceres-Moreno, P; Amenabar, MJ; Blamey, JM</t>
  </si>
  <si>
    <t>Espina, Giannina; Munoz-Ibacache, Sebastian A.; Caceres-Moreno, Paulina; Amenabar, Maximiliano J.; Blamey, Jenny M.</t>
  </si>
  <si>
    <t>From the Discovery of Extremozymes to an Enzymatic Product: Roadmap Based on Their Applications</t>
  </si>
  <si>
    <t>With the advent of the industrial revolution, the use of toxic compounds has grown exponentially, leading to a considerable pollution of the environment. Consequently, the development of more environmentally conscious technologies is an urgent need. Industrial biocatalysis appears as one potential solution, where a higher demand for more robust enzymes aims to replace toxic chemical catalysts. To date, most of the commercially available enzymes are of mesophilic origin, displaying optimal activity in narrow ranges of temperature and pH (i.e., between 20 degrees C and 45 degrees C, neutral pH), limiting their actual application under industrial reaction settings, where they usually underperform, requiring larger quantities to compensate loss of activity. In order to obtain novel biocatalysts better suited for industrial conditions, an efficient solution is to take advantage of nature by searching and discovering enzymes from extremophiles. These microorganisms and their macromolecules have already adapted to thrive in environments that present extreme physicochemical conditions. Hence, extremophilic enzymes stand out for showing higher activity, stability, and robustness than their mesophilic counterparts, being able to carry out reactions at nonstandard conditions. In this brief research report we describe three examples to illustrate a stepwise strategy for the development and production of commercial extremozymes, including a catalase from an Antarctic psychrotolerant microorganism, a laccase from a thermoalkaliphilic bacterium isolated from a hot spring and an amine-transaminase from a thermophilic bacterium isolated from a geothermal site in Antarctica. We will also explore some of their interesting biotechnological applications and comparisons with commercial enzymes.</t>
  </si>
  <si>
    <t>Blamey, Jenny/M-2637-2014; Espina, Giannina/AAD-5275-2020; Muñoz, Sebastian/JDD-7351-2023; Amenabar, Maximiliano/AAD-5354-2020</t>
  </si>
  <si>
    <t>Amenabar, Maximiliano/0000-0003-1890-5353; Espina, Giannina/0000-0002-6308-7217</t>
  </si>
  <si>
    <t>JAN 12</t>
  </si>
  <si>
    <t>10.3389/fbioe.2021.752281</t>
  </si>
  <si>
    <t>WOS:000747904700001</t>
  </si>
  <si>
    <t>Merino-Muñoz, P; Pérez-Contreras, J; Adasme-Maureira, F; Aedo-Muñoz, E</t>
  </si>
  <si>
    <t>Merino-Munoz, Pablo; Perez-Contreras, Jorge; Adasme-Maureira, Felipe; Aedo-Munoz, Esteban</t>
  </si>
  <si>
    <t>Effects on the wellness state in period of confinement due to COVID-19 in professional soccer players</t>
  </si>
  <si>
    <t>MHSALUD-REVISTA EN CIENCIAS DEL MOVIMIENTO HUMANO Y LA SALUD</t>
  </si>
  <si>
    <t>This study aimed to find changes in the wellness state, during the confinement period due to COVID-19, in professional soccer players from the first division B of Chile. The studied sample consisted of 28 professional male soccer players aged 26 +/- 6.3 years, body mass 74.2 +/- 5.5 kg, and height 177 +/- 0.05 cm. The degree of well-being was evaluated through a questionnaire (McLean et al., 2010) during the 2020 competitive and confinement periods. Statistically, significant differences (p &lt;0.05) between the competitive period and the confinement period are shown in FT (t = 2.5; p = 0.0), SO (t = 2.71; p = 0.01), ES (t = 5.07; p = 0.0), EA (t = 1.82; p = 0.08), and T (t = 4.87; p = 0.0). Small TE were reflected in the variables EA and DM (d = 0.7; d = 0.4 respectively), moderate in FAT and SO (d = 1.0; d = 1.2 respectively), and very large in ES and T (d = 2.1; d = 2.0 respectively). The CP and CV between periods for the well-being variables were the following: for FAT, 11% and 11.6%, for DM, 5.3% and 13.1%; for SO, 9.3%; 7.5%, ES 11.6% and 5.9, for EA 3.9%; 5.2%, and finally for T 8.1% and 4.0% respectively. It is possible to conclude that the state of well-being in professional soccer players is altered in the period of confinement with respect to that of competition, finding significant changes in the variables FT, SO, ES, and T, which coincided with the changes from moderate to very large of these same variables, as well as the PC were larger than the CV between periods. Therefore, we could consider these changes as real, and they could be an effect attributable to the mandatory isolation.</t>
  </si>
  <si>
    <t>Aedo-Muñoz, Esteban/R-5623-2019; Merino Muñoz, Pablo/JGL-6690-2023</t>
  </si>
  <si>
    <t>Merino-Munoz, Pablo/0000-0002-8323-726X</t>
  </si>
  <si>
    <t>1659-097X</t>
  </si>
  <si>
    <t>10.15359/mhs.19-1.2</t>
  </si>
  <si>
    <t>WOS:000740123200005</t>
  </si>
  <si>
    <t>Robles-Ortiz, C; González-Correa, I; Campos, NR; Aliaga, UG</t>
  </si>
  <si>
    <t>Robles-Ortiz, Claudio; Gonzalez-Correa, Ignacio; Reyes Campos, Nora; Gonzalez Aliaga, Uziel</t>
  </si>
  <si>
    <t>AGRICULTURAL WORKERS' STANDARD OF LIVING DURING CENTRAL CHILE'S AGRARIAN EXPANSION, CF. 1870-1930</t>
  </si>
  <si>
    <t>REVISTA DE HISTORIA ECONOMICA</t>
  </si>
  <si>
    <t>The purpose of this paper is to determine trends in the wages and living standards of male agricultural labourers in Central Chile during the agrarian expansion, c. 1870-1930. We found that nominal wages increased eightfold; this is relevant because wage labour became the main rural labour regime in this period. Nominal wages rose steadily from the early 1870s until 1910, and with significant fluctuations thereafter, before plummeting with the Great Depression. Real wages also increased, but only slightly. Furthermore, during certain short periods, agricultural labourers' real wages were similar to or higher than those of low-skilled urban workers. However, the persistent gap between agricultural and non-agricultural wages was one of the causal factors of the outmigration of rural workers.</t>
  </si>
  <si>
    <t>Robles-Ortiz, Claudio/IAQ-6409-2023</t>
  </si>
  <si>
    <t>0212-6109</t>
  </si>
  <si>
    <t>2041-3335</t>
  </si>
  <si>
    <t>PII S0212610921000100</t>
  </si>
  <si>
    <t>10.1017/S0212610921000100</t>
  </si>
  <si>
    <t>WOS:000792164200001</t>
  </si>
  <si>
    <t>Chinchilla, J; Carbonnel, A; Galleguillos, M</t>
  </si>
  <si>
    <t>Chinchilla, Javiera; Carbonnel, Alexandre; Galleguillos, Mauricio</t>
  </si>
  <si>
    <t>Effect of urban tree diversity and condition on surface temperature at the city block scale</t>
  </si>
  <si>
    <t>URBAN FORESTRY &amp; URBAN GREENING</t>
  </si>
  <si>
    <t>Urban forests affect land surface temperature (LST) within a city due to the cooling effect of transpiration. The latter depends on tree health, but it can also be affected by the structure and composition of forest, as a monospecies environment may potentially worsen the health of urban forest. The following hypotheses are therefore proposed: a) greater tree diversity within urban forest results in lower LST at the city block scale; and b) the state of biotic disturbance of urban forest is negatively correlated with LST. The present research explores the relationship between urban forest tree diversity and health based on a survey of 38,950 individuals in the district of Providencia in the city of Santiago, Chile, and compares this information against LST data from the ASTER satellite instrument at the city block scale. The health of the urban forest was determined by expert knowledge means of a field survey that collected data concerning growth stage, phytosanitary state, and state of biotic disturbance. The first hypothesis could not be tested by the lack of urban tree diversity which showed strong domination of three species with more than 52 % of abundance (Robinia pseudoacacia, Platanus orientalis and Acer negundo). The second hypothesis was proved since the results revealed a positive and significant correlation between urban forest diversity and LST, with a Spearman?s correlation coefficient of between 0.56 and 0.7. A positive and significant correlation of 0.55 was found between mean biotic disturbance (BDSm) and median LST (Med), indicating a direct relationship between higher LST and poorer urban forest health. A possible explanation is that, among the trees surveyed within the urban forest, the effect of biotic disturbance is greater than that of species diversity. As such, it may be concluded that planting of trees on city streets as a means of temperature moderation is made less effective if specimens are maintained in a poor general condition of health.</t>
  </si>
  <si>
    <t>Galleguillos, Mauricio/I-1571-2013</t>
  </si>
  <si>
    <t>Galleguillos, Mauricio/0000-0003-4617-0980; Carbonnel, Alexandre/0000-0001-7593-6637</t>
  </si>
  <si>
    <t>1618-8667</t>
  </si>
  <si>
    <t>1610-8167</t>
  </si>
  <si>
    <t>10.1016/j.ufug.2021.127069</t>
  </si>
  <si>
    <t>WOS:000636302600004</t>
  </si>
  <si>
    <t>Sandoval, C; Adasme, P; San Juan, E; Soto, I; Firoozabadi, AD</t>
  </si>
  <si>
    <t>Sandoval, Cesar; Adasme, Pablo; San Juan, Enrique; Soto, Ismael; Dehghan Firoozabadi, Ali</t>
  </si>
  <si>
    <t>Novel p-Median-based Formulations for Maximizing Coverage in 5G/6G Wireless Networks</t>
  </si>
  <si>
    <t>In this paper, we consider the problem of maximizing user coverage for 5G/6G wireless communication networks subject to facility location and radial distance constraints. For this purpose, we propose two novel mixed-integer linear programming models which are constructed based on a classical combinatorial optimization problem referred to as the p-Median problem in the literature. In the classical p-Median problem, one seeks to find a subset of p facilities in order to assign users to them while minimizing the total distance costs between users and facilities. The novelty of our proposed models is the consideration of non-overlapping radial distance constraints between antennas (facilities). In particular, our first model maximizes the total number of users. Whilst the second one includes in the objective function the maximization of users and the minimization of the number of antennas to be activated. So far we solve instances with up to 100 antennas and 1000 users with the Gurobi solver. Our preliminary numerical results indicate that the first model is harder to solve to global optimality than the second one. The numerical results obtained also show that the increase in the number of radius allowed provides more flexibility and accuracy to the model, although at a higher computational cost. Finally, we highlight that the proposed models can be used for future developments of 5G/6G networks in order to improve coverage.</t>
  </si>
  <si>
    <t>10.1109/SACVLC53127.2021.9652216</t>
  </si>
  <si>
    <t>WOS:000760247000012</t>
  </si>
  <si>
    <t>Toledo-Mercado, E; Soto, I; Rojo, PM; Pereira-Mendoza, J; Quiroz, J; Zamorano-Illanes, R</t>
  </si>
  <si>
    <t>Toledo-Mercado, Esteban; Soto, Ismael; Rojo, Patricio M.; Pereira-Mendoza, Jonathan; Quiroz, Juan; Zamorano-Illanes, Raul</t>
  </si>
  <si>
    <t>Adaptive Digital Filter using NARX Deep Neural Networks for ground-based observatories</t>
  </si>
  <si>
    <t>In this paper we will present a new method based on the non-symmetry of the wavelength distributions of exoplanet transits. By the clustering of wavelengths with similar behaviour, it is possible to cancel terrestrial atmospheric turbulence at ground-based observatories. Two types of benchmarks for training the NARX neural network are presented. Complexity and performance studies using transient spectroscopy data from the WASP-19b system are also included.</t>
  </si>
  <si>
    <t>Rojo, Patricio/AAD-5227-2020; Quiroz, Juan/IUO-1104-2023</t>
  </si>
  <si>
    <t>Zamorano-Illanes, Raul/0000-0002-3995-697X; Pereira-Mendoza, Jonathan/0009-0006-9752-7555</t>
  </si>
  <si>
    <t>10.1109/ICAACCA51523.2021.9465196</t>
  </si>
  <si>
    <t>WOS:000855764500139</t>
  </si>
  <si>
    <t>Torres, JCT; González, DG; Travieso, RR; García, AR</t>
  </si>
  <si>
    <t>Travieso Torres, Juan Carlos; Galdamez Gonzalez, Daniel; Rodriguez Travieso, Roberto; Rodriguez Garcia, Arturo</t>
  </si>
  <si>
    <t>Use of a Visual Programming Language and Mobile Devices to Improves Students' Understanding of Process Control Systems</t>
  </si>
  <si>
    <t>REVISTA GESTION DE LAS PERSONAS Y TECNOLOGIA</t>
  </si>
  <si>
    <t>Our main contribution is the application of visual programing language (VPL) and mobile devices (MDs) to the control systems learning, which improved students. understanding in a quasi-experimental design with regular students. The teaching environment for process control systems that use VPL and MDs was the key to solve the learning difficulties that students had despite considering constructive alignment between instruction, learning and assessment, authentic activities, and design-based learning approach. Graphic elements used by VPL, taken from a library made of reusable blocks, with different shapes and colors make it easier to understand process control systems. Also, VPL showed the entire process control system at a glance through the different MDs used, which were laptops, tablets, and smartphones. All of these MDs are well known and user-friendly to students. Comparative evaluation of the students. learning performance, with and without the use of VPL and MD, showed the effectiveness of the redesign. Process control systems learning were facilitated, reducing the difficulties of traditional teaching, and improving the students' understanding. Also, students. self-efficacy was positively impacted.</t>
  </si>
  <si>
    <t>Travieso Torres, Juan carlos/N-6437-2019</t>
  </si>
  <si>
    <t>Travieso Torres, Juan carlos/0000-0002-9246-4827</t>
  </si>
  <si>
    <t>0718-5693</t>
  </si>
  <si>
    <t>WOS:000523357900003</t>
  </si>
  <si>
    <t>Alvarez-Aranda, R; Chirkova, S; Romero, JG</t>
  </si>
  <si>
    <t>Alvarez-Aranda, Rocio; Chirkova, Serafima; Gabriel Romero, Jose</t>
  </si>
  <si>
    <t>Growing in the womb: The effect of seismic activity on fetal growth</t>
  </si>
  <si>
    <t>ECONOMICS &amp; HUMAN BIOLOGY</t>
  </si>
  <si>
    <t>We study whether exposure to earthquake affects health at birth. A mother-fixed-effect model together with the spatiotemporal variation of earthquakes in Chile allow us to better estimate the impacts on birth outcomes. Our findings show that exposure to earthquakes affects fetal growth. Infants born to mothers exposed to earthquakes in the second trimester are 1.8% more likely to be large for gestational age (LGA), which is a large effect from a baseline of 7% of LGA newborns. The reported impact varies across mothers' socioeconomic status, with relatively poorer Chilean mothers being more vulnerable to earthquakes. A possible mechanism that explains these results could work through changes in the incidence of women with diabetes. We provide indirect evidence in this regard. Mothers with diabetes are more likely to have large-for-gestational-age babies. Exposure to earthquakes increases the incidence of diabetes among the affected population, with the observed impact on diabetes being relatively higher among women of lower socioeconomic status. (C) 2019 Elsevier B.V. All rights reserved.</t>
  </si>
  <si>
    <t>Romero, Jose/AAE-1999-2020</t>
  </si>
  <si>
    <t>Romero-Ciavatto, Jose Gabriel/0000-0002-4142-4331; ALVAREZ ARANDA, ROCIO/0000-0001-5882-5046</t>
  </si>
  <si>
    <t>1570-677X</t>
  </si>
  <si>
    <t>1873-6130</t>
  </si>
  <si>
    <t>10.1016/j.ehb.2019.100815</t>
  </si>
  <si>
    <t>WOS:000512477500013</t>
  </si>
  <si>
    <t>Mendez, F; Sepulveda, F</t>
  </si>
  <si>
    <t>Monopsony Power in Occupational Labor Markets</t>
  </si>
  <si>
    <t>JOURNAL OF LABOR RESEARCH</t>
  </si>
  <si>
    <t>We collect data from the 1979 National Longitudinal Survey of Youth and create comparable measures of monopsonistic power for up to 46 occupational labor markets in the USA, starting in 1979 and ending in 2000. Our results suggest most occupational labor markets during that period were characterized by substantial amounts of monopsonistic, wage-setting power. Furthermore, after controlling for individual, time, and industry fixed effects, our results show a negative and significant correlation between the extent of monopsony power that characterizes a market and both, the wages and fringe benefits received by workers.</t>
  </si>
  <si>
    <t>Mendez, Fabio/0000-0002-8431-6138</t>
  </si>
  <si>
    <t>0195-3613</t>
  </si>
  <si>
    <t>1936-4768</t>
  </si>
  <si>
    <t>10.1007/s12122-019-09289-w</t>
  </si>
  <si>
    <t>WOS:000501069500001</t>
  </si>
  <si>
    <t>Rivera-Araya, J; Pollender, A; Huynh, D; Schlömann, M; Chávez, R; Levicán, G</t>
  </si>
  <si>
    <t>Rivera-Araya, Javier; Pollender, Andre; Dieu Huynh; Schloemann, Michael; Chavez, Renato; Levican, Gloria</t>
  </si>
  <si>
    <t>Osmotic Imbalance, Cytoplasm Acidification and Oxidative Stress Induction Support the High Toxicity of Chloride in Acidophilic Bacteria</t>
  </si>
  <si>
    <t>In acidophilic microorganisms, anions like chloride have higher toxicity than their neutrophilic counterparts. In addition to the osmotic imbalance, chloride can also induce acidification of the cytoplasm. We predicted that intracellular acidification produces an increase in respiratory rate and generation of reactive oxygen species, and so oxidative stress can also be induced. In this study, the multifactorial effect as inducing osmotic imbalance, cytoplasm acidification and oxidative stress in the iron-oxidizing bacterium Leptospirillum ferriphilum DSM 14647 exposed to up to 150 mM NaCl was investigated. Results showed that chloride stress up-regulated genes for synthesis of potassium transporters (kdpC and kdpD), and biosynthesis of the compatible solutes (hydroxy)ectoine (ectC and ectD) and trehalose (otsB). As a consequence, the intracellular levels of both hydroxyectoine and trehalose increased significantly, suggesting a strong response to keep osmotic homeostasis. On the other hand, the intracellular pH significantly decreased from 6.7 to pH 5.5 and oxygen consumption increased significantly when the cells were exposed to NaCl stress. Furthermore, this stress condition led to a significant increase of the intracellular content of reactive oxygen species, and to a rise of the antioxidative cytochrome c peroxidase (CcP) and thioredoxin (Trx) activities. In agreement, ccp and trx genes were up-regulated under this condition, suggesting that this bacterium displayed a transcriptionally regulated response against oxidative stress induced by chloride. Altogether, these data reveal that chloride has a dramatic multifaceted effect on acidophile physiology that involves osmotic, acidic and oxidative stresses. Exploration of the adaptive mechanisms to anion stress in iron-oxidizing acidophilic microorganisms may result in new strategies that facilitate the bioleaching of ores for recovery of precious metals in presence of chloride.</t>
  </si>
  <si>
    <t>Levican, Gloria/R-5191-2019</t>
  </si>
  <si>
    <t>Chavez, Renato/0000-0003-1754-3610</t>
  </si>
  <si>
    <t>OCT 29</t>
  </si>
  <si>
    <t>10.3389/fmicb.2019.02455</t>
  </si>
  <si>
    <t>WOS:000496487900001</t>
  </si>
  <si>
    <t>Silva, J; Usart, M; Lázaro-Cantabrana, JL</t>
  </si>
  <si>
    <t>Silva, Juan; Usart, Mireia; Lazaro-Cantabrana, Jose-Luis</t>
  </si>
  <si>
    <t>Teacher's digital competence among final year Pedagogy students in Chile and Uruguay</t>
  </si>
  <si>
    <t>COMUNICAR</t>
  </si>
  <si>
    <t>The development of Teacher's Digital Competence (TDC) should start in initial teacher training, and continue throughout the following years of practice. All this with the purpose of using Digital Technologies (DT) to improve teaching and professional development. This paper presents a study focused on the diagnosis of TDC among ITT senior students from Chile and Uruguay. A quantitative methodology, with a representative sample of 568 students (N=273 from Chile and N=295 from Uruguay) was designed and implemented. TDC was also studied and discussed in relation to gender and educational level. Results showed a mostly basic level for the four dimensions of the TDC in the sample. Regarding the relationship between the variables and the TDC, the Planning, organization and management of spaces and technological resources' dimension is the only one showing significant differences. In particular, male students achieved a higher TDC level compared with female students. Furthermore, the proportion of Primary Education students with a low TDC level was significantly higher than other students. In conclusion, it is necessary, for teacher training institutions in Chile and Uruguay, to implement policies at different moments and in different areas of the ITT process in order to improve the development of the TDC.</t>
  </si>
  <si>
    <t>; Usart Rodriguez, Mireia/N-5982-2018</t>
  </si>
  <si>
    <t>Silva Quiroz, Juan Eusebio/0000-0002-9817-402X; Usart Rodriguez, Mireia/0000-0003-4372-9312; Lazaro-Cantabrana, Jose L./0000-0001-9689-603X</t>
  </si>
  <si>
    <t>1134-3478</t>
  </si>
  <si>
    <t>1988-3293</t>
  </si>
  <si>
    <t>10.3916/C61-2019-03</t>
  </si>
  <si>
    <t>WOS:000504768000003</t>
  </si>
  <si>
    <t>Marín, M; Places, AS; Bonacic, C; Brisaboa, NR</t>
  </si>
  <si>
    <t>Marin, Mauricio; Saavedra Places, Angeles; Bonacic, Carolina; Brisaboa, Nieves R.</t>
  </si>
  <si>
    <t>The Transfer of Technology in Student's Curricula</t>
  </si>
  <si>
    <t>IT PROFESSIONAL</t>
  </si>
  <si>
    <t>This article describes how projects for technological transfer from university research laboratories to enterprises and organizations can offer a stimulating working environment for students to do their practicum as required in many Computer Science Engineering Curricula. A key advantage is that students can effectively work in creative software product development and experience R&amp;D processes.</t>
  </si>
  <si>
    <t>Marin, Mauricio/GLR-7700-2022; Places, Ángeles/E-8860-2015; Brisaboa, Nieves R./S-4744-2016</t>
  </si>
  <si>
    <t>Brisaboa, Nieves R./0000-0001-8025-3048; Marin, Mauricio/0000-0003-0662-7149; Saavedra Places, Angeles/0000-0001-8539-304X</t>
  </si>
  <si>
    <t>1520-9202</t>
  </si>
  <si>
    <t>1941-045X</t>
  </si>
  <si>
    <t>10.1109/MITP.2019.2900831</t>
  </si>
  <si>
    <t>WOS:000485735800002</t>
  </si>
  <si>
    <t>Sánchez, J; Rivas, BL</t>
  </si>
  <si>
    <t>Sanchez, Julio; Rivas, Bernabe L.</t>
  </si>
  <si>
    <t>LIQUID-PHASE POLYMER-BASED RETENTION TO REMOVE ARSENIC FROM WATER</t>
  </si>
  <si>
    <t>The functional polymer materials have presented a great development in adsorption processes for the treatment of polluted waters. The aim of the current review is to present the developments during the few last years in this field of study by examining research of systems like water-functional soluble polymers and electro-oxidation process coupled to ultrafiltration membranes for decontamination processes in liquid-liquid phase. The study is addressed to arsenic which is considered one of the most hazardous contaminants.</t>
  </si>
  <si>
    <t>Sanchez, Julio/AEO-4360-2022; Rivas, Bernabé/D-9945-2015</t>
  </si>
  <si>
    <t>10.4067/S0717-97072019000304513</t>
  </si>
  <si>
    <t>WOS:000495892300004</t>
  </si>
  <si>
    <t>Venegas, R; Muñoz-Becerra, K; Lemus, L; Toro-Labbé, A; Zagal, JH; Recio, FJ</t>
  </si>
  <si>
    <t>Venegas, Ricardo; Munoz-Becerra, Karina; Lemus, Luis; Toro-Labbe, Alejandro; Zagal, Jose H.; Recio, Francisco J.</t>
  </si>
  <si>
    <t>Theoretical and Experimental Reactivity Predictors for the Electrocatalytic Activity of Copper Phenanthroline Derivatives for the Reduction of Dioxygen</t>
  </si>
  <si>
    <t>JOURNAL OF PHYSICAL CHEMISTRY C</t>
  </si>
  <si>
    <t>We have systematically studied the catalytic activity of a series of substituted bisphenanthroline Cu complexes adsorbed on glassy carbon electrodes for the oxygen reduction reaction (ORR) in aqueous media. The aim of this work is to test reactivity descriptors for ORR previously proposed for MN4 complexes. As the active site is the Cu(I) center, the foot of the wave for 02 reduction on electrodes modified with Cu bisphenanthrolines appears at potentials very close to the [Cu(II)phen(2)](ad)(++) + e(-) reversible arrow [Cu(I)phen(2)](ad)(+) redox process. Generally, the catalytic activity as (log i)E versus the E-cu(II)/(1)(o) redox potentials follows a linear correlation with a slope close to +0.120 V/decade, where the activity increases as the E-cu(II)/(1)(o) becomes more positive. This indicates that electron-withdrawing substituents on the ligand favor the reaction by shifting the E-cu(II)/(1)(o) to more positive values, making the Cu center more noble. This shift in the E-cu(II)/(1)(o) is essentially an electronic effect. However, another way to stabilize the Cu(I) state is by placing groups on the ligand that hinder the [Cu(II)(square-planar)](ad)(++)/ [Cu(I)(tetrahedral)](ad)(+) change. We have found that this steric effect seems to be more prominent than the electronic effects caused by electron-withdrawing groups and the increase in the catalytic activity for ORR is more pronounced.</t>
  </si>
  <si>
    <t>Recio, Francisco/AAB-2148-2020; Venegas, Ricardo/U-6376-2019; Toro-Labbé, Alejandro/ABD-9107-2020; Muñoz-Becerra, Karina/GPP-1386-2022; zagal, jose/L-9648-2014; Toro-Labbe, Alejandro/J-5026-2013</t>
  </si>
  <si>
    <t>Recio, Francisco/0000-0002-5181-3197; Munoz-Becerra, Karina/0000-0001-9882-6342; Zagal, Jose/0000-0002-5276-1042; Toro-Labbe, Alejandro/0000-0001-9906-2153; Venegas, Ricardo/0000-0001-7440-484X; LEMUS, LUIS/0000-0002-5499-8115</t>
  </si>
  <si>
    <t>1932-7447</t>
  </si>
  <si>
    <t>1932-7455</t>
  </si>
  <si>
    <t>10.1021/acs.jpcc.9b03200</t>
  </si>
  <si>
    <t>WOS:000481568900025</t>
  </si>
  <si>
    <t>Garra, R; Miret, JM; Pujolàs, J; Thériault, N</t>
  </si>
  <si>
    <t>Garra, Ricard; Miret, Josep M.; Pujolas, Jordi; Theriault, Nicolas</t>
  </si>
  <si>
    <t>The 2-adic valuation of the cardinality of Jacobians of genus 2 curves over quadratic towers of finite fields</t>
  </si>
  <si>
    <t>JOURNAL OF ALGEBRA AND ITS APPLICATIONS</t>
  </si>
  <si>
    <t>Given a genus 2 curve C defined over a finite field F-q of odd characteristic such that 2 vertical bar#Jac(C)(F-q), we study the growth of the 2-adic valuation of the cardinality of the Jacobian over a tower of quadratic extensions of F-q. In the cases of simpler regularity, we determine the exponents of the 2-Sylow subgroup of Jac(C)(F-q2k).</t>
  </si>
  <si>
    <t>Miret, Josep/K-9274-2017; Theriault, Nicolas/ISB-0405-2023; Pujolàs, Jordi/T-1264-2019; Pujolas, Jordi/E-8688-2011</t>
  </si>
  <si>
    <t>Pujolas, Jordi/0000-0002-1192-8192</t>
  </si>
  <si>
    <t>0219-4988</t>
  </si>
  <si>
    <t>1793-6829</t>
  </si>
  <si>
    <t>10.1142/S0219498819501354</t>
  </si>
  <si>
    <t>WOS:000474373700015</t>
  </si>
  <si>
    <t>Moya, CA; Galvez, D; Muller, L; Camargo, M</t>
  </si>
  <si>
    <t>Abraham Moya, Carlos; Galvez, Daniel; Muller, Laurent; Camargo, Mauricio</t>
  </si>
  <si>
    <t>A new framework to support Lean Six Sigma deployment in SMEs</t>
  </si>
  <si>
    <t>INTERNATIONAL JOURNAL OF LEAN SIX SIGMA</t>
  </si>
  <si>
    <t>Purpose The purpose of this paper is to propose an assessment approach to evaluate the organizational capabilities to deploy a Lean Six Sigma (LSS) strategy. Design/methodology/approach Based on a comprehensive literature review, critical success factors required to deploy LSS were defined. These key factors are evaluated by a questionnaire based on maturity grids and structured as a multi-criteria model to compute a potential LSS performance indicator. This approach is illustrated through two case studies. Findings To promote a successful implementation of LSS in SMEs, it is necessary to consider five main critical factors. The evaluation of these factors could be achieved thanks to a multi-criterion-based maturity indicator for the LSS implementation. The case studies show that this approach allows SMEs to understand their strengths and weaknesses and thus better prepare the implementation of LSS. Research limitations.implications - The proposed tool identifies characteristics of companies leading to successful LSS implementation; but is not yet able to provide a detailed strategy to improve them. The case studies were applied tomanufacturing companies; therefore, there is no evidence of conclusions in the context of services. Practical implications - The proposed methodology will help managers and practitioners to evaluate the readiness level of a company to implement LSS. Then, they could estimate the effort required to achieve the LSS deployment. Originality.value - This paper proposes a new metric of the capacity to implement the LSS successfully in SMEs: the Lean Six Sigma Global Index. This indicator is based on a survey completed by managers and supported by observable phenomena to establish a tailored diagnosis before the LSS implementation.</t>
  </si>
  <si>
    <t>Galvez, Daniel/0000-0001-6119-4310; Moya, Carlos Abraham/0000-0003-2060-1877; Camargo, Mauricio/0000-0003-3867-2438</t>
  </si>
  <si>
    <t>2040-4166</t>
  </si>
  <si>
    <t>2040-4174</t>
  </si>
  <si>
    <t>MAR 4</t>
  </si>
  <si>
    <t>10.1108/IJLSS-01-2018-0001</t>
  </si>
  <si>
    <t>WOS:000461199200004</t>
  </si>
  <si>
    <t>Rodriguez, AB; Ganga, MA; Ramírez, LJ</t>
  </si>
  <si>
    <t>Sulaiman, HA; Othman, MA; Saat, MSM; Darsono, A; Pee, ANC; Othman, MFI; AbdRahim, Y; Aminuddin, MMM; Misran, MH</t>
  </si>
  <si>
    <t>Rodriguez, A. B.; Ganga, M. A.; Ramirez, L. J.</t>
  </si>
  <si>
    <t>Routing Wavelength Assignment: Novel Heuristic Based on Bacterial Flagella for Optical Networks</t>
  </si>
  <si>
    <t>LECTURE NOTES IN ELECTRICAL, ELECTRONIC AND COMPUTER ENGINEERING</t>
  </si>
  <si>
    <t>International Conference on Electrical, Electronic and Computer Engineering (ICEECE)</t>
  </si>
  <si>
    <t>JAN 15-17, 2019</t>
  </si>
  <si>
    <t>Penang, MALAYSIA</t>
  </si>
  <si>
    <t>Optical transport networks are subject to an incessant demand that generates traffic of dynamic characteristics, and these networks have a high probability of blocking and high use of the network. Current heuristics allow a reduction of some of these indicators, but they do not achieve a balanced use of the resources of the network. This research proposes a new heuristic based on the flagella of the bacteria that use these elements for their motor effect, being able to move in different directions. The research proposes a heuristic similar to the motor effect of the flagella, managing to find very quickly a solution to the problem of routing and wavelength assignment in optical networks. The results are significantly better than the comparison heuristics, but the use of the network is not completely improved, the heuristics are still better in this indicator. On the other hand, a new integrating indicator is presented that allows to compare the heuristics in an integral way, and the bacterial algorithm has better results than the rest of the algorithms.</t>
  </si>
  <si>
    <t>Ganga, Maria/S-8176-2019</t>
  </si>
  <si>
    <t>978-967-2348-18-4</t>
  </si>
  <si>
    <t>WOS:000550986200004</t>
  </si>
  <si>
    <t>Cerda, P; Souto, M; Ubilla, P</t>
  </si>
  <si>
    <t>Cerda, Patricio; Souto, Marco; Ubilla, Pedro</t>
  </si>
  <si>
    <t>Some non-local logistic population model with non-zero boundary condition</t>
  </si>
  <si>
    <t>In this paper, we study some type of equations which may model the behavior of species inhabiting in some habitat. For our purpose, using a priori bounded techniques, we obtain a positive solution to a family of non-local partial differential equations with non-homogeneous boundary conditions.</t>
  </si>
  <si>
    <t>Cerda, Patricio/0000-0002-0823-8174; Souto, Marco/0000-0002-2826-2534</t>
  </si>
  <si>
    <t>10.1142/S0219199717500754</t>
  </si>
  <si>
    <t>WOS:000452169500005</t>
  </si>
  <si>
    <t>Bogotá, MAF; Ojeda-Pardo, ML; Garcia-Hermoso, A; Ramírez-Vélez, R</t>
  </si>
  <si>
    <t>Forero Bogota, Monica Adriana; Liliana Ojeda-Pardo, Monica; Garcia-Hermoso, Antonio; Ramirez-Velez, Robinson</t>
  </si>
  <si>
    <t>Body Composition, Nutritional Profile And Muscular Fitness Affect Bone Health In A Sample Of Schoolchildren From Colombia: The Fuprecol Study</t>
  </si>
  <si>
    <t>MEDICINE AND SCIENCE IN SPORTS AND EXERCISE</t>
  </si>
  <si>
    <t>Annual Meeting of the American-College-of-Sports-Medicine (ACSM)</t>
  </si>
  <si>
    <t>MAY 30-JUN 03, 2017</t>
  </si>
  <si>
    <t>Denver, CO</t>
  </si>
  <si>
    <t>Amer Coll Sports Med</t>
  </si>
  <si>
    <t>García-Hermoso, Antonio/ADU-2591-2022; Ramírez-Vélez, Robinson/D-5311-2016; Garcia-Hermoso, Antonio/P-1857-2017</t>
  </si>
  <si>
    <t>0195-9131</t>
  </si>
  <si>
    <t>1530-0315</t>
  </si>
  <si>
    <t>10.1249/01.mss.0000518604.34535.66</t>
  </si>
  <si>
    <t>WOS:000415215700205</t>
  </si>
  <si>
    <t>Aguilera, XP; Espinosa-Marty, C; Castillo-Laborde, C; Gonzalez, C</t>
  </si>
  <si>
    <t>Paz Aguilera, Ximena; Espinosa-Marty, Consuelo; Castillo-Laborde, Carla; Gonzalez, Claudia</t>
  </si>
  <si>
    <t>From instinct to evidence: the role of data in country decision-making in Chile</t>
  </si>
  <si>
    <t>GLOBAL HEALTH ACTION</t>
  </si>
  <si>
    <t>Background: The Chilean health system has undergone profound reforms since 1990, while going through political upheaval and facing demographic, health, and economic transformations. The full information requirements to develop an evidence-informed process implied the best possible use of the available data, as well as efforts to improve information systems. Objective: To examine, from a historical perspective, the use of evidence during the health sector reforms undertaken in Chile from 1990 to date, and to identify the factors that have both determined improvements in the data and facilitated their use. Methods: A qualitative methodological approach was followed to review the Chilean experience with data on decision-making. We use as the primary source our first-hand experience as officials of the Ministry of Health (MOH) and the Ministry of Finance before and during the reform period considered. A literature review was also conducted, using documents from official sources, historical accounts, books, policy reports, and articles published in indexed journals reviewing and discussing the reform process, looking for the use of data. Results: The Chilean health-care reform process was intensive in its use and production of information. The MOH conducted several studies on the burden of disease, efficacy of interventions, cost-effectiveness, out-of-pocket payments, fiscal impact, social preferences, and other factors. Policy and prioritization frameworks developed by international agencies strongly influenced the use of data and the study's agenda. Conclusions: The Chilean example provides evidence that tradition, receptiveness to foreign ideas, and benchmarking with international data determined the use of data, facilitated by the political influence of physicians and, later, other technocrats. Internationally comparable statistics are also shown to play a significant role in the policy debate.</t>
  </si>
  <si>
    <t>aguilera, ximena/P-7682-2019; Aguilera, Ximena/D-9861-2014</t>
  </si>
  <si>
    <t>Aguilera, Ximena/0000-0002-8153-6733; Castillo-Laborde, Carla/0000-0001-6004-5882</t>
  </si>
  <si>
    <t>1654-9880</t>
  </si>
  <si>
    <t>10.3402/gha.v9.32611</t>
  </si>
  <si>
    <t>WOS:000402551800003</t>
  </si>
  <si>
    <t>López-González, L; Oriol, X</t>
  </si>
  <si>
    <t>Lopez-Gonzalez, Luis; Oriol, Xavier</t>
  </si>
  <si>
    <t>The relationship between emotional competence, classroom climate and school achievement in high school students / La relacion entre competencia emocional, clima de aula y rendimiento academico en estudiantes de secundaria</t>
  </si>
  <si>
    <t>CULTURA Y EDUCACION</t>
  </si>
  <si>
    <t>The aim of this study is, on the one hand, to find out if differences exist in emotional competence and secondary school students' perceptions of classroom climate according to gender and educational level and, on the other hand, to analyse the relationship between emotional competence, classroom climate and school achievement in secondary school students. The study advances the hypothesis that emotional competences and classroom climate are mediators in school achievement. For this purpose, 420 students from secondary and further education were selected with an average age of 14.29 +/- 1.52. In emotional competence, the results showed differences according to gender and educational level, while in classroom climate, differences were only found according to educational level. The mediational analysis showed that classroom climate is an influential variable in the predictive value of emotional competence in relation to school achievement. Likewise, emotional competence acts as a mediating influence on classroom climate and school achievement. This study thus highlights the need to implement training processes to help teachers to promote positive socio-emotional contexts and programmes to develop students' emotional competence, which will improve their school achievement.</t>
  </si>
  <si>
    <t>Oriol, Xavier/AAO-3112-2021</t>
  </si>
  <si>
    <t>Oriol, Xavier/0000-0001-7130-7729</t>
  </si>
  <si>
    <t>1135-6405</t>
  </si>
  <si>
    <t>1578-4118</t>
  </si>
  <si>
    <t>10.1080/11356405.2015.1120448</t>
  </si>
  <si>
    <t>WOS:000372022400005</t>
  </si>
  <si>
    <t>Vergara, PM; Saura, S; Pérez-Hernández, CG; Soto, GE</t>
  </si>
  <si>
    <t>Vergara, Pablo M.; Saura, Santiago; Perez-Hernandez, Christian G.; Soto, Gerardo E.</t>
  </si>
  <si>
    <t>Hierarchical spatial decisions in fragmented landscapes: Modeling the foraging movements of woodpeckers</t>
  </si>
  <si>
    <t>The ability of animals to collect and use environmental information in fragmented landscapes may considerably decrease as the spatial scale at which they search for feeding resources increases. Here, we used an individual-based model to assess the scale-dependent movement patterns of woodpeckers when searching for their main foraging resources (wood-boring larvae). Two movement strategies for woodpeckers were compared in simulated landscapes where resources were spatially clustered at two hierarchical levels (trees and forest patches): (1) top-down foragers, whose movement decisions respond primarily to memorized information on forest patches; and (2) bottom-up foragers with random, purely exploratory movements that result from tree-scale foraging experiences. Top-down foragers were able to find more resources than bottom-up foragers, except in landscapes with very few and poor quality patches. Thus, the combined use of spatial memory and random exploration should considerably benefit woodpeckers that forage in landscapes with low fragmentation levels. Contrary to our expectations, bottom-up foragers had larger connectivity values by visiting more patches across the landscape. Thus, model results support the idea that as the landscape becomes fragmented the home-range size of woodpeckers increases. We conclude that landscape planning must aim at maintaining habitat quality and quantity above critical thresholds below which woodpeckers both lack enough resources and the ability to make efficient use of memory-based decisions. (C) 2015 Elsevier B.V. All rights reserved.</t>
  </si>
  <si>
    <t>Vergara, Pablo/F-2519-2010; Soto, Gerardo/JAX-4165-2023; Saura, Santiago/A-9994-2008</t>
  </si>
  <si>
    <t>Vergara, Pablo/0000-0002-0024-1678; Saura, Santiago/0000-0002-5239-0763; Soto, Gerardo/0000-0002-9706-6588</t>
  </si>
  <si>
    <t>MAR 24</t>
  </si>
  <si>
    <t>10.1016/j.ecolmodel.2015.01.006</t>
  </si>
  <si>
    <t>WOS:000350935300011</t>
  </si>
  <si>
    <t>Aranda, C; Wandalsen, G; Fonzar, L; Dela Bianca, ACC; Mallol, J; Sole, D</t>
  </si>
  <si>
    <t>Aranda, Carolina; Wandalsen, Gustavo; Fonzar, Ligia; Dela Bianca, Ana Caroline C.; Mallol, Javier; Sole, Dirceu</t>
  </si>
  <si>
    <t>Risk Factors for Recurrent Wheezing - International Study of Wheezing in Infants (EISL) Phase 3</t>
  </si>
  <si>
    <t>JOURNAL OF ALLERGY AND CLINICAL IMMUNOLOGY</t>
  </si>
  <si>
    <t>Annual Meeting of the American-Academy-of-Allergy-Asthma-and-Immunology (AAAAI)</t>
  </si>
  <si>
    <t>FEB 20-24, 2015</t>
  </si>
  <si>
    <t>Houston, TX</t>
  </si>
  <si>
    <t>Amer Acad Allergy, Asthma &amp; Immunol</t>
  </si>
  <si>
    <t>0091-6749</t>
  </si>
  <si>
    <t>1097-6825</t>
  </si>
  <si>
    <t>AB246</t>
  </si>
  <si>
    <t>10.1016/j.jaci.2014.12.1740</t>
  </si>
  <si>
    <t>WOS:000361129600795</t>
  </si>
  <si>
    <t>Younas, M; Awan, I; Mecella, M</t>
  </si>
  <si>
    <t>Piecewise Linear Formulations for Downlink Wireless OFDMA Networks</t>
  </si>
  <si>
    <t>MOBILE WEB AND INTELLIGENT INFORMATION SYSTEMS</t>
  </si>
  <si>
    <t>12th International Conference on Mobile Web and Intelligent Information Systems (MobiWis)</t>
  </si>
  <si>
    <t>AUG 24-26, 2015</t>
  </si>
  <si>
    <t>In this paper, we propose piecewise mixed integer linear programming (PWMIP) models for joint subcarrier and power allocation in downlink wireless orthogonal frequency division multiple access (OFDMA) networks. In particular, we consider the problem of maximizing the total capacity of an OFDMA system subject to user power, subcarrier and quality of service constraints. For this purpose, we model the problem as a (0-1) mixed integer nonlinear programming problem. Then, we obtain two PWMIP models by means of a convex combination approach [17] and with the approach proposed in [21]. The latter consists of reducing the cardinality of a subset of binary variables to a logarithmic number of binary variables. Finally, we propose a variable neighborhood search (VNS) procedure [10,11]. Our preliminary numerical results indicate that the first model is more effective and that the VNS approach allows to obtain feasible solutions in less computational cost.</t>
  </si>
  <si>
    <t>978-3-319-23144-0; 978-3-319-23143-3</t>
  </si>
  <si>
    <t>10.1007/978-3-319-23144-0_10</t>
  </si>
  <si>
    <t>WOS:000363684200010</t>
  </si>
  <si>
    <t>Business premises, BIP Computer</t>
  </si>
  <si>
    <t>WOS:000541676300008</t>
  </si>
  <si>
    <t>Vásquez, C; Anderson, D; Oyarzún, M; Carvajal, A; Palma, C</t>
  </si>
  <si>
    <t>Vasquez, Carlos; Anderson, David; Oyarzun, Muriel; Carvajal, Andrea; Palma, Carolyn</t>
  </si>
  <si>
    <t>Method for the stabilization and immobilization of enzymatic extracts and its application to the decolorization of textile dyes</t>
  </si>
  <si>
    <t>BIOTECHNOLOGY LETTERS</t>
  </si>
  <si>
    <t>Peroxidases from Pleurotus eryngii have been investigated for their ability to degrade recalcitrant, phenolic pollutants. The use of crude enzymatic extracts can reduce the high costs associated with enzyme purification, and enzyme immobilization can enhance enzyme stability and recovery. The present study tests the effectiveness of various conditions for crude enzyme stabilization in polyethylene glycol and glycine solutions, and immobilization on monofunctional and heterofunctional agarose solid supports. Glycine at 0.5 M at 4 A degrees C and pH 4 was most effective stabilization agent for the crude enzymatic extracts, and enzyme immobilization efficiency was greatest for heterofunctional supports. MANA-glyoxyl heterofunctional supports were demonstrated to have the greatest enhancement of decolorization (1.3-fold) and velocity of substrate consumption (fivefold). Therefore, the application of crude enzymatic extracts to industrial processes, such as dye decolorization, represents a cost-effective alternative to purified enzymes.</t>
  </si>
  <si>
    <t>Anderson, David/ADM-7446-2022; Carvajal Guevara, Andrea/G-1602-2011</t>
  </si>
  <si>
    <t>Carvajal Guevara, Andrea/0000-0003-0973-8901; Anderson, David/0000-0001-9286-5789</t>
  </si>
  <si>
    <t>0141-5492</t>
  </si>
  <si>
    <t>1573-6776</t>
  </si>
  <si>
    <t>10.1007/s10529-014-1575-5</t>
  </si>
  <si>
    <t>WOS:000341486600011</t>
  </si>
  <si>
    <t>Castillo, J; Coll, MT; Fortuny, A; Donoso, PN; Sepúlveda, R; Sastre, AM</t>
  </si>
  <si>
    <t>Castillo, Jonathan; Teresa Coll, Maria; Fortuny, Agustin; Navarro Donoso, Patricio; Sepulveda, Rossana; Maria Sastre, Ana</t>
  </si>
  <si>
    <t>Cu(II) extraction using quaternary ammonium and quaternary phosphonium based ionic liquid</t>
  </si>
  <si>
    <t>This work analyses the extraction of Cu(II) using quaternary ammonium and quaternary phosphonium based ionic liquids. Firstly, the chemical suitability of the two ionic liquids was evaluated. They were then tested for extracting copper from solutions (simulated) of liquid mining waste. The effects of the extractant concentration, the sulphate concentration and the stripping solution were studied and the resulting information allowed us to propose a reaction mechanism. Finally, tests were performed using supported liquid membranes (SLM). The results with the synthesised ionic liquids show that [A336/Cy272] is suitable in sulphate, chloride and mixed media, while [C104] is suitable in chloride media. Liquid/liquid extraction tests indicate that it is possible to remove Cu(II) from highly contaminated aqueous solutions (1000 mg/L Cu(II)) using quaternary ammonium type ionic liquids in sulphate, chloride or mixed media, with extraction efficiencies of up to 95%. The best stripping results were obtained in basic and acid media. In contrast, a fouling problem of the membrane was found in supported liquid membrane tests, which occurs after approximately 4 h of testing. (C) 2013 Elsevier B.V. All rights reserved.</t>
  </si>
  <si>
    <t>Castillo, Jonathan/AAB-8092-2019; Fortuny, Agustin/D-3926-2012; Sastre, Ana Maria/J-8311-2013</t>
  </si>
  <si>
    <t>Fortuny, Agustin/0000-0002-2350-8654; Sepulveda Rivera, Rossana Daniela/0000-0003-0288-8130; Castillo, Jonathan/0000-0002-7794-4291; Sastre, Ana Maria/0000-0002-6586-8113</t>
  </si>
  <si>
    <t>10.1016/j.hydromet.2013.11.001</t>
  </si>
  <si>
    <t>WOS:000331350400013</t>
  </si>
  <si>
    <t>Mild solutions for abstract fractional differential equations</t>
  </si>
  <si>
    <t>We propose a unified functional analytic approach to derive a variation of constants formula for a wide class of fractional differential equations using results on (a,k)-regularized families of bounded and linear operators, which covers as particular cases the theories of C-0-semigroups and cosine families. Using this approach we study the existence of mild solutions to fractional differential equation with nonlocal conditions. We also investigate the asymptotic behaviour of mild solutions to abstract composite fractional relaxation equations. We include in our analysis the Basset and Bagley-Torvik equations.</t>
  </si>
  <si>
    <t>10.1080/00036811.2012.698271</t>
  </si>
  <si>
    <t>WOS:000321690700011</t>
  </si>
  <si>
    <t>Bolton, CC; Gatica, G; Parada, V</t>
  </si>
  <si>
    <t>Contreras Bolton, Carlos; Gatica, Gustavo; Parada, Victor</t>
  </si>
  <si>
    <t>Automatically Generated Algorithms for the Vertex Coloring Problem</t>
  </si>
  <si>
    <t>The vertex coloring problem is a classical problem in combinatorial optimization that consists of assigning a color to each vertex of a graph such that no adjacent vertices share the same color, minimizing the number of colors used. Despite the various practical applications that exist for this problem, its NP-hardness still represents a computational challenge. Some of the best computational results obtained for this problem are consequences of hybridizing the various known heuristics. Automatically revising the space constituted by combining these techniques to find the most adequate combination has received less attention. In this paper, we propose exploring the heuristics space for the vertex coloring problem using evolutionary algorithms. We automatically generate three new algorithms by combining elementary heuristics. To evaluate the new algorithms, a computational experiment was performed that allowed comparing them numerically with existing heuristics. The obtained algorithms present an average 29.97% relative error, while four other heuristics selected from the literature present a 59.73% error, considering 29 of the more difficult instances in the DIMACS benchmark.</t>
  </si>
  <si>
    <t>Parada, Victor/M-5840-2014; Contreras-Bolton, Carlos/D-9624-2016</t>
  </si>
  <si>
    <t>Contreras-Bolton, Carlos/0000-0001-9549-4143; Gustavo, Gatica/0000-0002-1816-6856</t>
  </si>
  <si>
    <t>e58551</t>
  </si>
  <si>
    <t>10.1371/journal.pone.0058551</t>
  </si>
  <si>
    <t>WOS:000316849200085</t>
  </si>
  <si>
    <t>Navas, A; Ponce, M</t>
  </si>
  <si>
    <t>Navas, Andres; Ponce, Mario</t>
  </si>
  <si>
    <t>A Livsic type theorem for germs of analytic diffeomorphisms</t>
  </si>
  <si>
    <t>NONLINEARITY</t>
  </si>
  <si>
    <t>We deal with the problem of the validity of the Livsic theorem for cocycles of diffeomorphisms over a hyperbolic dynamics that satisfy the periodic orbit condition. We give a result in the positive direction for cocycles of germs of analytic diffeomorphisms at the origin.</t>
  </si>
  <si>
    <t>PONCE ACEVEDO, MARIO/0000-0002-6617-3145; Navas Flores, Andres Ignacio/0000-0002-0853-5136</t>
  </si>
  <si>
    <t>0951-7715</t>
  </si>
  <si>
    <t>10.1088/0951-7715/26/1/297</t>
  </si>
  <si>
    <t>WOS:000313745700017</t>
  </si>
  <si>
    <t>Filali, A; Khezzar, L; Siginer, D; Nemouchi, Z</t>
  </si>
  <si>
    <t>Filali, A.; Khezzar, L.; Siginer, D.; Nemouchi, Z.</t>
  </si>
  <si>
    <t>Graetz problem with non-linear viscoelastic fluids in non-circular tubes</t>
  </si>
  <si>
    <t>A numerical investigation of the Graetz problem in straight pipes of circular and non-circular cross-sections is carried out to analyze the influence of the theological parameters on the heat transfer enhancement with negligible axial heat conduction and viscous dissipation for a class of non-linear viscoelastic fluids constitutively represented by the simplified Phan-Thien-Tanner (SPPT) model. The analysis considers both constant wall heat flux and constant wall temperature thermal boundary conditions and concludes that the combined elastic and shear-thinning effects represented by the parameter epsilon We(2) lead to heat transfer enhancement for low values of the parameter of order O(1) whereas values of the parameter epsilon We(2) &gt; O(10) lead to a decrease in the heat transfer rate in the case of constant wall heat flux. Nusselt number distributions in the entrance region of tubes of equilateral triangular, square and rectangular cross-sections as well as Nusselt numbers Nu = f(epsilon We(2)) for the fully developed flow in these non-circular tubes are reported for the first time for non-linear viscoelastic fluids of the SPPT type. It is concluded that for small values of elasticity (We), the computations based on the methods included in the Polyflow software are in full agreement with analytical results when available and that discrepancies exist for high values of We. Such limitations may not exist with pseudo-spectral methods. (c) 2012 Elsevier Masson SAS. All rights reserved.</t>
  </si>
  <si>
    <t>KHEZZAR, Lyes/LDF-3636-2024; Filali, Abdelkader/Q-1549-2015</t>
  </si>
  <si>
    <t>Filali, Abdelkader/0000-0002-5794-565X</t>
  </si>
  <si>
    <t>10.1016/j.ijthermalsci.2012.06.011</t>
  </si>
  <si>
    <t>WOS:000309246800005</t>
  </si>
  <si>
    <t>Moraga, NO; Jauriat, LA; Lemus-Mondaca, RA</t>
  </si>
  <si>
    <t>Moraga, Nelson O.; Jauriat, Leopoldo A.; Lemus-Mondaca, Roberto A.</t>
  </si>
  <si>
    <t>Heat and mass transfer in conjugate food freezing/air natural convection</t>
  </si>
  <si>
    <t>This work reports a study of the heat and mass transfer during the freezing of a block of beef in the freezer compartment of a household refrigerator. It takes into account the natural convection in air coupled to the heat conduction and water diffusion in the meat. The nonlinear partial differential equations describing mass conservation, linear momentum, energy and species concentration in two dimensions are solved with the SIMPLE algorithm and the finite volumes method. The results obtained include the unsteady state description of air movement as well as temperature and water concentration in the air, and temperature and water concentration distribution in the meat. The predicted weight loss of the food reaches a value of 1.5%. (C) 2011 Elsevier Ltd and IIR. All rights reserved.</t>
  </si>
  <si>
    <t>10.1016/j.ijrefrig.2011.11.017</t>
  </si>
  <si>
    <t>WOS:000305655300015</t>
  </si>
  <si>
    <t>Pérez, P; Maino, M; Morales, MS; Tomic, G; Aguilera, F; Egaña, JI</t>
  </si>
  <si>
    <t>Perez, Patricio; Maino, Mario; Sol Morales, Maria; Tomic, Gerda; Aguilera, Francisco; Ignacio Egana, Juan</t>
  </si>
  <si>
    <t>Meat quality and carcass characteristics of Merino Precoce suckling lambs raised under confinement in the Mediterranean semi-humid dryland of Central Chile</t>
  </si>
  <si>
    <t>P. Perez, M. Maino, M.S. Morales, G. Tomic, F. Aguilera, and J.I. Egana. 2012. Meat quality and carcass characteristics of Merino Precoce suckling lambs raised under confinement in the Mediterranean semi-humid dryland of Central Chile. Cien. Inv. Agr. 39(2): 289-298. Twenty-eight Merino Precoce suckling lambs raised under confinement in the Mediterranean semi-humid dryland of Central Chile were studied to evaluate meat quality and major carcass characteristics. Animals were grouped by slaughter weight (10 and 15 kg) and sex (7 males and 7 females in each weight group). The average commercial and true dressing percentages were 53 and 55%, the average ribeye area was 11.7 cm(2), and the average dorsal fat thickness was 1.5 mm. The largest retail yields were those of the leg and shoulder, at 38 and 22%, respectively. The tissue composition of the leg was 58% muscle, 23% bone, 12% fat, 3.6% residues, and 3% shrink loss. The tissue composition of the shoulder was 57% muscle, 23% bone, 11% fat, 3.7% residues and 3.2% shrink loss. The average chemical composition of the fresh meat was 67% moisture, 19% protein, 13% ether extract, and 1.3% ash. Sensory panel evaluation indicated that almost all the sensory characteristics were within the ideal range, and the acceptability panel evaluation indicated that 15 kg lambs produced the most acceptable meat. Slaughter weight had the most significant effect on carcass and meat quality. These results confirm that Merino Precoce suckling lambs yield high-quality carcasses and highly acceptable meat.</t>
  </si>
  <si>
    <t>10.4067/S0718-16202012000200005</t>
  </si>
  <si>
    <t>WOS:000307986500005</t>
  </si>
  <si>
    <t>de la Fuente, E; Adura, C; Kogan, MJ; Bollo, S</t>
  </si>
  <si>
    <t>de la Fuente, Elizabeth; Adura, Carolina; Kogan, Marcelo J.; Bollo, Soledad</t>
  </si>
  <si>
    <t>Carbon Nanotubes Electrochemistry Allows the In Situ Evaluation of the Effect of ß-Sheet Breakers on the Aggregation Process of ß-Amyloid</t>
  </si>
  <si>
    <t>The inhibition of aggregation and disaggregation effect of a beta-sheet breaker was evaluated by in situ electrochemistry of the A beta 142 peptide. The exposition of 10tyr residue was followed using a carbon nanotubes modified glassy carbon electrode immersed directly in the solution. Both processes were studied at a ratio of A beta/beta-sheet breaker of 10 mu M:100 mu M which is effective in vitro. This approach was compared with Thioflavin-T-induced fluorescence, gel electrophoresis and electron microscopy results. The results provide new clues about the disposition of the N-terminal residue of A beta in the structure of small aggregates, fibrils and amorphous aggregates and is promising for screening inhibitors of beta-amyloid aggregation.</t>
  </si>
  <si>
    <t>Bollo, Soledad/B-5257-2011; kogan, Marcelo/I-2868-2013</t>
  </si>
  <si>
    <t>Bollo, Soledad/0000-0003-0868-4294</t>
  </si>
  <si>
    <t>10.1002/elan.201100607</t>
  </si>
  <si>
    <t>WOS:000302160000029</t>
  </si>
  <si>
    <t>Ortiz, C; Villanueva, M</t>
  </si>
  <si>
    <t>Ortiz, Carmen; Villanueva, Monica</t>
  </si>
  <si>
    <t>Maximal independent sets in caterpillar graphs</t>
  </si>
  <si>
    <t>DISCRETE APPLIED MATHEMATICS</t>
  </si>
  <si>
    <t>A caterpillar graph is a tree in which the removal of all pendant vertices results in a chordless path. In this work, we determine the number of maximal independent sets (mis) in caterpillar graphs. For a general graph, this problem is #P-complete. We provide a polynomial time algorithm to generate the whole family of mis in a caterpillar graph. We also characterize the independent graph (intersection graph of mis) and the clique graph (intersection graph of cliques) of complete caterpillar graphs. (C) 2011 Elsevier B.V. All rights reserved.</t>
  </si>
  <si>
    <t>Ortiz, Carmen/HTR-8652-2023</t>
  </si>
  <si>
    <t>Villanueva, Monica/0000-0003-3753-712X</t>
  </si>
  <si>
    <t>0166-218X</t>
  </si>
  <si>
    <t>1872-6771</t>
  </si>
  <si>
    <t>10.1016/j.dam.2011.10.024</t>
  </si>
  <si>
    <t>WOS:000299144900009</t>
  </si>
  <si>
    <t>Comparing NARX and NARMAX models using ANN and SVM for cash demand forecasting for ATM</t>
  </si>
  <si>
    <t>2012 INTERNATIONAL JOINT CONFERENCE ON NEURAL NETWORKS (IJCNN)</t>
  </si>
  <si>
    <t>IEEE International Joint Conference on Neural Networks (IJCNN)</t>
  </si>
  <si>
    <t>International Joint Conference on Neural Networks (IJCNN)</t>
  </si>
  <si>
    <t>JUN 10-15, 2012</t>
  </si>
  <si>
    <t>Brisbane, AUSTRALIA</t>
  </si>
  <si>
    <t>a comparative study between NARMAX and NARX models developed with ANN and SVM when used to forecast cash demand for ATMs is conducted. A simple methodology for developing SVM-NARMAX models is proposed. The best results were obtained with NARX-ANN models. In addition no significant differences were found between NARX and NARMAX for both ANN and SVM. Hence it seems advisable to choose simpler models, such as NARX and a user-friendly tool like ANN at least for this particular application.</t>
  </si>
  <si>
    <t>2161-4393</t>
  </si>
  <si>
    <t>978-1-4673-1490-9</t>
  </si>
  <si>
    <t>WOS:000309341300114</t>
  </si>
  <si>
    <t>Pasmanik, D; Jadue, F; Winkler, MI</t>
  </si>
  <si>
    <t>Pasmanik, Diana; Jadue, Fabiola; Ines Winkler, Maria</t>
  </si>
  <si>
    <t>An approach to professional ethos in beginning psychology students centered into professional training</t>
  </si>
  <si>
    <t>ACTA BIOETHICA</t>
  </si>
  <si>
    <t>Between 2008 and 2010 the impact of four learning modules on the ethics of clinical and educational psychology was studied. In order to measure their effectiveness, before and after each intervention, -a filmed interview was presented related to each module and dramatized by actors- with ethical and technical errors. On the base of the responses given subjected to open and axial codification, correct and erroneous answers were analyzed, grouped by topics which showed the stand from which subjects answered. Realizing that this meant an approach to professional ethos, we analyzed part of the data with the aim to explore this ethos in 100 students, from three universities, which are starting their professional training cycle and which possess a different insertion of ethics training, organized in four groups and evaluated before being exposed to the modules. The results suggest that a professional ethos is being built with great convergences despite curricular differences.</t>
  </si>
  <si>
    <t>Pasmanik, Diana/0000-0002-3996-3619</t>
  </si>
  <si>
    <t>10.4067/S1726-569X2012000100010</t>
  </si>
  <si>
    <t>WOS:000321117100010</t>
  </si>
  <si>
    <t>Guijón, R; Henríquez, F; Naranjo, JA</t>
  </si>
  <si>
    <t>Guijon, Rodrigo; Henriquez, Fernando; Antonio Naranjo, Jose</t>
  </si>
  <si>
    <t>Geological, Geographical and Legal Considerations for the Conservation of Unique Iron Oxide and Sulphur Flows at El Laco and Lastarria Volcanic Complexes, Central Andes, Northern Chile</t>
  </si>
  <si>
    <t>GEOHERITAGE</t>
  </si>
  <si>
    <t>Considering the exceptional geological characteristics of iron oxide and sulphur lavas structures cropping out at El Laco and Lastarria volcanic complexes in Northern Chile, their geographical context, and the Chilean legal framework for conservation, the authors make a general assessment of the geological heritage value of both volcanoes, while analysing the possibilities and challenges that arise in order to protect them. Relevant issues in this matter are the lack of appropriate laws and of applied geoconservation experience in the country, and the difficulty of attracting financial resources but also a big potential for conciliating conservation with mining, different alternatives of tourism-including geotourism-, or other sustainable initiatives, in a naturally and culturally diverse and rich region, already known as a world class tourist destination. Thus results the need to identify the relevant geosites present in each volcano, to emphasize their study and knowledge, as well as a proactive role of public authorities in order to effectively protect these extremely rare and vulnerable geological features. Analysing the specific cases of both volcanic complexes as possible geological heritage locations, the authors aim to highlight the main problems that need to be solved in order to introduce proper geoconservation in the area.</t>
  </si>
  <si>
    <t>1867-2477</t>
  </si>
  <si>
    <t>1867-2485</t>
  </si>
  <si>
    <t>10.1007/s12371-011-0045-x</t>
  </si>
  <si>
    <t>WOS:000208779000004</t>
  </si>
  <si>
    <t>López-Alegría, F; De Lorenzi, DRS</t>
  </si>
  <si>
    <t>Lopez-Alegria, Fanny; Soares De Lorenzi, Dino Roberto</t>
  </si>
  <si>
    <t>Lifestyles and quality of life of post menopausal women</t>
  </si>
  <si>
    <t>Background: During menopause the quality of life of women can be seriously deteriorated and influenced by lifestyles. Aim: To assess the prevalence of menopausal symptoms and their relationship with lifestyles and quality of life. Material and Methods: The Menopause Rating Scale (MRS), a survey that measures menopausal symptoms and has questions related to lifestyles, was applied to 1023 women aged 54 +/- 6 years (range 45 to 64 years), consulting in primary health care clinics. A multiple linear regression analysis was used to evaluate the association between menopausal symptoms and lifestyle. Results: Fifty six percent of women did not have a paid work, 64% were nonsmokers and 90% did not perform any physical exercise. The most frequent menopausal symptoms referred were muscle and joint ailments (85%) followed by mental and physical exhaustion (80%). Sedentary women, smokers or those who did not to have time for leisure activities showed worst quality of life scores. Conclusions: Postmenopausal women with unhealthy lifestyles had the lower quality of life scores and more menopausal symptoms. (Rev Med Chile 2011; 139: 618-624).</t>
  </si>
  <si>
    <t>Lopez-Alegria, Fanny/0000-0001-7293-1347</t>
  </si>
  <si>
    <t>10.4067/S0034-98872011000500009</t>
  </si>
  <si>
    <t>WOS:000292415400009</t>
  </si>
  <si>
    <t>Vallejo, G; Fernández, MP; Livacic-Rojas, PE; Tuero-Herrero, E</t>
  </si>
  <si>
    <t>Vallejo, Guillermo; Paula Fernandez, M.; Livacic-Rojas, Pablo E.; Tuero-Herrero, Ellian</t>
  </si>
  <si>
    <t>Selecting the best unbalanced repeated measures model</t>
  </si>
  <si>
    <t>BEHAVIOR RESEARCH METHODS</t>
  </si>
  <si>
    <t>This study examined the performance of selection criteria available in the major statistical packages for both mean model and covariance structure. Unbalanced designs due to missing data involving both a moderate and large number of repeated measurements and varying total sample sizes were investigated. The study also investigated the impact of using different estimation strategies for information criteria, the impact of different adjustments for calculating the criteria, and the impact of different distribution shapes. Overall, we found that the ability of consistent criteria in any of the their examined forms to select the correct model was superior under simple covariance patterns than under complex covariance patterns, and vice versa for the efficient criteria. The simulation studies covered in this paper also revealed that, regardless of method of estimation used, the consistent criteria based on number of subjects were more effective than the consistent criteria based on total number of observations, and vice versa for the efficient criteria. Furthermore, results indicated that, given a dataset with missing values, the efficient criteria were more affected than the consistent criteria by the lack of normality.</t>
  </si>
  <si>
    <t>Herrero, Ellián/AAA-4397-2019; Vallejo, Guillermo/B-8233-2011; Fernandez, Paula/I-1881-2015</t>
  </si>
  <si>
    <t>Guillermo, Vallejo/0000-0001-6569-9279; Vallejo, Guillermo/0000-0002-8010-6854; Fernandez, Paula/0000-0003-0140-7702; Tuero Herrero, Ellian/0000-0002-5988-5996</t>
  </si>
  <si>
    <t>1554-351X</t>
  </si>
  <si>
    <t>1554-3528</t>
  </si>
  <si>
    <t>10.3758/s13428-010-0040-1</t>
  </si>
  <si>
    <t>WOS:000288020200003</t>
  </si>
  <si>
    <t>Millán, G; Kaschel, H; Lefranc, C</t>
  </si>
  <si>
    <t>Millan, G.; Kaschel, H.; Lefranc, C.</t>
  </si>
  <si>
    <t>Long-range Dependence (LRD) at the Network Layer Level</t>
  </si>
  <si>
    <t>Traffic streams, sources as well as aggregated traffic flows, often exhibit long-range-dependent (LRD) properties. This paper presents the theoretical foundations to justify that the behavior of traffic in a high-speed computer network can be modeled from a self-similar perspective by limiting its scope of analysis to the network layer, since the most relevant properties of self-similar processes are consistent for use in the formulation of traffic models when performing this specific task.</t>
  </si>
  <si>
    <t>WOS:000283908700022</t>
  </si>
  <si>
    <t>Sepulveda, W; Wong, AE; Ocaranza, M</t>
  </si>
  <si>
    <t>Sepulveda, Waldo; Wong, Amy E.; Ocaranza, Myriam</t>
  </si>
  <si>
    <t>Heterokaryotypic Pregnancy: Monozygotic Monochorionic Twins Discordant for Trisomy 13</t>
  </si>
  <si>
    <t>FETAL DIAGNOSIS AND THERAPY</t>
  </si>
  <si>
    <t>Background: The occurrence of a discordant chromosomal abnormality in monozygotic twins is an extremely rare condition. Case: We report the prenatal sonographic findings and cytogenetic studies in a monochorionic twin pregnancy discordant for severe fetal anomalies. Amniocenteses demonstrated heterokaryotypia for trisomy 13 in monozygotic twins. The pregnancy was managed conservatively, resulting in the delivery of discordant twins at 32 weeks. The structurally normal twin survived without sequelae, but the abnormal twin died shortly after delivery. Conclusions: This report adds to the literature the second known case of a spontaneously conceived monochorionic twin pregnancy discordant for trisomy 13 and highlights the necessity of sampling both fetuses in cases of monochorionic twins presenting with discordant structural anomalies. Copyright (C) 2010 S. Karger AG, Basel</t>
  </si>
  <si>
    <t>1015-3837</t>
  </si>
  <si>
    <t>1421-9964</t>
  </si>
  <si>
    <t>10.1159/000309175</t>
  </si>
  <si>
    <t>WOS:000281235900007</t>
  </si>
  <si>
    <t>Ceroni, JA; Quezada, LE</t>
  </si>
  <si>
    <t>Ceroni, Jose A.; Quezada, Luis E.</t>
  </si>
  <si>
    <t>Development of collaborative production systems in emerging economies</t>
  </si>
  <si>
    <t>Ceroni, José/JXW-6328-2024; Quezada, Luis/W-8168-2019</t>
  </si>
  <si>
    <t>Quezada, Luis/0000-0003-1364-9266</t>
  </si>
  <si>
    <t>10.1016/j.ijpe.2009.06.033</t>
  </si>
  <si>
    <t>WOS:000271116400022</t>
  </si>
  <si>
    <t>Díaz, M; Espinoza, A</t>
  </si>
  <si>
    <t>Diaz, Marcelo; Espinoza, Alex</t>
  </si>
  <si>
    <t>Ontologies of the cognitive paradigm: computationalism, connectionism and emergent materialism</t>
  </si>
  <si>
    <t>ALPHA-REVISTA DE ARTES LETRAS Y FILOSOFIA</t>
  </si>
  <si>
    <t>Which ontology underlies the main models of cognition? What did the cognitive paradigm bring about? Which philosophical commitment we assume when, conscious or not, we tinge our conception of what is real, especially of intelligent biological systems, with the explanation we give of the functioning of an information system? The hypothesis we maintain is that, with regards to cognition and the naturalistic and emergentist conceptual frame, we must (and can) recognize the limits of what is explainable and what is not.</t>
  </si>
  <si>
    <t>espinoza, alex/0000-0001-9696-678X</t>
  </si>
  <si>
    <t>0718-2201</t>
  </si>
  <si>
    <t>WOS:000268595300008</t>
  </si>
  <si>
    <t>Pizarro, A</t>
  </si>
  <si>
    <t>Pizarro, Ana</t>
  </si>
  <si>
    <t>Discourses on the margins of history</t>
  </si>
  <si>
    <t>HISPAMERICA-REVISTA DE LITERATURA</t>
  </si>
  <si>
    <t>0363-0471</t>
  </si>
  <si>
    <t>WOS:000262786500001</t>
  </si>
  <si>
    <t>Vergara, PM; Schlatter, RP</t>
  </si>
  <si>
    <t>Vergara, Pablo M.; Schlatter, Roberto P.</t>
  </si>
  <si>
    <t>Conservation of birds in evergreen Chilean forests: the effect of partial cutting systems</t>
  </si>
  <si>
    <t>WILDLIFE RESEARCH</t>
  </si>
  <si>
    <t>Current legislation in Chile allows two alternative regeneration methods for evergreen forest: heavy shelterwood (retaining 30% of the basal area at the time of regeneration harvest) and strip cutting. We compared bird abundance among four stands: two evergreen forest stands managed with these cutting systems, an undisturbed stand and a light shelterwood stand (with a retention level of 65%). Eight out of 15 species, in addition to total bird abundance, were affected by partial cutting. Light shelterwood tended to be the treatment with the smaller negative effect on bird abundance, reducing the abundance of only two species, possibly due to the loss of the understorey vegetation. Nevertheless, the abundance of three species of trunk and foliage gleaners, as well as total bird abundance, decreased only in the heavy shelterwood and the strip cut stands. Further, the abundance of trunk and foliage gleaners was greater in the light shelterwood stand than in the other cutting stands, indicating that these species are particularly sensitive to partial cutting with low retention levels. Therefore, in order to reduce the detrimental effect of partial cutting systems on the evergreen forest birds, we suggest the use of shelterwood cutting with a retention level higher than 50% of the standing basal area at the time of the regeneration harvest.</t>
  </si>
  <si>
    <t>1035-3712</t>
  </si>
  <si>
    <t>1448-5494</t>
  </si>
  <si>
    <t>10.1071/WR07009</t>
  </si>
  <si>
    <t>WOS:000255116800006</t>
  </si>
  <si>
    <t>Contreras, L; Dennett, G; Moenne, A; Palma, RE; Correa, JA</t>
  </si>
  <si>
    <t>Contreras, Loretto; Dennett, Geraldine; Moenne, Alejandra; Palma, R. Eduardo; Correa, Juan A.</t>
  </si>
  <si>
    <t>Molecular and morphologically distinct Scytosiphon species (Scytosiphonales, Phaeophyceae) display similar antioxidant capacities</t>
  </si>
  <si>
    <t>JOURNAL OF PHYCOLOGY</t>
  </si>
  <si>
    <t>The taxonomic status of an alga with complanate thalli, occurring in central Chile and belonging to the genus Scytosiphon, was elucidated. Morphological and molecular features demonstrated that, in addition to the known and widespread constricted S. lomentaria (Lyngb.) Link that occurs along the Chilean coast, there is a Scytosiphon with complanate thalli that occurs only in central Chile-S. gracilis Kogame. Morphological analyses of this previously unreported complanate Scytosiphon showed thalli without constrictions, coherent plurilocular sporangia without ascocysts, and phaeophycean hairs arising from cortical cells. Furthermore, sequences of the internal transcribed spacer (ITS1 and ITS2) regions of the complanate Scytosiphon were 99.8% and 100% identical to those detected in S. gracilis from Korea. ITS-based comparative analyses showed that complanate Scytosiphon grouped in a different clade than S. lomentaria and S. tenellus Kogame from various parts of the world, including Chilean species. Moreover, molecular analyses suggest the occurrence of two distinct ITS types of S. lomentaria in northern Chile, corresponding to the Korean and Greek types. On the other hand, biochemical analyses of copper-induced antioxidant responses in S. gracilis and S. lomentaria showed an identical increase in antioxidant enzyme activities. These results suggest that copper tolerance might be a constitutive trait in these species of Scytosiphon.</t>
  </si>
  <si>
    <t>Palma, Eduardo/N-1416-2014; Contreras-Porcia, Loretto/F-9593-2016</t>
  </si>
  <si>
    <t>Palma, Eduardo/0000-0002-0806-1268; Contreras-Porcia, Loretto/0000-0002-6511-2244</t>
  </si>
  <si>
    <t>0022-3646</t>
  </si>
  <si>
    <t>1529-8817</t>
  </si>
  <si>
    <t>10.1111/j.1529-8817.2007.00413.x</t>
  </si>
  <si>
    <t>WOS:000251416100021</t>
  </si>
  <si>
    <t>Melo, F; Job, S; Santibanez, F; Tapia, F</t>
  </si>
  <si>
    <t>Experimental evidence of shock mitigation in a Hertzian tapered chain</t>
  </si>
  <si>
    <t>We present an experimental study of the mechanical impulse propagation through a horizontal alignment of elastic spheres of progressively decreasing diameter phi(n): namely, a tapered chain. Experimentally, the diameters of spheres which interact via the Hertz potential are selected to keep as close as possible to an exponential decrease, phi(n+1)=(1-q)phi(n), where the experimental tapering factor is either q(1)similar or equal to 5.60% or q(2)similar or equal to 8.27%. In agreement with recent numerical results, an impulse initiated in a monodisperse chain (a chain of identical beads) propagates without shape changes and progressively transfers its energy and momentum to a propagating tail when it further travels in a tapered chain. As a result, the front pulse of this wave decreases in amplitude and accelerates. Both effects are satisfactorily described by the hard-sphere approximation, and basically, the shock mitigation is due to partial transmissions, from one bead to the next, of momentum and energy of the front pulse. In addition when small dissipation is included, better agreement with experiments is found. A close analysis of the loading part of the experimental pulses demonstrates that the front wave adopts a self-similar solution as it propagates in the tapered chain. Finally, our results corroborate the capability of these chains to thermalize propagating impulses and thereby act as shock absorbing devices.</t>
  </si>
  <si>
    <t>Melo, Francisco/M-3923-2014; Tapia, Franco/JFJ-2655-2023; Santibañez, Francisco/E-4809-2011; Job, Stephane/D-9735-2011</t>
  </si>
  <si>
    <t>Tapia Uribe, Franco/0000-0001-9150-3700; Melo, Francisco Esteban/0000-0001-6818-5476; Job, Stephane/0000-0003-2853-1893</t>
  </si>
  <si>
    <t>10.1103/PhysRevE.73.041305</t>
  </si>
  <si>
    <t>WOS:000237146400019</t>
  </si>
  <si>
    <t>Villarreal, JM; Bueno, C; Arenas, F; Jabalquinto, AM; González-Nilo, FD; Encinas, MV; Cardemil, E</t>
  </si>
  <si>
    <t>Nucleotide specificity of Saccharomyces cerevisiae phosphoenolpyruvate carboxykinase -: Kinetics, fluorescence spectroscopy, and molecular simulation studies</t>
  </si>
  <si>
    <t>INTERNATIONAL JOURNAL OF BIOCHEMISTRY &amp; CELL BIOLOGY</t>
  </si>
  <si>
    <t>Phosphoenolpyruvate carboxykinases, depending on the enzyme origin, preferentially use adenine or guanine nucleotides as substrates. In this work, analyses of the substrate specificity of the Saccharomyces cerevisiae ATP-dependent enzyme have been carried out. Kinetics studies gave relative values of k(cat)/K-m for the nucleoside triphosphate complexes in the order ATP &gt;&gt; GTP &gt; ITP &gt; UTP &gt; CTP. For the nucleoside diphosphate complexes the order is ADP &gt;&gt; GDP &gt; IDP congruent to UDP &gt; CDP. This shows that the enzyme has a strong preference for ADP (or ATP) over other nucleotides, being this preference about an order of magnitude higher for the diphosphorylated than for the triphosphorylated nucleosides. The calculated binding free energies (kcal mol(-1)) at 25 degrees C are 7.39 and 6.51 for ATP and ADP, respectively. These values decrease with the nucleotide structure in the same order than the kinetic specificity. The binding energy for any triphosphorylated nucleoside is more favourable than for the corresponding diphosphorylated compound, showing the relevance of the P-gamma for nucleotide binding. Homology models of the adenine and guanine nucleoticles in complex with the enzyme show that the base adopts a similar conformation in the diphosphorylated nucleosides while in the triphosphorylated nucleosides the sugar-base torsion angle is 61 degrees for ATP and -53 degrees for GTP. Differences are also noted in the distance between P-beta and Mn2+ at site 1. This distance is almost the same in the ATR GTP, and UTP complexes, however in the ADP, GDP and UDP complexes it is 2.9, 5. 1, and 7 angstrom, respectively. Experimental data obtained with a Thr463AIa mutant enzyme agree with molecular simulation predictions. The results here presented are discussed in terms of the proposed interactions of the nucleoticles with the protein. (c) 2005 Elsevier Ltd. All rights reserved.</t>
  </si>
  <si>
    <t>Encinas, Maria/L-9686-2014; Villarreal, José/AAI-8508-2021; Gonzalez Nilo, Fernando Danilo/M-5671-2016</t>
  </si>
  <si>
    <t>Villarreal Ascencio, Jose Miguel/0000-0002-7974-2263; Gonzalez Nilo, Fernando Danilo/0000-0001-6857-3575</t>
  </si>
  <si>
    <t>1357-2725</t>
  </si>
  <si>
    <t>1878-5875</t>
  </si>
  <si>
    <t>10.1016/j.biocel.2005.10.018</t>
  </si>
  <si>
    <t>WOS:000235705100010</t>
  </si>
  <si>
    <t>Cortés, PP; Orihuela, PA; Zúñiga, LM; Velásquez, LA; Croxatto, HB</t>
  </si>
  <si>
    <t>Sperm binding to oviductal epithelial cells in the rat:: Role of sialic acid residues on the epithelial surface and sialic acid-binding sites on the sperm surface</t>
  </si>
  <si>
    <t>BIOLOGY OF REPRODUCTION</t>
  </si>
  <si>
    <t>18th Meeting of the Latinamerican-Association-of-Investigators-in-Human-Reproduction</t>
  </si>
  <si>
    <t>MAY 28-31, 2003</t>
  </si>
  <si>
    <t>Varadero, CUBA</t>
  </si>
  <si>
    <t>Latinamer Assoc Investigators Human Reprod</t>
  </si>
  <si>
    <t>The aim of this study was to assess the participation of carbohydrate residues in the adhesion of spermatozoa to the oviductal epithelium in the rat. We first examined, by lectin labeling, the distribution of glycoconjugates in rat oviducts obtained under various hormonal environments. Several classes of glycoconjugates were abundant in the epithelium, and the expression of some of these molecules varied differentially in ampulla and isthmus, along the estrous cycle and with estradiol and progesterone treatment. Proestrous rats were intraoviductally injected with lectins Dolichos biflorus, Erythrina cristagalli, Helix pomatia, Arachis hypogea, Ulex europaeus I, Triticum vulgaris, or Tritrichomonas mobilensis and were inseminated with 10-20 million epididymal spermatozoa in each uterine horn. Three hours later, the total number of spermatozoa present in the oviduct and the proportion adhering to the epithelium were determined. Intraoviductal administration of lectins did not affect the total number of spermatozoa recovered from the oviduct and only the sialic acid-binding lectin TML decreased the percentage of sperm cells adhering to the epithelium. The involvement of sialic acid in sperm-oviduct adhesion was further explored, inseminating spermatozoa preincubated with mannose, galactose, sialic acid, fucose, fetuin, or asialofetuin. Sialic acid and fetuin inhibited sperm-oviduct binding while other carbohydrates had no effect. Using TML lectin immunohistochemistry, we found that sialic acid-rich glycoconjugates are equally localized in the epithelium of ampulla and isthmus of proestrous rats. The electrophoretic pattern of sialic acid-rich glycoproteins of the epithelium showed 15 major protein bands, for which molecular mass ranged from 200 to 50 kDa with no difference between ampulla and isthmus or between estrous cycle stages. Binding sites for sialic acid-fluorescein isothiocyanate were demonstrated on the surface of rat spermatozoa, and biotinylated sialic acid recognized 11 plasma membrane proteins of sperm cells. These groups of sialic acid-rich glycoproteins in the oviductal epithelium and of sialic acid-binding proteins in the plasma membrane of sperm cells are good candidates for further studies to characterize the molecules responsible for sperm binding. We conclude that there are segment-specific changes of sugar residues present in the oviductal epithelium associated with different endocrine environments. Sperm-oviduct adhesion in the rat occurs by interaction of sialoglycoconjugates present in the epithelial cells with sialic acid-binding proteins on the sperm surface. This replicates the situation previously found in hamsters, disclosing for the first time that species-specificity in the sugar involved in sperm binding is not absolute.</t>
  </si>
  <si>
    <t>Zuniga Condor, Lidia M/0000-0001-8655-1994; Velasquez, Luis/0000-0002-9479-1792</t>
  </si>
  <si>
    <t>0006-3363</t>
  </si>
  <si>
    <t>1529-7268</t>
  </si>
  <si>
    <t>10.1095/biolreprod.104.027474</t>
  </si>
  <si>
    <t>WOS:000224035400028</t>
  </si>
  <si>
    <t>Guzmán, R; Retamal, JC; Romero, JL; Saavedra, C</t>
  </si>
  <si>
    <t>Entanglement rate in qubits</t>
  </si>
  <si>
    <t>The short time evolution of quantum entanglement described through the Wootters's concurrence in systems evolving under the influence of the environment is studied. The entanglement rate for a class of initial quantum states is calculated. (C) 2004 Elsevier B.V. All rights reserved.</t>
  </si>
  <si>
    <t>Saavedra, Carlos/C-4262-2008; Retamal, Juan/G-6425-2010</t>
  </si>
  <si>
    <t>Retamal Abarzua, Juan Carlos/0000-0002-7174-7879; Saavedra, Carlos/0000-0003-3156-3853</t>
  </si>
  <si>
    <t>10.1016/j.physleta.2004.02.043</t>
  </si>
  <si>
    <t>WOS:000220317300008</t>
  </si>
  <si>
    <t>Encinas, MV; Gonzalez-Nilo, FD; Goldie, H; Cardemil, E</t>
  </si>
  <si>
    <t>Ligand interactions and protein conformational changes of phosphopyridoxyl-labeled Escherichia coli phosphoenolpyruvate carboxykinase determined by fluorescence spectroscopy.</t>
  </si>
  <si>
    <t>ABSTRACTS OF PAPERS OF THE AMERICAN CHEMICAL SOCIETY</t>
  </si>
  <si>
    <t>González-Nilo, Fernando/M-5671-2016; Encinas, Maria/L-9686-2014</t>
  </si>
  <si>
    <t>0065-7727</t>
  </si>
  <si>
    <t>064-BIOL</t>
  </si>
  <si>
    <t>U164</t>
  </si>
  <si>
    <t>WOS:000177422200743</t>
  </si>
  <si>
    <t>Barbato, S; Restovic, A; Gautier, JL</t>
  </si>
  <si>
    <t>Hollandite cathodes for lithium ion batteries.: 1.: Synthesis and characterization of the MM′Mn7O16 compounds (M= K, Ba M = Mg, Mn, Fe, Ni)</t>
  </si>
  <si>
    <t>BaMMn7O16 (M = Mg, Mn, Fe, Ni) and AMn(8)O(16) (A = Ba, K-2) hollandite oxides were synthesized in air from metal carbonates and a mixture of simple oxides using the thermal decomposition in solid phase method at 850 degreesC. The oxides BaMn8O16 and BaFeMn7O16 crystallized in the hollandite monoclinic phase, S.G. 12/m and S.G. P2(1)/n respectively, whereas K2Mn8O16 was tetragonal, S.G. 14/m. Two new phases are reported: BaMgMn7O16 and BaNiMn7O16 which crystallize in the hollandite monoclinic phase structure. The ionic distributions were proposed on the basis of several physicochemical analyses comporting XRD, GTA, magnetic susceptibility and oxidation power measurements. Barium and potassium manganites showed Mn3+ and Mn4+ in octahedral sites whereas BaMMn7O16 (M = Mg, Ni) exhibited Mn2+ and Mn4+ in sites B. On the other hand, iron-manganese hollanclite, BaFeMn7O16, shows Fe3+ ions besides Mn3+ and Mn4+ cations.</t>
  </si>
  <si>
    <t>WOS:000170137700010</t>
  </si>
  <si>
    <t>González-Nilo, FD; Robertson, NE; Contreras, ML</t>
  </si>
  <si>
    <t>Monomer units differentiated solvation in an acrylic acid crosslinked polyelectrolyte.: A combined HF/MB study</t>
  </si>
  <si>
    <t>A suitable model for molecular dynamics simulation studies of an acrylic acid (AA) polyelectrolyte gel considering explicit water molecules is presented. It consists of a molecule of crosslinker bound to four AA strands completely ionized. Radial distribution functions and nonbonding energy results calculated with both molecular and quantum mechanics methods show that a differentiated solvation occurs for monomer units located at different distances from the crosslinker molecule. The used calculation methodology and the found differentiated solvation could be very interesting for polyelectrolyte gel studies and their applications.</t>
  </si>
  <si>
    <t>Gonzalez Nilo, Fernando Danilo/M-5671-2016</t>
  </si>
  <si>
    <t>Gonzalez Nilo, Fernando Danilo/0000-0001-6857-3575</t>
  </si>
  <si>
    <t>WOS:000168175900014</t>
  </si>
  <si>
    <t>Cruz, N; del Campo, S; Herrera, R</t>
  </si>
  <si>
    <t>Matter scalar field in a closed universe</t>
  </si>
  <si>
    <t>We investigate the possibility that the matter of the Universe has a significant component (the quintessence component) determined by the equation of state p=w rho, with w&lt;0. Here, we find conditions under which a closed model may look similar to a flat Friedmann-Robertson-Walker universe at low redshift. We study this problem in Einstein's general relativity and Brans-Dicke theories. In both cases we obtain explicit expressions for the quintessence scalar potential V(Q), and the angular size as a function of the redshift. [S0556-2821(98)01322-8].</t>
  </si>
  <si>
    <t>Hernandez, Ramon/KYP-6611-2024</t>
  </si>
  <si>
    <t>Herrera, Ramon/0000-0002-6841-1629</t>
  </si>
  <si>
    <t>10.1103/PhysRevD.58.123504</t>
  </si>
  <si>
    <t>WOS:000077903000015</t>
  </si>
  <si>
    <t>Harms, K; Ramirez, I; Peña-Cortés, H</t>
  </si>
  <si>
    <t>Inhibition of wound-induced accumulation of allene oxide synthase transcripts in flax leaves by aspirin and salicylic acid</t>
  </si>
  <si>
    <t>PLANT PHYSIOLOGY</t>
  </si>
  <si>
    <t>Allene oxide synthase (AOS) mediates the conversion of lipoxygenase-derived fatty acid hydroperoxides to unstable allene epoxides, which supply the precursors for the synthesis of the phytohormone jasmonic acid (JA). In this study the characterization of AOS gene expression in flax (Linom usitatissimum) is reported. AOS was constitutively expressed in different organs of flax plants. Additionally, AOS gene expression was enhanced after mechanical wounding in both the directly damaged leaves and in the systemic tissue located distal to the treated leaves. This wound-induced accumulation of AOS required the de novo biosynthesis of other unknown proteins involved in the signaling pathway modulating wound-induced AOS gene expression. Furthermore, the wound-induced AOS mRNA accumulation was correlated with the increase in the levels of JA. Both JA and its precursor, 12-oxo-phytodienoic acid, activated AOS gene expression in a dose-dependent manner. Thus, IA could activate its own biosynthetic pathway in flax leaves. Moreover, neither salicylic acid (SA) nor aspirin influenced AOS enzymatic activity. It is interesting that pretreatment with SA or aspirin inhibited wound-induced accumulation of AOS transcripts. These results suggest that a potent inhibition of JA biosynthetic capacity in leaves can be affected by SA or aspirin at the level of AOS gene expression.</t>
  </si>
  <si>
    <t>Ramirez, Ingrid/AAT-5267-2020; Peña-Cortes, Hugo/A-2758-2012</t>
  </si>
  <si>
    <t>0032-0889</t>
  </si>
  <si>
    <t>1532-2548</t>
  </si>
  <si>
    <t>10.1104/pp.118.3.1057</t>
  </si>
  <si>
    <t>WOS:000077028200038</t>
  </si>
  <si>
    <t>Isaacs, M; Aguirre, MJ; Toro-Labbe, A; Costamagna, J; Paez, M; Zagal, JH</t>
  </si>
  <si>
    <t>Comparative study of the electrocatalytic activity of cobalt phthalocyanine and cobalt naphthalocyanine for the reduction of oxygen and the oxidation of hydrazine</t>
  </si>
  <si>
    <t>Cobalt phthalocyanine (CoPc) and cobalt naphthalocyanine (CoNPc) exhibit different redox and electronic properties. Redox processes on CoPc are more reversible than on CoNPc. The pH dependence of those processes is also different for these complexes, which could indicate that in the case of CoNPc, the redox couples observed involve the macrocyclic ligand and not the metal as with CoPc. This seems to explain the different redox properties and kinetics for O-2 reduction and N2H4 oxidation of these two macrocyclics. In this study we compare the electrocatalytic activity of these two phthalocyanines, adsorbed on glassy carbon, for the electrochemical reduction of O-2 and for the oxidation of hydrazine. (C) 1998 Elsevier Science Ltd. All rights reserved.</t>
  </si>
  <si>
    <t>Aguirre, Maria/A-3935-2013; Paez, Maritza/M-2010-2014; zagal, jose/L-9648-2014; Isaacs, Mauricio/N-3027-2013; Toro-Labbe, Alejandro/J-5026-2013</t>
  </si>
  <si>
    <t>paez, maritza/0000-0001-5881-884X; Aguirre, Maria/0000-0003-1134-4469; Isaacs Casanova, Mauricio/0000-0003-0503-0949; Toro-Labbe, Alejandro/0000-0001-9906-2153</t>
  </si>
  <si>
    <t>12-13</t>
  </si>
  <si>
    <t>10.1016/S0013-4686(97)00314-9</t>
  </si>
  <si>
    <t>WOS:000074191100018</t>
  </si>
  <si>
    <t>Paez, MA; Zagal, JH; Bustos, O; Aguirre, MJ; Skeldon, P; Thompson, GE</t>
  </si>
  <si>
    <t>Effect of benzotriazole on the efficiency of anodizing of Al-Cu alloys</t>
  </si>
  <si>
    <t>The influence of benzotriazole, at concentrations to 10 g l(-1), on the efficiency of anodizing of Al-3.5 wt% Cu alloy at constant current density in 0.1 M ammonium pentaborate electrolyte has been investigated for two conditions of the alloy, namely solution-treated and solution treated and artificially aged. For the solution-treated alloy, the addition of benzotriazole has negligible effect on the voltage-time response and, hence, also the efficiency of film growth, which was about 92% for film formed to 200 V. In contrast, benzotriazole increases significantly the efficiency of film growth on the solution-treated and aged alloy, from similar to 45 to similar to 70% for films formed to 200 V. The increased efficiency is attributed mainly to the inhibition of oxygen evolution on CuAl2 particles by formation of a polymeric, Cu-I-benzotriazole film on the copper-rich phase. The influence of benzotriazole, from comparisons of voltage-time responses for both heat treatments of the alloy, is greatest at the commencement of film growth and subsequently diminishes, with little, or no, effect following film formation to 150 V. The diminishing influence is associated with eventual growth of relatively thick anodic film, which limits oxygen evolution. (C) 1997 Elsevier Science Ltd.</t>
  </si>
  <si>
    <t>Pappas, Georgios/F-7194-2014; zagal, jose/L-9648-2014; Paez, Maritza/M-2010-2014; Aguirre, Maria/A-3935-2013</t>
  </si>
  <si>
    <t>paez, maritza/0000-0001-5881-884X; Aguirre, Maria/0000-0003-1134-4469</t>
  </si>
  <si>
    <t>23-24</t>
  </si>
  <si>
    <t>10.1016/S0013-4686(97)00039-X</t>
  </si>
  <si>
    <t>WOS:A1997YG12500005</t>
  </si>
  <si>
    <t>Plaza, S; Vera, J</t>
  </si>
  <si>
    <t>Bifurcation and stability of families of hyperbolic vector fields in dimension three</t>
  </si>
  <si>
    <t>In this article we study the global stability of one-parameter families of hyperbolic vector fields with simple bifurcations in three-dimensional manifolds at least in all known cases (see introduction).</t>
  </si>
  <si>
    <t>10.1016/S0294-1449(97)80151-5</t>
  </si>
  <si>
    <t>WOS:A1997WP39400004</t>
  </si>
  <si>
    <t>CONTRERAS, ML; ROZAS, R; VALDIVIA, R; AGUERO, R</t>
  </si>
  <si>
    <t>EXHAUSTIVE GENERATION OF ORGANIC ISOMERS .4. ACYCLIC STEREOISOMERS WITH ONE OR MORE CHIRAL CARBON-ATOMS</t>
  </si>
  <si>
    <t>JOURNAL OF CHEMICAL INFORMATION AND COMPUTER SCIENCES</t>
  </si>
  <si>
    <t>A stereochemical computer assisted molecular generation and counting system, S-CAMGEC, based on graph theory has been created for the exhaustive and nonredundant generation of (R) and (S) carbon stereoisomers of acyclic compounds, which may contain heteroatoms of different valences and multiple bonds. The program takes constitutional N-tuples, searches and labels chiral centers, searches for symmetry, assigns priorities according to Cahn, Ingold, and Prelog rules, and generates stereoisomers in excellent agreement with results coming from reported enumeration procedures. For that a new molecular code was created which defines each stereoisomer in a single and unique way shown through several examples.</t>
  </si>
  <si>
    <t>Valdivia, Ricardo/JXY-4458-2024</t>
  </si>
  <si>
    <t>Valdivia, Ricardo/0009-0008-7131-3844</t>
  </si>
  <si>
    <t>0095-2338</t>
  </si>
  <si>
    <t>10.1021/ci00026a013</t>
  </si>
  <si>
    <t>WOS:A1995RL82500013</t>
  </si>
  <si>
    <t>GRAU, C; CADAVEIRA, F; FERRER, R; COROMINAS, M; DIAZ, R; POLO, MD; RODRIGUEZ, MS; SERRA, JM; ESCERA, C; SANCHEZTURET, M</t>
  </si>
  <si>
    <t>RECOVERY OF EVOKED-POTENTIALS ALTERATIONS IN ABSTINENT ALCOHOLICS - EFFECTS OF AGE</t>
  </si>
  <si>
    <t>JOURNAL OF PSYCHOPHYSIOLOGY</t>
  </si>
  <si>
    <t>Cadaveira, Fernando/ABE-7827-2021; Bonet, Josep/K-1989-2017; Diaz, Raul/ABB-4980-2020</t>
  </si>
  <si>
    <t>0269-8803</t>
  </si>
  <si>
    <t>WOS:A1994QH05700060</t>
  </si>
  <si>
    <t>FAUNDEZABANS, M; JIMENEZ, JL</t>
  </si>
  <si>
    <t>CHEMICAL ABUNDANCE BEHAVIOR OF TYPE-I PLANETARY-NEBULAE</t>
  </si>
  <si>
    <t>ASTROPHYSICS AND SPACE SCIENCE</t>
  </si>
  <si>
    <t>In this work 13 Planetary Nebulae have been classified as Type I according to Peimbert's criteria (Peimbert. 1978). These objects have been added to a previous sample (Maciel and Faundez-Abans, 1985) and diagrams of O/H versus N/H, S/H, Ne/H and Ar/H, as well as N/H versus S/H, Ne/H and Ar/H have been drawn. All of them exhibit a tendency for linear correlation; moreover, the behavior of O and N versus Ar and S are very similar, with approximately the same slope. When the excitation class parameter was included in the diagrams. no clear tendency can be discerned, for any class.</t>
  </si>
  <si>
    <t>0004-640X</t>
  </si>
  <si>
    <t>10.1007/BF00659129</t>
  </si>
  <si>
    <t>WOS:A1993MH30800006</t>
  </si>
  <si>
    <t>BENGURIA, RD; YARUR, C</t>
  </si>
  <si>
    <t>SHARP CONDITION ON THE DECAY OF THE POTENTIAL FOR THE ABSENCE OF A ZERO-ENERGY GROUND-STATE OF THE SCHRODINGER-EQUATION</t>
  </si>
  <si>
    <t>JOURNAL OF PHYSICS A-MATHEMATICAL AND GENERAL</t>
  </si>
  <si>
    <t>Benguria, Rafael/P-4019-2019</t>
  </si>
  <si>
    <t>Benguria, Rafael/0000-0002-0696-0876</t>
  </si>
  <si>
    <t>0305-4470</t>
  </si>
  <si>
    <t>MAY 7</t>
  </si>
  <si>
    <t>10.1088/0305-4470/23/9/015</t>
  </si>
  <si>
    <t>WOS:A1990DC51600015</t>
  </si>
  <si>
    <t>MARTINEZ, MA; VEGA, JC</t>
  </si>
  <si>
    <t>SYNTHESIS OF SYMMETRICAL AND UNSYMMETRICAL O,O-DIALKYL IMIDODICARBONOTHIOATES</t>
  </si>
  <si>
    <t>SYNTHESIS-STUTTGART</t>
  </si>
  <si>
    <t>0039-7881</t>
  </si>
  <si>
    <t>WOS:A1985AUA6100030</t>
  </si>
  <si>
    <t>ABUIN, EA; LISSI, EA; GARGALLO, L; RADIC, D</t>
  </si>
  <si>
    <t>PHOTOBEHAVIOR OF PHENYL-CONTAINING METHACRYLATE POLYMERS</t>
  </si>
  <si>
    <t>10.1016/0014-3057(80)90051-8</t>
  </si>
  <si>
    <t>WOS:A1980KF47500020</t>
  </si>
  <si>
    <t>CACERES, T; LISSI, EA; SANHUEZA, E</t>
  </si>
  <si>
    <t>AUTO-OXIDATION OF DIETHYL HYDROXYLAMINE</t>
  </si>
  <si>
    <t>INTERNATIONAL JOURNAL OF CHEMICAL KINETICS</t>
  </si>
  <si>
    <t>0538-8066</t>
  </si>
  <si>
    <t>10.1002/kin.550101107</t>
  </si>
  <si>
    <t>WOS:A1978FW62500006</t>
  </si>
  <si>
    <t>ENCINA, MV; LISSI, EA; CASTANEDA, F; OLEA, A</t>
  </si>
  <si>
    <t>PHOTOCHEMISTRY OF 4,7-UNDECANEDIONE - EVIDENCE OF ELECTRONIC-ENERGY MIGRATION</t>
  </si>
  <si>
    <t>JOURNAL OF PHOTOCHEMISTRY</t>
  </si>
  <si>
    <t>0047-2670</t>
  </si>
  <si>
    <t>10.1016/0047-2670(78)87007-5</t>
  </si>
  <si>
    <t>WOS:A1978FF46200007</t>
  </si>
  <si>
    <t>Bravo, MA; Villalobos, CU; Rivera, CC; Foppiano, AJ; Ovalle, EM</t>
  </si>
  <si>
    <t>Bravo, M. A.; Villalobos, C. U.; Rivera, C. Castillo; Foppiano, A. J.; Ovalle, E. M.</t>
  </si>
  <si>
    <t>Seasonal evolution of the ionospheric summer evening and Weddell Sea Anomalies: Antarctic Peninsula area</t>
  </si>
  <si>
    <t>ADVANCES IN SPACE RESEARCH</t>
  </si>
  <si>
    <t>Diurnal and seasonal variations of the maximum electron concentration of the ionosphere (NmF2) depart from the expected variations in some geographical regions. These anomalies have been studied since before World War II. The Weddell Sea, Bering Sea, and summer evening anomalies preferably occur in local summer and at the equinoxes. In this paper, the seasonal evolution of the Weddell Sea Anomaly (WSA), is studied in detail for the first time using measured diurnal variations of the maximum electron concentration of the F-region from King George Island (62.2 degrees S, 58.8 degrees W, Chilean station). The data are for low solar activity (September 1986 to March 1987) and high solar activity (September 1988 to March 1989), and are used to determine both NmF2 and the height of maximum, hmF2. There are clear changes from the expected diurnal variation of NmF2 with a midday maximum to an anomalous variation with a nighttime maximum and back to the expected variation. Wavelet analysis and Fourier decomposition of the diurnal variation indicate the predominance of the diurnal component in the expected and anomalous stages. During the transition between these stages the diurnal, semidiurnal and terdiurnal components are comparable. As solar activity increases both the periods of transition and the anomalous stages are shorter. The beginnings (ends) of the transitions and anomalous stages are delayed (anticipated) in high solar activity. While the night-time NmF2 values are higher during high solar activity, the night today ratio is lower. The diurnal behaviour of NmF2 is compared to results from a first- principles model and to a semi-empirical model and differences discussed. The simple semi-empirical model, which estimates a total transport contribution, is consistent with the now clear effect of neutral wind and neutral concentration on the formation of the WSA, as demonstrated by the use of a model including full chemistry and dynamics constrained to adjust winds to reproduce hmF2. (c) 2024 COSPAR. Published by Elsevier B.V. All rights are reserved, including those for text and data mining, AI training, and similar technologies.</t>
  </si>
  <si>
    <t>Foppiano, Alberto/LJM-1122-2024; Bravo, Manuel/AAD-8540-2020</t>
  </si>
  <si>
    <t>Bravo Sepulveda, Manuel Alejandro/0000-0002-5648-429X; Castillo Rivera, Carlos/0009-0009-0381-5946</t>
  </si>
  <si>
    <t>0273-1177</t>
  </si>
  <si>
    <t>1879-1948</t>
  </si>
  <si>
    <t>10.1016/j.asr.2024.12.047</t>
  </si>
  <si>
    <t>WOS:001440261900001</t>
  </si>
  <si>
    <t>Mora-guerrero, G; Díaz, LS; Munoz, AC</t>
  </si>
  <si>
    <t>Mora-guerrero, Gloria; Diaz, Lilian sanhueza; Munoz, Andrea castillo</t>
  </si>
  <si>
    <t>Repertorio de tacticas del movimiento feminista en la region de La Araucania, Chile. Periodo 1990 a 2020</t>
  </si>
  <si>
    <t>We analyzed the tactics of the feminist movement in the Region of Araucania, Chile, between 1990 to 2020 from testimonies of women who self-ascribe to this mobilization. Based on the transformations that feminism has had in Latin American countries from the eighties onwards, we proposed qualitative research with grounded theory design and empirical data accumulated from 2013 onwards. Our results showed that this movement has changed from the action of a few organizations to acquire a network character, maintaining other tactics as social activism, construction of identities, and improving gender awareness. We concluded by showing the wide repertoire of local feminist action and encouraging the investigation of its new challenges with logics which combine the local with the global.</t>
  </si>
  <si>
    <t>10.7770/CUHSD-V35NIART635</t>
  </si>
  <si>
    <t>WOS:001401767300001</t>
  </si>
  <si>
    <t>Díaz, FA; Moraga, NO; Castillo, E</t>
  </si>
  <si>
    <t>Diaz, Felipe A.; Moraga, Nelson O.; Castillo, Ernesto</t>
  </si>
  <si>
    <t>Numerical simulation of enhanced Solar Air Heater with PCM and aluminum fins for food drying at semi-arid zones</t>
  </si>
  <si>
    <t>JOURNAL OF ENERGY STORAGE</t>
  </si>
  <si>
    <t>The objective of this work is to enhance the thermal efficiency of a food-drying Solar Air Heater (SAH) using phase change material (PCM), two glass plates, and aluminum fins. The PCM acts as a passive thermal energy storage system that extends the operating time of the SAH, managing to achieve and sustain the drying temperature without using external energy sources. The design parameters studied are: (1) the length of the SAH; (2) the thickness of the PCM; (3) the selection of a thermal insulation system (single or double glass), and (4) the inclusion of aluminum fins in the PCM cavity to increase the heat transfer rate between the absorber and the PCM. Each system is studied for an entire day-night cycle (24 h) of atypical summer day in the south hemisphere (December), selecting the city of Vicu &amp; ntilde;a, Chile (semi-arid climate) as the place of study. We consider variable in-time atmospheric solar irradiation conditions, air temperature, and wind velocity in the physical-mathematical model. A total of 29 configurations are studied numerically using the Finite Volume Method and evaluated by energy and exergy analyses. The most efficient configuration is selected by comparing the time the SAH-PCM operates and the additional energy required to reach the minimum operating temperature during the entire cycle. The results indicate that the most efficient SAH configuration includes a 2 m length, double glass system, fins, and 4 cm PCM. This configuration requires 1.5 times less energy to operate on a 24-hour cycle (-1.4 kWhr) than the 2 m base case configuration and extends its operating time by 0.7 hr. In addition, the average daily energy and exergy efficiency increased by 1.8 and 1.5 times, respectively.</t>
  </si>
  <si>
    <t>Diaz, Felipe A./0000-0001-8528-1283; MORAGA, NELSON/0000-0002-5208-4221</t>
  </si>
  <si>
    <t>2352-152X</t>
  </si>
  <si>
    <t>2352-1538</t>
  </si>
  <si>
    <t>10.1016/j.est.2024.115087</t>
  </si>
  <si>
    <t>DEC 2024</t>
  </si>
  <si>
    <t>WOS:001402619100001</t>
  </si>
  <si>
    <t>Fuentes-Morales, I; Hernández, C; Alarcón, F; Benito, ; Montecinos, R</t>
  </si>
  <si>
    <t>Fuentes-Morales, I; Hernandez, C.; Alarcon, F.; Benito, I; Montecinos, R.</t>
  </si>
  <si>
    <t>Construction of color-magnitude diagrams using real astronomical data for teaching at school</t>
  </si>
  <si>
    <t>EUROPEAN JOURNAL OF PHYSICS</t>
  </si>
  <si>
    <t>In this paper, with the aim of bridging the gap between cutting-edge research and the classroom, we present a situated learning proposal to integrate astronomical data and tools in the teaching of mathematics and physics. Our approach focuses on the construction of magnitude-color diagrams for two well-known star clusters, the Pleiades and 47 Tucanae, which are visible from the southern hemisphere, using virtual observatory-based applications Aladin and Topcat, using Simbad data specifically to separate data differences due to proper motion and/or reddening due to absorption by interstellar dust. To assess the feasibility of implementing these tools at school, we organized a workshop for science teachers that received a positive response. In addition, we also discuss the limitations and challenges that could hinder the effective application of these tools for educational purposes.</t>
  </si>
  <si>
    <t>Hernandez-Silva, Carla/O-5942-2019</t>
  </si>
  <si>
    <t>Hernandez-Silva, Carla/0000-0003-2974-4989; Montecinos Barros, Ruben/0009-0008-2805-2239; Benito Cisterna, Ignacia/0009-0007-4680-5006</t>
  </si>
  <si>
    <t>0143-0807</t>
  </si>
  <si>
    <t>1361-6404</t>
  </si>
  <si>
    <t>JUL 1</t>
  </si>
  <si>
    <t>10.1088/1361-6404/ad3d44</t>
  </si>
  <si>
    <t>WOS:001268757700001</t>
  </si>
  <si>
    <t>Santander-Gana, MT; Román-Cortés, AI; Morales-Morgado, EM</t>
  </si>
  <si>
    <t>Santander-Gana, Maria Teresa; Roman-Cortes, Anibal Ignacio; Morales-Morgado, Erla Mariela</t>
  </si>
  <si>
    <t>Key Factors in the Development of Information Literacy Skills in Engineering</t>
  </si>
  <si>
    <t>EDUCATION IN THE KNOWLEDGE SOCIETY</t>
  </si>
  <si>
    <t>This article presents the results obtained in the research on the development of informational competence in first -year students of the Faculty of Engineering of the University of Santiago de Chile; the perspective from which we approach the study of the informational competence of students is based on the idea that this competence is an essential part of the professional competence of future engineers. In this article, we will present the results of the behavior of Selfperceived Information Competence (SIC) and Observed Information Competence (OIC) in the four sub -competencies of information competence. Factor analysis techniques were applied to reduce dimensions to eliminate redundancy among the original variables; five key components were identified. Also, sub -interrelationships were detected between the sub-competences of information competence that may generate local synergies within the competence. It stands out that of the four sub-competences, information seeking is the one that presents the greatest difficulties in self -perception as in the observed competence, while the observed competence of information communication was the best evaluated. No statistically significant differences were found between demographic variables and levels of information competence development.</t>
  </si>
  <si>
    <t>2444-8729</t>
  </si>
  <si>
    <t>e31170</t>
  </si>
  <si>
    <t>10.14201/eks.31170</t>
  </si>
  <si>
    <t>WOS:001203849000001</t>
  </si>
  <si>
    <t>Abricot, N; Zuniga, CG; Valencia-Castaneda, L; Miranda-Arredondo, P</t>
  </si>
  <si>
    <t>Abricot, Nicole; Zuniga, Carmen Gloria; Valencia-Castaneda, Lucia; Miranda-Arredondo, Paloma</t>
  </si>
  <si>
    <t>What learning is reported in social science classroom interventions? A scoping review of the literature</t>
  </si>
  <si>
    <t>STUDIES IN EDUCATIONAL EVALUATION</t>
  </si>
  <si>
    <t>This review analyzes the learning reported in social science classroom interventions in primary and secondary school education over the last ten years. Thirty-three studies found in a scoping review were analyzed. They were analyzed using the two main perspectives of social sciences teaching and learning: each discipline individually (History, Geography) and an interdisciplinary approach (Social Studies). Results show most interventions followed the disciplinary perspective, and amongst them, they mainly focused on the History subject. Most interventions explained the development of disciplinary skills, such as contextualization and historical thinking, giving less emphasis to the content and attitudes. Few studies are positioned in an interdisciplinary perspective, evidencing a significant research gap in social sciences learning. Literature indicates that if Social Sciences are taught and learned in an interdisciplinary manner, they have the potential to develop citizenship education. Therefore, teachers should move towards the interdisciplinary perspective to promote social thinking in their students.</t>
  </si>
  <si>
    <t>Zuñiga González, Carmen Gloria/GQB-0231-2022; Abricot, Nicole/KII-3365-2024; Abricot, Nicole/G-9468-2018</t>
  </si>
  <si>
    <t>Valencia Castaneda, Lucia/0000-0002-5881-1100; Abricot, Nicole/0000-0003-4539-486X</t>
  </si>
  <si>
    <t>0191-491X</t>
  </si>
  <si>
    <t>10.1016/j.stueduc.2022.101187</t>
  </si>
  <si>
    <t>WOS:000834011700001</t>
  </si>
  <si>
    <t>Figueroa, JA; Lagos, D; Teillier, S; Castro, SA; Saldías, MG</t>
  </si>
  <si>
    <t>Figueroa, Javier A.; Lagos, Diego; Teillier, Sebastian; Castro, Sergio A.; Gabriela Saldias, Maria</t>
  </si>
  <si>
    <t>Soil seed banks are short-lived and triggered by the first effective rainfalls in the vacant lots of Santiago, Chile</t>
  </si>
  <si>
    <t>We studied the temporal variation of the soil seed banks in the urban lots of Santiago, Chile. As most of the plants that emerge from the seed banks in lots are also found in open habitats and are easily germinable, we hypothesize that the seed banks in lots are highly dynamic and short-lived, with the bank depleted every year during the germination season to be reloaded with new seeds during the next seed dispersal period. In each 20 lots for two year (2017 and 2018), 9 soil samples were collected. These samples were obtained from three sampling points randomly distributed across the plots. The seed bank was estimated by seed germination in soil samples placed in plastic trays. The samples of all the lots were stratified at 2 degrees C by 3 months before sowing. In order to record the seed persistence, soil of three lots watered in 2017 for six months were dried and maintained under dark and non-watered conditions until re-sowing in autumn 2018. To determine if the seeds present cold-associated germination triggers, soils of five lots were maintained under dark conditions for 3 months (soils without cold stratification) for comparison with soils with cold stratification of the same lots. The above-ground plants were recorded in all lots for both years. Forty plant species were recorded in soil bank. The total emerged seedling densities ranged between 7,944 (2017) to 3,700 seedlings m(-2) (2018). Species per lot varied between 17 and 7 during 2017, and between 14 and 3 during 2018. In five lots, seedling densities were not statistically different between cold stratified soil at 2 degrees C and non-stratified. In three lots with re-sown soil, seedling density of the first sowing (4,096 seedlings m(-2)) was significantly higher than second sowing (201 seedlings m(-2)). Thirty-seven plant species were recorded in the above-ground vegetation during 2017 and 42 species in 2018. Species frequency of the seed bank was positively correlated with species frequency of above-ground vegetation. Concluding, the bank is highly dynamic, short-lived, and is depleted every year during the germination season, which begins with effective rainfalls, would be reloaded with seeds during the seed dispersal period.</t>
  </si>
  <si>
    <t>Figueroa, Javier A/0000-0003-3845-7295</t>
  </si>
  <si>
    <t>10.1016/j.ufug.2021.127418</t>
  </si>
  <si>
    <t>WOS:000789615400001</t>
  </si>
  <si>
    <t>Venegas-Rioseco, J; Ginocchio, R; Ortiz-Calderon, C</t>
  </si>
  <si>
    <t>Venegas-Rioseco, Javiera; Ginocchio, Rosanna; Ortiz-Calderon, Claudia</t>
  </si>
  <si>
    <t>Increase in Phytoextraction Potential by Genome Editing and Transformation: A Review</t>
  </si>
  <si>
    <t>Soil metal contamination associated with productive activities is a global issue. Metals are not biodegradable and tend to accumulate in soils, posing potential risks to surrounding ecosystems and human health. Plant-based techniques (phytotechnologies) for the in situ remediation of metal-polluted soils have been developed, but these have some limitations. Phytotechnologies are a group of technologies that take advantage of the ability of certain plants to remediate soil, water, and air resources to rehabilitate ecosystem services in managed landscapes. Regarding soil metal pollution, the main objectives are in situ stabilization (phytostabilization) and the removal of contaminants (phytoextraction). Genetic engineering strategies such as gene editing, stacking genes, and transformation, among others, may improve the phytoextraction potential of plants by enhancing their ability to accumulate and tolerate metals and metalloids. This review discusses proven strategies to enhance phytoextraction efficiency and future perspectives on phytotechnologies.</t>
  </si>
  <si>
    <t>Ginocchio, Rosanna/S-7592-2019</t>
  </si>
  <si>
    <t>10.3390/plants11010086</t>
  </si>
  <si>
    <t>WOS:000758861500001</t>
  </si>
  <si>
    <t>Tesser, E; Silva, C; Artigas, A; Monsalve, A</t>
  </si>
  <si>
    <t>Tesser, Enzo; Silva, Carlos; Artigas, Alfredo; Monsalve, Alberto</t>
  </si>
  <si>
    <t>Effect of Carbon Content and Intercritical Annealing on Microstructure and Mechanical Tensile Properties in FeCMnSiCr TRIP-Assisted Steels</t>
  </si>
  <si>
    <t>METALS</t>
  </si>
  <si>
    <t>Four TRIP (Transformation Induced Plasticity) assisted steels, three TBF (TRIP Bainitic Ferrite) steels and one TPF (TRIP Polygonal Ferrite) steel, were manufactured from three different carbon contents (0.2, 0.3 and 0.4 wt.% C), to study the evolution of their microstructure and tensile mechanical properties in 15 mm thick plates. TBF steels were subjected to the same austenitization heat treatment and subsequent bainitization isothermal treatment. The TPF steel was subjected to an intercritical annealing and subsequent isothermal bainitization treatment. All were microstructurally characterized by optical, scanning electron and atomic force microscopy, as well as X-ray diffraction. Mechanically, they were characterized by the ASTM E8 tensile test and fractographies. For the TBF steels, the results showed that when the carbon content increased, there were an increase in volume fraction of retained austenite, of the microconstituent martensite/retained austenite  and in the tensile strength; and a decrease in the volume fraction of bainitic ferrite matrix and elongation; with an improvement in TRIP behavior due to the increase in retained austenite. The TPF steel presented around 50% ductile polygonal ferrite developing better TRIP behavior than the TBF steels. The evolution of the fractographies was ductile to brittle for TBF steels with an increase in carbon content, and for TPF, the appearance of the fracture surface was ductile.</t>
  </si>
  <si>
    <t>Artigas, Alfredo/Y-1185-2019; Silva, Carlos/IQS-5583-2023</t>
  </si>
  <si>
    <t>Silva, Carlos P./0000-0001-5344-042X; Monsalve, Alberto/0000-0002-5772-8815</t>
  </si>
  <si>
    <t>2075-4701</t>
  </si>
  <si>
    <t>10.3390/met11101546</t>
  </si>
  <si>
    <t>WOS:000712448500001</t>
  </si>
  <si>
    <t>Pizarro, C; Escudey, M; Caroca, E; Pavez, C; Zúñiga, GE</t>
  </si>
  <si>
    <t>Pizarro, Carmen; Escudey, Mauricio; Caroca, Eliana; Pavez, Carolina; Zuniga, Gustavo E.</t>
  </si>
  <si>
    <t>Evaluation of zeolite, nanomagnetite, and nanomagnetite-zeolite composite materials as arsenic (V) adsorbents in hydroponic tomato cultures</t>
  </si>
  <si>
    <t>SCIENCE OF THE TOTAL ENVIRONMENT</t>
  </si>
  <si>
    <t>There is a growing interest in the use of adsorbent nanoparticles to mitigate the toxic effects of pollutants in natural matrices. However, due to their small size, nanoparticles have the potential to transport and disseminate contaminants adsorbed on their surfaces into environmental compartments with greater risk to human, animal, or plant health. This potential consequence of nanoparticle application remains largely unstudied. Here, we studied the application of three adsorbents, including zeolite (Z, micrometric size), nanomagnetite (Mt), and a nanomagnetite-zeolite composite (MtZ) intended to mediate arsenic toxicity in hydroponic tomato cultures. Adsorption studies showed an arsenate adsorption sequence of MtZ (6.2 mg g(-1)) &gt;= Mt (4.7 mg g(-1)) &gt;&gt; Z (0.3 mg g(-1)). Tomatoes grown under the Mt condition demonstrated the lowest growth rate (4.2 cm), corresponding to a 45% decrease compared to the control (7.6 cm), as well as the highest oxidative stress level (0.024 mu mol g(-1)) as indicated by malondialdehyde (MDA) concentration, almost twice the control (0.014 mu g g(-1)). Tomatoes grown under MtZ conditions showed a 22% decreased growth (5.9 cm) but MDA levels (0.012 mu mol g(-1)) were comparable to the control. Together, these results suggest that Mt at the nanometric size could obstruct channels in the plant and prevent absorption of water and nutrients. Anchoring nanomaterials in larger composites of micrometer size presents a promising alternative that would retain their super-adsorbent properties while avoiding toxicity due to nanometric size. (C) 2020 Elsevier B.V. All rights reserved.</t>
  </si>
  <si>
    <t>Pavez Moreno, Carolina/AHI-1364-2022; Zuñiga, Gustavo/P-8306-2015</t>
  </si>
  <si>
    <t>Pizarro, Carmen/0000-0003-4927-5681; Zuniga, Gustavo/0000-0002-8286-9468</t>
  </si>
  <si>
    <t>0048-9697</t>
  </si>
  <si>
    <t>1879-1026</t>
  </si>
  <si>
    <t>JAN 10</t>
  </si>
  <si>
    <t>10.1016/j.scitotenv.2020.141623</t>
  </si>
  <si>
    <t>WOS:000587300800032</t>
  </si>
  <si>
    <t>García, AM; Muñoz, E</t>
  </si>
  <si>
    <t>Alves, F; Jakobsen, AL</t>
  </si>
  <si>
    <t>Garcia, Adolfo M.; Munoz, Edinson</t>
  </si>
  <si>
    <t>Translation, neuroscience and cognition</t>
  </si>
  <si>
    <t>ROUTLEDGE HANDBOOK OF TRANSLATION AND COGNITION</t>
  </si>
  <si>
    <t>Routledge Handbooks in Translation and Interpreting Studies</t>
  </si>
  <si>
    <t>García, Adolfo/E-7150-2017</t>
  </si>
  <si>
    <t>978-1-315-17812-7; 978-1-138-03700-7</t>
  </si>
  <si>
    <t>WOS:000847273400014</t>
  </si>
  <si>
    <t>Irarrazaval, AP</t>
  </si>
  <si>
    <t>Palma Irarrazaval, Andres</t>
  </si>
  <si>
    <t>The School Admission System, a centralized allocation system in Chile</t>
  </si>
  <si>
    <t>CUADERNOS DEL CLAEH-CENTRO LATINOAMERICANO DE ECONOMIA HUMANA</t>
  </si>
  <si>
    <t>The way in which students are selected to access educational centers has a major impact on the outcome of education as a system. In Chile, during the second government of President Bachelet, a centralized system of non-discriminatory selection was implemented by law: the School Admission System (SAE), mandatory for all schools that receive public funds. The implementation of the SAE was gradual and has proved to be efficient, as it has been both operational and accepted by the families that took part in it. This study presents the way the SAE operates and its preliminary results to the fourth year of implementation.</t>
  </si>
  <si>
    <t>0797-6062</t>
  </si>
  <si>
    <t>2393-5979</t>
  </si>
  <si>
    <t>10.29192/claeh.40.1.4</t>
  </si>
  <si>
    <t>WOS:000668565600004</t>
  </si>
  <si>
    <t>Latin America in its Gramscian Moment. The limitations of a new European social democracy-style exit to this impasse</t>
  </si>
  <si>
    <t>Latin America is trapped in a Gramscian Moment, when the old fades, but the new fails to be born. In this interregnum, as Gramsci warned us, it is almost inevitable that a wide variety of harmful symptoms will appear. It is as if the Macbeth witches had prophesied to us: you will live bogged down between a neoliberal model that lost all legitimacy and progressive discourses that fail to generate enough credibility. Economically, this means that along with having to face the pandemic, we also have to challenge one of the endemic illnesses in the region: the lack of imagination in matters of economic policy. The former wreaks havoc, creating challenges until recently unimaginable, which inevitably collide with the obstacles posed by the latter. And so we continue to sink into the quicksand of inertia; meanwhile, the anxiety (in many the panic) of a disorderly exit from the crisis leads some to idealize a new European social democracy-style solution. That is, as long as we do not touch either the rentier structure of accumulation or that of taxation, some extra social protection would be welcomed (if financed, of course, with debt rather than taxes) in order to guarantee a minimum of social peace and a hint of equity. In other words, as in the lyrics of the Hotel California song: We are all just prisoners here, of our own device-and we still can't think of a way to break our chains-. The great challenge of this historical moment is to free our social imagination.</t>
  </si>
  <si>
    <t>10.20430/ete.v87i348.1146</t>
  </si>
  <si>
    <t>WOS:000579009600004</t>
  </si>
  <si>
    <t>Levick, L; Olavarria-Gambi, M</t>
  </si>
  <si>
    <t>Levick, Laura; Olavarria-Gambi, Mauricio</t>
  </si>
  <si>
    <t>Hindsight bias in expert surveys: How democratic crises influence retrospective evaluations</t>
  </si>
  <si>
    <t>POLITICS</t>
  </si>
  <si>
    <t>Expert surveys provide a standardized way to access and synthesize specialized knowledge, thereby, enabling the analysis of a diverse range of concepts and contexts that might otherwise be difficult to approach systematically. However, while studies of public opinion have long argued that cognitive biases represent potential problems when it comes to the general population, less attention has been paid to similar issues among expert respondents. This study examines one form of cognitive bias, hindsight bias. Hindsight bias refers to the tendency to retrospectively exaggerate one's foresight of a particular event. We argue that hindsight bias is a potential problem when it comes to retrospective evaluation due to the difficulty involved in separating our assessments of the pre-crisis period from the knowledge that a crisis occurred. Using disaggregated data from the Varieties of Democracy Project, we look for evidence of hindsight bias in coders' evaluations of the periods that preceded major crises of democracy. We find that coder disagreement is significantly higher in pre-crisis scenarios than in our control group. Concerningly, despite this disagreement, coders remain similarly confident in their assessments. This represents a potential problem for those who seek to use these data to study democratic breakdowns and transitions.</t>
  </si>
  <si>
    <t>Olavarria-Gambi, Mauricio/K-9521-2019</t>
  </si>
  <si>
    <t>Olavarria-Gambi, Mauricio/0000-0001-5997-2873; Levick, Laura/0000-0002-3049-6591</t>
  </si>
  <si>
    <t>0263-3957</t>
  </si>
  <si>
    <t>1467-9256</t>
  </si>
  <si>
    <t>10.1177/0263395720914571</t>
  </si>
  <si>
    <t>MAR 2020</t>
  </si>
  <si>
    <t>WOS:000523119900001</t>
  </si>
  <si>
    <t>Vidal, J; Carvela, M; Saez, C; Cañizares, P; Navarro, V; Salazar, R; Rodrigo, MA</t>
  </si>
  <si>
    <t>Vidal, J.; Carvela, M.; Saez, C.; Canizares, P.; Navarro, V.; Salazar, R.; Rodrigo, M. A.</t>
  </si>
  <si>
    <t>Testing different strategies for the remediation of soils polluted with lindane</t>
  </si>
  <si>
    <t>This work attempts to clarify the remediation processes involved in the treatment of soil spiked with non-soluble species like lindane. To achieve this goal, the remediation of spiked soil is evaluated coupling electro-kinetic soil flushing (EKSF) with three types of permeable reactive barriers (PRB) which consist of soil merged with nanoparticles of ZVI (n-ZVI), granular particles of ZVI (m-ZVI) or granular activated carbon (GAC). Likewise, the effect of reverse polarity in EKSF will be assessed. Results show that, for a given electric field applied, the intensity reached depends on the size and materials of the reactive particles contained in the PRB and decreases in the sequence EKAB-EKmZVIB-EKnZVIB. Additionally, water content and pH and conductivity profiles between rows of electrodes are also affected by the presence of PRB, mainly because ZVI particles can behave as bipolar electrodes and, thus amend current lines and water flux. In terms of lindane mobilization, the differences are even more remarkable since iron particles promote lindane dehalogenation and activated carbon shows a very good adsorption capacity for lindane. After 720 h of operation, the percentage of lindane extracted is below 2% in all EK-strategies while the percentage retained in soil depends on the strategy used: REKSF seems to prevent lindane removal while EKSF and EKAB lead to higher removal. Results are significant for the design of full-scale applications for the remediation of soils polluted with non-soluble species.</t>
  </si>
  <si>
    <t>Salazar, Ricardo/L-7870-2013; Rodrigo, Manuel Andres/I-6112-2013; Navarro Gamir, Vicente/G-1437-2016</t>
  </si>
  <si>
    <t>Salazar-Gonzalez, Ricardo/0000-0003-2180-6022; Carvela Soler, Mireya/0000-0002-8201-5366; Vidal, Jorge/0000-0002-1334-377X; Rodrigo, Manuel Andres/0000-0003-2518-8436; Navarro Gamir, Vicente/0000-0001-6629-9293</t>
  </si>
  <si>
    <t>FEB 1</t>
  </si>
  <si>
    <t>10.1016/j.cej.2019.122674</t>
  </si>
  <si>
    <t>WOS:000499066900037</t>
  </si>
  <si>
    <t>Callejas, E; Inostrosa-Psijas, A; Moreno, F; Oyarzun, M; Carvajal-Schiaffino, R</t>
  </si>
  <si>
    <t>Callejas, Exequiel; Inostrosa-Psijas, Alonso; Moreno, Francisco; Oyarzun, Mauricio; Carvajal-Schiaffino, Ruben</t>
  </si>
  <si>
    <t>COVID-19 Transmission During a Tsunami Evacuation in a Lockdown City</t>
  </si>
  <si>
    <t>2020 39TH INTERNATIONAL CONFERENCE OF THE CHILEAN COMPUTER SCIENCE SOCIETY (SCCC)</t>
  </si>
  <si>
    <t>39th International Conference of the Chilean-Computer-Science-Society (SCCC)</t>
  </si>
  <si>
    <t>NOV 16-20, 2020</t>
  </si>
  <si>
    <t>Univ Catolica Norte, ELECTR NETWORK</t>
  </si>
  <si>
    <t>Chilean Comp Sci Soc,IEEE Chile Sect C Chapter</t>
  </si>
  <si>
    <t>Univ Catolica Norte</t>
  </si>
  <si>
    <t>SARS-CoV-2 is a new and highly contagious virus that has expanded worldwide reaching the most distant places. In March 23rd (2020), the first case of COVID-19 was reported in the city of Iquique, northern Chile. Later, in May 15th authorities declared a city lockdown that has lasted for more than 14 weeks and counting. Using Agent Based Modeling and Simulation, we study the effects on COVID-19 transmission during a tsunami-threat evacuation in the lockdown of the city of Iquique. Five different scenarios were simulated, considering different amounts of infected agents with capacity to spread the disease, different distribution of agents across the city and two different rates of contagion among agents. Results showed that most contagions occur within the first 15 minutes of the evacuation, while agents are fleeing to the safe zone. The effect on transmission rates resulted highly dependent on the spatial distribution of infected population.</t>
  </si>
  <si>
    <t>Oyarzún, Mauricio/AAE-6310-2019; Inostrosa-Psijas, Alonso/AAC-7718-2019; Inostrosa-Psijas, Alonso/A-5827-2018</t>
  </si>
  <si>
    <t>Inostrosa-Psijas, Alonso/0000-0002-2922-0870; Moreno, Francisco/0000-0001-9637-0919</t>
  </si>
  <si>
    <t>978-1-7281-8328-2</t>
  </si>
  <si>
    <t>10.1109/sccc51225.2020.9281149</t>
  </si>
  <si>
    <t>WOS:000848755600003</t>
  </si>
  <si>
    <t>DISCRETE MAXIMAL REGULARITY FOR VOLTERRA EQUATIONS AND NONLOCAL TIME-STEPPING SCHEMES</t>
  </si>
  <si>
    <t>DISCRETE AND CONTINUOUS DYNAMICAL SYSTEMS</t>
  </si>
  <si>
    <t>In this paper we investigate conditions for maximal regularity of Volterra equations defined on the Lebesgue space of sequences l(p)(Z) by using Blunck's theorem on the equivalence between operator-valued l(p)-multipliers and the notion of R-boundedness. We show sufficient conditions for maximal l(p) - l(q) regularity of solutions of such problems solely in terms of the data. We also explain the significance of kernel sequences in the theory of viscoelasticity, establishing a new and surprising connection with schemes of approximation of fractional models.</t>
  </si>
  <si>
    <t>1078-0947</t>
  </si>
  <si>
    <t>1553-5231</t>
  </si>
  <si>
    <t>10.3934/dcds.2020020</t>
  </si>
  <si>
    <t>WOS:000496748500020</t>
  </si>
  <si>
    <t>Lacoste, P; Pszczolkowski, P</t>
  </si>
  <si>
    <t>Lacoste, Pablo; Pszczolkowski, Philippo</t>
  </si>
  <si>
    <t>Enological Frontier of the Southern Cone of America: Cabernet-Sauvignon in Chile and Malbec in Argentina</t>
  </si>
  <si>
    <t>The article examines the causes of the enological frontier of the Southern Cone of America, located in the Andes Mountains, with the predominance of the Malbec variety to the east of the Andes (Argentina) and of Cabernet-Sauvignon to the west (Chile). It was discovered that this wine boundary was established in the 19th century, when Cabernet-Sauvignon exceeded Malbec with a ratio of nine to one in Chile, while in Argentina, Malbec represented 75% of the national viticulture. The cause of this divergence is found in the different vinicultural subjects who led the process of expanding and consolidating the French paradigm in each country. In Chile, this role fitted the national bourgeoisie, who were used the capital accumulated in mining, finance and other activities to further the viticulture in their country. The bourgeoisie could abide by a technical mandate that preached the enological superiority of Cabernet-Sauvignon. In contrast, in Argentina, the architects of the expansion were the poor peasants who became small winegrowers. The shortage of capital led them to find a more productive variety, and their conviction led them to persist in the cultivation of Malbec. The rebellion of small winegrowers against the mandate of technocrats laid the foundation for the emergence of Malbec as an emblematic grapevine of Argentina.</t>
  </si>
  <si>
    <t>10.7764/rcia.v46i3.1956</t>
  </si>
  <si>
    <t>WOS:000508000400001</t>
  </si>
  <si>
    <t>Rivero-Cantillano, RJ; Baez-Morales, A</t>
  </si>
  <si>
    <t>Javier Rivero-Cantillano, Rodrigo; Baez-Morales, Antonio</t>
  </si>
  <si>
    <t>Effects of age, period and cohort on the unemployment of the workforce in Gran Santiago, Chile 1957-2006</t>
  </si>
  <si>
    <t>PAPELES DE POBLACION</t>
  </si>
  <si>
    <t>The unemployment of the workforce in Gran Santiago has suffered noticeable variations during the twentieth century, however, much remains to be explained about its causes. This paper intends to analyze the effects that the demographic change has had on the unemployment of the work force between 1957 and 2006 from a cohort perspective. With that objective, the Intrinsic Estimator Age-Period-Cohort model was developed, developed by Fu (2000) and Yang et al. (2004; 2008). The results indicate that not only the age of the worker or the specific period influence to explain the unemployment rates in Gran Santiago but also the size factor of the cohort is important, a fact that has been little explored.</t>
  </si>
  <si>
    <t>Baez-Morales, Antonio/IZD-6348-2023</t>
  </si>
  <si>
    <t>1405-7425</t>
  </si>
  <si>
    <t>10.22185/24487147.2019.102.31</t>
  </si>
  <si>
    <t>WOS:000540522200002</t>
  </si>
  <si>
    <t>Valentina, W; Agustin, T; Felipe, B; Daniela, RH; Claudio, V; Ana, MS; Wang, TH; Kevin, M; Christopher, JS; Monica, I</t>
  </si>
  <si>
    <t>Valentina, Wong; Agustin, Trujillo; Felipe, Barraza; Daniela, Ruiz-Higgs; Claudio, Vergara; Ana, M. Sandino; Wang Tiehui; Kevin, Maisey; Christopher, J. Secombes; Monica, Imarai</t>
  </si>
  <si>
    <t>Recombinant VP1 and VP2 of infectious pancreatic necrosis virus trigger lymphoid cell changes and induced cytokine transcriptional expression in rainbow trout head kidney</t>
  </si>
  <si>
    <t>P-028</t>
  </si>
  <si>
    <t>10.1016/j.fsi.2019.04.097</t>
  </si>
  <si>
    <t>WOS:000474676700070</t>
  </si>
  <si>
    <t>Aliaga, C; Vidal, M; Pastenes, C; Rezende, MC; Domínguez, M</t>
  </si>
  <si>
    <t>Aliaga, Carolina; Vidal, Matias; Pastenes, Camila; Rezende, Marcos Caroli; Dominguez, Moises</t>
  </si>
  <si>
    <t>Solvatofluorochromism of conjugated 4-methoxyphenyl-Pyridinium electron donor-acceptor pairs</t>
  </si>
  <si>
    <t>DYES AND PIGMENTS</t>
  </si>
  <si>
    <t>Four new fluorescent dyes, composed of a 4-methoxyphenyl-pyridinium electron donor-acceptor pair, were synthesized and their solvatofluorochromism was investigated in thirteen different solvents with a wide range of polarities. Their different solvatofluorochromism behavior was rationalized by consideration of the relative regioisomeric conjugation of the donor and acceptor groups, the presence of a phenyl spacer between the donor and acceptor rings, and the increased rigidity and planarity of an analogous tetrahydrodibenzacridinium acceptor system. Their behavior was further rationalized by theoretical calculations of the absorption and emission processes for the four dyes dissolved in dichloromethane.</t>
  </si>
  <si>
    <t>Caroli, Marcos/H-3570-2019; Domínguez, Moisés/P-2227-2019</t>
  </si>
  <si>
    <t>0143-7208</t>
  </si>
  <si>
    <t>1873-3743</t>
  </si>
  <si>
    <t>10.1016/j.dyepig.2019.03.054</t>
  </si>
  <si>
    <t>WOS:000466823300049</t>
  </si>
  <si>
    <t>Existence, nonexistence and multiplicity results for nonlocal Dirichlet problems</t>
  </si>
  <si>
    <t>In this paper we establish various existence, nonexistence and multiplicity results for fully nonlinear Dirichlet problems associated to nonlocal Hamilton-Jacobi equations. This study is accomplished by a careful analysis of the principal eigenvalues of the elliptic operator. Resonance phenomena and anti maximum principles are also established. (C) 2018 Elsevier Inc. All rights reserved.</t>
  </si>
  <si>
    <t>10.1016/j.jde.2018.10.046</t>
  </si>
  <si>
    <t>WOS:000458515200025</t>
  </si>
  <si>
    <t>Palza, H; Zapata, PA; Angulo-Pineda, C</t>
  </si>
  <si>
    <t>Palza, Humberto; Andrea Zapata, Paula; Angulo-Pineda, Carolina</t>
  </si>
  <si>
    <t>Electroactive Smart Polymers for Biomedical Applications</t>
  </si>
  <si>
    <t>MATERIALS</t>
  </si>
  <si>
    <t>The flexibility in polymer properties has allowed the development of a broad range of materials with electroactivity, such as intrinsically conductive conjugated polymers, percolated conductive composites, and ionic conductive hydrogels. These smart electroactive polymers can be designed to respond rationally under an electric stimulus, triggering outstanding properties suitable for biomedical applications. This review presents a general overview of the potential applications of these electroactive smart polymers in the field of tissue engineering and biomaterials. In particular, details about the ability of these electroactive polymers to: (1) stimulate cells in the context of tissue engineering by providing electrical current; (2) mimic muscles by converting electric energy into mechanical energy through an electromechanical response; (3) deliver drugs by changing their internal configuration under an electrical stimulus; and (4) have antimicrobial behavior due to the conduction of electricity, are discussed.</t>
  </si>
  <si>
    <t>Angulo-Pineda, Carolina/AAT-2580-2020; Palza, Humberto/H-2782-2014</t>
  </si>
  <si>
    <t>Zapata, Paula Andrea/0000-0003-3361-6226; Palza, Humberto/0000-0001-5246-6791; Angulo-Pineda, Carolina/0000-0002-6760-5659</t>
  </si>
  <si>
    <t>1996-1944</t>
  </si>
  <si>
    <t>10.3390/ma12020277</t>
  </si>
  <si>
    <t>WOS:000459719000081</t>
  </si>
  <si>
    <t>Blanco, PA</t>
  </si>
  <si>
    <t>Contreras, RO; Polloni, DF; Orozco, JLM; Rucker, U; Canal, CY</t>
  </si>
  <si>
    <t>Andrade Blanco, Pablo</t>
  </si>
  <si>
    <t>Art From anthropology and cultural studies</t>
  </si>
  <si>
    <t>CONCEPTOS CLAVE DE LA GESTION CULTURAL: ENFOQUES DESDE LATINOAMERICA, VOL I</t>
  </si>
  <si>
    <t>978-956-8416-74-4</t>
  </si>
  <si>
    <t>WOS:000480324700004</t>
  </si>
  <si>
    <t>Betaieb, E; Yuan, SB; Guzman, CF; Duchêne, L; Habraken, AM</t>
  </si>
  <si>
    <t>Duflou, JR; Carette, Y; Fratini, L; Micari, F; Merklein, M; Hagenah, H</t>
  </si>
  <si>
    <t>Betaieb, Ehssen; Yuan, Sibo; Felipe Guzman, Carlos; Duchene, Laurent; Habraken, Anne-Marie</t>
  </si>
  <si>
    <t>Prediction of cracks within cones processed by single point incremental forming</t>
  </si>
  <si>
    <t>18TH INTERNATIONAL CONFERENCE ON SHEET METAL, SHEMET 2019 - NEW TRENDS AND DEVELOPMENTS IN SHEET METAL PROCESSING</t>
  </si>
  <si>
    <t>Procedia Manufacturing</t>
  </si>
  <si>
    <t>18th International Conference on Sheet Metal (SHEMET) - New Trends and Developments in Sheet Metal Processing</t>
  </si>
  <si>
    <t>APR 15-17, 2019</t>
  </si>
  <si>
    <t>KU, Dept Mech Engn, Leuven, BELGIUM</t>
  </si>
  <si>
    <t>KU, Dept Mech Engn</t>
  </si>
  <si>
    <t>Plane stress tests such as tensile tests on smooth and notched samples as well as shear tests are used to identify the set of material parameters associated with two damage models: a micromechanically-based Gurson model and a continuum Lemaitre and Chaboche model. Finite element simulations and inverse modelling are applied on these tests to characterize the mechanical behavior of a DC01 steel sheet. The capabilities of these two damage models to predict the maximum wall angle before failure of cones formed by single point incremental forming are analyzed, showing that the Lemaitre and Chaboche model appears to be more reliable when applied on this steel sheet. (C) 2019 The Authors. Published by Elsevier B.V. This is an open access article under the CC BY-NC-ND license (https://creativecommons.org/licenses/by-nc-nd/4.0/) Selection and peer-review under responsibility of the organizing committee of SHEMET 2019.</t>
  </si>
  <si>
    <t>Duchêne, Laurent/AAB-9158-2021; Guzmán, Carlos/D-7722-2013</t>
  </si>
  <si>
    <t>2351-9789</t>
  </si>
  <si>
    <t>10.1016/j.promfg.2019.02.111</t>
  </si>
  <si>
    <t>WOS:000560433600013</t>
  </si>
  <si>
    <t>Moya, CA; Boly, V; Galvez, D; Morel, L; Marche, B</t>
  </si>
  <si>
    <t>Moya, Carlos Abraham; Boly, Vincent; Galvez, Daniel; Morel, Laure; Marche, Brunelle</t>
  </si>
  <si>
    <t>The process of customer/supplier collaboration in innovation projects - A literature review</t>
  </si>
  <si>
    <t>2019 IEEE INTERNATIONAL CONFERENCE ON ENGINEERING, TECHNOLOGY AND INNOVATION (ICE/ITMC)</t>
  </si>
  <si>
    <t>International ICE Conference on Engineering Technology and Innovation</t>
  </si>
  <si>
    <t>25th IEEE International Conference on Engineering, Technology and Innovation / 25th ICE/IEEE International Technology Management Conference (ITMC)</t>
  </si>
  <si>
    <t>JUN 17-19, 2019</t>
  </si>
  <si>
    <t>FRANCE</t>
  </si>
  <si>
    <t>IEEE,IEEE Technol &amp; Engn Management Soc,ICE,European Soc Concurrent Engn,R2M Solut</t>
  </si>
  <si>
    <t>The economic and industrial context motivates companies to develop strategies to maintain or improve their competitive advantage. A strategy increasingly used is collaboration with suppliers, specifically for the development of innovation projects. However, mixing different organizational structures and cultures is a challenge for companies. The literature presents several key factors, barriers, skills and practices about customer/supplier collaboration, but there is no model that presents a multidimensional vision of the collaborative process. Therefore, the aim is to propose the theoretical bases of a descriptive framework of the collaboration process between customer and supplier in innovation projects. From a literature review, five dimensions are proposed: ecosystem, strategy, organizational, operational and competencies. Each dimension groups collaboration factors that allow to describe the process.</t>
  </si>
  <si>
    <t>; MARCHE, Brunelle/AGN-3903-2022</t>
  </si>
  <si>
    <t>Moya, Carlos Abraham/0000-0003-2060-1877; MARCHE, Brunelle/0000-0001-9894-0284</t>
  </si>
  <si>
    <t>2334-315X</t>
  </si>
  <si>
    <t>978-1-7281-3401-7</t>
  </si>
  <si>
    <t>WOS:000494768100076</t>
  </si>
  <si>
    <t>Caputo, R</t>
  </si>
  <si>
    <t>Caputo, Rodrigo</t>
  </si>
  <si>
    <t>Real exchange rate appreciation after the financial crisis of 2008-2009: Misalignment or fundamental correction?</t>
  </si>
  <si>
    <t>INTERNATIONAL FINANCE</t>
  </si>
  <si>
    <t>In the aftermath of the 2008-2009 financial crisis, several emerging economies experienced substantial real exchange rate appreciations. From the point of view of policy makers, understanding the sources of these appreciations is crucial for designing efficient policy responses. The objective of this paper is twofold. First, we determine the extent to which appreciation episodes were determined by changes in fundamentals or if they constitute exchange rate misalignments. Second, we assess the impact that non-fundamental variables have on the real exchange rate dynamics. Based on a reduced form model, we conclude that appreciation episodes, in the aftermath of the 2009 financial crisis, can be explained by two elements: (i) an improvement in fundamentals and (ii) a correction of past misalignments. Hence, the real appreciation observed since 2010 was driven, mostly, by fundamental elements. In terms of policy implications, our results suggest that appreciations in that period should have been tolerated by policy makers.</t>
  </si>
  <si>
    <t>Caputo Galarce, Rodrigo Ernesto/0000-0003-1658-2802</t>
  </si>
  <si>
    <t>1367-0271</t>
  </si>
  <si>
    <t>1468-2362</t>
  </si>
  <si>
    <t>10.1111/infi.12133</t>
  </si>
  <si>
    <t>WOS:000454100700003</t>
  </si>
  <si>
    <t>Rodríguez-Aguilar, J; Vidal, M; Pastenes, C; Aliaga, C; Rezende, MC; Domínguez, M</t>
  </si>
  <si>
    <t>Rodriguez-Aguilar, Jose; Vidal, Matias; Pastenes, Camila; Aliaga, Carolina; Rezende, Marcos Caroli; Dominguez, Moises</t>
  </si>
  <si>
    <t>The Solvatofluorochromism of 2,4,6-Triarylpyrimidine Derivatives</t>
  </si>
  <si>
    <t>Seven new 2,4,6-triarylpyrimidines were synthesized and their solvatofluorochromism investigated in 12 solvents and in an aqueous micellar solution of reduced Triton X-100. A multiparametric analysis of their emission band showed that the solvent dipolarity and basicity were mainly responsible for their solvatofluorochromism, which arose from an internal charge-transfer from a donor fragment to the pyrimidine acceptor, confirmed by theoretical calculations. In the micellar system, quenching of their fluorescence by addition of derivatives of 2,2,6,6-tetramethylpiperidinoxyl (TEMPO) radical was investigated and the results were consistent with the spectral changes brought about by the micro-heterogeneous system.</t>
  </si>
  <si>
    <t>Domínguez, Moisés/P-2227-2019; Caroli, Marcos/H-3570-2019; Aliaga, Carolina/G-6024-2019</t>
  </si>
  <si>
    <t>Dominguez, Moises/0000-0002-8444-3065; Aliaga, Carolina/0000-0002-1352-3164; Rezende, Marcos/0000-0003-2040-9009</t>
  </si>
  <si>
    <t>1751-1097</t>
  </si>
  <si>
    <t>10.1111/php.12982</t>
  </si>
  <si>
    <t>WOS:000450018200004</t>
  </si>
  <si>
    <t>Vidal, J; Huiliñir, C; Santander, R; Silva-Agredo, J; Torres-Palma, RA; Salazar, R</t>
  </si>
  <si>
    <t>Vidal, Jorge; Huilinir, Cesar; Santander, Rocio; Silva-Agredo, Javier; Torres-Palma, Ricardo A.; Salazar, Ricardo</t>
  </si>
  <si>
    <t>Effective removal of the antibiotic Nafcillin from water by combining the Photoelectro-Fenton process and Anaerobic Biological Digestion</t>
  </si>
  <si>
    <t>The elimination of the antibiotic Nafcillin (NAF), which is usually used in hospitals and veterinary clinics around the world, was assessed through a combination of three advanced electrochemical oxidation processes followed by anaerobic digestion process. In the first stage different electrochemical advanced oxidation processes (EAOPs) were used: electro-oxidation with hydrogen peroxide (EO-H2O2), electro-Fenton (EF) and Photo electro-Fenton (PEF). After PEF, almost complete and highly efficient degradation and elimination of NAF was achieved, with the concomitant elimination of the associated antimicrobial activity. The fast degradation rate produced by PEF is explained by the oxidative action of hydroxyl radicals (center dot OH) together with the direct UV photolysis of complexes formed between Fe(3+)and some organic intermediates. Total removal of NAF occurs after 90 min of electrolysis by PEF, with the generation of organic intermediates that remain in solution. However, when this post PEF process solution was treated with an anaerobic biological process, the intermediates generated in the electrochemical degradation of NAF were completely eliminated after 24 h. The kinetic degradation of NAF as well as the identification/quantification of products and intermediates formed during the degradation of antibiotic, such as inorganic ions, carboxylic acids and aromatic compounds, were determined by chromatographic and photometric methods. Finally, an oxidation pathway is proposed for the complete conversion to CO2. (C) 2017 Elsevier B.V. All rights reserved.</t>
  </si>
  <si>
    <t>Salazar, Ricardo/L-7870-2013; Santander, Rocio/K-7645-2013; Huilinir, Cesar/IYS-6899-2023; Torres, Ricardo/K-4063-2014</t>
  </si>
  <si>
    <t>Silva Agredo, Javier/0000-0002-8230-0917; Huilinir, Cesar/0000-0002-3487-684X; Vidal, Jorge/0000-0002-1334-377X; Salazar-Gonzalez, Ricardo/0000-0003-2180-6022; Torres, Ricardo/0000-0003-4583-9849</t>
  </si>
  <si>
    <t>10.1016/j.scitotenv.2017.12.159</t>
  </si>
  <si>
    <t>WOS:000426355900109</t>
  </si>
  <si>
    <t>Rojo, D; Conget, P</t>
  </si>
  <si>
    <t>Rojo, Daniel; Conget, Paulette</t>
  </si>
  <si>
    <t>Acellular derivatives of mesenchymal stem cells prevent peritoneal adhesions in an animal model</t>
  </si>
  <si>
    <t>JOURNAL OF SURGICAL RESEARCH</t>
  </si>
  <si>
    <t>Background: Peritoneal adhesions are nonanatomical connections that bind organs to the abdominal wall or among them. They arise after peritoneal injury, which triggers an inflammatory response followed by a healing process that leads to fibrotic tissue formation. Mesenchymal stem cells and their secretion products, also referred to as acellular derivatives (ACDs), have anti-inflammatory, fibrinolytic, and antifibrogenic properties. The aim of this study was to determine the effect of intraoperative administration of ACD on the appearance, severity, and progression of peritoneal adhesions, in an animal model. Materials and methods: Cecal erosions were mechanically induced in adult mice. Before closure, the vehicle, ACD, or Seprafilm was administered. Seven days later, the presence and grade of peritoneal adhesions were assessed macroscopically. One, 3, and 7 d after intervention, molecular and cellular markers of inflammation, fibrinolysis, and fibrogenesis were evaluated both locally and systemically. Results: ACDs avoided the appearance of clinically relevant peritoneal adhesions. The vehicle had no effect, and Seprafilm reduced them inconsistently. The antiadhesive effect of ACD was associated with an early reduction of proinflammatory cytokine (tumor necrosis factor-alpha and interferon-gamma) secretion and leukocyte (polymorphonuclears, mononuclears, and macrophages) infiltration. High levels of D-dimer, low fibrin deposits, low myofibroblasts infiltration, and less fibrosis were also observed. Conclusions: ACD administered at the end of abdominal surgeries prevents the formation of peritoneal adhesions due to the modulation of inflammatory, fibrinolytic, and fibrogenic processes. (C) 2017 Elsevier Inc. All rights reserved.</t>
  </si>
  <si>
    <t>0022-4804</t>
  </si>
  <si>
    <t>1095-8673</t>
  </si>
  <si>
    <t>10.1016/j.jss.2017.11.018</t>
  </si>
  <si>
    <t>WOS:000425850400027</t>
  </si>
  <si>
    <t>Etchebarne, S; Zapata, IT</t>
  </si>
  <si>
    <t>Etchebarne, Soledad; Torres Zapata, Isabel</t>
  </si>
  <si>
    <t>Export behaviour in Chilean exporters in service sector</t>
  </si>
  <si>
    <t>ACADEMIA-REVISTA LATINOAMERICANA DE ADMINISTRACION</t>
  </si>
  <si>
    <t>Purpose The purpose of this paper is to describe and explain the export behaviour (EB) developed by the Chilean service sector exporter firms using longitudinal data, to contribute to the scarce literature in this field in emerging markets. Design/methodology/approach Chilean service sector exporter firms are studied through a longitudinal analysis (2006 to 2015) comparing EB (continual/discontinual exporters) with respect to market diversification (MD). Considering a quantitative hypothesis test, based on a t-test, comparing these two groups of firms, using STATA software. Findings According to this research, scarce MD promotes a discontinual export development process in Chilean service sector exporter firms. Practical implications It is important to define public policies focussed on maintaining exportation over time and also to support these firms in diversifying their markets. Originality/value This paper shows a means of analysis, using longitudinal data, to compare large groups of firms, describing the causes of the discontinual export development process. At the same time, it enhances the literature on service sector exporters.</t>
  </si>
  <si>
    <t>Torres Zapata, Isabel/E-4287-2016</t>
  </si>
  <si>
    <t>Torres Zapata, Isabel/0000-0003-2088-6470</t>
  </si>
  <si>
    <t>1012-8255</t>
  </si>
  <si>
    <t>2056-5127</t>
  </si>
  <si>
    <t>10.1108/ARLA-11-2016-0322</t>
  </si>
  <si>
    <t>WOS:000452701000007</t>
  </si>
  <si>
    <t>Riquelme, E; Thériault, N</t>
  </si>
  <si>
    <t>Riquelme, Edgardo; Theriault, Nicolas</t>
  </si>
  <si>
    <t>SYMBOLIC TRISECTION POLYNOMIALS FOR GENUS 2 CURVES IN ODD CHARACTERISTIC</t>
  </si>
  <si>
    <t>SIAM JOURNAL ON DISCRETE MATHEMATICS</t>
  </si>
  <si>
    <t>We provide a symbolic trisection polynomial for Jacobians of genus 2 curves over finite field F-q of odd characteristic. These polynomials can be used to improve the efficiency of trisection algorithms, which may then be used to obtain faster point counting algorithms.</t>
  </si>
  <si>
    <t>Theriault, Nicolas/W-7831-2019</t>
  </si>
  <si>
    <t>0895-4801</t>
  </si>
  <si>
    <t>1095-7146</t>
  </si>
  <si>
    <t>10.1137/18M1167292</t>
  </si>
  <si>
    <t>WOS:000453738300003</t>
  </si>
  <si>
    <t>Maximal regularity in lp spaces for discrete time fractional shifted equations</t>
  </si>
  <si>
    <t>In this paper, we are presenting a new method based on operator-valued Fourier multipliers to characterize the existence and uniqueness of l(p)-solutions for discrete time fractional models in the form Delta(alpha)u(n,x) = Au(n,x) + Sigma(k)(j=1) beta(j)u(n - iota(j),x) + f (n,u(n, x)), n is an element of Z, x is an element of Omega subset of R-N , beta(j) is an element of R and iota(j) is an element of Z, where A is a closed linear operator defined on a Banach space X and Delta(alpha) denotes the Grunwald-Letnikov fractional derivative of order alpha &gt; 0. If X is a UMD space, we provide this characterization only in terms of the R-boundedness of the operator-valued symbol associated to the abstract model. To illustrate our results, we derive new qualitative properties of nonlinear difference equations with shiftings, including fractional versions of the logistic and Nagumo equations. (C) 2017 Elsevier Inc. All rights reserved.</t>
  </si>
  <si>
    <t>murillo arcila, marina/0000-0001-6589-0452; Lizama, Carlos/0000-0002-9807-1100</t>
  </si>
  <si>
    <t>10.1016/j.jde.2017.04.035</t>
  </si>
  <si>
    <t>WOS:000403740900001</t>
  </si>
  <si>
    <t>WEIGHTED PSEUDO ALMOST AUTOMORPHIC AND S-ASYMPTOTICALLY ω-PERIODIC SOLUTIONS TO FRACTIONAL DIFFERENCE-DIFFERENTIAL EQUATIONS</t>
  </si>
  <si>
    <t>ELECTRONIC JOURNAL OF DIFFERENTIAL EQUATIONS</t>
  </si>
  <si>
    <t>We study weighted pseudo almost automorphic solutions for the nonlinear fractional difference equation Delta(alpha) u(n) = Au(n+1)+integral(n, u(n)), n is an element of Z, for 0 &lt; alpha &lt;= 1, where A is the generator of an alpha-resolvent sequence {S-alpha(n)}(n is an element of N0) in beta(X). We prove the existence and uniqueness of a weighted pseudo almost automorphic solution assuming that f(., .) is weighted almost automorphic in the first variable and satisfies a Lipschitz (local and global) type condition in the second variable. An analogous result is also proved for S-asymptotically omega-periodic solutions.</t>
  </si>
  <si>
    <t>1072-6691</t>
  </si>
  <si>
    <t>WOS:000386082500004</t>
  </si>
  <si>
    <t>Canales, C; Gidi, L; Arce, R; Ramírez, G</t>
  </si>
  <si>
    <t>Canales, Camila; Gidi, Leyla; Arce, Roxana; Ramirez, Galo</t>
  </si>
  <si>
    <t>Hydrazine electrooxidation mediated by transition metal octaethylporphyrin-modified electrodes</t>
  </si>
  <si>
    <t>This work presents the generation of new systems composed of glassy carbon electrodes (GC) modified with commercially available transition metal octaethylporphyrins, M-OEP (M = Co-II, Cu-II, Zn-II, Ru-II, Fe-III, Ni-II) for the electrooxidation of hydrazine at neutral pH. It was found that the most active system corresponds to GC electrodes modified with Co-II-OEP adsorbed on the surface, evidencing the importance of the central metal. This system, whose preparation is quick and easy, has been reported to have great electrocatalytic activity on systems and unmodified GC electrodes, which has been corroborated by using electrochemical impedance spectroscopy techniques. In addition, this system provides a very good linear response to the analyte concentration, as well as high accuracy and exactitude. Thus, limits of detection and quantification of 0.0518 and 0.173 mmol L-1, respectively, were determined. These good characteristics envisage the possibility of developing a sensitive amperometric sensor. Furthermore, SEM, AFM and Raman studies revealed the actual modification produced on the electrode surface.</t>
  </si>
  <si>
    <t>Arce, Roxana/V-8140-2019</t>
  </si>
  <si>
    <t>ARCE, ROXANA/0000-0002-1387-9232; Ramirez, Galo/0000-0002-6217-4730; , Roxana/0000-0002-7529-8011; Canales, Camila/0000-0002-4966-3601</t>
  </si>
  <si>
    <t>10.1039/c5nj03084f</t>
  </si>
  <si>
    <t>WOS:000372425600108</t>
  </si>
  <si>
    <t>Aurenque, D</t>
  </si>
  <si>
    <t>Aurenque, Diana</t>
  </si>
  <si>
    <t>Genetic Diversity as a Value: Imposing Fairness</t>
  </si>
  <si>
    <t>AMERICAN JOURNAL OF BIOETHICS</t>
  </si>
  <si>
    <t>Aurenque, Diana/0000-0002-0979-2847</t>
  </si>
  <si>
    <t>1526-5161</t>
  </si>
  <si>
    <t>1536-0075</t>
  </si>
  <si>
    <t>JUN 3</t>
  </si>
  <si>
    <t>10.1080/15265161.2015.1028673</t>
  </si>
  <si>
    <t>WOS:000355407000006</t>
  </si>
  <si>
    <t>Developments in timber construction materials</t>
  </si>
  <si>
    <t>WOS:000541676300004</t>
  </si>
  <si>
    <t>Footbridge in Kollmann</t>
  </si>
  <si>
    <t>WOS:000541676300011</t>
  </si>
  <si>
    <t>Hanusch, F; Mellado, C</t>
  </si>
  <si>
    <t>Hanusch, Folker; Mellado, Claudia</t>
  </si>
  <si>
    <t>Journalism Students' Professional Views in Eight Countries: The Role of Motivations, Education, and Gender</t>
  </si>
  <si>
    <t>INTERNATIONAL JOURNAL OF COMMUNICATION</t>
  </si>
  <si>
    <t>The global trend toward university-based journalism education has led to a growing scrutiny of students' experiences at university and the extent to which professional views may be shaped there. Three main influences have been identified in the literature: students' preferences for certain news beats, their gender, and students' stage of progression in a journalism program. Typically, however, analyses have focused on only one potential influence within one particular country at a time. Arguing that a comparative approach is needed, this article examines potential influences on journalism students' role perceptions across eight countries. Results suggest that students' motivations, and the amount of time they have spent in a program, play a part in influencing their professional views while gender has little influence.</t>
  </si>
  <si>
    <t>Hanusch, Folker/0000-0002-7344-0483</t>
  </si>
  <si>
    <t>1932-8036</t>
  </si>
  <si>
    <t>WOS:000334430600001</t>
  </si>
  <si>
    <t>Arancibia, A; Guilarte, JM; Plyushchay, MS</t>
  </si>
  <si>
    <t>Arancibia, Adrian; Mateos Guilarte, Juan; Plyushchay, Mikhail S.</t>
  </si>
  <si>
    <t>Fermion in a multi-kink-antikink soliton background, and exotic supersymmetry</t>
  </si>
  <si>
    <t>We construct a fermion system in a multi-kink-antikink soliton background, and present in an explicit form all its trapped configurations (bound state solutions) as well as scattering states. This is achieved by exploiting an exotic N = 4 centrally extended nonlinear supersymmetry of completely isospectral pairs of reflectionless Schrodinger systems with potentials to be n-soliton solutions for the Korteweg-de Vries equation. The obtained reflectionless Dirac system with a position-dependent mass is shown to possess its own exotic nonlinear supersymmetry associated with the matrix Lax-Novikov operator being a Darboux-dressed momentum. In the process, we get an algebraic recursive representation for the multi-kink-antikink backgrounds, and establish their relation to the the modified Korteweg-de Vries equation. We also indicate how the results can be related to the physics of self-consistent condensates based on the Bogoliubov-de Gennes equations.</t>
  </si>
  <si>
    <t>Arancibia, Adrian/W-1889-2018; Mateos Guilarte, Juan/D-8199-2018</t>
  </si>
  <si>
    <t>Arancibia, Adrian/0000-0002-9170-0891; Mateos Guilarte, Juan/0000-0001-7928-9086</t>
  </si>
  <si>
    <t>OCT 25</t>
  </si>
  <si>
    <t>10.1103/PhysRevD.88.085034</t>
  </si>
  <si>
    <t>WOS:000326111500011</t>
  </si>
  <si>
    <t>Cortés-Arriagada, D; Sanhueza, L; Santander-Nelli, M</t>
  </si>
  <si>
    <t>Cortes-Arriagada, Diego; Sanhueza, Luis; Santander-Nelli, Mireya</t>
  </si>
  <si>
    <t>Modeling the physisorption of bisphenol A on graphene and graphene oxide</t>
  </si>
  <si>
    <t>The physisorption of bisphenol A (BPA) on pristine and oxidized graphene was studied theoretically via calculations performed at the PBE-D3 level (including dispersion force corrections). Three stable conformations of BPA on graphene were found. A lying-down configuration was energetically favored because the presence of pi-pi stacking and dispersion forces increased interactions. In addition, the adsorption of BPA on the edges of graphene oxide was enhanced when adsorption occurred on carboxyl and carbonyl groups, whereas the adsorption strength decreased when adsorption occurred on hydroxyl groups. The highest physisorption strength was obtained on the surface of graphene oxide due to the presence of pi-pi stacking and dispersion forces (which provided the greatest contribution to the adsorption energy) as well as hydrogen bonds (which provided a smaller contribution), indicating that oxidized graphene is a better candidate than pristine graphene for BPA removal. On the other hand, an increase in electrophilicity was observed after the physisorption of BPA in all systems (with respect to graphene and BPA in their isolated forms), with the adsorbent acting as the electron acceptor. Finally, molecular dynamics simulations performed using the PM6 Hamiltonian showed that the adsorption of BPA on graphene is stable.</t>
  </si>
  <si>
    <t>Cortés-Arriagada, Diego/J-5940-2019</t>
  </si>
  <si>
    <t>Santander-Nelli, Mireya/0000-0002-3687-6528; Cortes-Arriagada, Diego/0000-0002-6709-1723; Sanhueza Vega, Luis/0000-0002-3763-6948</t>
  </si>
  <si>
    <t>10.1007/s00894-013-1872-2</t>
  </si>
  <si>
    <t>WOS:000323283100012</t>
  </si>
  <si>
    <t>García-Herrera, CM; Celentano, DJ; Cruchaga, MA</t>
  </si>
  <si>
    <t>Garcia-Herrera, Claudio M.; Celentano, Diego J.; Cruchaga, Marcela A.</t>
  </si>
  <si>
    <t>Bending and pressurisation test of the human aortic arch: experiments, modelling and simulation of a patient-specific case</t>
  </si>
  <si>
    <t>This work presents experiments, modelling and simulation aimed at describing the mechanical behaviour of the human aortic arch during the bending and pressurisation test. The main motivation is to describe the material response of this artery when it is subjected to large quasi-static deformations in three different stages: bending, axial stretching and internal pressurisation. The sample corresponds to a young artery without cardiovascular pathologies. The pressure levels are within the normal and hypertension physiological ranges. The two principal findings of this work are firstly, the material characterisation performed via tensile test measurements that serve to derive the material parameters of a hyperelastic isotropic constitutive model and, secondly, the assessment of these material parameters in the simulation of the bending and pressurisation test. Overall, the reported material characterisation was found to provide a realistic description of the mechanical behaviour of the aortic arch under severe complex loading conditions considered in the bending and pressurisation test.</t>
  </si>
  <si>
    <t>García-Herrera, Claudio/ABE-8991-2020; Celentano, Diego/JQW-5027-2023; Cruchaga, Marcela/M-7522-2014</t>
  </si>
  <si>
    <t>Garcia-Herrera, Claudio/0000-0002-1283-8551; Cruchaga, Marcela/0000-0002-8708-2402</t>
  </si>
  <si>
    <t>10.1080/10255842.2011.641123</t>
  </si>
  <si>
    <t>WOS:000324612400003</t>
  </si>
  <si>
    <t>Livacic-Rojas, P; Vallejo, G; Fernández, P; Tuero-Herrero, E</t>
  </si>
  <si>
    <t>Livacic-Rojas, Pablo; Vallejo, Guillermo; Fernandez, Paula; Tuero-Herrero, Ellian</t>
  </si>
  <si>
    <t>Covariance Structure Selection and Type I Error Rates in Split-Plot Designs</t>
  </si>
  <si>
    <t>METHODOLOGY-EUROPEAN JOURNAL OF RESEARCH METHODS FOR THE BEHAVIORAL AND SOCIAL SCIENCES</t>
  </si>
  <si>
    <t>We examined the selection of covariance structures and the Type I error rates of the Criterion Selector Akaike's (Akaike's Information Criteria, AIC) and the Correctly Identified Model (CIM). Data were analyzed with a split-plot design through the Monte Carlo simulation method and SAS 9.1 statistical software. We manipulated the following variables: sample size, relation between group size and dispersion matrix size, type of dispersion matrix, and form of the distribution. Our findings suggest that AIC selects heterogeneous covariance structure more frequently than original covariance structure. Specifically, AIC mostly selected heterogeneous covariance structures and displayed slightly higher Type I error rates than the CIM. These were mostly associated with main and interaction effects for the ARH and RC structures and a marked tendency toward liberality. Future research needs to assess the power levels exhibited by covariance structure selectors.</t>
  </si>
  <si>
    <t>Fernandez, Paula/0000-0003-0140-7702; Vallejo, Guillermo/0000-0002-8010-6854; Guillermo, Vallejo/0000-0001-6569-9279; Tuero Herrero, Ellian/0000-0002-5988-5996</t>
  </si>
  <si>
    <t>1614-1881</t>
  </si>
  <si>
    <t>1614-2241</t>
  </si>
  <si>
    <t>10.1027/1614-2241/a000058</t>
  </si>
  <si>
    <t>WOS:000325169200001</t>
  </si>
  <si>
    <t>Moya, J; Huiliñir, C; Peredo, K; Aspé, E; Roeckel, M</t>
  </si>
  <si>
    <t>Moya, Jaime; Huilinir, Cesar; Peredo, Karol; Aspe, Estrella; Roeckel, Marlene</t>
  </si>
  <si>
    <t>Modeling of simultaneous denitrification - Anaerobic digestion - Organic matter aerobic oxidation and nitrification in an anoxic-anaerobic-aerobic compact filter reactor</t>
  </si>
  <si>
    <t>JOURNAL OF BIOTECHNOLOGY</t>
  </si>
  <si>
    <t>A mathematical model was developed for a compact anoxic-anaerobic-aerobic filter reactor with liquid recirculation for the treatment of fishing effluents. The model includes denitrification, anaerobic digestion, aerobic carbon oxidation and nitrification steps, as well as an evaluation of the liquid gas mass transfer and pH. The model was calibrated using one experimental condition at a recycling ratio (R) = 10, and was validated with R equal to 2 and 0, with an organic concentration of 554 +/- 24 mg TOC L-1, salinity of 24 g L-1 and hydraulic retention time (HRT) of 2 d. Carbon total removal is higher than 98%, while maximum nitrogen removal is 62% using total nitrification in the aerobic zone, due to a higher quantity of NOx produced which were recirculated to the anoxic zone. In the aerobic zone, simultaneous nitrification and denitrification processes occur, because the diffusion limitations cause a low oxygen penetration in the biofilm. In the anoxic-anaerobic zone, denitrification or methanogenesis inhibition by DO (caused by the recycled oxygen) is not observed. (C) 2012 Elsevier B. V. All rights reserved.</t>
  </si>
  <si>
    <t>0168-1656</t>
  </si>
  <si>
    <t>AUG 31</t>
  </si>
  <si>
    <t>10.1016/j.jbiotec.2012.03.020</t>
  </si>
  <si>
    <t>WOS:000306652300012</t>
  </si>
  <si>
    <t>Braghetto, I; Korn, O; Csendes, A; Gutiérrez, L; Valladares, H; Chacon, M</t>
  </si>
  <si>
    <t>Braghetto, Italo; Korn, Owen; Csendes, Attila; Gutierrez, Luis; Valladares, Hector; Chacon, Max</t>
  </si>
  <si>
    <t>Laparoscopic Treatment of Obese Patients with Gastroesophageal Reflux Disease and Barrett's Esophagus: a Prospective Study</t>
  </si>
  <si>
    <t>OBESITY SURGERY</t>
  </si>
  <si>
    <t>Short-segment Barrett's esophagus (SSBE) or long-segment Barrett's esophagus (LSBE) is the consequence of chronic gastroesophageal reflux disease (GERD), which is frequently associated with obesity. Obesity is a significant risk factor for the development of GERD symptoms, erosive esophagitis, Barrett's esophagus, and esophageal adenocarcinoma. Morbidly obese patients who submitted to gastric bypass have an incidence of GERD as high as 50% to 100% and Barrett's esophagus reaches up to 9% of patients. In this prospective study, we evaluate the postoperative results after three different procedures-calibrated fundoplication + posterior gastropexy (CFPG), fundoplication + vagotomy + distal gastrectomy + Roux-en-Y gastrojejunostomy (FVDGRYGJ), and laparoscopic resectional Roux-en-Y gastric bypass (LRRYGBP)-among obese patients. In patients with SSBE who submitted to CFPG, the persistence of reflux symptoms and endoscopic erosive esophagitis was observed in 15% and 20.2% of them, respectively. Patients with LSBE were submitted to FVDGRYGJ or LRRYGBP which significantly improved their symptoms and erosive esophagitis. No modifications of LESP were observed in patients who submitted to LRRYGBP before or after the operation. Acid reflux diminished after the three types of surgery were employed. Patients who submitted to LRRYGBP presented a significant reduction of BMI from 41.5 +/- 4.3 to 25.7 +/- 1.3 kg/m(2) after 12 months. Among patients with LSBE, FVDGRYGJ presents very good results in terms of improving GERD and Barrett's esophagus, but the reduction of weight is limited. LRRYGBP improves GERD disease and Barrett's esophagus with proven reduction in body weight and BMI, thus becoming the procedure of choice for obese patients.</t>
  </si>
  <si>
    <t>Valladares, Hector/0000-0001-9477-176X</t>
  </si>
  <si>
    <t>0960-8923</t>
  </si>
  <si>
    <t>1708-0428</t>
  </si>
  <si>
    <t>10.1007/s11695-011-0531-x</t>
  </si>
  <si>
    <t>WOS:000302481100011</t>
  </si>
  <si>
    <t>Matsuhiro, B; Osorio-Román, IO; Torres, R</t>
  </si>
  <si>
    <t>Matsuhiro, Betty; Osorio-Roman, Igor O.; Torres, Rodrigo</t>
  </si>
  <si>
    <t>Vibrational spectroscopy characterization and anticoagulant activity of a sulfated polysaccharide from sea cucumber Athyonidium chilensis</t>
  </si>
  <si>
    <t>Extraction of Athyonidium chilensis body wall afforded a light brown powder in 4.2% yield which was fractionated by ion-exchange chromatography. The main fraction F1 contained glucuronic acid, galactosamine and fucose in a molar ratio of 1.0:1.1:1.1, and 32.9% of sulfate group. The second derivative FT-IR spectroscopy and Surface-enhanced Raman scattering (SERS) give more information than the normal IR and Raman spectroscopies. The broad band in the normal FT-IR spectrum of F1 at 850.6 cm(-1) assigned to sulfate group was resolved in the second derivative spectrum into three bands at 856.4 cm(-1), 837.4 cm(-1) and 818.6 cm(-1) assigned to sulfate group attached to axial C4 and equatorial C2 and C6, respectively, in glycosidic residues. The most important bands in SERS of F1, but not observed in Raman spectrum are bands at 1648 cm(-1) (nu C=O), 1377 cm(-1) (delta C-H) assigned to methyl group of N-acetyl group, at 1173 cm(-1) and at 956.2 cm(-1) (nu C-O-C) of glycosidic linkage: and bands at 925.5 cm(-1) and 890.4 cm(-1) (delta C-1-H) assigned to a and beta anomeric configurations of glycosidic residues, respectively. By NMR studies, glycosidic linkages and sulfation pattern of F1 was confirmed. Results obtained indicated that fraction F1 is chondroitin 4,6-disulfate substituted at position O-3 of glucuronic acid by partially 2,4-disulfated alpha-fucopyranosyl residues. Moreover, the anticogulant activity, measure in APTT of F1 showed at low concentration, a good correlation with heparin. (C) 2012 Elsevier Ltd. All rights reserved.</t>
  </si>
  <si>
    <t>Osorio, Igor/AEX-9230-2022</t>
  </si>
  <si>
    <t>Osorio-Roman, Igor/0000-0001-7502-8698</t>
  </si>
  <si>
    <t>10.1016/j.carbpol.2012.01.052</t>
  </si>
  <si>
    <t>WOS:000302196200021</t>
  </si>
  <si>
    <t>Aranda, CS; Dantas, EO; Soares, JA; Fonzar, L; Dela Bianca, AC; Wandalsen, GF; Mallol, J; Sole, D</t>
  </si>
  <si>
    <t>Aranda, C. S.; Dantas, E. O.; Soares, J. A.; Fonzar, L.; Dela Bianca, A. C.; Wandalsen, G. F.; Mallol, J.; Sole, D.</t>
  </si>
  <si>
    <t>International Study of Wheezing in Infants (EISL) - phase 3, Sao Paulo - SP, Brazil</t>
  </si>
  <si>
    <t>MAR 02-06, 2012</t>
  </si>
  <si>
    <t>Orlando, FL</t>
  </si>
  <si>
    <t>Amer Acad Allergy Asthma &amp; Immunol (AAAAI)</t>
  </si>
  <si>
    <t>AB148</t>
  </si>
  <si>
    <t>10.1016/j.jaci.2011.12.313</t>
  </si>
  <si>
    <t>WOS:000301133400556</t>
  </si>
  <si>
    <t>Massa, E; Ubilla, P</t>
  </si>
  <si>
    <t>Massa, Eugenio; Ubilla, Pedro</t>
  </si>
  <si>
    <t>SUPERLINEAR ELLIPTIC PROBLEMS WITH SIGN CHANGING COEFFICIENTS</t>
  </si>
  <si>
    <t>Via variational methods, we study multiplicity of solutions for the problem {-Delta u = lambda b(x)vertical bar u vertical bar(q-2)u + au + g(x, u) in Omega, u - 0 on partial derivative Omega, where a simple example for g( x, u) is |u|(p-2)u; here a, lambda are real parameters, 1 &lt; q &lt; 2 &lt; p &lt;= 2* and b(x) is a function in a suitable space L-sigma. We obtain a class of sign changing coefficients b(x) for which two non-negative solutions exist for any lambda &gt; 0, and a total of five nontrivial solutions are obtained when lambda is small and a &gt;= lambda(1). Note that this type of results are valid even in the critical case.</t>
  </si>
  <si>
    <t>massa, eugenio/A-9370-2008</t>
  </si>
  <si>
    <t>massa, eugenio/0000-0002-2284-1228</t>
  </si>
  <si>
    <t>10.1142/S0219199712500010</t>
  </si>
  <si>
    <t>WOS:000300930600001</t>
  </si>
  <si>
    <t>Salazar, R; Garcia-Segura, S; Ureta-Zañartu, MS; Brillas, E</t>
  </si>
  <si>
    <t>Salazar, Ricardo; Garcia-Segura, Sergi; Ureta-Zanartu, M. S.; Brillas, Enric</t>
  </si>
  <si>
    <t>Degradation of disperse azo dyes from waters by solar photoelectro-Fenton</t>
  </si>
  <si>
    <t>Solutions of the azo dyes Disperse Red 1 (DR1) and Disperse Yellow 3 (DY3), commonly used in the Chilean textile industry, in 0.1 mol dm(-3) Na2SO4 and 0.5 mmol dm(-3) Fe2+ of pH 3.0 were comparatively degraded by electro-Fenton (EF) and solar photoelectro-Fenton (SPEF) using a 2.5 dm(3) recirculation flow plant containing a BDD/air-diffusion cell coupled with a solar photoreactor. Organics were oxidized in EF with hydroxyl radicals formed at the anode surface from water oxidation and in the bulk from Fenton's reaction between electrogenerated H2O2 and added Fe2+. The oxidizing power of SPEF was enhanced by the additional production of hydroxyl radicals from the photolysis of Fe(III) hydrated species and the photodecomposition of Fe(III) complexes with intermediates by UV light of solar irradiation. Total decolorization, complete dye removal and almost overall mineralization for both dye solutions were only achieved using the most potent SPEF process, yielding higher current efficiencies and lower energy consumptions than EF. Final carboxylic acids like pyruvic, acetic, oxalic and oxamic were detected during the SPEF treatments. NO3- ion was released as inorganic ion. The use of a solution pH of 2.0-3.0 at 50 mA cm(-2) was found preferable for SPEF. Synthetic textile dyeing solutions containing the dyes were treated under these conditions yielding lower decolorization rate, slower dye removal and smaller mineralization degree than only using 0.1 mol dm(-3) Na2SO4 due to the parallel oxidation of organic dyeing components. However, lower energy consumptions were obtained by the destruction of more amounts of total organic carbon, indicating that SPEF is a useful and viable method for the remediation of textile industrial wastewaters with high contents of disperse azo dyes. (C) 2011 Elsevier Ltd. All rights reserved.</t>
  </si>
  <si>
    <t>Salazar, Ricardo/L-7870-2013; Ureta-Zañartu, Maria/G-5239-2019; Garcia-Segura, Sergi/B-6406-2019</t>
  </si>
  <si>
    <t>Brillas, Enric/0000-0001-8147-4651; Salazar-Gonzalez, Ricardo/0000-0003-2180-6022; Garcia-Segura, Sergi/0000-0002-1417-6416</t>
  </si>
  <si>
    <t>10.1016/j.electacta.2011.05.021</t>
  </si>
  <si>
    <t>WOS:000293306100016</t>
  </si>
  <si>
    <t>Gambi, MO; Yañez, BN; Huencho, VF</t>
  </si>
  <si>
    <t>Olavarria Gambi, Mauricio; Navarrete Yanez, Bernardo; Figueroa Huencho, Veronica</t>
  </si>
  <si>
    <t>Policy Formulation in Chile: Evidence from a Case Study</t>
  </si>
  <si>
    <t>POLITICA Y GOBIERNO</t>
  </si>
  <si>
    <t>Analyzing the public management modernization policy, from 1990 to 2006, the article identifies the model which might explain how policies are formulated in the country. This model has been identified from evidence collected through 37 interviews to key actors of the process, official documents, and media analysis. The model diverges from Kingdon and IADB'S approaches, which are commonly used to explain the policy formulation process in Latin America. The article explains which might be the reasons of the divergence.</t>
  </si>
  <si>
    <t>Olavarria-Gambi, Mauricio/K-9521-2019; Huencho, Verónica/I-2094-2017</t>
  </si>
  <si>
    <t>Figueroa Huencho, Veronica/0000-0002-5422-6043</t>
  </si>
  <si>
    <t>1665-2037</t>
  </si>
  <si>
    <t>WOS:000287679900004</t>
  </si>
  <si>
    <t>Cortés, CP</t>
  </si>
  <si>
    <t>Pizarro Cortes, Carolina</t>
  </si>
  <si>
    <t>Should I simply believe the silly remarks and tall stories of your chroniclers? (The new chronicles of Indias as alternative versions of discovery and conquest)</t>
  </si>
  <si>
    <t>This article presents the transversal reading of 21 contemporary latin american novels, attending to define the basic features that this corpus presents as a sub-genre of the nueva novela historica (new historical romance), which justifies the denomination of nueva cronica de Indias (new chronicle of Indias). The analysis is a re-elaboration of Seymour Menton and Fernando Ainsa's works and proposes four main axes: (the) recurrence of determinated discursive types, (the) intertextuality, (the) carnavalization and (the) new definitions of the concepts of time and space, showing in each of them the different stylistic variations of this sort of narrative and reflecting on their particular vision of History, which is very close to the approach of the latin american thinking of liberation, that coincides temporarily with the emergence of this revisonistical literary proposal.</t>
  </si>
  <si>
    <t>0716-4254</t>
  </si>
  <si>
    <t>WOS:000286703100015</t>
  </si>
  <si>
    <t>S-asymptotically ω-periodic solutions for semilinear Volterra equations</t>
  </si>
  <si>
    <t>We study S-asymptotically omega-periodic mild solutions of the semilinear Volterra equation u'(t)=(a*Au)(t)+f(t,u(t)), considered in a Banach space X, where A is the generator of an (exponentially) stable resolvent family. In particular, we extend the recent results for semilinear fractional integro-differential equations considered in (Appl. Math. Lett. 2009; 22:865-870) and for semilinear Cauchy problems of first order given in (J. Math. Anal. Appl. 2008; 343(2): 1119-1130). Applications to integral equations arising in viscoelasticity theory are shown. Copyright (C) 2010 John Wiley &amp; Sons, Ltd.</t>
  </si>
  <si>
    <t>10.1002/mma.1284</t>
  </si>
  <si>
    <t>WOS:000280699000011</t>
  </si>
  <si>
    <t>Cifuentes, G; Simpson, J; Lobos, F; Briones, L; Morales, A</t>
  </si>
  <si>
    <t>Buratti, SS</t>
  </si>
  <si>
    <t>Cifuentes, Gerardo; Simpson, Jaime; Lobos, Francisco; Briones, Leoncio; Morales, Alejandro</t>
  </si>
  <si>
    <t>An alternative copper electrowinning process based on reactive electrodialysis (RED)</t>
  </si>
  <si>
    <t>CISAP4: 4TH INTERNATIONAL CONFERENCE ON SAFETY &amp; ENVIRONMENT IN PROCESS INDUSTRY</t>
  </si>
  <si>
    <t>Chemical Engineering Transactions</t>
  </si>
  <si>
    <t>4th International Conference on Safety &amp; Environment in Process Industry</t>
  </si>
  <si>
    <t>MAR 14-17, 2010</t>
  </si>
  <si>
    <t>Florence, ITALY</t>
  </si>
  <si>
    <t>This paper shows the preliminary results of an alternative to the classic electrowinning copper process using a cell based on reactive electrodialysis, which consists of two compartments separated by an anionic membrane, one of which contains the copper sulphate catholyte, where the cathode is located, and the other compartment contains the ferrous sulfate anolyte, where the anode is located. In this type of cell the anodic reaction is the oxidation of iron (Fe2+ to Fe3+), which consumes less energy than the classic water oxidation. Moreover, this new anodic reaction does not produce acid mist.</t>
  </si>
  <si>
    <t>1974-9791</t>
  </si>
  <si>
    <t>978-88-95608-11-2</t>
  </si>
  <si>
    <t>10.3303/CET1019026</t>
  </si>
  <si>
    <t>WOS:000286974000026</t>
  </si>
  <si>
    <t>Zúñiga, C; Moya, SA; Aguirre, P</t>
  </si>
  <si>
    <t>Zuniga, Cesar; Moya, Sergio A.; Aguirre, Pedro</t>
  </si>
  <si>
    <t>Methoxycarbonylation of Styrene Catalyzed by Palladium Complexes with Ferrocene Derivatives Containing Nitrogen and Phosphine Ligands</t>
  </si>
  <si>
    <t>CATALYSIS LETTERS</t>
  </si>
  <si>
    <t>The catalytic behaviour of different complexes of Palladium(II) containing mono or bidentate phosphorus or nitrogen ligands in the methoxycarbonylation reaction is examined. The pre-catalysts containing either a diphosphine ligand possessing a ferrocenyl backbone or a naphthyridine ligand attached to the same ferrocenyl backbone showed different catalytic activity for the reaction. Complexes containing the 1,1-bis(diphenylphosphino)ferrocene (dppf) ligand showed a better catalytic activity than the complex having the naphthyridine ligand in its structure. Various effects of the addition of triphenylphosphine to these pre-catalysts were observed. More than 99% conversion was achieved in the methoxycarbonylation of styrene using Pd(II) catalysts with ferrocenyl chelate derivatives, mostly with the Pd(dppf)Cl-2, [Pd(dppf)(MeCN)(2)](BF4)(2) and [Pd(dppf)PPh3](BF4)(2) complexes without the presence of triphenylphosphine as is usual in this reaction. The reactions were carried out under mild pressure and temperature conditions.</t>
  </si>
  <si>
    <t>Zuniga, Cesar/0009-0004-8736-6861</t>
  </si>
  <si>
    <t>1011-372X</t>
  </si>
  <si>
    <t>1572-879X</t>
  </si>
  <si>
    <t>10.1007/s10562-009-0020-1</t>
  </si>
  <si>
    <t>WOS:000267330300017</t>
  </si>
  <si>
    <t>Camargo, A; Aguirre, MJ; Cheuquepán, W; Chen, YY; Ramírez, G</t>
  </si>
  <si>
    <t>Camargo, Andres; Aguirre, Maria J.; Cheuquepan, William; Chen, Yo-Ying; Ramirez, Galo</t>
  </si>
  <si>
    <t>Electrooxidation of Nitrite Mediated by Cu-x-Tetraaminophenylporphyrin (x=2, 3, and 4) Glassy Carbon-Modified Electrodes: Effect of Substituent Position</t>
  </si>
  <si>
    <t>A study of glassy carbon electrodes modified with poly-Cu-x-tetraaminophenylporphyrin (TAPP) (x=2, 3, and 4) toward the electrooxidation of nitrite is reported. The position of the amino group influences the degree of electropolymerization and the response toward the electrooxidation of nitrite. The influence of pH on the electrocatalytic oxidation of nitrite was also studied, finding that the activity is strongly pH-dependent. For each system (polymeric porphyrins, poly-Cu-2-TAPP, poly-Cu-3-TAPP, and poly-Cu-4-TAPP), the behavior of the modified electrode as amperometric nitrite sensor was studied at the best pH response, finding a linear correlation over a wide range of concentrations for Poly-Cu-3-TAPP. With poly-Cu-2-TAPP, the range is smaller, and there is no linear relationship for poly-Cu-4-TAPP. The plot of I-p vs. the square root of the scan rate shows a linear relationship for all the polymer systems, indicating that the electrooxidation of nitrite in the modified electrodes is a process controlled by diffusion. The Tafel slope was calculated, indicating that the determining step in the electrooxidation of nitrite varies depending on the position of the substituent, showing a dramatic change in the nature of the active sites.</t>
  </si>
  <si>
    <t>Aguirre, Maria/A-3935-2013; Valenzuela, William/AAN-9176-2020</t>
  </si>
  <si>
    <t>Ramirez, Galo/0000-0002-6217-4730; Cheuquepan, William/0000-0001-6741-1144; Aguirre, Maria/0000-0003-1134-4469</t>
  </si>
  <si>
    <t>10.1002/elan.200804369</t>
  </si>
  <si>
    <t>WOS:000261876800006</t>
  </si>
  <si>
    <t>Del Valle, LJ; Pella, R; Mercedes, A; Velasquez, LA; Orihuela, PA</t>
  </si>
  <si>
    <t>Del Valle, Luis J.; Pella, Ricardo; Mercedes, Azucena; Velasquez, Luis A.; Orihuela, Pedro A.</t>
  </si>
  <si>
    <t>Embryotoxicity of serum from women smoking cocaine base paste (CBP)</t>
  </si>
  <si>
    <t>EUROPEAN JOURNAL OF OBSTETRICS &amp; GYNECOLOGY AND REPRODUCTIVE BIOLOGY</t>
  </si>
  <si>
    <t>Objective: Using a mouse embryo bioassay, we examined the embryotoxic properties of serum obtained from eight women who had ingested cocaine base paste (CBP) for a period of 1-3 years. Study design: Two-cell stage mouse embryos were cultured in the presence of serum extracted from eight CBP-smoking or control women. After 48 h, embryos were evaluated to determine their developmental stage and then processed by Tarkoswki's technique to determine the proportion of embryos with micronuclei, in order to establish the number of micronuclei/embryo. Results: Serum from CBP patients diminished the percentage of embryos progressing to the compacted morula stage, while increasing the proportion of embryos with micronuclei and the corresponding micronuclei/embryo ratio. Conclusion: These findings provide the first experimental evidence of embryotoxic compounds in the serum of CBP-smoking women. This study highlights the reproductive risk of chronically ingested CBP and demonstrates the need for further studies. (C) 2007 Elsevier Ireland Ltd. All rights reserved.</t>
  </si>
  <si>
    <t>; del Valle, Luis J./I-1342-2015</t>
  </si>
  <si>
    <t>Pella, Ricardo/0000-0001-9483-3684; Velasquez, Luis/0000-0002-9479-1792; del Valle, Luis J./0000-0001-9916-1741</t>
  </si>
  <si>
    <t>0301-2115</t>
  </si>
  <si>
    <t>1872-7654</t>
  </si>
  <si>
    <t>10.1016/j.ejogrb.2007.10.010</t>
  </si>
  <si>
    <t>WOS:000258042600005</t>
  </si>
  <si>
    <t>Mena, C; Ormazábal, Y; Llanos, JL; Díaz, J</t>
  </si>
  <si>
    <t>Mena, Carlos; Ormazabal, Yony; Llanos, Jose Luis; Diaz, Jose</t>
  </si>
  <si>
    <t>Development of a geographic information system to improve the irrigation water management of the Convento Viejo Dam, Chile</t>
  </si>
  <si>
    <t>AGRICULTURA TECNICA</t>
  </si>
  <si>
    <t>When establishing strategic lines for agricultural activities, geomatic and its diverse technologies allow generating a highly representative and reliable characterization of the territory, expressed in a dynamic and flexible digital data base. This helps the planning and monitoring of the productive changes observed in lands benefited with the increase of irrigation water and the improvement of its distribution network. The main goal of the investigation was to create a Geographic Information System (GIS), feed it with farming and socioeconomic information bases allowing the identification of homogeneous intervention sectors and the establishment of an agricultural exploitation typology of the zones directly or indirectly benefited by the construction of the Convento Viejo Dam in its second stage. The methodology employed included the creation of a digital database from the compilation and processing of different sources and formats of digital geographic cover, geo-processing of the covers to identify homogenous intervention zones, design and application of a survey to classify the agricultural exploitations and the elaboration of a GIS consultation interphase. Four homogeneous geographic sectors were identified and delimited by topographic, agricultural and climatic variables. The agricultural exploitations typology resulted in four conglomerates (clusters) grouped according to social, productive, financial and commercial variables. The designed GIS allows easy consultation and analysis of the information improving agricultural management and planning.</t>
  </si>
  <si>
    <t>FRAU, CARLOS/AAH-2881-2020; Ormazabal, Yony/HZL-3558-2023; LLANOS, JOSE/AAQ-2569-2021</t>
  </si>
  <si>
    <t>ormazabal rojas, yony/0000-0001-9947-3024</t>
  </si>
  <si>
    <t>0365-2807</t>
  </si>
  <si>
    <t>WOS:000254433100006</t>
  </si>
  <si>
    <t>Mardones-Restat, F; de Azevedo, AC</t>
  </si>
  <si>
    <t>Mardones-Restat, Francisco; Carlos de Azevedo, Antonio</t>
  </si>
  <si>
    <t>The essential health reform in Chile; a reflection on the 1952 process</t>
  </si>
  <si>
    <t>SALUD PUBLICA DE MEXICO</t>
  </si>
  <si>
    <t>The authors claim that the critical health reform in Chilean history was the establishment of the National Health Service (NHS) in 1952. The development of modern Chilean health care since the end of the 19th century is discussed both in terms of the prevailing health situation and the subsequent evolution of institutions and policies, with an emphasis on the social and political conditions that led to the creation of the NHS in 1952. From this analysis and from a comparison of infant mortality rates among Latin American countries during the same period, the authors infer that the 1952 health reform was the social and political benchmark that allowed Chile to exhibit the relatively favorable health situation it still enjoys. Using Cavanaugh's scheme, it is clear that the first-generation reform was the reform imposed by the military regime in the early 1980s, which aimed to change the orientation of the health system. Similarly, the second-generation reform was that implemented by the democratic administrations of the early 1990s to reverse the harm done by their military predecessors. The rapid aging of the population and the advent of new technologies pose a challenge to the insurance system's coverage capacity and threaten the sustainability of all health systems. The implementation of universal, comprehensive, collective health systems, managed under the most integrated authority political conditions will allow, is emphasized as an appropriate solution for developed and developing countries alike.</t>
  </si>
  <si>
    <t>de Azevedo, Antonio/C-8400-2011</t>
  </si>
  <si>
    <t>0036-3634</t>
  </si>
  <si>
    <t>1606-7916</t>
  </si>
  <si>
    <t>10.1590/S0036-36342006000600009</t>
  </si>
  <si>
    <t>WOS:000244189200009</t>
  </si>
  <si>
    <t>Pedreschi, F; León, J; Mery, D; Moyano, P</t>
  </si>
  <si>
    <t>Pedreschi, Franco; Leon, Jorge; Mery, Domingo; Moyano, Pedro</t>
  </si>
  <si>
    <t>Development of a computer vision system to measure the color of potato chips</t>
  </si>
  <si>
    <t>The objective of this research was to design and implement an inexpensive computer vision system for measuring the color of a highly heterogeneous food material not only in shape as well in color such as potato chips in L*a*b* units from RGB images. The system was composed of (i) a digital color camera for acquiring the images in a digital format, (ii) a computer for storage the images, (c) image analysis routines integrated into a software programmed in Matlab that converts the color RGB of the food image into L*a*b* units. In this way the color of potato chips can be calculated in L*a*b* units over representative areas and in a reproducible way. The kinetics of color changes in potato slices during frying at four temperatures was followed using the implemented computer vision system (CVS). Color values in L*a*b* units were recorded at different sampling times during frying at the four oil temperatures using the total color change parameter (AE). Chips fried at higher temperatures get darker as expected and showed by the CVS. The implemented computer vision system can be used to study as well foods different from potato chips by selecting their proper settings for image acquisition and digital image processing. (c) 2006 Elsevier Ltd. All rights reserved.</t>
  </si>
  <si>
    <t>pedreschi, franco/F-8844-2013; Mery, Domingo/D-1385-2014</t>
  </si>
  <si>
    <t>Mery, Domingo/0000-0003-4748-3882</t>
  </si>
  <si>
    <t>10.1016/j.foodres.2006.03.009</t>
  </si>
  <si>
    <t>WOS:000242540600007</t>
  </si>
  <si>
    <t>Cifuentes, L; Simpson, J</t>
  </si>
  <si>
    <t>Temperature dependence of the cathodic and anodic kinetics in a copper electrowinning cell based on reactive electrodialysis</t>
  </si>
  <si>
    <t>CHEMICAL ENGINEERING SCIENCE</t>
  </si>
  <si>
    <t>The temperature dependence of various kinetic parameters for the copper electrodeposition reaction and for the ferrous to ferric ion oxidation has been experimentally determined. Potentiodynamic sweeps were carried out in a reactive electrodialysis cell in the 30-60 degrees C range in order to obtain expressions for each parameter as a function of temperature. In the conditions studied, for both reactions, the exchange current density depends on temperature as ln[i(0)(A/m(2))] = -a/T + b and the limiting current density, as vertical bar i(L)(A/m(2))vertical bar = cT - d. For the copper electrodeposition reaction, the charge transfer coefficient is constant, whereas for the ferrous to ferric ion oxidation it depends on temperature as alpha = f T-2 + gT + h (a-h are constants). These expressions can be used in a temperature-dependent model of a membrane-based copper electrowinning cell. (c) 2005 Elsevier Ltd. All rights reserved.</t>
  </si>
  <si>
    <t>Seves, Luis/I-1108-2013</t>
  </si>
  <si>
    <t>0009-2509</t>
  </si>
  <si>
    <t>1873-4405</t>
  </si>
  <si>
    <t>10.1016/j.ces.2005.04.031</t>
  </si>
  <si>
    <t>WOS:000230700100020</t>
  </si>
  <si>
    <t>Castillo, G; Henriquez, HR</t>
  </si>
  <si>
    <t>Almost-periodic solutions for a second order abstract Cauchy problem</t>
  </si>
  <si>
    <t>ACTA MATHEMATICA HUNGARICA</t>
  </si>
  <si>
    <t>We study the existence of almost-periodic solutions for a second order abstract Cauchy problem defined in a Banach space.</t>
  </si>
  <si>
    <t>0236-5294</t>
  </si>
  <si>
    <t>1588-2632</t>
  </si>
  <si>
    <t>10.1007/s10474-005-0003-7</t>
  </si>
  <si>
    <t>WOS:000227849400003</t>
  </si>
  <si>
    <t>Acuña, M; Eaton, L; Ramírez, NR; Cifuentes, L; Llop, E</t>
  </si>
  <si>
    <t>Genetic variants of serum butyrylcholinesterase in Chilean Mapuche Indians</t>
  </si>
  <si>
    <t>AMERICAN JOURNAL OF PHYSICAL ANTHROPOLOGY</t>
  </si>
  <si>
    <t>We estimated the frequencies of serum butyrylcholinesterase (BChE) alleles in three tribes of Mapuche Indians from southern Chile, using enzymatic methods, and we estimated the frequency of allele BCHE*K in one tribe using primer reduced restriction analysis (PCR-PIRA). The three tribes have different degrees of European admixture, which is reflected in the observed frequencies of the atypical allele BCHE*A: 1.11% in Huilliches, 0.89% in Cuncos, and 0% in Pehuenches. This result is evidence in favor of the hypothesis that BCHE*A is absent in native Amerindians. The frequencies of BCHE*F were higher than in most reported studies (3.89%, 5.78%, and 4.41%, respectively). These results are probably due to an overestimation of the frequency of allele BCHE*F, since none of the 20 BCHE UF individuals (by the enzymatic test) individuals analyzed showed either of the two DNA base substitutions associated with this allele. Although enzymatic methods rarely detect the presence of allele BCHE*K, PCR-PIRA found the allele in an appreciable frequency (5.76%), although lower than that found in other ethnic groups. Since observed frequencies of unusual alleles correspond to estimated percentages of European admixture, it is likely that none of these unusual alleles were present in Mapuche Indians before the arrival of Europeans. (C) 2003 Wiley-Liss, Inc.</t>
  </si>
  <si>
    <t>cifuentes, lucia/H-3280-2014</t>
  </si>
  <si>
    <t>Cifuentes, Lucia/0000-0002-0766-1165</t>
  </si>
  <si>
    <t>0002-9483</t>
  </si>
  <si>
    <t>10.1002/ajpa.10222</t>
  </si>
  <si>
    <t>WOS:000182336300010</t>
  </si>
  <si>
    <t>Mery, D; Filbert, D</t>
  </si>
  <si>
    <t>Automated flaw detection in aluminum castings based on the tracking of potential defects in a radioscopic image sequence</t>
  </si>
  <si>
    <t>IEEE TRANSACTIONS ON ROBOTICS AND AUTOMATION</t>
  </si>
  <si>
    <t>15th World Conference on Non-Destructive Testing</t>
  </si>
  <si>
    <t>OCT 15-21, 2000</t>
  </si>
  <si>
    <t>ROME, ITALY</t>
  </si>
  <si>
    <t>This paper presents a new method for inspecting aluminum castings automatically from a sequence of radioscopic images taken at different positions of the casting. The classic image-processing methods for flaw detection of aluminum castings use a bank of filters to generate an error-free reference image. This reference image is compared with the real radioscopic image, and flaws are detected at the pixels where the difference between them is considerable. However, the configuration of each filter depends strongly on the size and shape of the structure of the casting under inspection. A new two-step technique is proposed to detect flaws automatically and that uses a single filter. First, the method identifies potential defects in each image of the sequence, and second, it matches and tracks them from image to image. The key idea of this paper is to consider as false alarms those potential defects which cannot be tracked in the sequence. The robustness and reliability of the method have been verified on both real data in which synthetic flaws have been added and real radioscopic image sequences recorded from cast aluminum wheels with known defects. Using this method, the real defects can be detected with high certainty. This approach achieves good discrimination from false alarms.</t>
  </si>
  <si>
    <t>Mery, Domingo/D-1385-2014</t>
  </si>
  <si>
    <t>1042-296X</t>
  </si>
  <si>
    <t>10.1109/TRA.2002.805646</t>
  </si>
  <si>
    <t>WOS:000180214000003</t>
  </si>
  <si>
    <t>Moya, SA; Guerrero, J; Pastene, R; Azócar-Guzmán, I; Pardey, AJ</t>
  </si>
  <si>
    <t>Metal carbonyl complexes containing heterocyclic nitrogen ligands -: Part IX.: MnBr(CO)3(3,3′-R-2,2′-biquinoline) compounds</t>
  </si>
  <si>
    <t>POLYHEDRON</t>
  </si>
  <si>
    <t>The fac-MnBr(CO)(3)(3,3'-R-2,2'-biquinoline) (R = CH3 and CH3; H and H; -CH2-CH2- or -CH2-CH2-CH2-) compounds were synthesized and characterized. The fac-conformation for the carbonyl complexes was established by IR spectroscopy. Conformational effects were investigated by means of H-1 NMR and UV-Vis spectroscopical and electrochemical properties and these properties were compared with related rhenium compounds. (C) 2002 Published by Elsevier Science Ltd.</t>
  </si>
  <si>
    <t>Azocar Guzman, Manuel/0000-0003-1098-4659; PASTENE OLIVARES, RUBEN/0000-0002-7137-0303</t>
  </si>
  <si>
    <t>0277-5387</t>
  </si>
  <si>
    <t>MAR 1</t>
  </si>
  <si>
    <t>PII S0277-5387(01)01009-9</t>
  </si>
  <si>
    <t>10.1016/S0277-5387(01)01009-9</t>
  </si>
  <si>
    <t>WOS:000174828300014</t>
  </si>
  <si>
    <t>Rabagliati, FM; Pérez, MA; Soto, MA; de Ilarduya, AM; Muñoz-Guerra, S</t>
  </si>
  <si>
    <t>Copolymerization of styrene by diphenylzinc-additive systems I.: Copolymerization of styrene/p-tert-butylstyrene by Ph2Zn-metallocene-MAO systems</t>
  </si>
  <si>
    <t>Copolymerization of styrene (S) and p-tert-butylstyrene (p-(BuS)-S-t) was carried out at 60 degreesC using diphenylzinc-metallocene-MAO systems. Metallocenes bisindenylzirconium dichloride, bis(n-butylcyclopentadienyl) titanium dichloride and cyclopentadienyltitanium trichloride were tried, the latter giving the largest conversion. Copolymers obtained with this system were analyzed by NMR and showed to be syndiotactic in nature and slightly richer in p-Bu'S than the initial feed from which they were formed. (C) 2001 Elsevier Science Ltd. All rights reserved.</t>
  </si>
  <si>
    <t>Guerra, Sebastián/G-2237-2015; Martinez de Ilarduya, Antxon/E-4034-2012</t>
  </si>
  <si>
    <t>Martinez de Ilarduya, Antxon/0000-0001-8105-2168</t>
  </si>
  <si>
    <t>10.1016/S0014-3057(00)00202-0</t>
  </si>
  <si>
    <t>WOS:000167625400018</t>
  </si>
  <si>
    <t>Pizarro, C; Furet, NR; Venegas, R; Fabris, JD; Escudey, M</t>
  </si>
  <si>
    <t>Warning on the interpretation of mö sbauer spectra in volcanic soils mineralogical studies.</t>
  </si>
  <si>
    <t>Fabris, José/H-4121-2012; Li, Rubén/G-6560-2016</t>
  </si>
  <si>
    <t>AUG 22</t>
  </si>
  <si>
    <t>19-FERT</t>
  </si>
  <si>
    <t>U592</t>
  </si>
  <si>
    <t>U593</t>
  </si>
  <si>
    <t>WOS:000082033901796</t>
  </si>
  <si>
    <t>Henríquez, F; Nyström, JO</t>
  </si>
  <si>
    <t>Magnetite bombs at El Laco volcano, Chile</t>
  </si>
  <si>
    <t>GFF</t>
  </si>
  <si>
    <t>The origin of apatite iron ores of the Kiruna type remains controversial, especially the formation of almost pure magnetite that constitutes large parts of major deposits. The best preserved ores of this type occur on the flanks of El Lace, a Plio-Pleistocene volcano in the Chilean Andes. Based on recent studies a group of workers argues that the El Lace deposits were formed by hydrothermal fluids. However, existence of ballistic volcanic bombs composed of radiating porous aggregates of magnetite crystals in some of the orebodies, demonstrates that apatite iron ores can form directly from a melt.</t>
  </si>
  <si>
    <t>1103-5897</t>
  </si>
  <si>
    <t>10.1080/11035899809453216</t>
  </si>
  <si>
    <t>WOS:000081232000002</t>
  </si>
  <si>
    <t>Saavedra, C; González, E; Vásquez, C</t>
  </si>
  <si>
    <t>Studies on the heterologous expression of BstVI restriction endonuclease in Escherichia coli.</t>
  </si>
  <si>
    <t>BIOCHEMISTRY AND MOLECULAR BIOLOGY INTERNATIONAL</t>
  </si>
  <si>
    <t>Bacterial restriction and modification systems must be regulated to avoid self-restriction It is generally accepted that cognate DNA methyltransferases normally protects both, the host's chromosome and extrachromosomal elements from the activity of their endonuclease counterparts. When the bstVIRM genes from Bacillus stearothermophilusV were subcloned into Escherichia coli, several clones exhibiting a r(+)m(-) phenotype were originated. The present work was undertaken to analyze the possibility that mechanisms other than DNA methylation could account for the viability of these cells. No evidence was found for an inhibitory agent or endonuclease compartmentation. In vivo experiments showed that lambda phage multiplication was poorly restricted by the heterologous enzyme. The restricting activity against the incoming phage increased however when phage adsortion was performed at higher temperatures. Analogous experiments in which a DNA-repair deficient strain was used as a host for the thermophilic R-M system suggested, to some extent, the participation of the repair machinery in the viability of r(+)m(-) clones.</t>
  </si>
  <si>
    <t>1039-9712</t>
  </si>
  <si>
    <t>WOS:000072404900017</t>
  </si>
  <si>
    <t>Cardenas, H; Corvalan, L; Imarai, M</t>
  </si>
  <si>
    <t>There a mucosal immune system associated with the mammalian oviduct?</t>
  </si>
  <si>
    <t>The oviduct is a key component of the reproductive system where essential stages such as spermatozoa capacitation, fertilization and early embryo development rake place. Recently, an additional role for the entire female reproductive tract has emerged with important implications for our understanding and management of reproductive health, namely, its role in mounting local immune responses against microbial pathogens. Most of the evidence about mucosal immune responses in the female reproductive tract is related to the vagina, with less information available for the uterus. The less known segment in this regard is the oviduct, which prompted us to review and summarize the current state of knowledge on the immune system at the level of the mammalian oviduct. A comprehensive search was conducted in Medline ann -for the last two years-also in Current Contents. Results demonstrate that the mammalian oviduct is endowed with many of the elements that characterize a mucosal immune system. However, there are gaps in our knowledge that, in addition to important interspecies differences, make it essential to explore further some fundamental questions regarding this system.</t>
  </si>
  <si>
    <t>Imarai, Monica/0000-0001-8767-9180</t>
  </si>
  <si>
    <t>WOS:000077870500003</t>
  </si>
  <si>
    <t>Aguilera, SM; Borie, G; Peirano, P; Galindo, G</t>
  </si>
  <si>
    <t>Organic matter in volcanic soils in Chile: Chemical and biochemical characterization</t>
  </si>
  <si>
    <t>Determinations were made of total soil organic matter (SOM), stable and labile organic fractions, biomass carbon (C), and chemical composition of several humus-soil-fractions in chilean volcanic soils, Andosols and Ultisols. Their physico-chemical Properties and humification degree at different stages in edaphic evolution were also assessed. In addition, organic matter models were obtained by chemical and biological syntheses and the structures and properties of natural and synthetic humic materials were compared with SOM. Results indicate that Andosols have higher SOM levels than Ultisols, but the fraction distribution in the latter suggests a shift of the more stable fractions to the more labile ones. Moreover, contents of humines, and humic and fulvic acids suggest that Chilean volcanic soil SOM is highly humified. On the other hand, among the SOM labile fractions, carbohydrate and biomass are about 15% of the SOM which are one of the most important fractions in soil fertility.</t>
  </si>
  <si>
    <t>11-12</t>
  </si>
  <si>
    <t>10.1080/00103629709369841</t>
  </si>
  <si>
    <t>WOS:A1997XL66900006</t>
  </si>
  <si>
    <t>Valderrama, W; Magne, L</t>
  </si>
  <si>
    <t>Effect of lifter design upon mill power consumption</t>
  </si>
  <si>
    <t>Power mill draw was measured in a 290 x 110 mm laboratory batch mill, loaded with balls, cylinders or metal grains. Angle between front face of the lifter and its base-surface are the key parameter to control power consumption. A 45 degrees lifter front angle and about 85 % rotational speed lead to the maximum power draw. As the mill is provided with higher lifter front angles, a decrease in power occurs, and the maximum with respect to the mill velocity is shifted to lower values. For lifter front angle lower than 45 degrees, power consumption at low mill rotational speed is reduced, and the maximum is often moved beyond the critical speed value, which indicates slip of the load. Lifter height has a variable effect upon power draw, depending on the front angle and its relative size compared to the grinding bodies. Generally, an increase in height reduces the maximum power draw, and it is obtained at a lower rotational speed. Low-angle lifters are less sensible to the height. Number of lifter did not show any effect on power draw.</t>
  </si>
  <si>
    <t>WOS:A1996VJ57700001</t>
  </si>
  <si>
    <t>Cubillos, FA; Alvarez, PI; Pinto, JC; Lima, EL</t>
  </si>
  <si>
    <t>Hybrid-neural modeling for particulate solid drying processes</t>
  </si>
  <si>
    <t>POWDER TECHNOLOGY</t>
  </si>
  <si>
    <t>In this work, a general framework for modeling and simulation of particulate solid drying processes is presented, based on fundamental conservation laws associated with a neural network, for model uncertain parameter estimation. The modeling approach, which leads to a hybrid-neural model, is applied in order to describe the dynamic behavior of two important drying systems: a direct flow rotary dryer and a batch fluidized bed dryer. Both models are built using simple mass and energy balances, where heat and mass transfer parameters are estimated with neural networks. Model behavior was evaluated by comparing experimental and simulation data. It is concluded that the hybrid-neural modeling approach is better for adaptation and prediction than its black box type counterpart.</t>
  </si>
  <si>
    <t>CUBILLOS, FRANCISCO/0000-0001-7863-4394</t>
  </si>
  <si>
    <t>0032-5910</t>
  </si>
  <si>
    <t>10.1016/0032-5910(95)03083-2</t>
  </si>
  <si>
    <t>WOS:A1996UR06300006</t>
  </si>
  <si>
    <t>GARRIDO, M; SEPULVEDABOZA, S; URZUA, A; BREITMAIER, E</t>
  </si>
  <si>
    <t>FURANSESQUITERPENES FROM SENECIO-ALLOEOPHYLLUS (COMPOSITAE)</t>
  </si>
  <si>
    <t>JOURNAL FUR PRAKTISCHE CHEMIE-CHEMIKER-ZEITUNG</t>
  </si>
  <si>
    <t>0941-1216</t>
  </si>
  <si>
    <t>10.1002/prac.19953370115</t>
  </si>
  <si>
    <t>WOS:A1995QF24700014</t>
  </si>
  <si>
    <t>CUADRA, P; FAJARDO, V; MUNOZ, O; ARRIETA, A; URZUA, A</t>
  </si>
  <si>
    <t>DETERMINATION OF THE EFFECT OF 8-O-(2-METHYL-2-BUTENOYL)-5,7-DIHYDROXY-3-METHOXYFLAVONE FROM GNAPHALIUM-ROBUSTUM ON GROWTH OF ESCHERICHIA-COLI-K-12 BY OPTICAL-DENSITY AND ELECTRICAL CONDUCTANCE MEASUREMENTS</t>
  </si>
  <si>
    <t>Muñoz, Ociel/K-2951-2016; Fajardo, Virgilio/HMD-5427-2023</t>
  </si>
  <si>
    <t>10.1055/s-2006-959588</t>
  </si>
  <si>
    <t>WOS:A1994PZ15200030</t>
  </si>
  <si>
    <t>RETAMAL, JC; SAAVEDRA, C</t>
  </si>
  <si>
    <t>ENHANCED TRANSIENT SQUEEZING IN A KICKED JAYNES-CUMMINGS MODEL</t>
  </si>
  <si>
    <t>PHYSICAL REVIEW A</t>
  </si>
  <si>
    <t>It is found that in an externally kicked Jaynes-Cummings model the transient squeezing of the field can be sustained for longer times as compared with the usual dynamics.</t>
  </si>
  <si>
    <t>1050-2947</t>
  </si>
  <si>
    <t>1094-1622</t>
  </si>
  <si>
    <t>10.1103/PhysRevA.50.1867</t>
  </si>
  <si>
    <t>WOS:A1994PB59400046</t>
  </si>
  <si>
    <t>ENCINAS, MV; LISSI, EA; MAJMUD, C; COSA, JJ</t>
  </si>
  <si>
    <t>PHOTOPOLYMERIZATION IN AQUEOUS-SOLUTIONS INITIATED BY THE INTERACTION OF EXCITED PYRENE DERIVATIVES WITH ALIPHATIC-AMINES</t>
  </si>
  <si>
    <t>The photolysis of pyrene derivatives in the presence of amines has been employed as a source of free radicals in the polymerization of 1-vinyl-2-pyrrolidinone in aqueous solution. The photoinitiation efficiency strongly depends on the amine and the sensitizer employed. With regard to the amine, only tertiary amines are efficient cocatalysts, hydroxyethanolamines being particularly efficient. For a given amine the initiation efficiency is high for pyrene and its cationic derivatives, while pyrenebutyric acid is a poor photoinitiator and pyrenesulfonic acid does not initiate the polymerization. The active radicals are produced in the interaction between the singlet excited state and the additive, the photoinitiation rate being proportional to the fraction of singlets quenched by the amine. The photoinitiation efficiency at total singlet quenching correlates with the rate constant of the quenching process, the photobleaching rate, and the pyrene radical anion yield. Photobleaching yield and the lifetime of the pyrene-derived radical anion decrease in the presence of 1-vinyl-2-pyrrolidinone. All these results are compatible with an initiation mechanism involving the interaction of the pyrene radical anion with the monomer.</t>
  </si>
  <si>
    <t>NOV 8</t>
  </si>
  <si>
    <t>10.1021/ma00075a025</t>
  </si>
  <si>
    <t>WOS:A1993MF85900025</t>
  </si>
  <si>
    <t>CUFFINI, SL; MACAGNO, VA; CARBONIO, RE; MELO, A; TROLLUND, E; GAUTIER, JL</t>
  </si>
  <si>
    <t>CRYSTALLOGRAPHIC, MAGNETIC, AND ELECTRICAL-PROPERTIES OF SRTI1-XRUXO3 PEROVSKITE SOLID-SOLUTIONS</t>
  </si>
  <si>
    <t>JOURNAL OF SOLID STATE CHEMISTRY</t>
  </si>
  <si>
    <t>0022-4596</t>
  </si>
  <si>
    <t>1095-726X</t>
  </si>
  <si>
    <t>10.1006/jssc.1993.1204</t>
  </si>
  <si>
    <t>WOS:A1993LP63400017</t>
  </si>
  <si>
    <t>ENCINAS, MV; LISSI, EA; MAJMUD, C; OLEA, AF</t>
  </si>
  <si>
    <t>REACTIVITY OF TERT-BUTOXYL RADICALS TOWARDS SUBSTITUTED INDOLE-DERIVATIVES</t>
  </si>
  <si>
    <t>Tert-butoxyl radicals react with indole and methyl substituted derivatives by hydrogen abstraction. For those compounds which are unsubstituted at the N-atom, hydrogen abstraction takes place almost exclusively at the N-H bond. The reactivity of these compounds correlates with their donor electron capacity, pointing to significant contribution of charge transfer to the transition state stability. Substitution at the N atom considerably decreases the reactivity.</t>
  </si>
  <si>
    <t>10.1002/kin.550230902</t>
  </si>
  <si>
    <t>WOS:A1991GB45000001</t>
  </si>
  <si>
    <t>LABARCA, R; PACIFICO, MJ</t>
  </si>
  <si>
    <t>STABILITY OF MORSE-SMALE VECTOR-FIELDS ON MANIFOLDS WITH BOUNDARY</t>
  </si>
  <si>
    <t>TOPOLOGY</t>
  </si>
  <si>
    <t>0040-9383</t>
  </si>
  <si>
    <t>10.1016/0040-9383(90)90025-F</t>
  </si>
  <si>
    <t>WOS:A1990CY48000005</t>
  </si>
  <si>
    <t>López-de-Dicastillo, C; Velásquez, E; Rojas, A; Higueras, L; Hernández-Muñoz, P; Gavara, R</t>
  </si>
  <si>
    <t>Lopez-de-Dicastillo, Carol; Velasquez, Eliezer; Rojas, Adrian; Higueras, Laura; Hernandez-Munoz, Pilar; Gavara, Rafael</t>
  </si>
  <si>
    <t>Designing novel waterborne polylactic acid coatings for food packaging applications including polyvinyl alcohol as stabilizer</t>
  </si>
  <si>
    <t>FOOD PACKAGING AND SHELF LIFE</t>
  </si>
  <si>
    <t>Waterborne polylactic acid (PL) coatings were successfully prepared through a two-step emulsification-evaporation process by using polyvinyl alcohol (Pv) solutions as stabilizer and sodium dodecyl sulfate (SDS) as surfactant. First, various emulsions of PL were carried out by mixing a 18 % (w/v) PL solution in ethyl acetate with diverse volumes of Pv aqueous solutions at concentration ranging between 2 % and 11.6 % (w/v). The emulsions developed with low concentrated Pv solutions (2 % w/v) were all discarded due to lack of stability. From the stable solutions, PL dispersions were prepared by ethyl acetate evaporation. By modifying Pv concentration and the volume of stabilizer, six PL dispersions were successfully obtained with PL/Pv ratio varying from 42/58-70/ 30. Both the PL emulsions and dispersions were rheologically characterized and the latter were used to obtain cast composite films that were characterized through their physical and technological properties. The viscosity of the developed coating dispersions were mainly governed by Pv concentration. FTIR analysis of composite films revealed interactions between chemical groups of both polymers that were confirmed by thermogravimetric analysis. Both the water vapor sorption and the oxygen permeability (PO2) of composite films were highly affected by the Pv concentration and the relative humidity (RH). The reduction of PO2 was more noticeable at the highest Pv ratio and the lowest RH. Although, PO2 of composite films increased as RH increased, their oxygen barrier was between 15 and 5 times better than control PL film.</t>
  </si>
  <si>
    <t>Lopez-de-Dicastillo, Carol/C-6347-2019</t>
  </si>
  <si>
    <t>Lopez-de-Dicastillo, Carol/0000-0003-0067-9765</t>
  </si>
  <si>
    <t>2214-2894</t>
  </si>
  <si>
    <t>10.1016/j.fpsl.2025.101493</t>
  </si>
  <si>
    <t>WOS:001465109900001</t>
  </si>
  <si>
    <t>Abdian, S; Fakhri, S; Moradi, SZ; Khirehgesh, MR; Echeverría, J</t>
  </si>
  <si>
    <t>Abdian, Sadaf; Fakhri, Sajad; Moradi, Seyed Zachariah; Khirehgesh, Mohammad Reza; Echeverria, Javier</t>
  </si>
  <si>
    <t>Saffron and its major constituents against neurodegenerative diseases: A mechanistic review</t>
  </si>
  <si>
    <t>Background: Neurodegeneration has been recognized as the main pathophysiological alteration in the majority of brain-related diseases. Despite contemporary attempts to provide acceptable medicinal therapies, the conclusion has not been much beneficial. Besides, the complex pathophysiological mechanisms behind neurodegenerative diseases (NDDs) urge the needs for finding novel multi-target agents. Accordingly, saffron with major active constituents and as multi-targeting agents have shown beneficial effects in modulating NDDs with higher efficacy and lower side effects. Purpose: The present study provides a systematic and comprehensive review of the existing in vitro, in vivo, and clinical data on the effectiveness, and signaling pathways of saffron and its key phytochemical components in the management of NDDs. The need to develop novel saffron delivery systems is also considered. Methods: Studies were identified through a systematic and comprehensive search in Science Direct, PubMed, and Scopus databases through April 30, 2024. The whole saffron major constituents ( e.g. , saffron, crocin, crocetin, picrocrocin, and safranal) and NDDs ( e.g. , neuro*, spinal cord injury, multiple sclerosis, amyotrophic lateral sclerosis, Huntington*, Parkinson*, Alzheimer*, and brain) were selected as keywords to find related studies. In the systematic analysis, 64 articles were directly included in the current study. Additional reports were added within the comprehensive studies in the review. Results: Saffron and its active metabolites crocin, crocetin, safranal, and picrocrocin have shown acceptable efficacy in managing NDDs like Alzheimer's disease, Parkinson's disease, Attention deficit hyperactivity disorder, depression, and other NDDs via modulating apoptotic ( e.g. , caspases, Bax/Bcl-2, cytochrome c, and death receptors), inflammatory ( e.g. , NF-kappa B, IL-1(3, IL-6, TNF-alpha, and COX-2), and oxidative strass ( e.g. , Nrf2, GSH, GPx, CAT, SOD, MDA, ROS, and nitrite) signaling pathways. The presented in vitro, in vivo, and clinical evidences showed us a better future of controlling NDDs with higher efficacy, while decreasing associated side effects with no significant toxicity. Additionally, employing novel delivery systems could increase the efficacy of saffron phytoconstituents to resolve the issues pharmacokinetic limitations. Conclusion: Saffron and its major constituents employ anti-inflammatory, anti-apoptotic and antioxidant mechanisms in modulating several dysregulated-signaling pathways in NDDs. However, further research is necessary to elucidate the precise underlying mechanisms in exploring the feasibility of using saffron active compounds against NDDs. More studies should focus on dose-response relationships, long-term effects, highlighting key mechanisms, and designing more well-controlled clinical trials. Additionally, developing stable and cost-benefit novel delivery systems in future works helps to remove the pharmacokinetic limitations of saffron major constituents.</t>
  </si>
  <si>
    <t>Khirehgesh, Mohammad Reza/CAH-8455-2022; Echeverría, Javier/AAK-3323-2020; Moradi, Seyed Zachariah/ABA-9171-2020</t>
  </si>
  <si>
    <t>Echeverria, Javier/0000-0002-1688-968X; Khirehgesh, Mohammad Reza/0000-0002-6275-8007; Moradi, Seyed Zachariah/0000-0003-0579-3495</t>
  </si>
  <si>
    <t>10.1016/j.phymed.2024.156097</t>
  </si>
  <si>
    <t>WOS:001363964200001</t>
  </si>
  <si>
    <t>Festa, RR; Jofré-Saldia, E; Garrido-Osorio, ; Jannas-Vela, S</t>
  </si>
  <si>
    <t>Festa, R. R.; Jofre-Saldia, E.; Garrido-Osorio, V; Jannas-Vela, S.</t>
  </si>
  <si>
    <t>Physical performance in the health environment: an undervalued practical and inexpensive tool</t>
  </si>
  <si>
    <t>PERSPECTIVES IN PUBLIC HEALTH</t>
  </si>
  <si>
    <t>In this article, Festa et al. highlight that the assessment of physical performance is not currently valued as a simple and practical tool for estimating health status in the general population. Consequently, the purpose of this opinion article is to highlight the importance of testing and classifying physical performance as an indicator of overall health, encouraging health professionals to consider them as an accessible and inexpensive tool for the public health context, in contrast to laboratory assessments.</t>
  </si>
  <si>
    <t>Jofre-Saldia, Emilio/0000-0002-6726-9798</t>
  </si>
  <si>
    <t>1757-9139</t>
  </si>
  <si>
    <t>1757-9147</t>
  </si>
  <si>
    <t>10.1177/17579139241263828</t>
  </si>
  <si>
    <t>WOS:001373405600003</t>
  </si>
  <si>
    <t>Hinojosa-Torres, C; Zavala-Crichton, JP; Hurtado-Guerrero, M; Espoz-Lazo, S; Escobar-Jara, N; Yáñez-Sepúlveda, R</t>
  </si>
  <si>
    <t>Hinojosa-Torres, Claudio; Zavala-Crichton, Juan Pablo; Hurtado-Guerrero, Macarena; Espoz-Lazo, Sebastian; Escobar-Jara, Natalia; Yanez-Sepulveda, Rodrigo</t>
  </si>
  <si>
    <t>Use and impact of practicum audio-visual recordings in physical education teacher training: a scoping review</t>
  </si>
  <si>
    <t>RETOS-NUEVAS TENDENCIAS EN EDUCACION FISICA DEPORTE Y RECREACION</t>
  </si>
  <si>
    <t>Background: The search for tools that strengthen the practicum in teacher training has generated new forms of student accompaniment. Among these tools, audiovisual recordings have emerged as a valuable resource because they allow future physical education teachers to review and reflect on their practicum. Objective: To explore the different uses and impact of audiovisual recordings in the practicum of physical education teacher training. Method: A scoping review of articles published between 2004 and 2024 in relevant databases such as Wos, Scopus, Sportdiscus, Scielo, ERIC and Dialnet was conducted. The review followed the PRISMA-ScR statement. Results: Of a total 179 studies, 14 relevant papers were identified and categorized into three dimensions: a) Impact on the development of teaching competencies; b) Strengthening of teaching reflection; c) Effective feedback of the practicum. Conclusions: Audiovisual recordings of practicum in physical education teacher training have a diversity of uses, including student self-evaluation, feedback from supervisors and peers, and as tools for pedagogical reflection and continuous improvement. In addition, it is shown to have a positive impact on the development of pedagogical competencies, self-confidence in teaching practice, and the promotion of continuous professional improvement.</t>
  </si>
  <si>
    <t>Zavala, Juan/J-4625-2016; Yañez, Rodrigo/HFZ-9707-2022; Espoz-Lazo, Sebastian/AAV-2358-2020</t>
  </si>
  <si>
    <t>1579-1726</t>
  </si>
  <si>
    <t>1988-2041</t>
  </si>
  <si>
    <t>WOS:001297185100001</t>
  </si>
  <si>
    <t>Alfonso, HD; Canales, SH</t>
  </si>
  <si>
    <t>Dilla Alfonso, Haroldo; Herrera Canales, Simon</t>
  </si>
  <si>
    <t>A critical approach to the conceptual itinerary of border cities in Latin America</t>
  </si>
  <si>
    <t>SI SOMOS AMERICANOS-REVISTA DE ESTUDIOS TRANSFRONTERIZOS</t>
  </si>
  <si>
    <t>There is no doubt that international borders at the planetary level are increasingly becoming an urban issue. This is also the case in Latin America, which makes it imperative to develop a critique of the work accumulated on this subject and to generate new concepts that allow for the theoretical development of this field of study. In this respect, the present article analyses the main terms that have sought to denominate urban developments on our respective borders, concluding that an approach is needed that, without diminishing the heuristic value of the study of cross-border urban complexes, addresses the issue from a much broader systemic perspective. This should include the notion of territories agglomerated around hierarchical networks. Through an exhaustive review of the literature, the authors identify and discuss these concepts, underlining the importance of a methodological approach that combines critical analysis with a systemic perspective, thus offering a significant contribution to the field of Border Studies in Latin America.</t>
  </si>
  <si>
    <t>Dilla, Haroldo/AHD-1354-2022</t>
  </si>
  <si>
    <t>0718-2910</t>
  </si>
  <si>
    <t>0719-0948</t>
  </si>
  <si>
    <t>WOS:001161735600006</t>
  </si>
  <si>
    <t>Gacitua, M; Pavez, L; Escudey, M; Antilén, M</t>
  </si>
  <si>
    <t>Gacitua, Manuel; Pavez, Lynda; Escudey, Mauricio; Antilen, Monica</t>
  </si>
  <si>
    <t>Adsorption of Zerovalent Iron Nanoparticles in the Inorganic Fraction of Volcanic Soils</t>
  </si>
  <si>
    <t>Zerovalent (ZVI) iron has been used in environmental remediation, but the environmental fate of its nanoparticles (NZVI) is hard to find. The present study aimed to characterise the adsorption processes of commercial ZVI in the inorganic fraction of volcanic soils, contributing to the knowledge of the adsorption process on the whole soil. Volcanic soil samples were obtained by calcination method and characterised. A nano-ZVI stable suspension is prepared and characterised to know its size-particle distribution. Adsorption points (kinetical and isothermal) were obtained by adapting the procedure for homogeneous analyte adsorption. Kinetical, solute transport and isothermal adsorption and desorption models were adjusted to obtain more conclusive information about the process. Analysis of the results revealed that adsorption is a fast process. The inorganic fraction of an Andisol presented pH-dependant surface charge, requiring highly consistent control of the working pH to obtain proper adsorption points. Isothermal adsorption indicates that a combination of physical and chemical mechanisms contributes to the NZVI adsorption process. Desorption studies suggested chemisorption on specific surface-active sites of adsorbents, with the inorganic fraction of soil irreversibly retaining most of the NZVI particles. NZVI become irreversibly adsorbed over the inorganic fraction of soils, extending particle reactivity through time, affecting the stability of organic matter and microbial communities. In turn, this increases the possibility for plant uptake. Nevertheless, there is a low risk for the transport of NZVI through soil profiles or co-transport of other components that becomes adsorbed over iron, lowering the risk of aquifer pollution.</t>
  </si>
  <si>
    <t>Pavez, Lynda/KFQ-7462-2024; Gacitua, Manuel/R-8868-2019</t>
  </si>
  <si>
    <t>Gacitua, Manuel/0000-0003-0807-2677; Pavez, Lynda/0000-0002-4010-1768; Antilen-Lizana, Monica/0000-0003-0512-4267</t>
  </si>
  <si>
    <t>10.1007/s42729-022-00816-w</t>
  </si>
  <si>
    <t>APR 2022</t>
  </si>
  <si>
    <t>WOS:000779508100001</t>
  </si>
  <si>
    <t>Carvajal, DA; Riveros, A; Escrig, J</t>
  </si>
  <si>
    <t>Carvajal, D. A.; Riveros, A.; Escrig, J.</t>
  </si>
  <si>
    <t>Orbit-like trajectory of the vortex core in ferrimagnetic dots close to the compensation point</t>
  </si>
  <si>
    <t>RESULTS IN PHYSICS</t>
  </si>
  <si>
    <t>In physics, conserved quantities are key to understand and describe physical phenomena. These conserved quantities are related to Noether's theorem and Lagrangian description in both classical mechanics and field theory. In this article we have found the equation of the vortex core trajectory in ferrimagnets close to the compensation point in terms of two conserved physical quantities, namely the energy, E, and a vector perpendicular to the orbit plane, (A) over right arrow= (L) over right arrow + (G) over right arrow vertical bar(r) over right arrow (e)vertical bar(2)/2 where (G) over right arrow, (L) over right arrow and (r) over right arrow re are the topological gyrovector, the angular momentum and the position of the vortex core, respectively. We found that in the absence of a dissipative term, for small deviations of the vortex core, the trajectory is bounded between two concentric circles. On the contrary, under the action of a dissipative term proportional to the damping coefficient, (A) over right arrow is no longer conservative and the vortex core moves either towards the center or out of the cylinder, depending on the circularity of the magnetic vortex and the intensity of the magnetic field applied in the plane of the cylinder.</t>
  </si>
  <si>
    <t>Rodríguez, Alejandro/R-4062-2019; Escrig, Juan/N-4304-2015</t>
  </si>
  <si>
    <t>Riveros, Alejandro/0000-0002-4924-663X; Escrig, Juan/0000-0002-3958-8185</t>
  </si>
  <si>
    <t>2211-3797</t>
  </si>
  <si>
    <t>10.1016/j.rinp.2020.103598</t>
  </si>
  <si>
    <t>WOS:000604224200006</t>
  </si>
  <si>
    <t>Silva, CH; Gómez-Martínez, Y; López, DR; Ugalde, MS; Flores, ST</t>
  </si>
  <si>
    <t>Hernandez Silva, Carla; Gomez-Martinez, Yadran; Ruz Lopez, Damian; Silva Ugalde, Mauricio; Tecpan Flores, Silvia</t>
  </si>
  <si>
    <t>Physics Teacher Training in Chile: Reality and Challenges</t>
  </si>
  <si>
    <t>REVISTA ELECTRONICA DE INVESTIGACION EDUCATIVA</t>
  </si>
  <si>
    <t>The lack of physics teachers in Chile has been a cause for concern for the last 15 years. This study aims to identify and describe the key features of current physics teacher training programs in universities in the Council of Rectors of Chilean Universities (CRUCH). This descriptive and ex post facto research employs historical data analysis and qualitative analysis techniques. The main findings include a geographic centralization and gender gaps in enrollment and graduation rates. The physics and education courses appear to run parallel and feature in similar proportions, suggesting a dissociation between the two areas. The implications for teacher training programs are discussed and lines of action for future research are proposed based on the findings.</t>
  </si>
  <si>
    <t>Hernández Silva, Carla/O-5942-2019</t>
  </si>
  <si>
    <t>1607-4041</t>
  </si>
  <si>
    <t>e18</t>
  </si>
  <si>
    <t>10.24320/redie.2020.22.e18.2672</t>
  </si>
  <si>
    <t>WOS:000547379100001</t>
  </si>
  <si>
    <t>Wang, C; Xia, Y; Friswell, MI; Flores, EIS</t>
  </si>
  <si>
    <t>Wang, C.; Xia, Y.; Friswell, M., I; Saavedra Flores, E., I</t>
  </si>
  <si>
    <t>Predicting global strain limits for corrugated panels</t>
  </si>
  <si>
    <t>COMPOSITE STRUCTURES</t>
  </si>
  <si>
    <t>Corrugated panels have many potential applications in civil, mechanical and aerospace engineering. The research on morphing aircraft requires the derivation of deformation limits of corrugated panels, which can be used as the constraint conditions for the design and optimisation of morphing structures. The relationship between the local and global strains of the equivalent models for corrugated panels is derived, which makes the prediction of the maximum strain available. Thus, from the maximum strain criterion, the global strain limit is evaluated under different load conditions. The results from the proposed analytical method are compared to those from detailed finite element models, which indicates a good agreement for all of the analysed cases. The influence of the geometric parameters of the corrugation shape is also investigated.</t>
  </si>
  <si>
    <t>Flores, Erick/I-7646-2012; Friswell, Michael/B-5581-2009</t>
  </si>
  <si>
    <t>0263-8223</t>
  </si>
  <si>
    <t>1879-1085</t>
  </si>
  <si>
    <t>10.1016/j.compstruct.2019.111472</t>
  </si>
  <si>
    <t>WOS:000498688100008</t>
  </si>
  <si>
    <t>Alburquerque, D; Chaná, P; Guajardo, A</t>
  </si>
  <si>
    <t>Algado, SS; Cordoba, AG; Oliver, FC; Galheigo, SM; Garcia-Ruiz, S</t>
  </si>
  <si>
    <t>Alburquerque, Daniela; Chana, Pedro; Guajardo, Alejandro</t>
  </si>
  <si>
    <t>Chile The transaberes and the joint construction of health Experience Center for Movement Disorders (CETRAM)</t>
  </si>
  <si>
    <t>TERAPIAS OCUPACIONALES DESDE EL SUR, 2 EDITION: Derechos Humanos, Ciudadania y Participacion. Human Rights, Citizenship and Participation</t>
  </si>
  <si>
    <t>978-956-303-416-5</t>
  </si>
  <si>
    <t>WOS:000887018400013</t>
  </si>
  <si>
    <t>Ovando-Leon, G; Veas-Castillo, L; Marin, M; Gil-Costa, V</t>
  </si>
  <si>
    <t>Ovando-Leon, Gabriel; Veas-Castillo, Luis; Marin, Mauricio; Gil-Costa, Veronica</t>
  </si>
  <si>
    <t>A SIMULATION TOOL FOR A LARGE-SCALE NOSQL DATABASE</t>
  </si>
  <si>
    <t>2019 SPRING SIMULATION CONFERENCE (SPRINGSIM)</t>
  </si>
  <si>
    <t>Spring Simulation Conference (SpringSim)</t>
  </si>
  <si>
    <t>APR 29-MAY 02, 2019</t>
  </si>
  <si>
    <t>Tucson, AZ</t>
  </si>
  <si>
    <t>The amount of data on the Web and the number of users accessing those data drastically grows every year. Web-based services have to be able to receive and process those requirements within the shortest possible time. Additionally, they have to manage sudden and unpredictable peaks of user requirements for accessing the data. To tackle these problems, NoSQL databases have been designed to provide scalability and good performance. However, it is important to know in advance the number of resources (i.e. computers, network capacity) to efficiently deploy a database application. In this work, we propose a simulator for a NoSQL database named MongoDB. Our simulator aims to detect saturation levels of the resources to ensure an efficient execution of MongoDB upon different users demands and upon failures of resources.</t>
  </si>
  <si>
    <t>Gil-Costa, Veronica/GPT-4785-2022; Marin, Mauricio/GLR-7700-2022</t>
  </si>
  <si>
    <t>Marin, Mauricio/0000-0003-0662-7149; Veas-Castillo, Luis/0000-0003-3490-9995; Gil-Costa, Veronica/0000-0003-4637-9725</t>
  </si>
  <si>
    <t>978-1-5108-8388-8</t>
  </si>
  <si>
    <t>10.23919/springsim.2019.8732896</t>
  </si>
  <si>
    <t>WOS:000492000800051</t>
  </si>
  <si>
    <t>de la Garza, KT; Gómez, JT; de Lamare, RC; García, MJFG</t>
  </si>
  <si>
    <t>Toledo de la Garza, Karel; Torres Gomez, Jorge; de lamare, Rodrigo C.; Fernandez-Getino Garcia, Maria Julia</t>
  </si>
  <si>
    <t>A Variational Approach for Designing Infinite Impulse Response Filters With Time-Varying Parameters</t>
  </si>
  <si>
    <t>IEEE TRANSACTIONS ON CIRCUITS AND SYSTEMS I-REGULAR PAPERS</t>
  </si>
  <si>
    <t>Filter design with short transient state is a problem encountered in many fields of circuits, systems, and signal processing. In this paper, a novel low-pass filter design technique with time-varying parameters is introduced in order to minimize the rise-time parameter. Through the use of calculus of variations a method is developed to obtain the optimal closed-form expression for adjusting the parameters. In this context, two cases are addressed: the ideal case in which infinite bandwidth is required and a solution of finite bandwidth. The latter is obtained by means of a proper constraint formulation in the frequency domain. The proposed filter achieves the shortest rise time and allows better preservation of the edge shape in comparison with other existing filtering methods. The analysis, synthesis, and performance of the proposed system are discussed and illustrated with the aid of simulations.</t>
  </si>
  <si>
    <t>Torres Gómez, Jorge/AAE-8595-2022; Torres Gomez, Jorge/F-8061-2016; Toledo de la Garza, Karel/V-5325-2019</t>
  </si>
  <si>
    <t>Torres Gomez, Jorge/0000-0001-9523-048X; Toledo de la Garza, Karel/0000-0001-9896-9570; de Lamare, Rodrigo/0000-0003-2322-6451; FERNANDEZ-GETINO GARCIA, MARIA JULIA/0000-0001-8346-8140</t>
  </si>
  <si>
    <t>1549-8328</t>
  </si>
  <si>
    <t>1558-0806</t>
  </si>
  <si>
    <t>10.1109/TCSI.2017.2746747</t>
  </si>
  <si>
    <t>WOS:000427578800013</t>
  </si>
  <si>
    <t>Mancilla-Almonacid, D; Arias, RE; Oyarzún, S; Altbir, D; Allende, S</t>
  </si>
  <si>
    <t>Mancilla-Almonacid, D.; Arias, R. E.; Oyarzun, S.; Altbir, D.; Allende, S.</t>
  </si>
  <si>
    <t>Tuning the frequencies of the normal modes of a nanopillar oscillator through the magnetostatic interaction</t>
  </si>
  <si>
    <t>A detailed analytical and numerical study of the spin wave modes of the free layer of a nanopillar spin torque nano-oscillator (STNO) has been performed as a function of the magnetostatic interaction between the free and the fixed magnetic layers. Results for higher frequency normal modes show that the magnetostatic interaction does not appreciably affect the spin wave frequencies and the critical current densities, due to more relevance of the exchange interaction in these modes. For lower frequency normal modes we observe a decrease in frequency and in the critical current density for auto-oscillations when the strength of the magnetostatic interaction between the layers increases, an effect that may be appreciable.</t>
  </si>
  <si>
    <t>Mancilla Almonacid, Daniela/JEP-6778-2023; Arias Federici, Rodrigo Enrique/F-2164-2017; Oyarzun, Simon/M-1769-2014; Altbir, Dora/R-6781-2018</t>
  </si>
  <si>
    <t>Arias Federici, Rodrigo Enrique/0000-0001-7627-2860; Oyarzun, Simon/0000-0002-8764-7944; Altbir, Dora/0000-0002-2945-4909; Mancilla Almonacid, Daniela/0000-0003-4356-5119</t>
  </si>
  <si>
    <t>2469-9950</t>
  </si>
  <si>
    <t>2469-9969</t>
  </si>
  <si>
    <t>NOV 21</t>
  </si>
  <si>
    <t>10.1103/PhysRevB.96.184424</t>
  </si>
  <si>
    <t>WOS:000415888400003</t>
  </si>
  <si>
    <t>Alfonso, A; Zorondo-Rodríguez, F; Simonetti, JA</t>
  </si>
  <si>
    <t>Alfonso, Amanda; Zorondo-Rodriguez, Francisco; Simonetti, Javier A.</t>
  </si>
  <si>
    <t>Perceived changes in environmental degradation and loss of ecosystem services, and their implications in human well-being</t>
  </si>
  <si>
    <t>INTERNATIONAL JOURNAL OF SUSTAINABLE DEVELOPMENT AND WORLD ECOLOGY</t>
  </si>
  <si>
    <t>Rural communities worldwide face a decrease of critical ecosystem services caused by replacement of native forests by commercial plantations. Replacement of native forest by commercial plantations decreases water provisioning, with possible negative impacts over well-being. We tested this hypothesis in Central Chile. We assessed subjective well-being (SWB) and local perceptions of changes in forest cover and water provision among 78 rural families. We also assessed if the Shifting Baseline Syndrome (SBS) affects the perceptions of environmental changes and their implications in SWB. Individuals perceived less forest cover than 20years ago, and this is seen as a factor of decreased livelihood, availability of forest products, and water provisioning for households. People also reported less water available than 20years ago. The main drivers associated with decreased water provision were the establishment of pine plantations (44% of individuals) and drought (44%). A better-off SWB was associated with perception of lower rate of deforestation. The perceptions of forest degradation and its association to SWB are affected by SBS. Paradoxically, a better-off SWB was also associated with an improvement of water quality, although the quantity and quality of water have decreased according to biophysical data, which ought to decrease the SWB. Impacts of environmental degradation in SWB are masked by factors such as more infrastructure for drinking water, assisted by governments. This masking of environmental degradation reduces the opportunity to avoid negative impacts over well-being among rural communities that are dependent on assistance around the world.</t>
  </si>
  <si>
    <t>Zorondo-Rodríguez, Francisco/GWU-8371-2022; Simonetti, Javier A./A-4658-2008; Zorondo-Rodriguez, Francisco/I-8273-2014</t>
  </si>
  <si>
    <t>Simonetti, Javier A./0000-0002-7238-4133; Zorondo-Rodriguez, Francisco/0000-0001-6469-9859</t>
  </si>
  <si>
    <t>1350-4509</t>
  </si>
  <si>
    <t>1745-2627</t>
  </si>
  <si>
    <t>10.1080/13504509.2016.1255674</t>
  </si>
  <si>
    <t>WOS:000410913600010</t>
  </si>
  <si>
    <t>Rodriguez-Martinez, C; Sarmiento, L; Rojas-Soto, G</t>
  </si>
  <si>
    <t>Rodriguez-Martinez, C.; Sarmiento, L.; Rojas-Soto, G.</t>
  </si>
  <si>
    <t>Predictors Of Inappropriate Diagnosis And Management Of Bronchiolitis</t>
  </si>
  <si>
    <t>AMERICAN JOURNAL OF RESPIRATORY AND CRITICAL CARE MEDICINE</t>
  </si>
  <si>
    <t>International Conference of the American-Thoracic-Society (ATS)</t>
  </si>
  <si>
    <t>MAY 19-24, 2017</t>
  </si>
  <si>
    <t>Washington, DC</t>
  </si>
  <si>
    <t>Amer Thorac Soc</t>
  </si>
  <si>
    <t>1073-449X</t>
  </si>
  <si>
    <t>1535-4970</t>
  </si>
  <si>
    <t>A5354</t>
  </si>
  <si>
    <t>WOS:000400372505157</t>
  </si>
  <si>
    <t>Ferrada, EE; Latorre, BA; Zoffoli, JP; Castillo, A</t>
  </si>
  <si>
    <t>Ferrada, Enrique E.; Latorre, Bernardo A.; Zoffoli, Juan P.; Castillo, Antonio</t>
  </si>
  <si>
    <t>Identification and Characterization of Botrytis Blossom Blight of Japanese Plums Caused by Botrytis cinerea and B. prunorum sp nov in Chile</t>
  </si>
  <si>
    <t>PHYTOPATHOLOGY</t>
  </si>
  <si>
    <t>Blossom blight is a destructive disease of plums (Prunus salicina) when humid and temperate weather conditions occur in Chile. Disease incidence ranging from 4 to 53% has been observed. Symptoms include light brown petal necrosis, starting as light brown mottles or V-shaped necrosis at the margins of the petals, progressing to the stamen and pistils. In this study, the etiology of blossom blight of plums was determined. High- and low-sporulating isolates of Botrytis were obtained consistently from blighted blossoms and apparently healthy flowers of plums. Based on colony morphology, conidial production and molecular phylogenetic analysis, these high- and low-sporulating isolates were identified as B. cinerea and B. prunorum sp. nov., respectively. Phylogenetic analysis of the genes glyceraldehyde 3-phosphate dehydrogenase (G3PDH), heat- shock protein 60 (HSP60), and DNA-dependent RNA polymerase subunit II (RPB2) grouped B. prunorum isolates in a single cluster, distantly from B. cinerea and other Botrytis species. The phylogenetic analysis of necrosis and ethylene-inducing protein (NEP1 and NEP2) genes corroborated these results. Analysis of the internal transcribed spacer region and large-subunit (26S) ribosomal DNA and detection of Boty and Flipper transposable elements, were not useful to differentiate between these Botrytis species. Both species were pathogenic on plum flowers and the fruit of plums, apples, and kiwifruits. However, B. prunorum was less virulent than B. cinerea. These pathogens were re-isolated from inoculated and diseased tissues; thus, Koch's postulates were fulfilled, confirming its role in blossom blight of plums. B. cinerea was predominant, suggesting that B. prunorum may play a secondary role in the epidemiology of blossom blight in plums in Chile. This study clearly demonstrated that the etiology of blossom blight of plums is caused by B. cinerea and B. prunorum, which constitute a species complex living in sympatry on plums and possibly on other stone fruit trees.</t>
  </si>
  <si>
    <t>Zoffoli, Juan Pablo/LJM-1963-2024; Castillo, Antonio/AAE-6832-2020; Ferrada, Enrique/AAJ-8439-2020</t>
  </si>
  <si>
    <t>Zoffoli, Juan Pablo/0000-0003-0455-8477</t>
  </si>
  <si>
    <t>0031-949X</t>
  </si>
  <si>
    <t>1943-7684</t>
  </si>
  <si>
    <t>10.1094/PHYTO-06-15-0143-R</t>
  </si>
  <si>
    <t>WOS:000370213700006</t>
  </si>
  <si>
    <t>Quoirin, HR; Suárez, A</t>
  </si>
  <si>
    <t>Ramos Quoirin, Humberto; Suarez, Antonio</t>
  </si>
  <si>
    <t>Positive solutions for some indefinite nonlinear eigenvalue elliptic problems with Robin boundary conditions</t>
  </si>
  <si>
    <t>We consider a nonlinear eigenvalue problem with indefinite weight under Robin boundary conditions. We prove the existence and multiplicity of positive solutions. To this end, we carry out a detailed study of some linear eigenvalues problems and we use mainly bifurcation and sub-supersolution methods. (C) 2014 Elsevier Ltd. All rights reserved.</t>
  </si>
  <si>
    <t>Suarez, Antonio/N-1828-2014</t>
  </si>
  <si>
    <t>Suarez, Antonio/0000-0002-6407-7758; Ramos Quoirin, Humberto/0000-0001-6252-2515</t>
  </si>
  <si>
    <t>10.1016/j.na.2014.11.005</t>
  </si>
  <si>
    <t>WOS:000348041700007</t>
  </si>
  <si>
    <t>Fernández-García, P; Vallejo-Seco, G; Livacic-Rojas, PE; Tuero-Herrero, E</t>
  </si>
  <si>
    <t>Fernandez-Garcia, Paula; Vallejo-Seco, Guillermo; Livacic-Rojas, Pablo E.; Tuero-Herrero, Ellian</t>
  </si>
  <si>
    <t>Structured Validity for a quasi-experimental research of quality. They are fulfilled 50 years of the presentation in company of the quasi-experimental designs</t>
  </si>
  <si>
    <t>ANALES DE PSICOLOGIA</t>
  </si>
  <si>
    <t>Quasi-experimental investigation is that one that has as aim test a causal hypothesis manipulating (at least) an independent variable where for logistic or ethical reasons it is not possible to assign the units of investigation at random to the groups. Due to the fact that many decisions at the social level take on the basis of the result of investigations with these characteristics, it is imperative that have an exquisite planning of the application of the treatment, of the control in the process of the investigation and of the analysis of the data. Last year 2013 the quasi-experimental designs expired 50 years, and this work in an honoring to Campbell and to all the investigators who day after day contribute ideas to improve the quasi-experimental method in someone of his aspects. From the hand of a review of the quasi-experimental investigations published in a period of 11 years in three journals of psychology we distinguish some aspects that refer to the care of the method. We finished work by proposing the concept of Structured Validity, which in summary, is the thread that must follow all research to test with guarantee the hypothesis that respond to the objectives it raised, in particular, in quasi-experimental investigations.</t>
  </si>
  <si>
    <t>Vallejo, Guillermo/B-8233-2011; Herrero, Ellián/AAA-4397-2019; Fernandez, Paula/I-1881-2015</t>
  </si>
  <si>
    <t>Vallejo, Guillermo/0000-0002-8010-6854; Tuero Herrero, Ellian/0000-0002-5988-5996; Fernandez, Paula/0000-0003-0140-7702</t>
  </si>
  <si>
    <t>0212-9728</t>
  </si>
  <si>
    <t>1695-2294</t>
  </si>
  <si>
    <t>WOS:000334012500039</t>
  </si>
  <si>
    <t>Azócar, MI; Gómez, G; Velásquez, C; Abarca, R; Kogan, MJ; Páez, M</t>
  </si>
  <si>
    <t>Ignacio Azocar, M.; Gomez, Grace; Velasquez, Carla; Abarca, Romina; Kogan, Marcelo J.; Paez, Maritza</t>
  </si>
  <si>
    <t>Antibacterial, kinetics and bacteriolytic properties of silver(I) pyridinedicarboxylate compounds</t>
  </si>
  <si>
    <t>MATERIALS SCIENCE &amp; ENGINEERING C-MATERIALS FOR BIOLOGICAL APPLICATIONS</t>
  </si>
  <si>
    <t>Antibacterial properties of silver(I)-pyridinedicarboxylate compounds (with Pyridine-2,3-dicarboxylic(Lutidinic acid), pyridine-2,4-dicarboxylic (Quinolinic acid) and pyridine-2,5-dicarboxylic (Isocinchomeronic acid)) were studied against Escherichia coli, Listeria monocytogenes (ISP-65-08), Salmonella typhi and Staphylococcus aureus (ATCC 25923) using kinetics of grown inhibition, viability assays, minimum inhibitory concentration and optical microscopy. The 3 silver compounds were tested toward UV-radiation in order to characterize their light insensitivity for potential medical devices: UV-radiation curable polymers. Photophysical measurements show remarkable differences toward UV-radiation, which were explained based on their polymeric structures with multiple nature bonds between pyridinedicarboxylic ligands and Ag(I) centers. We found a bacteriolytic effect and differences in the antibacterial efficiency depending on the structure of the complexes and the nature of Ag-X (X = oxygen and nitrogen) bonds: AgQuinoI &gt; AgLutidin &gt; AgIsocinchom. (C) 2014 Elsevier B.V. All rights reserved.</t>
  </si>
  <si>
    <t>Paez, Maritza/M-2010-2014; kogan, Marcelo/I-2868-2013; Azocar, Manuel/I-1226-2013; Abarca, Romina/AAF-9196-2019</t>
  </si>
  <si>
    <t>Azocar Guzman, Manuel/0000-0003-1098-4659; paez, maritza/0000-0001-5881-884X; Kogan, Marcelo/0000-0003-0608-5087</t>
  </si>
  <si>
    <t>10.1016/j.msec.2014.01.033</t>
  </si>
  <si>
    <t>WOS:000333795200046</t>
  </si>
  <si>
    <t>Escobedo, VM; Aranda, JE; Castro, SA</t>
  </si>
  <si>
    <t>Escobedo, Victor M.; Aranda, Jorge E.; Castro, Sergio A.</t>
  </si>
  <si>
    <t>Darwin's Naturalization Hypothesis assessed in the alien flora of continental Chile</t>
  </si>
  <si>
    <t>REVISTA CHILENA DE HISTORIA NATURAL</t>
  </si>
  <si>
    <t>The Darwin's Naturalization Hypothesis (DNH) states that the successful naturalization of alien species is favored when the phylogenetic relationship between the colonizer and the recipient community is distant. Conversely, related species would compete strongly, hence reducing the probability of naturalization. From a populational perspective, the concept of naturalization involves both the progressive increase in size and spatial distribution of the invasive population. In this study, we focused our attention on the spatial component of naturalization, assessing the role of phylogenetic relatedness as a determinant of its extension. Following the DNH, it is expected that those alien species closely related to the native flora would show narrower distribution ranges than alien taxa less related to native species. Using the APG III taxonomic system as an indicator of phylogenetic relationships in the vascular flora of continental Chile, our analysis showed that alien species with congeneric native counterparts have larger ranges than alien species with a distant relationship (i.e. species belonging to families or orders not represented in the native flora). These results do not support the DNH because the more distant taxa (less related species) show distributional ranges smaller. Results suggest that close relatedness could have facilitated the naturalization of alien plants in continental Chile, at least for species belonging to genus and families represented on the native flora.</t>
  </si>
  <si>
    <t>Escobedo, Victor/0000-0003-2673-3803</t>
  </si>
  <si>
    <t>0716-078X</t>
  </si>
  <si>
    <t>0717-6317</t>
  </si>
  <si>
    <t>10.4067/S0716-078X2011000400007</t>
  </si>
  <si>
    <t>WOS:000301396600007</t>
  </si>
  <si>
    <t>Aguirre, MJ; Chen, YY; Isaacs, M; Matsuhiro, B; Mendoza, L; Torres, S</t>
  </si>
  <si>
    <t>Aguirre, Maria J.; Chen, Yo Y.; Isaacs, Mauricio; Matsuhiro, Betty; Mendoza, Leonora; Torres, Simonet</t>
  </si>
  <si>
    <t>Electrochemical behaviour and antioxidant capacity of anthocyanins from Chilean red wine, grape and raspberry</t>
  </si>
  <si>
    <t>FOOD CHEMISTRY</t>
  </si>
  <si>
    <t>The anthocyanin fractions were extracted from Cabernet Sauvignon red wine, skins of Vitis vinifera grapes and raspberry fruits (Rubus idaeus). In red wine extract, 16 anthocyanins were identified, malvidin-3-O-glucoside being the main anthocyanin, which comprised 53.6% of the total anthocyanin in grape extract. Raspberry extract contained mainly dephinidin-3-O-glucoside and cyanidin-3-O-glucoside. The antioxidant capacity of the extracts was assayed by electrochemical methods. Best resolution of the oxidation peaks for the extracts and diluted wine was obtained by pulse differential voltammetry. The wine diluted 20x presented values of P1 (443 mV) and P2 (676 mV) similar to those corresponding to wine extract, and to the anthocyanin malvidin-3-O-glucoside. The antioxidant capacity of anthocyanins in extracts of wine, grape skin and raspberry fruit was also determined by the Trolox equivalent antioxidant capacity (TEAC) method. (C) 2009 Elsevier Ltd. All rights reserved.</t>
  </si>
  <si>
    <t>Isaacs, Mauricio/N-3027-2013; Aguirre, Maria/A-3935-2013</t>
  </si>
  <si>
    <t>Isaacs Casanova, Mauricio/0000-0003-0503-0949; Aguirre, Maria/0000-0003-1134-4469</t>
  </si>
  <si>
    <t>0308-8146</t>
  </si>
  <si>
    <t>1873-7072</t>
  </si>
  <si>
    <t>10.1016/j.foodchem.2009.11.088</t>
  </si>
  <si>
    <t>WOS:000275360200006</t>
  </si>
  <si>
    <t>Cubillos, M; Lissi, E; Abuin, E</t>
  </si>
  <si>
    <t>Lipid peroxidation rates of DPPC liposomes containing different amounts of oxidable lipids show opposite dependence with the temperature.</t>
  </si>
  <si>
    <t>The effect of temperature on the oxidation rates of arachidonic acid and linoleic acid incorporated into dipalmitoylphosphatidylcholine liposomes have been investigated. The reaction was started by the photolysis of 2,2'-azobis (2-amidino propane) in order to minimize the dependence of the initiation rate with temperature. Both positive and negative activation energies were obtained for the rate of the oxidation, depending on the amount of oxidable lipid (20% or 50% mol:mol) and the temperature range considered. Changes in the rigidity of the liposomes elicited by temperature were assessed by measuring the generalized polarization of 6-dodecanoyl-2 (dimethylamino naphthalene), Laurdan. The high increase in rate observed at low temperatures employing lipid mixtures that render liposomes in the gel phase is attributed to a reduced rate constant of the termination step of the oxidation chain.</t>
  </si>
  <si>
    <t>WOS:000236260500013</t>
  </si>
  <si>
    <t>Navarro, P; Alvarez, R; Vargas, C; Alguacil, FJ</t>
  </si>
  <si>
    <t>The use of zinc for gold cementation from ammoniacal-thiosulphate solutions</t>
  </si>
  <si>
    <t>The use of zinc as a cementation agent for gold from ammoniacal-thiosulphate solutions has been studied. The experimental variables investigated were: (i) pH (9-10.5), (ii) thiosulphate concentration (0.05-0.4 M), (iii) temperature (5-50 degreesC), (iv) presence of zinc in the system (both as cementation agent and in the gold solution), (v) presence of Cu(II) (0-0.05 M) in the solution, and (vi) [NH3]/[S2O32-] molar ratio in the aqueous solution. The cementation process was considered to be under diffusion control. A generalmechanism for gold cementation is proposed. (C) 2004 Elsevier Ltd. All rights reserved.</t>
  </si>
  <si>
    <t>alguacil, francisco jose/0000-0002-0247-3384; Vargas, Cristian/0000-0002-7360-6201</t>
  </si>
  <si>
    <t>10.1016/j.mineng.2004.02.001</t>
  </si>
  <si>
    <t>WOS:000222148200008</t>
  </si>
  <si>
    <t>Ureta-Zanartu, MS; Yanez, C; Reyes, G; Gancedo, JR; Marco, JF</t>
  </si>
  <si>
    <t>Electrodeposited Pt-Ir electrodes: characterization and electrocatalytic activity for the reduction of the nitrate ion</t>
  </si>
  <si>
    <t>The activity of Pt-Ir deposits on titanium for the reduction of the nitrate ion in 0.5 M perchloric acid was studied. The electrodes were characterized by SEM-EDAX, XPS and cyclic voltammetry. The activity of the electrodes for the nitrate reduction depended on the Pt-Ir ratio. Repetitive cyclic voltammograms produced an enrichment of the electrode surface with Ir and a decrease of the catalytic activity. A synergistic effect in the electrodes with low iridium content is discussed.</t>
  </si>
  <si>
    <t>Ureta-Zañartu, Maria/G-5239-2019; Yañez, Claudia/I-2840-2013; Marco, JF/N-3176-2014</t>
  </si>
  <si>
    <t>Marco, JF/0000-0002-5147-1449</t>
  </si>
  <si>
    <t>10.1007/s100080050086</t>
  </si>
  <si>
    <t>WOS:000073611100010</t>
  </si>
  <si>
    <t>Cioranescu, I; Lizama, C</t>
  </si>
  <si>
    <t>Some applications of Fejer's theorem to operator cosine functions in Banach spaces</t>
  </si>
  <si>
    <t>PROCEEDINGS OF THE AMERICAN MATHEMATICAL SOCIETY</t>
  </si>
  <si>
    <t>We characterize spectral properties of operator cosine functions in Banach spaces in terms of the Cesaro summability of two series associated to the resolvent of the corresponding infinitesimal generator.</t>
  </si>
  <si>
    <t>0002-9939</t>
  </si>
  <si>
    <t>10.1090/S0002-9939-97-03837-9</t>
  </si>
  <si>
    <t>WOS:A1997XP81300020</t>
  </si>
  <si>
    <t>Umbanhowar, PB; Melo, F; Swinney, HL</t>
  </si>
  <si>
    <t>Localized excitations in a vertically vibrated granular layer</t>
  </si>
  <si>
    <t>NATURE</t>
  </si>
  <si>
    <t>THE formation of two-dimensional patterns in biological, chemical and physical systems is often described by the nonlinear interaction of plane waves(1). An alternative approach views patterns as ensembles of interacting localized objects, analogous to the assembly of crystals from atoms, For macroscopic pattern-forming systems, one objection to the latter approach is that no 'atoms' exist; however spatially localized excitations can play an analogous role, One-dimensional localized states are observed in many systems-for example, solitary waves in water(2-4) and optical fibres(5)-and can organize into simple patterns(6,7). But few examples of two-dimensional localized states are known, and these tend to be unstable and/or do not show simple pattern-forming interactions(8-11). Here we report the observation of stable, two-dimensional localized excitations in a vibrating layer of sand, These excitations, which we term 'oscillons', have a propensity to assemble into 'molecular' and 'crystalline' structures, Our experimental results, together with the observation of similar localized excitations in model differential equations(12-14), indicate a crucial, cooperative role for hysteresis and dissipation in the formation of oscillons, and suggest that similar behaviour may occur in continuous media.</t>
  </si>
  <si>
    <t>Melo, Francisco/M-3923-2014; Umbanhowar, Paul/KHD-9715-2024</t>
  </si>
  <si>
    <t>Melo, Francisco Esteban/0000-0001-6818-5476</t>
  </si>
  <si>
    <t>0028-0836</t>
  </si>
  <si>
    <t>10.1038/382793a0</t>
  </si>
  <si>
    <t>WOS:A1996VE34700041</t>
  </si>
  <si>
    <t>Leiva-Salcedo, E; Riquelme, D; Huidobro-Toro, JP; Coddou, C</t>
  </si>
  <si>
    <t>Leiva-Salcedo, Elias; Riquelme, Denise; Huidobro-Toro, Juan Pablo; Coddou, Claudio</t>
  </si>
  <si>
    <t>Copper Increases the Cooperative Gating of Rat P2X2a Receptor Channels</t>
  </si>
  <si>
    <t>PHARMACEUTICALS</t>
  </si>
  <si>
    <t>Background/Objectives: P2X receptor channels are widely expressed in the CNS, where they have multiple functions in health and disease. The rat P2X2a (rP2X2a) receptor channel is modulated by copper, an essential trace element that plays important roles in synaptic modulation and neurodegenerative disorders. Although essential extracellular amino acids that coordinate copper have been identified, the exact mechanism of copper-induced modulation has not been yet elucidated. Methods: We used HEK293T cells expressing rP2X2a channel(s) and performed outside-out single-channel and whole-cell recordings to explore copper's effects on rP2X2 currents and determine whether this metal can increase the cooperative gating of rP2X2a channel. Results: In whole-cell recordings and in patches containing 2 or 3 rP2X2a channels, copper enhanced the ATP-induced currents, significantly reducing the ATP EC50 and increasing the Hill coefficient. Moreover, copper increased the apparent Po in patches containing two or three channels. By contrast, in patches containing only one rP2X2a channel, we did not observe any significant changes in ATP EC50, the Hill coefficient, or Po. Conclusions: Copper modulates the gating of rP2X2a channels, enhancing interchannel cooperativity without altering single-channel conductance or Po. This novel regulatory mechanism could be relevant for understanding the role of P2X2 channels in physiological and pathological processes.</t>
  </si>
  <si>
    <t>1424-8247</t>
  </si>
  <si>
    <t>10.3390/ph17121590</t>
  </si>
  <si>
    <t>WOS:001384038000001</t>
  </si>
  <si>
    <t>Taghavi, A; Niknam, T; Gitizadeh, M; Rodriguez, J; Sheikh, M</t>
  </si>
  <si>
    <t>Taghavi, Ali; Niknam, Taher; Gitizadeh, Mohsen; Rodriguez, Jose; Sheikh, Morteza</t>
  </si>
  <si>
    <t>A resilience-oriented approach to integrated energy management systems: Addressing energy conversion unit unavailability and cost efficiency</t>
  </si>
  <si>
    <t>ENERGY CONVERSION AND MANAGEMENT</t>
  </si>
  <si>
    <t>As integrated energy systems become increasingly complex, their vulnerability to energy conversion units unavailability poses a considerable threat to system resilience and cost efficiency. This research is motivated by the need to address the growing threat of energy conversion unit unavailability and its significant impact on both system performance and operational costs. The development of a comprehensive vulnerability assessment framework, coupled with the integration of machine learning techniques, is hypothesized to significantly enhance the resilience and cost-efficiency of integrated energy management systems when faced with various unavailability scenarios. A novel methodology is introduced to enhance integrated energy management systems, focusing on the critical role of diverse energy conversion units. The methodology includes anew vulnerability index to quantify the impact of energy conversion unit unavailability on system performance, alongside an energy conversion unavailability attack model from the malicious actor perspective. Results indicate that under worst-case energy conversion unavailability attack scenarios, integrated energy systems operational costs can increase by up to 26.19%. The proposed solution, incorporating a Deep Q-Network into the integrated energy management system, achieves an 85.24% F1-score and a 96.68% reduction in additional costs associated with energy conversion unavailability attacks. This research demonstrates the varied impacts of different energy conversion units on integrated energy systems and proposes an enhanced integrated energy management system framework that improves system resilience and cost efficiency.</t>
  </si>
  <si>
    <t>gitizadeh, mohsen/G-5392-2019; , Taher/L-8826-2017</t>
  </si>
  <si>
    <t>, Taher/0000-0002-9391-6901</t>
  </si>
  <si>
    <t>0196-8904</t>
  </si>
  <si>
    <t>1879-2227</t>
  </si>
  <si>
    <t>10.1016/j.enconman.2024.119291</t>
  </si>
  <si>
    <t>WOS:001371635800001</t>
  </si>
  <si>
    <t>McSherry, JP</t>
  </si>
  <si>
    <t>Patrice McSherry, J.</t>
  </si>
  <si>
    <t>Human Rights in Latin America: A Politics of Transformation</t>
  </si>
  <si>
    <t>BULLETIN OF SPANISH STUDIES</t>
  </si>
  <si>
    <t>1475-3820</t>
  </si>
  <si>
    <t>1478-3428</t>
  </si>
  <si>
    <t>OCT 20</t>
  </si>
  <si>
    <t>WOS:001434163400009</t>
  </si>
  <si>
    <t>Mostacero-León, J; Martínez, JL; Cruz-Castillo, AJD; Díaz-Barreto, R; Castillo, HMR; López-Medina, SE; Gil-Rivero, AE; Alva-Calderón, R; Alarcón-Rojas, NM; Bardales-Vásquez, CB</t>
  </si>
  <si>
    <t>Mostacero-Leon, Jose; Martinez, Jose L.; Cruz-Castillo, Anthony J. De La; Diaz-Barreto, Ronald; Castillo, Heber M. Robles; Lopez-Medina, Segundo E.; Gil-Rivero, Armando E.; Alva-Calderon, Roger; Alarcon-Rojas, Narda M.; Bardales-Vasquez, Cecilia B.</t>
  </si>
  <si>
    <t>Importancia cultural de la flora empleada por la comunidad nativa Asheninka Sheremashe, Ucayali, Perú</t>
  </si>
  <si>
    <t>The cultural significance of the flora used by the native Asheninka Sheremashe community in Ucayali, Peru was determined. To do this, a fieldwork of over 4 months was conducted, involving semistructured interviews with 106 residents through non -probabilistic convenience sampling. The community utilizes 139 plant species in their daily lives, belonging to 120 genera and 52 families, with the most abundant being Fabaceae, Arecaceae, Malvaceae, Solanaceae, Poaceae, and Rutaceae. Furthermore, 25.9% of the species are of significant importance to the inhabitants according to the Cultural Index (CI), such as Manihot esculenta, Theobroma cacao, Bixa orellana, Musa paradisiaca, Ficus insipida, among others. It can be concluded that the flora plays a prominent role in the life of the community, with the categories reporting the highest number of species being: food (29.35%), medicine (28.36%), culture (9.95%), construction (9.45%), lumber (6.97%), commerce (3.48%), craftsmanship (2.49%), toxic (2.49%), and other uses (7.46%).</t>
  </si>
  <si>
    <t>Ronald David, Ronald David/0000-0003-4119-3673; MOSTACERO LEON, JOSE/0000-0003-2556-3013; De La Cruz Castillo, Anthony Jordan/0000-0002-5409-6146; Martinez, Jose/0000-0002-0177-4847; GIL RIVERO, ARMANDO EFRAIN/0000-0002-4521-5588</t>
  </si>
  <si>
    <t>10.37360/blacpma.24.23.4.36</t>
  </si>
  <si>
    <t>WOS:001187354900005</t>
  </si>
  <si>
    <t>Suárez-Reyes, M; Van den Broucke, S</t>
  </si>
  <si>
    <t>Suarez-Reyes, Monica; Van den Broucke, Stephan</t>
  </si>
  <si>
    <t>Participation of university community members in Health Promoting University (HPU) initiatives</t>
  </si>
  <si>
    <t>FRONTIERS IN PUBLIC HEALTH</t>
  </si>
  <si>
    <t>BackgroundSeveral universities around the world have adopted the settings approach to health to create a Health Promoting University (HPU) initiative. Health promoting initiatives are built on the values of health promotion, with participation being one of the most important. Despite the above, there is little information on how university community members participate in HPU initiatives. This study aims to describe the participation of university community members in HPU initiatives in universities around the world.MethodsAn online questionnaire was sent to representatives of universities that have implemented a HPU initiative. The questionnaire inquired about the level and nature of participation of university community members (students, professors, and administrative/technical staff) at different levels. Three levels of participation ranged from lower to higher levels were considered: (a) information delivery strategies; (b) consultation strategies and (c) involvement in design, planning and decision-making processes.ResultsAt least the 50% of the universities implemented strategies so that all the members of the community could participate at all levels. Information delivery strategies were the most often used, with students being the main target group. Consultation strategies were aimed mainly at students and professors, whilst professors participated most actively in the design, planning and decision-making.ConclusionDifferent participation strategies are used in the HPU initiatives. Information delivery strategies, which represent the lowest level of participation, were the most often reported. Higher levels of participation were less used in the HPU initiatives. HPU initiatives should seek for strategies to provide more high-level participation to all university community members.</t>
  </si>
  <si>
    <t>Suarez-Reyes, Monica/JQV-9348-2023</t>
  </si>
  <si>
    <t>2296-2565</t>
  </si>
  <si>
    <t>10.3389/fpubh.2023.1217177</t>
  </si>
  <si>
    <t>WOS:001059951600001</t>
  </si>
  <si>
    <t>Velasquez, E; Garrido, L; Valenzuela, X; Galotto, MJ; Guarda, A; de Dicastillo, CL</t>
  </si>
  <si>
    <t>Velasquez, Eliezer; Garrido, Luan; Valenzuela, Ximena; Galotto, Maria Jose; Guarda, Abel; de Dicastillo, Carol Lopez</t>
  </si>
  <si>
    <t>Valorization of post-consumer recycled polypropylene through their reinforcement with amine and amine/silane organically modified clays for potential use in food packaging</t>
  </si>
  <si>
    <t>The deterioration of the properties of post-consumer recycled polyolefins is one of the challenges to address for their further use in new packaging systems. In this work, sheets based on nanocomposites of flexible post consumer recycled polypropylene (PCPP) and amine (NI44P) and amine/silane (NI.31PS) organic-modified clays were developed in order to study the effect of these nanoclays in the improvement of the PCPP's properties for food packaging applications. Clays tended to reduce the water vapor permeability of the sheets, and interestingly, this effect was more significant by the presence of aminopropyltriethoxysilane as a coupling agent in the clay due to its possible interactions with the oxidized groups of the recycled polymer. Conversely, oxygen permeability increased with NI.31PS clay, but was greatly reduced with the addition of NI.44P at 1 wt%. The nanocomposite with NI.31PS at 3 wt% presented the highest increase of tensile strength. The nanocomposites complied with the overall migration limit towards aqueous and fatty simulants. Migration values were lower in 10 % ethanol and 3 % acetic acid than in olive oil.</t>
  </si>
  <si>
    <t>; Lopez-de-Dicastillo, Carol/C-6347-2019</t>
  </si>
  <si>
    <t>VELASQUEZ, ELIEZER/0000-0001-8858-8926; Lopez-de-Dicastillo, Carol/0000-0003-0067-9765</t>
  </si>
  <si>
    <t>10.1016/j.fpsl.2023.101121</t>
  </si>
  <si>
    <t>WOS:001043984400001</t>
  </si>
  <si>
    <t>Muga, I; Rojas, S; Vega, P</t>
  </si>
  <si>
    <t>Muga, Ignacio; Rojas, Sergio; Vega, Patrick</t>
  </si>
  <si>
    <t>AN ADAPTIVE SUPERCONVERGENT MIXED FINITE ELEMENT METHOD BASED ON LOCAL RESIDUAL MINIMIZATION</t>
  </si>
  <si>
    <t>SIAM JOURNAL ON NUMERICAL ANALYSIS</t>
  </si>
  <si>
    <t>We introduce an adaptive superconvergent finite element method for a class of mixed formulations to solve partial differential equations involving a diffusion term. It combines a superconvergent postprocessing technique for the primal variable with an adaptive finite element method via residual minimization. Such a residual minimization procedure is performed on a local postprocessing scheme, commonly used in the context of mixed finite element methods. Given the local nature of that approach, the underlying saddle point problems associated with residual minimizations can be solved with minimal computational effort. We propose and study a posteriori error estimators, including the built-in residual representative associated with residual minimization schemes; and an improved estimator which adds, on the one hand, a residual term quantifying the mismatch between discrete fluxes and, on the other hand, the interelement jumps of the postprocessed solution. We present numerical experiments in two dimensions using Brezzi-Douglas-Marini elements as input for our methodology. The experiments perfectly fit our key theoretical findings and suggest that our estimates are sharp.</t>
  </si>
  <si>
    <t>Rojas, Sergio/ABH-1537-2020; Vega, Patrick/AHC-8969-2022</t>
  </si>
  <si>
    <t>Rojas, Sergio/0000-0001-7203-7740; Vega, Patrick/0000-0001-6047-9074</t>
  </si>
  <si>
    <t>0036-1429</t>
  </si>
  <si>
    <t>1095-7170</t>
  </si>
  <si>
    <t>10.1137/22M1526307</t>
  </si>
  <si>
    <t>WOS:001082987300004</t>
  </si>
  <si>
    <t>Soto-Madrid, D; Pérez, N; Gutiérrez-Cutiño, M; Matiacevich, S; Zúñiga, RN</t>
  </si>
  <si>
    <t>Soto-Madrid, Daniela; Perez, Nicole; Gutierrez-Cutino, Marlen; Matiacevich, Silvia; Zuniga, Rommy N.</t>
  </si>
  <si>
    <t>Structural and Physicochemical Characterization of Extracted Proteins Fractions from Chickpea (Cicer arietinum L.) as a Potential Food Ingredient to Replace Ovalbumin in Foams and Emulsions</t>
  </si>
  <si>
    <t>Chickpeas are the third most abundant legume crop worldwide, having a high protein content (14.9-24.6%) with interesting technological properties, thus representing a sustainable alternative to animal proteins. In this study, the surface and structural properties of total (TE) and sequential (ALB, GLO, and GLU) protein fractions isolated from defatted chickpea flour were evaluated and compared with an animal protein, ovalbumin (OVO). Differences in their physicochemical properties were evidenced when comparing TE with ALB, GLO, and GLU fractions. In addition, using a simple and low-cost extraction method it was obtained a high protein yield (82 +/- 4%) with a significant content of essential and hydrophobic amino acids. Chickpea proteins presented improved interfacial and surface behavior compared to OVO, where GLO showed the most significant effects, correlated with its secondary structure and associated with its flexibility and higher surface hydrophobicity. Therefore, chickpea proteins have improved surface properties compared to OVO, evidencing their potential use as foam and/or emulsion stabilizers in food formulations for the replacement of animal proteins.</t>
  </si>
  <si>
    <t>Soto Madrid, Daniela Paz/GSD-5684-2022</t>
  </si>
  <si>
    <t>Soto Madrid, Daniela/0000-0002-4701-5678; Gutierrez Cutino, Marlen/0000-0001-6839-6353; Zuniga, Rommy/0000-0002-4195-8085</t>
  </si>
  <si>
    <t>10.3390/polym15010110</t>
  </si>
  <si>
    <t>WOS:000909990500001</t>
  </si>
  <si>
    <t>Valencia-Llano, CH; López-Tenorio, D; Saavedra, M; Zapata, PA; Grande-Tovar, CD</t>
  </si>
  <si>
    <t>Humberto Valencia-Llano, Carlos; Lopez-Tenorio, Diego; Saavedra, Marcela; Zapata, Paula A.; David Grande-Tovar, Carlos</t>
  </si>
  <si>
    <t>Comparison of Two Bovine Commercial Xenografts in the Regeneration of Critical Cranial Defects</t>
  </si>
  <si>
    <t>Autologous bone is the gold standard in regeneration processes. However, there is an endless search for alternative materials in bone regeneration. Xenografts can act as bone substitutes given the difficulty of obtaining bone tissue from patients and before the limitations in the availability of homologous tissue donors. Bone neoformation was studied in critical-size defects created in the parietal bone of 40 adult male Wistar rats, implanted with xenografts composed of particulate bovine hydroxyapatite (HA) and with blocks of bovine hydroxyapatite (HA) and Collagen, which introduces crystallinity to the materials. The Fourier-transform infrared spectroscopy (FTIR) analysis demonstrated the carbonate and phosphate groups of the hydroxyapatite and the amide groups of the collagen structure, while the thermal transitions for HA and HA/collagen composites established mainly dehydration endothermal processes, which increased (from 79 degrees C to 83 degrees C) for F2 due to the collagen presence. The xenograft's X-ray powder diffraction (XRD) analysis also revealed the bovine HA crystalline structure, with a prominent peak centered at 32 degrees. We observed macroporosity and mesoporosity in the xenografts from the morphology studies with heterogeneous distribution. The two xenografts induced neoformation in defects of critical size. Histological, histochemical, and scanning electron microscopy (SEM) analyses were performed 30, 60, and 90 days after implantation. The empty defects showed signs of neoformation lower than 30% in the three periods, while the defects implanted with the material showed partial regeneration. InterOss Collagen material temporarily induced osteon formation during the healing process. The results presented here are promising for bone regeneration, demonstrating a beneficial impact in the biomedical field.</t>
  </si>
  <si>
    <t>Tovar, Carlos/J-9638-2019; Valencia Llano, Carlos Humberto/KZU-6023-2024</t>
  </si>
  <si>
    <t>Valencia Llano, Carlos Humberto/0000-0003-4892-9786; Lopez Tenorio, Diego/0009-0002-5855-0497; Grande Tovar, Carlos David/0000-0002-6243-4571; Zapata, Paula Andrea/0000-0003-3361-6226</t>
  </si>
  <si>
    <t>10.3390/molecules27185745</t>
  </si>
  <si>
    <t>WOS:000856871200001</t>
  </si>
  <si>
    <t>Ramos, I; Maldonado, M; Meriño, D; Bustos, P; Henriquez, F; Morales, M</t>
  </si>
  <si>
    <t>Ramos, I; Maldonado, M.; Merino, D.; Bustos, P.; Henriquez, F.; Morales, M.</t>
  </si>
  <si>
    <t>A new approach to measure gas holdup in industrial flotation Machines. Part III: Industrial prototype design and assessment</t>
  </si>
  <si>
    <t>An industrial gas holdup sensor was designed, constructed, and its performance assessed on a 250 m3 self-aerated Wemco cell at Los Pelambres concentrator. The submersible sensor comprised a ceramic-liner IP68 magnetic flowmeter assembled to a stainless steel gas exclusion cell, which resembles an inverted truncated cone. The gas exclusion cell was designed to avoid low-velocity sections where particles could settle. When the sensor device is vertically immersed in an aerated pulp a continuous downward flow of pulp without bubbles is induced through it. A remotely installed processing unit converts the flow velocity signal , provided by the magnetic meter, into a gas holdup signal, by applying Bernoullis equation to the induced flow. The ideal velocity in the Bernoullis equation is obtained by multiplying the measured velocity and the discharge coefficient. The discharge coefficient was found to be fairly constant over a wide range of Reynolds numbers. Gas holdup measurements were compared against those obtained by sampling a fixed volume of aerated pulp using the J K Tech Air Holdup Probe. These tests were conducted on different days over nine months to allow for the pulp properties to change. Gas holdup changes in the flotation machine were achieved by restricting the air intake to the cell by placing a stainless steel cap on top of the air suction pipe. Short and long-term testing demonstrated the sensor capability to provide reliable and accurate continuous-time gas holdup measurements for industrial flotation machines.</t>
  </si>
  <si>
    <t>10.1016/j.mineng.2022.107490</t>
  </si>
  <si>
    <t>MAR 2022</t>
  </si>
  <si>
    <t>WOS:000781734100003</t>
  </si>
  <si>
    <t>Ibarra, A; Darbois-Texier, B; Melo, F</t>
  </si>
  <si>
    <t>Ibarra, Alejandro; Darbois-Texier, Baptiste; Melo, Francisco</t>
  </si>
  <si>
    <t>Designing a Contact Fingertip Sensor Made Using a Soft 3D Printing Technique</t>
  </si>
  <si>
    <t>SOFT ROBOTICS</t>
  </si>
  <si>
    <t>The development of highly compliant materials and actuators has enabled the design of soft robots that can be applied in rescue operations, in secure human-robot interactions, to manipulate fragile devices or objects, and for robot locomotion within complex environments. To develop reliable solutions for soft robotics applications, devices with the ability to deform and change shape are required, which must be equipped with appropriate sensors capable of withstanding large deformations at suitable speeds and respond repeatedly. This work presents a methodology to build strain sensors made of sensitive, thin, and conductive channels printed inside a soft matrix, using three-dimensional printing. As proof of concept, rectangular beams and semispherical caps embedded with sensitive circuits are developed that are designed to deform under applied forces and detect the gradual contact with objects. The rectangular beam with conductive lines separated from the neutral plane exhibits a quasi-linear electrical response as a function of the applied shear strain. Mechanical diodes, which trigger an activated response once a given deformation onset is exceeded, are implemented using circumferential conductive channels that are centered with the spherical body sensor. Sinusoidally shaped conductive channels located at a given distance from the spherical surface produce a monotonic electrical response, which detects deformations over a broad range. Linear sensors, with enhanced sensitivity to compression, are created if the sensitive conductive channels are oriented along the compression direction. Numerical calculations, used to guide the design of the sensor, show the capability of these sensors to measure simultaneous normal and tangential forces, making them suitable for applications involving fragile object manipulation and robot locomotion. An example of application of these sensors in the control of the forces applied by soft gripper lifting an object is given.</t>
  </si>
  <si>
    <t>Melo, Francisco/M-3923-2014</t>
  </si>
  <si>
    <t>Melo, Francisco Esteban/0000-0001-6818-5476; Ibarra, Alejandro/0000-0002-6916-8608</t>
  </si>
  <si>
    <t>2169-5172</t>
  </si>
  <si>
    <t>2169-5180</t>
  </si>
  <si>
    <t>10.1089/soro.2021.0128</t>
  </si>
  <si>
    <t>WOS:000764294000001</t>
  </si>
  <si>
    <t>Charpentier, P; Chaxel, F; Krommenacker, N; Bombardier, V; Seguel, F</t>
  </si>
  <si>
    <t>Charpentier, Patrick; Chaxel, Frederic; Krommenacker, Nicolas; Bombardier, Vincent; Seguel, Fabian</t>
  </si>
  <si>
    <t>Pervasive Digital Twin for PI-Containers: A New Packing Problem</t>
  </si>
  <si>
    <t>SENSORS</t>
  </si>
  <si>
    <t>The idea defended in this paper consists in finding, at any time and everywhere, the arrangement of containers within a composite container. The digital image of the real arrangement obtained defines its digital twin. This image evolves at the same time as its real twin. It can be used throughout the logistics chain during loading/unloading phases in hubs, to check the completeness of a load, to find the particular position of a container, etc. This digital twin is obtained through the collection of neighborhood information from the sensor nodes embedded on each container. This embedded solution allows accessibility to this information everywhere. This proximity information and the instrumentation of the containers define new types of constraints and a new version of a packing problem. We propose here a model integrating them. This model is implemented and tested on different test cases, and numerical results are provided. These show that, under certain conditions that will be presented, it is possible to obtain the digital twin of the real arrangement.</t>
  </si>
  <si>
    <t>Krommenacker, Nicolas/IAR-4851-2023; Seguel, Fabian/ABC-4765-2020</t>
  </si>
  <si>
    <t>Seguel, Fabian/0000-0001-6567-8988</t>
  </si>
  <si>
    <t>1424-8220</t>
  </si>
  <si>
    <t>10.3390/s21237999</t>
  </si>
  <si>
    <t>WOS:000734709600001</t>
  </si>
  <si>
    <t>Mora, MC; Rojas, C; Kurte, M; Jirón, FG; Cárcamo, I; Villalón, N; Kaehne, T; Wyneken, U; Lagos, KP</t>
  </si>
  <si>
    <t>Campos Mora, Mauricio; Rojas, Carolina; Kurte, Monica; Galvez Jiron, Felipe; Carcamo, Ignacio; Villalon, Natalia; Kaehne, Thilo; Wyneken, Ursula; Pino Lagos, Karina</t>
  </si>
  <si>
    <t>Small extracellular vesicles obtained from Nrp1+T regulatory cells favor skin graft tolerance</t>
  </si>
  <si>
    <t>EUROPEAN JOURNAL OF IMMUNOLOGY</t>
  </si>
  <si>
    <t>Wyneken, Ursula/AEF-2609-2022</t>
  </si>
  <si>
    <t>0014-2980</t>
  </si>
  <si>
    <t>1521-4141</t>
  </si>
  <si>
    <t>OP-127</t>
  </si>
  <si>
    <t>WOS:000753366400182</t>
  </si>
  <si>
    <t>Aliaga-Rojas, S; Villalobos-Cid, M; Dorn, M; Inostroza-Ponta, M</t>
  </si>
  <si>
    <t>Aliaga-Rojas, Sebastian; Villalobos-Cid, Manuel; Dorn, Marcio; Inostroza-Ponta, Mario</t>
  </si>
  <si>
    <t>A multi-objective approach for the protein structure prediction problem</t>
  </si>
  <si>
    <t>2021 40TH INTERNATIONAL CONFERENCE OF THE CHILEAN COMPUTER SCIENCE SOCIETY (SCCC)</t>
  </si>
  <si>
    <t>40th International Conference of the Chilean-Computer-Science-Society (SCCC)</t>
  </si>
  <si>
    <t>NOV 15-19, 2021</t>
  </si>
  <si>
    <t>Univ La Serena, La Serena, CHILE</t>
  </si>
  <si>
    <t>Univ La Serena</t>
  </si>
  <si>
    <t>The Protein Structure Prediction or 3D-PSP is a relevant problem in bioinformatics. Its computational complexity classifies it as an NP-Hard problem. The 3D-PSP can be approached as a multi-objective optimisation problem by using different energy functions as objective functions and analyzing their conflicting roles in the protein structure conformation. This work examines the energy functions Talaris2013 and SASA of the molecular modelling suite PyRosetta, using a version of the multi-objective NSGA-II algorithm, plus a local search heuristics and the use of the Angle Probability List to incorporate structural information in the optimisation process. The experiment results showed the different aspects each energy function evaluates and the better structure prediction when used together in a multi-objective approach than separately in the optimisation process. The results also showed improved RMSD and GDT values compared to the equivalent results of previous works. Also, the results showed better RMSD values with the Pareto Local Search algorithm version than without a local search.</t>
  </si>
  <si>
    <t>Inostroza-Ponta, Mario/G-7548-2012; Villalobos-Cid, Manuel/AFK-0866-2022; Aliaga, Sebastian/KZU-9224-2024; Dorn, Marcio/D-3696-2009</t>
  </si>
  <si>
    <t>Villalobos-Cid, Manuel/0000-0002-1145-2016; Aliaga Rojas, Sebastian Andres/0009-0003-1783-8555</t>
  </si>
  <si>
    <t>978-1-6654-0956-8</t>
  </si>
  <si>
    <t>10.1109/SCCC54552.2021.9650383</t>
  </si>
  <si>
    <t>WOS:000765927700010</t>
  </si>
  <si>
    <t>Livacic-Rojas, P; Fernández, P; Vallejo, G; Tuero-Herrero, E; Ordóñez, F</t>
  </si>
  <si>
    <t>Livacic-Rojas, Pablo; Fernandez, Paula; Vallejo, Guillermo; Tuero-Herrero, Ellian; Ordonez, Feliciano</t>
  </si>
  <si>
    <t>Sensitivity of five information criteria to discriminate covariance structures with missing data in repeated measures designs</t>
  </si>
  <si>
    <t>Backgrounds: This study analyzes the effectiveness of different information criteria for the selection of covariance structures, extending it to different missing data mechanisms, the maintenance and adjustment of the mean structures, and matrices. Method: The Monte Carlo method was used with 1,000 simulations, SAS 9.4 statistical software and a partially repeated measures design (p=2; q=5). The following variables were manipulated: a) the complexity of the model; b) sample size; c) matching of covariance matrices and sample size; d) dispersion matrices; e) the type of distribution of the variable; f) the non-response mechanism. Results: The results show that all information criteria worked well in Scenario 1 for normal and non-normal distributions with heterogeneity of variance. However, in Scenarios 2 and 3, all were accurate with the ARH matrix, whereas AIC, AICCR and HQICR worked better with TOEP and UN. When the distribution was not normal. AIC and AICCR were only accurate in Scenario 3, more heterogeneous and unstructured matrices, with complete cases, MAR and MCAR. Conclusions: In order to correctly select the matrix it is advisible to analyze the heterogeneity, sample size and distribution of the data.</t>
  </si>
  <si>
    <t>Herrero, Ellián/AAA-4397-2019; Vallejo, Guillermo/B-8233-2011; Ordonez Fernandez, Feliciano Francisco/R-1907-2018; Fernandez, Paula/I-1881-2015</t>
  </si>
  <si>
    <t>Vallejo, Guillermo/0000-0002-8010-6854; Tuero Herrero, Ellian/0000-0002-5988-5996; Ordonez Fernandez, Feliciano Francisco/0000-0001-9753-7872; Fernandez, Paula/0000-0003-0140-7702</t>
  </si>
  <si>
    <t>1886-144X</t>
  </si>
  <si>
    <t>10.7334/psicothema2020.63</t>
  </si>
  <si>
    <t>WOS:000554408800015</t>
  </si>
  <si>
    <t>Knox, M; Vinet, R; Fuentes, L; Morales, B; Martínez, JL</t>
  </si>
  <si>
    <t>Knox, Marcela; Vinet, Raul; Fuentes, Lida; Morales, Bernardo; Martinez, Jose L.</t>
  </si>
  <si>
    <t>A Review of Endothelium-Dependent and -Independent Vasodilation Induced by Phytochemicals in Isolated Rat Aorta</t>
  </si>
  <si>
    <t>ANIMALS</t>
  </si>
  <si>
    <t>Simple Summary Cardiovascular diseases are the leading cause of death worldwide, so the investigation of new therapeutic tools is a priority for their prevention and treatment. This review shows the relevant contribution of the isolated rat aorta as an in vitro experimental model to validate the therapeutic potential of phytochemicals, mainly those present in plants traditionally used in folk medicine to relieve hypertension. The results of the assays carried out in this model show that a variety of plant extracts and their isolated compounds produce vasodilation, which may explain their use, especially to treat hypertension. This review discusses the contribution of the use of the isolated rat aorta (IRA) as a model for the evaluation of extracts and metabolites produced by plants with a vasodilator effect in animals. This model continues to be a valuable approach for the search and development of new phytochemicals consumed as medicinal plants or foods. In most cases, the sources of phytochemicals have been used in folk medicine to treat ailments that include hypertension. In this model, the endothelium is emphasized as a key component that modulates the vessel contractility, and therefore the basal tone and blood pressure. Based on the functional nature of the model, we focused on studies that determined the endothelium-dependent and -independent vasodilatory activity of phytochemicals. We describe the mechanisms that account for aorta contraction and relaxation, and subsequently show the vasoactive effect of a series of phytochemicals acting as vasodilators and its endothelium dependence. We highlight information regarding the cardiovascular benefits of phytochemicals, especially their potential antihypertensive effect. On this basis, we discuss the advantages of the IRA as a predictive model to support the research and development of new drugs that may be of help in the prevention and treatment of cardiovascular diseases, the number one cause of death worldwide.</t>
  </si>
  <si>
    <t>Martinez, Jose/AAA-1725-2020; Fuentes-Viveros, Lida/AAD-4792-2019; Vinet, Raul/B-1699-2016</t>
  </si>
  <si>
    <t>Vinet, Raul/0000-0002-4719-8910; Fuentes-Viveros, lida/0000-0003-0605-2824; Martinez, Jose/0000-0002-0177-4847</t>
  </si>
  <si>
    <t>2076-2615</t>
  </si>
  <si>
    <t>10.3390/ani9090623</t>
  </si>
  <si>
    <t>WOS:000487978900087</t>
  </si>
  <si>
    <t>Letelier, M; Barrera, C; Siginer, D; Stockle, J; Godoy, F; Rosas, C</t>
  </si>
  <si>
    <t>Letelier, Mario; Barrera, Cristian; Siginer, Dennis; Stockle, Juan; Godoy, Felipe; Rosas, Cesar</t>
  </si>
  <si>
    <t>Bingham fluids: deformation and energy dissipation in triangular cross section tube flow</t>
  </si>
  <si>
    <t>MECCANICA</t>
  </si>
  <si>
    <t>Flow of Bingham plastics through straight, long tubes with non-circular cross-sections is studied by means of an analytical method that allows to model a wide spectrum of tube geometries. Shear stress normal to equal velocity lines, velocity field and plug zones are explored, in particular in a tube with equilateral triangular cross-section for small values of the Bingham number Bi, and they are compared with corresponding numerical solutions. We show that a circular plug is present at the center of the triangular tube cross-section, consistent with numerical simulations as well as with previous results in the literature, if calculations up to and including first order in the shape perturbation parameter are taken into account. However with the inclusion of the second order terms in the algorithm this structure is no longer present and no plug zone is predicted for the same pressure drop. We find that in that case normal shear stresses are always greater than the yield stress of the fluid. As a result, the central region becomes a pseudo-plug since it presents small but non-vanishing relative deformations and does not move as a rigid core. The energy dissipation function for the Bingham fluid flow is written in terms of natural coordinates. Its distribution depends only on the normal shear stress at any point with Bingham number as a parameter.</t>
  </si>
  <si>
    <t>Barrera Hinojosa, Cristian/0000-0003-4976-3028; Godoy Flores, Felipe Andres/0009-0003-2794-5821</t>
  </si>
  <si>
    <t>0025-6455</t>
  </si>
  <si>
    <t>1572-9648</t>
  </si>
  <si>
    <t>10.1007/s11012-017-0716-z</t>
  </si>
  <si>
    <t>WOS:000424460100011</t>
  </si>
  <si>
    <t>Sabattin, J; Fuertes, G; Alfar, M; Quezada, L; Vargas, M</t>
  </si>
  <si>
    <t>Sabattin, Jorge; Fuertes, Guillermo; Alfar, Miguel; Quezada, Luis; Vargas, Manuel</t>
  </si>
  <si>
    <t>Optimization of large electric power distribution using a parallel genetic algorithm with dandelion strategy</t>
  </si>
  <si>
    <t>TURKISH JOURNAL OF ELECTRICAL ENGINEERING AND COMPUTER SCIENCES</t>
  </si>
  <si>
    <t>The study of electrical distribution of primary networks design is oriented to reduce the construction costs and the energy losses by transmission. The topology for the implementation of distribution networks may vary according to the geographical characteristics of the final users and requires specialized optimization solutions with metaheuristics to improve the energy performance of the electrical power systems. A parallel genetic algorithm (PGA) is proposed to optimize a tree-based topology for large-scale electric power distribution networks. The proposed PGA uses the dandelion code, which allows obtaining tree-feasible solutions within each iteration of the PGA. This cannot be achieved with other metaheuristic approaches directly. Eight cores are used simultaneously. We achieve a 22.05% improvement when compared to the tree-feasible solutions obtained with its sequential version. Moreover, the computational time required by the PGA is on average 23 times lower than the sequential version. Finally, we find feasible solutions for instances of the problem with up to 50,000 nodes.</t>
  </si>
  <si>
    <t>Sabattin, Jorge/P-2589-2019; vargas, manuel/AAG-4780-2020; Quezada, Luis/W-8168-2019; Fuertes, Guillermo/Q-2341-2016</t>
  </si>
  <si>
    <t>Vargas Guzman, Manuel Eduardo/0000-0003-4161-6621; Fuertes, Guillermo/0000-0003-3044-5919; Sabattin, Jorge/0000-0003-0270-6560</t>
  </si>
  <si>
    <t>1300-0632</t>
  </si>
  <si>
    <t>1303-6203</t>
  </si>
  <si>
    <t>10.3906/elk-1801-261</t>
  </si>
  <si>
    <t>WOS:000448109200039</t>
  </si>
  <si>
    <t>Keyantuo, V; Lizama, C; Warma, M</t>
  </si>
  <si>
    <t>Keyantuo, Valentin; Lizama, Carlos; Warma, Mahamadi</t>
  </si>
  <si>
    <t>EXISTENCE, REGULARITY AND REPRESENTATION OF SOLUTIONS OF TIME FRACTIONAL WAVE EQUATIONS</t>
  </si>
  <si>
    <t>We study the solvability of the fractional order inhomogeneous Cauchy problem D(t)(alpha)u(t) = Au(t) + f(t), t &gt; 0, 1 &lt; alpha &lt;= 2, where A is a closed linear operator in some Banach space X and f : [0, infinity) -&gt; X a given function. Operator families associated with this problem are defined and their regularity properties are investigated. In the case where A is a generator of a beta-times integrated cosine family (C-beta(t)), we derive explicit representations of mild and classical solutions of the above problem in terms of the integrated cosine family. We include applications to elliptic operators with Dirichlet, Neumann or Robin type boundary conditions on L-P-spaces and on the space of continuous functions.</t>
  </si>
  <si>
    <t>SEP 18</t>
  </si>
  <si>
    <t>WOS:000412322300001</t>
  </si>
  <si>
    <t>Ruiz-Tagle, B; Villalobos-Cid, M; Dorn, M; Inostroza-Ponta, M</t>
  </si>
  <si>
    <t>Ruiz-Tagle, Benjamin; Villalobos-Cid, Manuel; Dorn, Marcio; Inostroza-Ponta, Mario</t>
  </si>
  <si>
    <t>Evaluating the use of local search strategies for a Memetic Algorithm for the Protein-Ligand docking problem</t>
  </si>
  <si>
    <t>2017 36TH INTERNATIONAL CONFERENCE OF THE CHILEAN COMPUTER SCIENCE SOCIETY (SCCC)</t>
  </si>
  <si>
    <t>36th International Conference of the Chilean Computer Science Society (SCCC)</t>
  </si>
  <si>
    <t>OCT 16-20, 2017</t>
  </si>
  <si>
    <t>Arica, CHILE</t>
  </si>
  <si>
    <t>Sociedad Chilena Ciencia Computac,REUNA,SERNATUR Ministerio Economia Fomento Turismo,Telefonica,TLine,Ctr Math Modeling,Municipalidad ARICA,DELL EMC,Natl Lab High Performance Comp,NIC CHILE,INFONOR CHILE</t>
  </si>
  <si>
    <t>Molecular docking aims to predict the best conformation of a molecule when it is attached to another, to form a stable complex. This problem is considered to be of a high computational complexity because of the large number of factors that must be taken into account in the binding process. In this paper we present three different local search strategies that were implemented as part of a memetic algorithm for the molecular docking problem. The algorithms were tested with real complexes obtained from Protein Data Bank. The results were evaluated according to two criteria: minimum energy and RMSD respect to the crystallographic structure of the complex. The results generated by the algorithm are satisfactory, since it was possible to generate real-like conformations in 75% of cases. Finally the results showed that one of the techniques achieved the best free energy values in 90% of the tests.</t>
  </si>
  <si>
    <t>Villalobos-Cid, Manuel/AFK-0866-2022; Inostroza-Ponta, Mario/G-7548-2012; Dorn, Marcio/D-3696-2009</t>
  </si>
  <si>
    <t>Dorn, Marcio/0000-0001-8534-3480</t>
  </si>
  <si>
    <t>978-1-5386-3483-7</t>
  </si>
  <si>
    <t>WOS:000455184200035</t>
  </si>
  <si>
    <t>Miranda, D; Jara, C; Ibañez, J; Ahumada, V; Acuña-Castillo, C; Martin, A; Córdova, A; Montoya, M</t>
  </si>
  <si>
    <t>Miranda, Dante; Jara, Claudia; Ibanez, Jorge; Ahumada, Viviana; Acuna-Castillo, Claudio; Martin, Adrian; Cordova, Alexandra; Montoya, Margarita</t>
  </si>
  <si>
    <t>PGC-1α-Dependent Mitochondrial Adaptation Is Necessary to Sustain IL-2-Induced Activities in Human NK Cells</t>
  </si>
  <si>
    <t>MEDIATORS OF INFLAMMATION</t>
  </si>
  <si>
    <t>-Human Natural Killer (NK) cells are a specialized heterogeneous subpopulation of lymphocytes involved in antitumor defense reactions. NK cell effector functions are critically dependent on cytokines and metabolic activity. Among various cytokines modulating NK cell function, interleukin-2 (IL-2) can induce a more potent cytotoxic activity defined as lymphokine activated killer activity (LAK). Our aim was to determine if IL-2 induces changes at the mitochondrial level in NK cells to support the bioenergetic demand for performing this enhanced cytotoxic activity more efficiently. Purified human NK cells were cultured with high IL-2 concentrations to develop LAK activity, which was assessed by the ability of NK cells to lyse NK-resistant Daudi cells. Here we show that, after 72 h of culture of purified human NK cells with enough IL-2 to induce LAK activity, both the mitochondrial mass and the mitochondrial membrane potential increased in a PGC-1 alpha-dependent manner. In addition, oligomycin, an inhibitor of ATP synthase, inhibited IL-2-induced LAK activity at 48 and 72 h of culture. Moreover, the secretion of IFN-gamma. from NK cells with LAK activity was also partially dependent on PGC-1 alpha expression. These results indicate that PGC-1 alpha. plays a crucial role in regulating mitochondrial function involved in the maintenance of LAK activity in human NK cells stimulated with IL-2.</t>
  </si>
  <si>
    <t>Acuña-Castillo, Claudio/AAI-7090-2021</t>
  </si>
  <si>
    <t>Montoya, Margarita/0000-0002-6268-1118; Ibanez, Jorge/0000-0003-4317-8573; Acuna-Castillo, Claudio/0000-0003-3607-6077</t>
  </si>
  <si>
    <t>0962-9351</t>
  </si>
  <si>
    <t>1466-1861</t>
  </si>
  <si>
    <t>10.1155/2016/9605253</t>
  </si>
  <si>
    <t>WOS:000379054900001</t>
  </si>
  <si>
    <t>Chen, WJ; Guerra, I</t>
  </si>
  <si>
    <t>Chen, Wenjing; Guerra, Ignacio</t>
  </si>
  <si>
    <t>Multiplicity of solutions to nearly critical elliptic equation in the bounded domain of R3</t>
  </si>
  <si>
    <t>We consider the following Dirichlet boundary value problem {-Delta u = u(5-epsilon) + lambda u(q), u &gt; 0 in Omega; u = 0 on partial derivative Omega, (0.1) where Omega is a smooth bounded domain in R-3, 1 &lt; q &lt; 3, the parameters lambda &gt; 0 and epsilon &gt; 0. By Lyapunov-Schmidt reduction method and the Mountain Pass Theorem, we prove that in suitable ranges for the parameters lambda and epsilon, problem (0.1) has at least two solutions. Additionally if 2 &lt;= q &lt; 3, we prove the existence of at least three solutions. Consequently, we prove a non-uniqueness result for a suberitical problem with an increasing nonlinearity. (C) 2014 Elsevier Inc. All rights reserved.</t>
  </si>
  <si>
    <t>chen, wenjing/IZE-8536-2023</t>
  </si>
  <si>
    <t>10.1016/j.jmaa.2014.11.019</t>
  </si>
  <si>
    <t>WOS:000348488700008</t>
  </si>
  <si>
    <t>Vásquez, OC; Vargas, IJ; Sepúlveda, JM</t>
  </si>
  <si>
    <t>Vasquez, Oscar C.; Vargas, Ignacio J.; Sepulveda, Juan M.</t>
  </si>
  <si>
    <t>AN EFFICIENT DECISION MAKING PROCESS FOR VEHICLES OPERATIONS IN UNDERGROUND MINING</t>
  </si>
  <si>
    <t>RAIRO-OPERATIONS RESEARCH</t>
  </si>
  <si>
    <t>Day by day, the LHD (load-haul-dump) vehicle operator addresses the routing problems at the production level of mine, whose solution impacts on the performance of all the production chain. Unfortunately, the operator's goal of minimizing the makespan of his workload is not necessarily optimal as one needs to take into account the coordination with next operation levels. In this paper, we stated the problem to determine the working path of LHD vehicle for minimizing the makespan subject to the coordination between the production level and next the operation level, so called the reduction level. We prove that the problem is NP-hard in the strong sense, propose an exact formulation by a mixed integer linear programming (MIP) model and generate an approximation algorithm. From a real implementation point of view, we developed a simple-to-execute decision-making process (DMP) for the LHD vehicle operator based on the generated approximation algorithm. Finally, we study DMP performance by a numerical analysis based on data from the Chilean underground copper mine, called El Teniente. The results show that the approximation ratio in practice is only 1.08.</t>
  </si>
  <si>
    <t>Sepulveda, Juan M./0000-0003-3755-0981; Vasquez, Oscar C./0000-0002-1393-4692</t>
  </si>
  <si>
    <t>0399-0559</t>
  </si>
  <si>
    <t>1290-3868</t>
  </si>
  <si>
    <t>10.1051/ro/2014026</t>
  </si>
  <si>
    <t>WOS:000347714700001</t>
  </si>
  <si>
    <t>Navarrete, LC; Barrera, NP; Huidobro-Toro, JP</t>
  </si>
  <si>
    <t>Camilo Navarrete, L.; Barrera, Nelson P.; Pablo Huidobro-Toro, J.</t>
  </si>
  <si>
    <t>Vas deferens neuro-effector junction: From kymographic tracings to structural biology principles</t>
  </si>
  <si>
    <t>AUTONOMIC NEUROSCIENCE-BASIC &amp; CLINICAL</t>
  </si>
  <si>
    <t>The vas deferens is a simple bioassay widely used to study the physiology of sympathetic neurotransmission and the pharmacodynamics of adrenergic drugs. The role of ATP as a sympathetic co-transmitter has gained increasing attention and furthered our understanding of its role in sympathetic reflexes. In addition, new information has emerged on the mechanisms underlying the storage and release of ATP. Both noradrenaline and ATP concur to elicit the tissue smooth muscle contractions following sympathetic reflexes or electrical field stimulation of the sympathetic nerve terminals. ATP and adenosine (its metabolic byproduct) are powerful presynaptic regulators of co-transmitter actions. In addition, neuropeptide Y, the third member of the sympathetic triad, is an endogenous modulator. The peptide plus ATP and/or adenosine play a significant role as sympathetic modulators of transmitter's release. This review focuses on the physiological principles that govern sympathetic co-transmitter activity, with special interest in defining the motor role of ATP. In addition, we intended to review the recent structural biology findings related to the topology of the P2X1R based on the crystallized P2X4 receptor from Danio rerio, or the crystallized adenosine A2A receptor as a member of the G protein coupled family of receptors as prototype neuro modulators. This review also covers structural elements of ectonucleotidases, since some members are found in the vas deferens neuro-effector junction. The allosteric principles that apply to purinoceptors are also reviewed highlighting concepts derived from receptor theory at the light of the current available structural elements. Finally, we discuss clinical applications of these concepts. (C) 2014 Elsevier B.V. All rights reserved.</t>
  </si>
  <si>
    <t>Barrera, Nelson/0000-0001-7825-1406</t>
  </si>
  <si>
    <t>1566-0702</t>
  </si>
  <si>
    <t>1872-7484</t>
  </si>
  <si>
    <t>10.1016/j.autneu.2014.05.010</t>
  </si>
  <si>
    <t>WOS:000342863700003</t>
  </si>
  <si>
    <t>Junqueira-Gonçalves, MP; Zuñiga, GE; Zárate, H; Arcos, K; Ganga, A; Miltz, J</t>
  </si>
  <si>
    <t>Paula Junqueira-Goncalves, Maria; Zuniga, Gustavo E.; Zarate, Herman; Arcos, Karina; Ganga, Angelica; Miltz, Joseph</t>
  </si>
  <si>
    <t>Effect of γ-radiation on chives safety and quality</t>
  </si>
  <si>
    <t>INTERNATIONAL JOURNAL OF FOOD SCIENCE AND TECHNOLOGY</t>
  </si>
  <si>
    <t>The effect of gamma-irradiation on the quality of chives was evaluated. The samples were irradiated at 1.0 and 2.0 kGy, stored at 4 degrees C for 10 days and used for microbiological (aerobic mesophilic, moulds and yeasts, E. coli and Salmonella sp), biochemical (vitamin C and lipoperoxide (MDA) contents and superoxide dismutase (SOD) and guaiacol peroxidase (POX) activity) and sensorial evaluation. For irradiated samples, the total counts of aerobic mesophilic and moulds and yeasts showed a reduction of 6 log cycles during storage, and colour analysis showed no significant difference (P &gt; 0.05) for the b*-value. The contents of vitamin C were not significantly affected by irradiation and storage time. The MDA contents and SOD activity changed insignificantly at both gamma-irradiation levels after storage, while POX was significantly increased (P = 0.05) at 1 kGy. Samples irradiated at 2.0 kGy presented sensorial acceptance after the storage. These results show that gamma-irradiation increases the shelf life of chives without significant changes in their quality.</t>
  </si>
  <si>
    <t>Zuñiga, Gustavo/P-8306-2015; Ganga, Maria/S-8176-2019</t>
  </si>
  <si>
    <t>0950-5423</t>
  </si>
  <si>
    <t>1365-2621</t>
  </si>
  <si>
    <t>10.1111/j.1365-2621.2012.03120.x</t>
  </si>
  <si>
    <t>WOS:000310469700026</t>
  </si>
  <si>
    <t>Jakubsky, V; Plyushchay, MS</t>
  </si>
  <si>
    <t>Jakubsky, Vit; Plyushchay, Mikhail S.</t>
  </si>
  <si>
    <t>Supersymmetric twisting of carbon nanotubes</t>
  </si>
  <si>
    <t>We construct exactly solvable models of twisted carbon nanotubes via supersymmetry, by applying the matrix Darboux transformation. We derive the Green's function for these systems and compute the local density of states. Explicit examples of twisted carbon nanotubes are produced, where the backscattering is suppressed and bound states are present. We find that the local density of states decreases in the regions where the bound states are localized. Dependence of bound-state energies on the asymptotic twist of the nanotubes is determined. We also show that each of the constructed unextended first-order matrix systems possesses a proper nonlinear hidden supersymmetric structure with a nontrivial grading operator.</t>
  </si>
  <si>
    <t>Jakubsky, Vit/H-2972-2014</t>
  </si>
  <si>
    <t>FEB 27</t>
  </si>
  <si>
    <t>10.1103/PhysRevD.85.045035</t>
  </si>
  <si>
    <t>WOS:000300835800003</t>
  </si>
  <si>
    <t>Hermanny, A; Bahamondes, MV; Fazano, F; Marchi, NM; Ortiz, ME; Genghini, MHRR; Croxatto, HB; Bahamondes, L</t>
  </si>
  <si>
    <t>Hermanny, Alexia; Bahamondes, M. Valeria; Fazano, Francisco; Marchi, Nadia M.; Ortiz, Maria Elena; Genghini, Maria Heloisa R. R.; Croxatto, Horacio B.; Bahamondes, Luis</t>
  </si>
  <si>
    <t>In vitro assessment of some sperm function following exposure to levonorgestrel in human fallopian tubes</t>
  </si>
  <si>
    <t>REPRODUCTIVE BIOLOGY AND ENDOCRINOLOGY</t>
  </si>
  <si>
    <t>Background: The mechanism of action of levonorgestrel (LNG) as emergency contraception (EC) remains a subject of debate and its effect on sperm function has been only partially explained. The aim of this study was to assess whether LNG at a similar dose to those found in serum following oral intake for EC could affect spermatozoa when exposed to human fallopian tubes in vitro. Methods: Fifteen mini-laparotomies were performed, the side on which ovulation occurred was recorded, and both tubes were removed and perfused with a suspension containing 1 x 10(6) motile spermatozoa, with or without LNG. Following 4-hour incubation, the tubes were sectioned to separate the isthmus and the ampulla. Each segment was flushed and the material was evaluated to quantify the number of motile sperm, the number of spermatozoa adhering to the oviductal epithelium and the acrosome reaction (AR) rate. Results: The addition of LNG did not significantly alter the number of recovered motile spermatozoa either at the isthmus or at the ampulla, nor did it have any effect on the number of recovered spermatozoa adhered to the human tubal epithelium. Furthermore, LNG did not affect the AR rate. No significant differences were found even when the side on which ovulation occurred was taken into account. Conclusions: In a similar dose to that observed in serum following oral intake for EC, LNG had no effect on the number of motile spermatozoa recovered from the human fallopian tubes in vitro, on their adhesion to the tubal epithelium, distribution or AR rate. The possible effect of LNG as EC on sperm function remains poorly understood.</t>
  </si>
  <si>
    <t>1477-7827</t>
  </si>
  <si>
    <t>JAN 30</t>
  </si>
  <si>
    <t>10.1186/1477-7827-10-8</t>
  </si>
  <si>
    <t>WOS:000301713800001</t>
  </si>
  <si>
    <t>Arenas, FA; Díaz, WA; Leal, CA; Pérez-Donoso, JM; Imlay, JA; Vásquez, CC</t>
  </si>
  <si>
    <t>Arenas, Felipe A.; Diaz, Waldo A.; Leal, Carolina A.; Perez-Donoso, Jose M.; Imlay, James A.; Vasquez, Claudio C.</t>
  </si>
  <si>
    <t>The Escherichia coli btuE gene, encodes a glutathione peroxidase that is induced under oxidative stress conditions</t>
  </si>
  <si>
    <t>BIOCHEMICAL AND BIOPHYSICAL RESEARCH COMMUNICATIONS</t>
  </si>
  <si>
    <t>Most aerobic organisms are exposed to oxidative stress. Looking for enzyme activities involved in the bacterial response to this kind of stress, we focused on the btuE-encoded Escherichia coli BtuE, an enzyme that shares homology with the glutathione peroxidase (GPX) family. This work deals with the purification and characterization of the btuE gene product. Purified BtuE decomposes in vitro hydrogen peroxide in a glutathione-dependent manner. BtuE also utilizes preferentially thioredoxin A to decompose hydrogen peroxide as well as cumene-, tert-butyl-, and linoleic acid hydroperoxides, confirming that its active site confers non-specific peroxidase activity. These data suggest that the enzyme may have one or more organic hydroperoxide as its physiological substrate. The btuE gene was induced when cells were exposed to oxidative stress elicitors that included potassium tellurite, menadione and hydrogen peroxide, among others, suggesting that BtuE could participate in the E. coli response to reactive oxygen species. To our knowledge, this is the first report describing a glutathione peroxidase in E. coli. (c) 2010 Elsevier Inc. All rights reserved.</t>
  </si>
  <si>
    <t>Perez-Donoso, Jose/G-3668-2013</t>
  </si>
  <si>
    <t>Perez-Donoso, Jose/0000-0002-9506-1716</t>
  </si>
  <si>
    <t>0006-291X</t>
  </si>
  <si>
    <t>1090-2104</t>
  </si>
  <si>
    <t>AUG 6</t>
  </si>
  <si>
    <t>10.1016/j.bbrc.2010.07.002</t>
  </si>
  <si>
    <t>WOS:000280901300013</t>
  </si>
  <si>
    <t>Ramos-Grez, J; Amado-Becker, A; Yañez, MJ; Vargas, Y; Gaete, L</t>
  </si>
  <si>
    <t>Ramos-Grez, Jorge; Amado-Becker, Antonio; Yanez, Maria Jose; Vargas, Yolanda; Gaete, Luis</t>
  </si>
  <si>
    <t>Elastic tensor stiffness coefficients for SLS Nylon 12 under different degrees of densification as measured by ultrasonic technique</t>
  </si>
  <si>
    <t>RAPID PROTOTYPING JOURNAL</t>
  </si>
  <si>
    <t>Purpose - The purpose of this paper is to present results of an investigation, where the elastic tensor based on the engineering constants of sinterized Nylon 12 is characterized and is modeled considering a transversely isotropic behavior as a function of apparent density (relative mass density). Design/methodology/approach - The ultrasound propagation velocity measurement through the material in specific directions by means of the pulse transmission method was used, relating the elastic tensor elements to the phase velocity magnitude through Christoffel's equation. In addition conventional uniaxial tensile tests were carried out to validate the used technique. Laser sintering of Nylon 12 powder (Duraform PA) has been performed at different laser energy densities, fabricating cube-shaped coupons as well as dogbone flat coupons, using an SLS 125 former DTM machine. Findings - Correlations for each one of the Young moduli, Shear constants and Poisson's ratios, presenting an exponential behavior as a function of the sintering degree, were generated. In addition, as the apparent density reaches a maximum value of 977 kg/m(3) at an energy density of 0.032 J/mm(2), the material behaves in an almost isotropic form, presenting average values for the Young modulus, Shear modulus and Poisson's ratio corresponding to 2,310 MPa, 803 MPa and 0.408, respectively. Research limitations/implications - The research is limited only to one type of material within the elastic range. Validation of the Young modulus measured along one direction only is performed using a tensile test machine, due to the difficulties in evaluating Poisson's ratios and Shear moduli using conventional tests. Practical implications - The results presented can be applied to virtual design and evaluating processes such as finite element analysis. Originality/value - The paper incorporates detailed information regarding the complete elastic characteristics of Nylon 12, including additional measurements of the Shear moduli and Poisson's ratios not studied previously.</t>
  </si>
  <si>
    <t>; Ramos-Grez, Jorge/F-9007-2013</t>
  </si>
  <si>
    <t>Gaete-Garreton, Luis/0000-0002-2234-8783; Ramos-Grez, Jorge/0000-0002-9293-3275</t>
  </si>
  <si>
    <t>1355-2546</t>
  </si>
  <si>
    <t>1758-7670</t>
  </si>
  <si>
    <t>10.1108/13552540810907929</t>
  </si>
  <si>
    <t>WOS:000261405000002</t>
  </si>
  <si>
    <t>Martínez, VD; Aguilar, C; Marín, J; Ordoñez, S; Castro, F</t>
  </si>
  <si>
    <t>Martinez, V. de P.; Aguilar, C.; Marin, J.; Ordonez, S.; Castro, F.</t>
  </si>
  <si>
    <t>Mechanical alloying of Cu-Mo powder mixtures and thermodynamic study of solubility</t>
  </si>
  <si>
    <t>MATERIALS LETTERS</t>
  </si>
  <si>
    <t>A set of Cu-based powder mixtures containing up to 8 at.% Mo has been processed through mechanical alloying for a range of milling times up to 75 h. The milling operation was carried out using two types of milling media, stainless steel and tungsten carbide balls, keeping a constant powder to balls weight ratio of 10:1. The alloyed powders obtained were characterised by X-ray diffraction and scanning electron microscopy in order to determine the mean crystallite size and particles morphology after milling, respectively. The crystallite size produced after milling was quantitatively determined based on both, the Scherrer and Williamson-Hall methods. An estimate of the increased solubility of Mo in Cu, produced by the microstructural refinement during milling, was carried out through a thermodynamical analysis based on the influence of crystallite size reduction on chemical potentials, (c) 2006 Elsevier B.V. All rights reserved.</t>
  </si>
  <si>
    <t>Aguilar, Claudio/B-6774-2011</t>
  </si>
  <si>
    <t>0167-577X</t>
  </si>
  <si>
    <t>1873-4979</t>
  </si>
  <si>
    <t>4-5</t>
  </si>
  <si>
    <t>10.1016/j.matlet.2006.11.070</t>
  </si>
  <si>
    <t>WOS:000243844100001</t>
  </si>
  <si>
    <t>Denardin, JC; Nunes, WC; Knobel, M</t>
  </si>
  <si>
    <t>Denardin, J. C.; Nunes, W. C.; Knobel, M.</t>
  </si>
  <si>
    <t>Effects of magnetic interparticle coupling in the blocking temperature of granular Co multilayers</t>
  </si>
  <si>
    <t>PHYSICA B-CONDENSED MATTER</t>
  </si>
  <si>
    <t>7th Latin American Workshop on Magnetism, Magnetic Materials and Their Applications</t>
  </si>
  <si>
    <t>DEC 12-16, 2005</t>
  </si>
  <si>
    <t>Renaca, CHILE</t>
  </si>
  <si>
    <t>Abdus Salam Int Ctr Theoret Phys,Centro Latinamericano Fis,Int Union Crystallog,Int Union Pure &amp; Appl Phys,Millennium Sci Nucleus,Off Naval Res Global</t>
  </si>
  <si>
    <t>In order to study the influence of magnetic interactions on the blocking temperature of magnetic nanoparticles, magnetization measurements were carried out on a discontinuous CO/SiO2 multilayer. The observed field dependence of the blocking temperature does not fit any of the non-interacting laws commonly used to describe this behavior. We applied a generalized model which considers a field-dependent magnetic correlation length. This model explains well the experimental results and can be used in other nanoparticulate systems. (c) 2006 Elsevier B.V. All rights reserved.</t>
  </si>
  <si>
    <t>Castro Nunes, Wallace/G-3184-2012; Denardin, Juliano/S-6407-2019; Knobel, Marcelo/A-2843-2009</t>
  </si>
  <si>
    <t>Knobel, Marcelo/0000-0002-6540-9267; Castro Nunes, Wallace/0000-0002-9908-2098; Denardin, Juliano/0000-0002-1373-6207</t>
  </si>
  <si>
    <t>0921-4526</t>
  </si>
  <si>
    <t>1873-2135</t>
  </si>
  <si>
    <t>10.1016/j.physb.2006.06.013</t>
  </si>
  <si>
    <t>WOS:000241020700088</t>
  </si>
  <si>
    <t>Garcés, GR; Coze, JL; Garin, JL; Mannheim, RL</t>
  </si>
  <si>
    <t>σ-phase precipitation in two heat-resistant steels -: influence of carbides and microstructure</t>
  </si>
  <si>
    <t>SCRIPTA MATERIALIA</t>
  </si>
  <si>
    <t>The influence of solidification microstructure on sigma-phase precipitation in two refractory stainless steels (26Cr-3M) with different microstructures is analyzed. Depending upon cooling rates the existence of Cr7C3 strongly increases the sigma-phase precipitation rate, whereas sigma precipitation is delayed when this carbide is not present in the alloy. (C) 2003 Acta Materialia Inc. Published by Elsevier Ltd. All rights reserved.</t>
  </si>
  <si>
    <t>1359-6462</t>
  </si>
  <si>
    <t>10.1016/j.scriptamat.2003.11.021</t>
  </si>
  <si>
    <t>WOS:000188063400018</t>
  </si>
  <si>
    <t>Navarro, P; Alguacil, FJ</t>
  </si>
  <si>
    <t>Adsorption of antimony and arsenic from a copper electrorefining solution onto activated carbon</t>
  </si>
  <si>
    <t>Removal of arsenic, antimony and bismuth impurities from copper electrolytes is a primary target in copper electrorefineries. The present work investigates the possibilities of carbon adsorption technology in the removal of arsenic and antimony from a real Chilean electrolyte. Various variables which affect the metal adsorption/desorption operations are studied. (C) 2002 Elsevier Science B.V. All rights reserved.</t>
  </si>
  <si>
    <t>alguacil, francisco jose/0000-0002-0247-3384</t>
  </si>
  <si>
    <t>PII S0304-386X(02)00108-1</t>
  </si>
  <si>
    <t>10.1016/S0304-386X(02)00108-1</t>
  </si>
  <si>
    <t>WOS:000178516300009</t>
  </si>
  <si>
    <t>Pardey, AJ; Brito, J; Fernandez, M; Rivas, AB; Ortega, MC; Longo, C; Baricelli, PJ; Lujano, E; Moya, SA</t>
  </si>
  <si>
    <t>Hydroformylation of 1-hexene catalyzed by [Rh(COD)(2-picoline)2]PF6 immobilized on poly(4-vinylpyridine) under water gas shift reaction conditions</t>
  </si>
  <si>
    <t>REACTION KINETICS AND CATALYSIS LETTERS</t>
  </si>
  <si>
    <t>Reported here is the influence of the reaction conditions variation (1-hexene/rhodium content (S/C) = 16 - 105, temperature (T) = 70 - 110 degreesC and carbon monoxide pressure (P(CO)) = 0.6 - 1.8 atm) on the catalytic hydroformylation of 1-hexene to aldehydes (heptanal and 2-methyl-hexanal) by the rhodium(I) complex, [Rh(COD)(2-picoline)(2)]PF6 (COD = 1,5-cyclooctadiene) immobilized on poly(4-vinylpyridine) in contact with 10 mL of 80% aqueous 2-ethoxyethanol, under water gas shift reaction conditions.</t>
  </si>
  <si>
    <t>Brito, Jose Angel/0009-0001-9114-0572</t>
  </si>
  <si>
    <t>0133-1736</t>
  </si>
  <si>
    <t>10.1023/A:1014115914661</t>
  </si>
  <si>
    <t>WOS:000172755100015</t>
  </si>
  <si>
    <t>Müller, M; Reinhold, P; Lange, M; Zeise, M; Jurgens, U; Hallier, E</t>
  </si>
  <si>
    <t>Photometric determination of human serum bromide levels -: a convenient biomonitoring parameter for methyl bromide exposure</t>
  </si>
  <si>
    <t>TOXICOLOGY LETTERS</t>
  </si>
  <si>
    <t>International Symposium on Health Aspects of Environmental and Occupational Pesticide Exposure</t>
  </si>
  <si>
    <t>SEP 28-OCT 01, 1998</t>
  </si>
  <si>
    <t>DUSSELDORF, GERMANY</t>
  </si>
  <si>
    <t>Methyl bromide is one of the most important pesticides for the control of insects, fungi and nematodes. Serum bromide has been proposed as a biomonitor for occupational exposure to methyl bromide. Therefore, a novel, sensitive photometric method was developed for the determination of serum bromide at concentrations relevant for such exposure. Further possible applications are monitoring of intoxication victims and halothane narcosis. Using the method we have established a mean serum bromide level of 4.13 +/- S.D. 1.05 mg/l (n/64) in a group of healthy female and male volunteers not knowingly exposed to bromide or bromine containing organics. Serum of a subject accidently exposed to methyl bromide revealed a bromide level of 11.5 mg/l serum, while two individuals exposed to methyl iodide had no elevated levels. A group of 30 agricultural workers showed a mean serum bromide level of 15.33 +/- S.D. 1.90 mg/l at the end of the methyl bromide application season. (C) 1999 Elsevier Science Ireland Ltd. All rights reserved.</t>
  </si>
  <si>
    <t>0378-4274</t>
  </si>
  <si>
    <t>10.1016/S0378-4274(99)00042-9</t>
  </si>
  <si>
    <t>WOS:000081353500018</t>
  </si>
  <si>
    <t>Zagal, JH; Gulppi, MA; Depretz, C; Lelièvre, D</t>
  </si>
  <si>
    <t>Synthesis and electrocatalytic properties of octaalkoxycobalt phthalocyanine for the oxidation of 2-mercaptoethanol</t>
  </si>
  <si>
    <t>JOURNAL OF PORPHYRINS AND PHTHALOCYANINES</t>
  </si>
  <si>
    <t>We report on the synthesis of cobalt 2,3,9,10,16,17,23,24-octakis(2-ethylhexyloxy)phthalocyanine. This complex, when pre-adsorbed onto graphite electrodes, is active for the electro-oxidation of 2 mercaptoethanol. Its activity is higher than that of cobalt phthalocyanine and cobalt tetrasulfonated phthalocyanine adsorbed on graphite. The voltammetric response of adsorbed cobalt 3,4-octaethylhexyloxyphthalocyanine exhibits both Co(II)/Co(I) and Co(III)/Co(II) reversible processes. However, the Co(III)/Co(II) couple shows a pH dependence that is different from that reported for other cobalt phthalocyanine derivatives. The much higher activity of cobalt 3,4-octaethylhexyloxyphthalocyanine compared with cobalt tetrasulfonated phthalocyanine and cobalt phthalocyanine is attributed to the electron-donating ability of the ethylhexyloxy substituents on the periphery of the phthalocyanine ligand. Copyright (C) 1999 John Wiley &amp; Sons, Ltd.</t>
  </si>
  <si>
    <t>Gulppi, Miguel/KTA-6210-2024; zagal, jose/L-9648-2014</t>
  </si>
  <si>
    <t>1088-4246</t>
  </si>
  <si>
    <t>10.1002/(SICI)1099-1409(199906)3:5&lt;355::AID-JPP144&gt;3.3.CO;2-L</t>
  </si>
  <si>
    <t>WOS:000081257200004</t>
  </si>
  <si>
    <t>Cardenas, H; Nelson, P; Fernandez, R; Valdes, D; Velasquez, L; Imarai, M; Delgado, J; Aguilera, J</t>
  </si>
  <si>
    <t>Rapid internalization of Neisseria gonorrhoeae by the epithelium of the human oviduct in vitro is partly mediated by heparan sulfate receptors.</t>
  </si>
  <si>
    <t>Fernandez, Ricardo/H-3422-2018</t>
  </si>
  <si>
    <t>Fernandez, Ricardo/0000-0003-4493-9362</t>
  </si>
  <si>
    <t>WOS:000081141300613</t>
  </si>
  <si>
    <t>Borzone, G; Ramírez, B; Reyes, T; Moreno, R; Lisboa, C; González, S</t>
  </si>
  <si>
    <t>Experimental pulmonary emphysema in the rat.: Inflammatory phenomena and progression of lung damage</t>
  </si>
  <si>
    <t>Background: Although the hamster model of elastase induced emphysema is well characterized, the rat model has received less attention. Aim: To evaluate the effect of a single intratracheal elastase dose on lung pathological changes of Sprague-Dawley rats. Material and methods: Rats were injected with a single intratracheal elastase dose of 28 U/100 g body weight or saline and studied 7, 15, 30 and 365 days after injection. Results: Forty percent of rats died in the first 48 hours after injection, six were sacrificed at 7 days, 6 at 15 days, 7 at 30 days and 12 at 365 days. Progressive centroacinar emphysema was found from day 7 after elastase, with a persistent inflammatory reaction in the vicinity of emphysematous areas. Conclusions: Present findings differ from the panacinar emphysema described in the hamster using a similar elastase dose.</t>
  </si>
  <si>
    <t>WOS:000077387700002</t>
  </si>
  <si>
    <t>Linares, C; Mediavilla, M; Pardey, AJ; Longo, C; Baricelli, P; Moya, SA</t>
  </si>
  <si>
    <t>Homogeneous reduction of nitrobenzene to aniline by CO/H2O, catalyzed by cis-[Ir(CO)2(amine)2]PF6</t>
  </si>
  <si>
    <t>Homogeneous catalytic reduction of nitrobenzene to aniline by cis-[Ir(CO)(2)(amine)(2)]PF6 (amine = 4-picoline, 3-picoline, 2-picoline, pyridine, pyridine, 3,5-lutidine or 2,6-lutidine) in aqueous amine 2/8, v/v, P(CO) = 0.9 atm, T = 100 degrees C, [Ir] = 10 mM and substrate/Ir = 2500 under water gas shift reaction conditions is described. Additionally the effect of various amines as additives was examined.</t>
  </si>
  <si>
    <t>WOS:000072914800008</t>
  </si>
  <si>
    <t>Quijije, LA; Mediavilla, M; Pardey, AJ; de Pardey, CL; Baricelli, P; Moya, SA</t>
  </si>
  <si>
    <t>Catalytic oxidation of 1-hexene with molecular oxygen by iridium nitro complexes</t>
  </si>
  <si>
    <t>The oxidation of 1-hexene by molecular oxygen catalyzed by iridium(III) complexes, [Ir(CH3CN)(5-x)Cl-x(NO2)](2-x) (x = 0, 1, or 2) has been studied in acetonitrile under P(O-2) = 1.5 atm and T = 100 degrees C. [Ir(CH3CN)(5)(NO2)](PF6)(2) oxidizes 1-hexene to 1,2-epoxyhexane. Complex [Ir(CH3CN)(4)Cl(NO2)]PF2 oxidizes 1-hexene to 2,3-epoxyhexane only in the presence of [IPd(PhCN)(2)(Cl)(2)] (an olefin activator). In contrast to the cationic complexes, the neutral complex [Ir(CH3CN)(4)Cl-2(NO2)] oxidizes 1-hexene to 2-hexanone only in the presence of[Pd(PhCN)(2)(Cl)(2)].</t>
  </si>
  <si>
    <t>10.1007/BF02475459</t>
  </si>
  <si>
    <t>WOS:000071752000007</t>
  </si>
  <si>
    <t>CRUZ, N; ZANELLI, J</t>
  </si>
  <si>
    <t>STELLAR EQUILIBRIUM IN 2+1-DIMENSIONS</t>
  </si>
  <si>
    <t>CLASSICAL AND QUANTUM GRAVITY</t>
  </si>
  <si>
    <t>The hydrostatic equilibrium of a (2 + 1)-dimensional perfect fluid star in asymptotically anti-de Sitter space is discussed. The interior geometry matches the exterior 2 + 1 black-hole solution. An upper mass limit is found, analogous to Buchdahl's theorem in 3 + 1 dimensions, and the possibility of collapse is discussed. The case of a uniform matter density is solved exactly and a new interior solution is presented.</t>
  </si>
  <si>
    <t>0264-9381</t>
  </si>
  <si>
    <t>10.1088/0264-9381/12/4/008</t>
  </si>
  <si>
    <t>WOS:A1995QW51700008</t>
  </si>
  <si>
    <t>ALLIENDE, MA; ARANDA, M</t>
  </si>
  <si>
    <t>CHROMOSOME INSTABILITY IN UNTREATED PATIENTS WITH GASTRIC-CARCINOMA</t>
  </si>
  <si>
    <t>ARCHIVOS DE BIOLOGIA Y MEDICINA EXPERIMENTALES</t>
  </si>
  <si>
    <t>0004-0533</t>
  </si>
  <si>
    <t>R173</t>
  </si>
  <si>
    <t>WOS:A1987L151200091</t>
  </si>
  <si>
    <t>JABALQUINTO, AM; CARDEMIL, EE; IYENGAR, R; FREY, PA</t>
  </si>
  <si>
    <t>PHOSPHOROTHIOATE ANALOGS OF ATP IN THE MEVALONATE 5-DIPHOSPHATE DECARBOXYLASE REACTION</t>
  </si>
  <si>
    <t>R215</t>
  </si>
  <si>
    <t>WOS:A1986F093100269</t>
  </si>
  <si>
    <t>Véliz, F; Bikku, T; Ibarra-Pérez, D; Hernández-Muñoz, V; Garmulewicz, A; Herrera, F</t>
  </si>
  <si>
    <t>Veliz, Fernanda; Bikku, Thulasi; Ibarra-Perez, Davor; Hernandez-Munoz, Valentina; Garmulewicz, Alysia; Herrera, Felipe</t>
  </si>
  <si>
    <t>Seaweed-Based Bioplastics: Data Mining Ingredient-Property Relations from the Scientific Literature</t>
  </si>
  <si>
    <t>DATA</t>
  </si>
  <si>
    <t>Automated analysis of the scientific literature using natural language processing (NLP) can accelerate the identification of potentially unexplored formulations that enable innovations in materials engineering with fewer experimentation and testing cycles. This strategy has been successful for specific classes of inorganic materials, but their general application in broader material domains such as bioplastics remains challenging. To begin addressing this gap, we explore correlations between the ingredients and physicochemical properties of seaweed-based biofilms from a corpus of 2000 article abstracts from the scientific literature since 1958, using a supervised word co-occurrence analysis and an unsupervised approach based on the language model MatBERT without fine-tuning. Using known relations between ingredients and properties for test scenarios, we discuss the potential and limitations of these NLP approaches for identifying novel combinations of polysaccharides, plasticizers, and additives that are related to the functionality of seaweed biofilms. The model demonstrates a valuable predictive ability to identify ingredients associated with increased water vapor permeability, suggesting its potential utility in optimizing formulations for future research. Using the model further revealed alternative combinations that are underrepresented in the literature. This automated method facilitates the mapping of relationships between ingredients and properties, guiding the development of seaweed bioplastic formulations. The unstructured and heterogeneous nature of the literature on bioplastics represents a particular challenge that demands ad hoc fine-tuning strategies for state-of-the-art language models for advancing the field of seaweed bioplastics.</t>
  </si>
  <si>
    <t>Garmulewicz, Alysia/HTS-8792-2023; Hernández-Muñoz, Valentina/HNI-2646-2023; Bikku, Thulasi/S-3327-2019; Herrera, Felipe/KHD-8453-2024; bikku, thulasi/Y-9518-2018</t>
  </si>
  <si>
    <t>Ibarra Perez, Davor/0000-0002-1972-6085; bikku, thulasi/0000-0001-6202-1438</t>
  </si>
  <si>
    <t>2306-5729</t>
  </si>
  <si>
    <t>10.3390/data10020020</t>
  </si>
  <si>
    <t>WOS:001433214900001</t>
  </si>
  <si>
    <t>Barra, DD; Villalobos, FA; Vasco, DA; Fumeron, J</t>
  </si>
  <si>
    <t>Barra, Diego D.; Villalobos, Felipe A.; Vasco, Diego A.; Fumeron, Javier</t>
  </si>
  <si>
    <t>Variations of thermal properties with water content and density of residual and basaltic sands from Chile</t>
  </si>
  <si>
    <t>QUARTERLY JOURNAL OF ENGINEERING GEOLOGY AND HYDROGEOLOGY</t>
  </si>
  <si>
    <t>Renewable energy has become a relevant alternative to solve energy and environmental problems worldwide. Characterization of geothermal resources is fundamental for an efficient and sustainable extraction of heat. In this study, thermal conductivity, lambda, volumetric heat capacity, C, and thermal diffusivity, alpha, of two soils from Chile, namely B &amp; iacute;o B &amp; iacute;o sand and Maicillo residual soil, were analysed. B &amp; iacute;o B &amp; iacute;o sand is a uniform and clean sand that mainly consists of basaltic particles, whereas Maicillo soil is a silty and clayey sand with a high quartz content. Samples were tested with a thermal needle probe at varying water contents and densities. Measurements to obtain lambda, C and alpha were undertaken. These results allowed the patterns and relationships between geotechnical and heat transfer parameters to be analysed. It was found that dry soil conditions led to the lowest values of lambda, while saturated soil conditions led to the highest values. Moreover, Maicillo soil has higher capabilities to transfer heat than B &amp; iacute;o B &amp; iacute;o sand, and can reach up to 50% greater lambda for dense soil and saturated conditions. This is due to its quarzitic and clayey mineralogy and non-uniform grain-size distribution. The results from this research represent an important contribution to industrial applications.</t>
  </si>
  <si>
    <t>Villalobos, Felipe/GPS-4588-2022; Vasco, Diego/AAA-4480-2020</t>
  </si>
  <si>
    <t>Villalobos Jara, Felipe Alberto/0000-0002-5419-3958; Vasco, Diego Andres/0000-0001-7456-4683</t>
  </si>
  <si>
    <t>1470-9236</t>
  </si>
  <si>
    <t>2041-4803</t>
  </si>
  <si>
    <t>MAY 6</t>
  </si>
  <si>
    <t>qjegh2023</t>
  </si>
  <si>
    <t>10.1144/qjegh2023-137</t>
  </si>
  <si>
    <t>WOS:001208442800001</t>
  </si>
  <si>
    <t>Magnot, JP; Reyes, EG</t>
  </si>
  <si>
    <t>Magnot, Jean-Pierre; Reyes, Enrique G.</t>
  </si>
  <si>
    <t>On the Cauchy problem for a Kadomtsev-Petviashvili hierarchy on non-formal operators and its relation with a group of diffeomorphisms</t>
  </si>
  <si>
    <t>DYNAMICS OF PARTIAL DIFFERENTIAL EQUATIONS</t>
  </si>
  <si>
    <t>We establish a rigorous link between infinite -dimensional regular Frolicher Lie groups built out of non -formal pseudodifferential operators and the Kadomtsev-Petviashvili hierarchy. We introduce a (parameter -depending) version of the Kadomtsev-Petviashvili hierarchy on a regular Frolicher Lie group of series of non -formal odd -class pseudodifferential operators. We solve its corresponding Cauchy problem, and we establish a link between the dressing operator of our hierarchy and the action of diffeomorphisms and non -formal Sato -like operators on jet spaces. In appendix, we describe the group of Fourier integral operators in which this correspondence seems to take place. Also, motivated by Mulase's work on the KP hierarchy, we prove a group factorization theorem for this group of Fourier integral operators.</t>
  </si>
  <si>
    <t>Reyes, Enrique/AAD-1308-2019; Magnot, Jean-pierre/K-7324-2013</t>
  </si>
  <si>
    <t>1548-159X</t>
  </si>
  <si>
    <t>WOS:001241217600002</t>
  </si>
  <si>
    <t>Gil, Y; Aravena, D</t>
  </si>
  <si>
    <t>Gil, Yolimar; Aravena, Daniel</t>
  </si>
  <si>
    <t>Understanding Single-Molecule Magnet properties of lanthanide complexes from 4f orbital splitting</t>
  </si>
  <si>
    <t>DALTON TRANSACTIONS</t>
  </si>
  <si>
    <t>We present an approach for connecting the magnetic anisotropy of lanthanide mononuclear complexes with their f-orbital splitting for both idealized and real coordination environments. Our proposal is straightforward to apply and provides sensible estimations of the energy spacing of the ground multiplet for axial magnetic systems. This energy splitting controls Single-Molecule Magnet properties of lanthanide complexes, determining key parameters such as the demagnetization energy barrier (Ueff). Importantly, this approach is consistent with the current paradigm of oblate and prolate preferences for the distribution of the f-electron density, but delivers a finer description for ions belonging to the same group (e.g. the oblates TbIII and DyIII). The model provides simple explanations for some general trends observed experimentally (e.g. the low barriers for ErIII complexes in comparison to DyIII or the large barriers observed for cyclopentadienyl DyIII complexes in comparison with other ligands based on organometallic rings), contributing as a valuable tool to expand our description of ligand field effects in lanthanide-based SMMs. We present an approach for connecting the magnetic anisotropy of lanthanide mononuclear complexes with their f-orbital splitting for both idealized and real coordination environments.</t>
  </si>
  <si>
    <t>Aravena, Daniel/F-2174-2011</t>
  </si>
  <si>
    <t>Aravena, Daniel/0000-0003-3140-4852; Gil Sanchez, Yolimar/0000-0002-1756-2726</t>
  </si>
  <si>
    <t>1477-9226</t>
  </si>
  <si>
    <t>1477-9234</t>
  </si>
  <si>
    <t>10.1039/d3dt04179d</t>
  </si>
  <si>
    <t>WOS:001138416200001</t>
  </si>
  <si>
    <t>Eynard-Bontemps, H; Navas, A</t>
  </si>
  <si>
    <t>Eynard-Bontemps, Helene; Navas, Andres</t>
  </si>
  <si>
    <t>On the Failure of Linearization for Germs of C1 Hyperbolic Vector Fields in Dimension One</t>
  </si>
  <si>
    <t>JOURNAL OF DYNAMICS AND DIFFERENTIAL EQUATIONS</t>
  </si>
  <si>
    <t>We investigate conjugacy classes of germs of hyperbolic 1-dimensional vector fields at the origin in low regularity. We show that the classical linearization theorem of Sternberg strongly fails in this setting by providing explicit uncountable families of mutually non-conjugate flows with the same multipliers, where conjugacy is considered in the bi-Lipschitz, C-1 and C(1+ac)settings.</t>
  </si>
  <si>
    <t>1040-7294</t>
  </si>
  <si>
    <t>1572-9222</t>
  </si>
  <si>
    <t>2023 DEC 5</t>
  </si>
  <si>
    <t>10.1007/s10884-023-10330-x</t>
  </si>
  <si>
    <t>WOS:001113494200001</t>
  </si>
  <si>
    <t>Saiz-Alvarez, JM</t>
  </si>
  <si>
    <t>Saiz-Alvarez, Jose Manuel</t>
  </si>
  <si>
    <t>Network Data Maps on Entrepreneurial Intention, Unicorns, and Human Flourishing on the SCOPUS Database: A Visual Analysis Using VOSviewer</t>
  </si>
  <si>
    <t>WORLD</t>
  </si>
  <si>
    <t>Using the SCOPUS database and VOSviewer, this paper aims to analyze the bibliographic information on three keywords (entrepreneurial intention (EI), human flourishing (HF), and unicorns) to identify relevant areas for current and future research on entrepreneurship by applying a bibliometric and content review approach to 2434 documents for the BMA (business, management, and accounting) and EEF (economics, econometrics, and finance) subject areas to construct and visualize bibliometric networks on the basis of co-citation and co-authorship relations in these items. The main findings of this study are as follows: (1) the number of documents published in the European Union on EI (600) almost doubles those published on this topic in the United States (354); the United States leads the number of papers (113) published on HF, and the number of documents published on Unicorns by BRICS (Brazil, Russia, India, China, and South Africa) countries (22) almost equals the number of documents published on this issue in the United States (25); (2) research on EI during the core years of the COVID-19 pandemic (2019-2022) is of growing interest linked to entrepreneurship education and psychological traits; (3) ethics-related entrepreneurial behavior has historically supported current HF-related research; (4) entrepreneurial ecosystems, leadership, and innovation are critical success factors for born globals to be unicorns; (5) there is a geographic disparity (Spain, India, and the US) in the most cited authors for EI, HF, and unicorns, respectively.</t>
  </si>
  <si>
    <t>SAIZ-ALVAREZ, Jose Manuel/D-7200-2013</t>
  </si>
  <si>
    <t>SAIZ-ALVAREZ, Jose Manuel/0000-0001-6435-9600</t>
  </si>
  <si>
    <t>2673-4060</t>
  </si>
  <si>
    <t>10.3390/world3040045</t>
  </si>
  <si>
    <t>WOS:001109280100001</t>
  </si>
  <si>
    <t>Nejad, ED; Hesamzadeh, MR; Orostica, HC</t>
  </si>
  <si>
    <t>Nejad, Ehsan Davari; Hesamzadeh, Mohammad Reza; Chavez Orostica, Hector</t>
  </si>
  <si>
    <t>Unit commitment with frequency-arresting adequacy constraint: Modelling and pricing aspects</t>
  </si>
  <si>
    <t>IET GENERATION TRANSMISSION &amp; DISTRIBUTION</t>
  </si>
  <si>
    <t>Frequency-arresting (FA) adequacy has received an increasing attention in operation of power systems with intermittent, electronically connected wind and sfolar generation. Presence of high penetration of renewable energy leads to reduced amount of inertia in the power system and the need for more sustainable market design. This paper addresses the FA adequacy by integrating Nadir and rate of change of frequency constraints in unit commitment formulation. Here, a mixed-integer linear program (MILP) is proposed for addressing the FA adequacy. The proposed MILP model of FA adequacy is non-convex and accordingly, FA adequacy pricing requires non-convex pricing techniques. The explicit and implicit uplift payment techniques are proposed and implemented for FA adequacy pricing using the authors' proposed MILP model. The primal-dual formulation is employed for implicit uplift technique. The proposed MILP model of FA adequacy along with its pricing techniques is carefully studied through an illustrative example system. For further discussions, the Nordic 44-node test network is studied.</t>
  </si>
  <si>
    <t>1751-8687</t>
  </si>
  <si>
    <t>1751-8695</t>
  </si>
  <si>
    <t>10.1049/gtd2.12641</t>
  </si>
  <si>
    <t>WOS:000879794400001</t>
  </si>
  <si>
    <t>Marinao-Artigas, E; Valenzuela-Fernández, L; Chasco, C; Laroze-Prehn, D</t>
  </si>
  <si>
    <t>Marinao-Artigas, Enrique; Valenzuela-Fernandez, Leslier; Chasco, Coro; Laroze-Prehn, Denise</t>
  </si>
  <si>
    <t>Antecedents and consequences of trust as a multidimensional construct. Cross-country analysis in the luxury retail sector</t>
  </si>
  <si>
    <t>CUADERNOS DE GESTION</t>
  </si>
  <si>
    <t>The objective of this study is to understand the role of the multidimensional trust of a luxury brand as an antecedent of consumer satisfaction and a consequence of reputation and familiarity, considering -in turn- that reputation and familiarity can be a consequence of the consumer's cognitive and affective experiences. A cross-country analysis in the luxury retail sector was carried out. Association relationships between variables are tested by a model of structural equations. For this, a transnational analysis has been carried out in the luxury retail sector. A non-probabilistic sample was used in this study. 1058 people were interviewed, 608 consumers in Santiago (Chile) and 450 in Madrid (Spain). The key role played by the multidimensional trust of a luxury brand as an antecedent of satisfaction and consequence of reputation and familiarity is confirmed. When observing the reputation and familiarity of a luxury brand as a result of the cognitive and affective experiences of the consumer, differences between Chile and Spain have been discovered. Managers can not only use the brand's own characteristics to differentiate themselves from the competition, but they can also do so through the multi-dimensional trust of the luxury brand.</t>
  </si>
  <si>
    <t>Marinao-Artigas, Enrique/CAF-2031-2022; Chasco, Coro/IUN-0313-2023; Valenzuela-Fernández, Leslier/B-5486-2014; Chasco, Coro/L-2577-2013</t>
  </si>
  <si>
    <t>Chasco, Coro/0000-0001-8098-9979; Valenzuela Fernandez, Leslier Maureen/0000-0002-5817-1879; Marinao-Artigas, Enrique/0000-0002-1588-5011</t>
  </si>
  <si>
    <t>1131-6837</t>
  </si>
  <si>
    <t>1988-2157</t>
  </si>
  <si>
    <t>10.5295/cdg.211490em</t>
  </si>
  <si>
    <t>MAY 2022</t>
  </si>
  <si>
    <t>WOS:000796240800001</t>
  </si>
  <si>
    <t>Saavedra, E; Vidal-Silva, N; Escrig, J</t>
  </si>
  <si>
    <t>Saavedra, E.; Vidal-Silva, N.; Escrig, J.</t>
  </si>
  <si>
    <t>Dynamic susceptibility of permalloy wire-tube nanostructures</t>
  </si>
  <si>
    <t>Y In this work, we have theoretically explored the spin-waves modes that can be excited in cylindrical nanostructures with wire-tube morphology. Using micromagnetic simulations, we have found up to 5 resonance modes whose existence and position depend on the geometric parameters of the nanostructure. The lower and higher frequency modes remain invariant in their position as a function of the size of the tube segment hole, although their intensity increases as the length of the wire segment increases. Other modes vary in their frequency, even producing a crossover between them. Finally, we found that the number and amplitude of the reported spin-wave modes have a complex dependence on the geometry of the system, converting the wire-tube nanostructure into a promising piece for potential magnonic devices.</t>
  </si>
  <si>
    <t>Saavedra, Eduardo/IQS-4264-2023; Vidal Silva, Nicolas/IAN-0226-2023; Escrig, Juan/N-4304-2015</t>
  </si>
  <si>
    <t>Saavedra Diaz, Eduardo Andres/0000-0002-2842-2526; Vidal Silva, Nicolas/0000-0002-3717-3816; Escrig, Juan/0000-0002-3958-8185</t>
  </si>
  <si>
    <t>10.1016/j.rinp.2021.104874</t>
  </si>
  <si>
    <t>WOS:000714892400015</t>
  </si>
  <si>
    <t>Dintrans, PV; Castillo, C; de la Fuente, F; Maddaleno, M</t>
  </si>
  <si>
    <t>Villalobos Dintrans, Pablo; Castillo, Claudio; de la Fuente, Felipe; Maddaleno, Matilde</t>
  </si>
  <si>
    <t>COVID-19 incidence and mortality in the Metropolitan Region, Chile: Time, space, and structural factors</t>
  </si>
  <si>
    <t>Demographic, health, and socioeconomic factors significantly inform COVID-19 outcomes. This article analyzes the association of these factors and outcomes in Chile during the first five months of the pandemic. Using the municipalities Metropolitan Region's municipalities as the unit of analysis, the study looks at the role of time dynamics, space, and place in cases and deaths over a 100-day period between March and July 2020. As a result, common and idiosyncratic elements explain the prevalence and dynamics of infections and mortality. Social determinants of health, particularly multidimensional poverty index and use of public transportation play an important role in explaining differences in outcomes. The article contributes to the understanding of the determinants of COVID-19 highlighting the need to consider time-space dynamics and social determinants as key in the analysis. Structural factors are important to identify at-risk populations and to select policy strategies to prevent and mitigate the effects of COVID-19. The results are especially relevant for similar research in unequal settings.</t>
  </si>
  <si>
    <t>Dintrans, Pablo/AAM-6248-2020; De la Fuente, Felipe/M-6746-2018</t>
  </si>
  <si>
    <t>Villalobos Dintrans, Pablo/0000-0002-2236-6447; De la Fuente, Felipe/0000-0002-0543-9413</t>
  </si>
  <si>
    <t>e0250707</t>
  </si>
  <si>
    <t>10.1371/journal.pone.0250707</t>
  </si>
  <si>
    <t>WOS:000664611400036</t>
  </si>
  <si>
    <t>Dintrans, PV; Browne, J; Madero-Cabib, I</t>
  </si>
  <si>
    <t>Villalobos Dintrans, Pablo; Browne, Jorge; Madero-Cabib, Ignacio</t>
  </si>
  <si>
    <t>It Is Not Just Mortality: A Call From Chile for Comprehensive COVID-19 Policy Responses Among Older People</t>
  </si>
  <si>
    <t>JOURNALS OF GERONTOLOGY SERIES B-PSYCHOLOGICAL SCIENCES AND SOCIAL SCIENCES</t>
  </si>
  <si>
    <t>Objective Provide a synthesis of the COVID-19 policies targeting older people in Chile, stressing their short- and long-term challenges.Method Critical analysis of the current legal and policy measures, based on national-level data and international experiences.Results Although several policies have been enacted to protect older people from COVID-19, these measures could have important unintended negative consequences in this group's mental and physical health, as well as financial aspects.Discussion A wider perspective is needed to include a broader definition of health-considering financial scarcity, access to health services, mental health issues, and long-term care-in the policy responses to COVID-19 targeted to older people in Chile.</t>
  </si>
  <si>
    <t>Cabib, Ignacio/H-5998-2016; Dintrans, Pablo/AAM-6248-2020</t>
  </si>
  <si>
    <t>1079-5014</t>
  </si>
  <si>
    <t>1758-5368</t>
  </si>
  <si>
    <t>JUL 31</t>
  </si>
  <si>
    <t>e275</t>
  </si>
  <si>
    <t>e280</t>
  </si>
  <si>
    <t>10.1093/geronb/gbaa092</t>
  </si>
  <si>
    <t>WOS:001336514700001</t>
  </si>
  <si>
    <t>Mazzucco, MB; Ganga, MA; Sangorrín, MP</t>
  </si>
  <si>
    <t>Belen Mazzucco, Maria; Angelica Ganga, Maria; Paula Sangorrin, Marcela</t>
  </si>
  <si>
    <t>Production of a novel killer toxin from Saccharomyces eubayanus using agro-industrial waste and its application against wine spoilage yeasts</t>
  </si>
  <si>
    <t>ANTONIE VAN LEEUWENHOEK INTERNATIONAL JOURNAL OF GENERAL AND MOLECULAR MICROBIOLOGY</t>
  </si>
  <si>
    <t>The juicing industry generates large amounts of waste that mostly lack commercial value and, in the absence of waste treatment policies, produces environmental pollution. Also, microbiological spoilage is a major concern in the wine industry and control tools are limited. Taking these challenges into account, agro-industrial waste coming from ultrafiltrated apple and pear juice were used to grow Saccharomyces eubayanus and to produce its killer toxin (SeKT). A Plackett-Burman screening was performed in order to optimize SeKT production in ultrafiltrated apple and pear juice. The optimized medium was characterized: 75% v/v WUJ, 0.5% m/v KH2PO4, 0.5% m/v MgSO4, 0.5% m/v (NH4)SO4, 0.5% g/L urea, 10% v/v glycerol and 0.1% v/v Triton X-100. SeKT produced in WUJ optimised medium was used to perform killer assays against wine spoilage yeasts and showed antagonistic activity against Brettanomyces bruxellensis, Pichia guilliermondii, Pichia manshurica and Pichia membranifaciens. Different inhibition percentages against spoilage species in a wine environment (49-69%) were detected and preserved for at least 48h. For the first time, this work reports the ability of S. eubayanus to produce a killer toxin with potential use as a biocontrol tool in winemaking. Producing SeKT using agro-industrial waste as an alternative medium to cultivate S. eubayanus would have industrial, economic and ecological benefits.</t>
  </si>
  <si>
    <t>Sangorrin, Marcela/0000-0001-7372-8359; Mazzucco, Maria Belen/0000-0002-4927-9036; Ganga, Maria Angelica/0000-0001-5921-7448</t>
  </si>
  <si>
    <t>0003-6072</t>
  </si>
  <si>
    <t>1572-9699</t>
  </si>
  <si>
    <t>10.1007/s10482-019-01231-5</t>
  </si>
  <si>
    <t>WOS:000470098500001</t>
  </si>
  <si>
    <t>Saavedra, E; Saez, G; Díaz, P; Cisternas, E; Vogel, EE; Escrig, J</t>
  </si>
  <si>
    <t>Saavedra, Eduardo; Saez, Guidobeth; Diaz, Pablo; Cisternas, Eduardo; Vogel, Eugenio E.; Escrig, Juan</t>
  </si>
  <si>
    <t>Dynamic susceptibility of modulated magnetic nanowires</t>
  </si>
  <si>
    <t>AIP ADVANCES</t>
  </si>
  <si>
    <t>We have calculated the dynamic susceptibility of modulated permalloy nanowires of 1-mu m long and 50 nm diameter using micromagnetic simulations. The resonance modes obtained from these simulations are investigated as functions of both the position of the modulation along the nanowire as well as the size of it. The results presented in this work are important in view of the possible realization of tunable frequency magnonic devices, since we showed that it is possible to adjust a set of frequencies by controlling the geometric parameters of the system.</t>
  </si>
  <si>
    <t>Cisternas, E/AAE-5482-2019; Saavedra, Eduardo/IQS-4264-2023; Escrig, Juan/N-4304-2015</t>
  </si>
  <si>
    <t>Escrig, Juan/0000-0002-3958-8185; Diaz, Pablo/0000-0002-8624-1707; Vogel, Eugenio/0000-0002-1701-3030; Saez, Guidobeth/0000-0003-1401-2531; Saavedra Diaz, Eduardo Andres/0000-0002-2842-2526</t>
  </si>
  <si>
    <t>2158-3226</t>
  </si>
  <si>
    <t>10.1063/1.5091813</t>
  </si>
  <si>
    <t>WOS:000474430700010</t>
  </si>
  <si>
    <t>Ibaceta, E; Diaz, M; Duran, A; Rojas, F; Espinoza, M; Mora, A</t>
  </si>
  <si>
    <t>Ibaceta, Efrain; Diaz, Matias; Duran, Alberto; Rojas, Felix; Espinoza, Mauricio; Mora, Andres</t>
  </si>
  <si>
    <t>Vector Control of a Modular Multilevel Matrix Converter for Variable-Speed Drive Applications</t>
  </si>
  <si>
    <t>The Modular Multilevel Matrix Converter ((MC)-C-3) has been proposed as an appropriate alternative for high-power drive systems due to characteristics for medium-voltage operation and power quality. Nevertheless, the control of (MC)-C-3 is complicated, especially in variable-speed applications, because large voltage oscillations can be produced in the floating capacitors. Therefore, this paper presents a vector control system that allows decoupled regulation of the floating capacitors of the (MC)-C-3, whereas Field Oriented Control (FOC) is applied to regulate an induction machine. The proposed control strategy considers an enhanced start-up of the machine for different load conditions.</t>
  </si>
  <si>
    <t>Rojas, Felix/U-3305-2019; Espinoza, Mauricio/AAH-8647-2019; Mora, Andres/I-6953-2015; Diaz, Matias/R-7570-2018</t>
  </si>
  <si>
    <t>Diaz, Matias/0000-0003-4489-9532; MORA, ANDRES/0000-0002-5606-2783</t>
  </si>
  <si>
    <t>10.1109/chilecon47746.2019.8988099</t>
  </si>
  <si>
    <t>WOS:000542919100200</t>
  </si>
  <si>
    <t>Herrera, F; Spano, FC</t>
  </si>
  <si>
    <t>Herrera, Felipe; Spano, Frank C.</t>
  </si>
  <si>
    <t>Dark Vibronic Polaritons and the Spectroscopy of Organic Microcavities</t>
  </si>
  <si>
    <t>Organic microcavities are photonic nanostructures that strongly confine the electromagnetic field, allowing exotic quantum regimes of light-matter interaction with disordered organic semiconductors. The unambiguous interpretation of the spectra of organic microcavities has been a long-standing challenge due to several competing effects involving electrons, vibrations, and cavity photons. Here we present a theoretical framework that is able to describe the main spectroscopic features of organic microcavities consistently. We introduce a class of light-matter excitations called dark vibronic polaritons, which strongly emit but only weakly absorb light in the same frequency region of the bare electronic transition. A successful comparison with experimental data demonstrates the applicability of our theory. The proposed microscopic understanding of organic microcavities paves the way for the development of optoelectronic devices enhanced by quantum optics.</t>
  </si>
  <si>
    <t>Herrera, Felipe/KHD-8453-2024</t>
  </si>
  <si>
    <t>MAY 30</t>
  </si>
  <si>
    <t>WOS:000403603900004</t>
  </si>
  <si>
    <t>Torres, NL; Martínez, JL; Laurido, C; Zapata, A</t>
  </si>
  <si>
    <t>Torres, Nilka L.; Martinez, Jose L.; Laurido, Claudio; Zapata, Alvin</t>
  </si>
  <si>
    <t>Medicinal plants of Panama: Ethnobotanics of The Montuoso Forestal Reserve</t>
  </si>
  <si>
    <t>The use of medicinal plants in the communities of The Montuoso Forest Reserve (MFR), in the district of Las Minas Panama is investigated. Human settlements of higher density were also included: Chepo, Caras PIntadas, Tres Puntas, the Loma del Montuoso and La Pena. 142 species were identified. Of these species, 52% are coming from the forests of the reserve and 47% of home gardens. It has not been observed by the population, intentions of domestication of plants from the forest, then sow in their home gardens. The most widely used medicinal plants of the MFR are usually consumed in teas; while the roots and bark are cooked for 5-20 minutes (decoction and reduction). The main use of medicinal plants in the MFR is to treat gastrointestinal disorders, diseases associated with the common cold, body aches, high blood pressure and skin diseases. Among the wild species used are: Hierba de Pasmo (Siparuna guianensis Aubl, Siparuna pauciflora Perkins, Siparuna tonduziana Perkins) and mountain herb (Piper darienense C. DC.). The Most used cultivated species are: Mastranto (Lippia alba (Mill) N. E. Br.), Lemongrass (Cymbopogon citratus (DC) Stapf.) and Aloe (Aloe vera L). These medicinal plants are a great resource for this region of difficult access to health services.</t>
  </si>
  <si>
    <t>Martinez, Jose/AAA-1725-2020</t>
  </si>
  <si>
    <t>Martinez, Jose/0000-0002-0177-4847</t>
  </si>
  <si>
    <t>WOS:000392703100004</t>
  </si>
  <si>
    <t>Lizama, C; Velasco, MP</t>
  </si>
  <si>
    <t>Lizama, Carlos; Pilar Velasco, M.</t>
  </si>
  <si>
    <t>WEIGHTED BOUNDED SOLUTIONS FOR A CLASS OF NONLINEAR FRACTIONAL EQUATIONS</t>
  </si>
  <si>
    <t>FRACTIONAL CALCULUS AND APPLIED ANALYSIS</t>
  </si>
  <si>
    <t>Let T be a bounded linear operator defined on a Banach space X. We investigate the existence of solutions for a class of nonlinear fractional equation in the form (*) {Delta(alpha)u(n) = Tu(n) + f(n, u)(n)), n epsilon N-0, 0 &lt; alpha &lt;= 1; u(0) = x, on the vector-valued weighted sequence space l(f)(infinity) (N, X) = { x : N -&gt; X/ sub(n epsilon N) parallel to x(n)parallel to/nn! &lt; infinity}. Our analysis relies on the fixed point theory and operator-theoretical methods.</t>
  </si>
  <si>
    <t>Lizama, Carlos/E-5909-2011; Velasco, M. Pilar/G-6747-2015</t>
  </si>
  <si>
    <t>Lizama, Carlos/0000-0002-9807-1100; Velasco, M. Pilar/0000-0002-0988-2527</t>
  </si>
  <si>
    <t>1311-0454</t>
  </si>
  <si>
    <t>1314-2224</t>
  </si>
  <si>
    <t>10.1515/fca-2016-0055</t>
  </si>
  <si>
    <t>WOS:000383390700001</t>
  </si>
  <si>
    <t>Vergara, PM; Saravia-Zepeda, A; Castro-Reyes, N; Simonetti, JA</t>
  </si>
  <si>
    <t>Vergara, Pablo M.; Saravia-Zepeda, Amaira; Castro-Reyes, Nicolas; Simonetti, Javier A.</t>
  </si>
  <si>
    <t>Is metapopulation patch occupancy in nature well predicted by the Levins model?</t>
  </si>
  <si>
    <t>POPULATION ECOLOGY</t>
  </si>
  <si>
    <t>Although the Levins model has made important theoretical contributions to ecology, its empirical support has not been conclusively established yet. We used published colonization and extinction data from 55 metapopulations to calculate their Levins equilibrium patch occupancy. Over all species, there were not significant differences between the observed patch occupancies and the Levins model's estimates. However, invertebrates and vertebrate species with some degree of threat had patch occupancies larger than the model's expectancies. A temporal sampling effect was found for invertebrate species, with departure from the Levins model decreasing as the length of the study period increased. There was a negative relationship between patch occupancy and extinction probability, as expected under the rescue effect. The high rates at which invertebrates produce propagules could lead the Levins model to underestimate patch occupancy, whereas the observed patch occupancy of threatened species may be a transient phenomenon that results from extinction probabilities that increase over time. Therefore, the Levins model captures the metapopulation dynamics of a wide range of species in a simple formula whereas its equilibrium point can be used as evidence of metapopulation stability. Although mechanistic models provide more precise and accurate metapopulation predictions, they also can sacrifice the generality and simplicity of the Levins model.</t>
  </si>
  <si>
    <t>Vergara, Pablo/F-2519-2010; Simonetti, Javier A./A-4658-2008</t>
  </si>
  <si>
    <t>Vergara, Pablo/0000-0002-0024-1678; Simonetti, Javier A./0000-0002-7238-4133</t>
  </si>
  <si>
    <t>1438-3896</t>
  </si>
  <si>
    <t>1438-390X</t>
  </si>
  <si>
    <t>10.1007/s10144-016-0550-5</t>
  </si>
  <si>
    <t>WOS:000379082600001</t>
  </si>
  <si>
    <t>Arias, F; Mansilla, A; Matsuhiro, B; Pavez, J; Torres, R; Yáñez-Sánchez, M</t>
  </si>
  <si>
    <t>Arias, Franco; Mansilla, Andres; Matsuhiro, Betty; Pavez, Jorge; Torres, Rodrigo; Yanez-Sanchez, Mauricio</t>
  </si>
  <si>
    <t>Carrageenans from nuclear phases of subantartic Mazzaella laminarioides (Gigartinales, Rhodophyta) and graft copolymerization of alkali-modified carrageenan with acrylamide</t>
  </si>
  <si>
    <t>JOURNAL OF APPLIED PHYCOLOGY</t>
  </si>
  <si>
    <t>Aqueous extraction of cystocarpic, tetrasporic, and vegetative individuals of Mazzaella laminariodes collected in the Magellan Ecoregion, Southern Chile, afforded sulfated galactans. Analysis by Fourier transform infrared spectroscopy (FT-IR) and by H-1 and C-13 NMR spectroscopy indicated that purified extracts from cystocarpic (CP) and vegetative individuals (VP) were mixtures of kappa/iota-type carrageenans and their precursors mu- and nu-carrageenans, whereas the aqueous extract from tetrasporic individuals was a lambda-type carrageenan. Alkaline treatment of CP and VP polysaccharides produced modified polysaccharides with lower content of sulfate groups and with a concomitant increase of 3,6-anhydrogalactose content; analysis by 2D H-1 and C-13 NMR indicated the presence of hybrid kappa-iota-carrageenans. Copolymerization of alkali-treated CP carrageenan with acrylamide was achieved by using ceric ammonium nitrate as the initiator; studies by NMR spectroscopy indicated grafting of polyacrylamide at position C-6 of beta-galactopyranosyl residues. Reaction of modified CP with acrylamide assisted by microwave irradiation in the presence of ammonium persulfate afforded a copolymer grafted at position C-2 of beta-galactopyranosyl residues.</t>
  </si>
  <si>
    <t>; PAVEZ, JORGE/K-6904-2014</t>
  </si>
  <si>
    <t>Mansilla, Andres/0000-0003-3505-7018; PAVEZ, JORGE/0000-0002-5100-6707</t>
  </si>
  <si>
    <t>0921-8971</t>
  </si>
  <si>
    <t>1573-5176</t>
  </si>
  <si>
    <t>10.1007/s10811-015-0641-2</t>
  </si>
  <si>
    <t>WOS:000372256900055</t>
  </si>
  <si>
    <t>Andrade, R; Skurtys, O; Osorio, F</t>
  </si>
  <si>
    <t>Andrade, R.; Skurtys, O.; Osorio, F.</t>
  </si>
  <si>
    <t>Drop impact of gelatin coating formulated with cellulose nanofibers on banana and eggplant epicarps</t>
  </si>
  <si>
    <t>Drop impact on a solid surface has received attention for a variety of industrial applications, such as in edible coatings by spray methods. In the present work, drop impact behavior of edible coating formulations (ECF) based on gelatin, glycerol and cellulose nanofibers on banana and eggplant epicarps was studied. Drops of ECF were generated by a precision flat tipped syringe needle connected to a digitally controlled syringe pump. A high-speed camera recorded the spreading dynamics of impacting drops and the maximum spread diameter was determined by ImageJ program. Maximum spread factor is dependent upon the concentration of gelatin and cellulose nanofibers since these components modify the viscosity and surface tension, respectively. For coating formulations with low viscosity, xi(max) proportional to we(0.24 +/- 0.01), while for formulations with high viscosity, xi(max) proportional to we(0.19 +/- 0.02). (C) 2014 Elsevier Ltd. All rights reserved.</t>
  </si>
  <si>
    <t>skurtys, olivier/HNS-4835-2023; Andrade-Pizarro, Ricardo/H-4016-2017; osorio, fernando/AAY-7304-2021</t>
  </si>
  <si>
    <t>skurtys, olivier/0000-0003-1432-7242; Andrade-Pizarro, Ricardo/0000-0002-1673-0361; osorio, fernando/0000-0001-7206-0924</t>
  </si>
  <si>
    <t>10.1016/j.lwt.2014.12.035</t>
  </si>
  <si>
    <t>WOS:000349269400021</t>
  </si>
  <si>
    <t>Mansilla, MA; Muñoz, W; Orellana, L</t>
  </si>
  <si>
    <t>Angel Mansilla, Miguel; Munoz, Wilson; Orellana, Luis</t>
  </si>
  <si>
    <t>THE ETHNIC AND RELIGIOUS COMMUNITY DILEMMAS. THE ANTROPOLOGHICAL RESEARCH OF THE AYMARA PENTECOSTALISM AND MAPUCHE IN CHILE (1967-2012)</t>
  </si>
  <si>
    <t>ESTUDIOS ATACAMENOS</t>
  </si>
  <si>
    <t>This article analyses the anthropological research about the Pentecostalism Aymara and Mapuche in Chile. Specifically, it is analysed the theoretical presuppositions in the concepts of community, subjects and its relationship, that take place in these researches during the period 1967-2012. Thus, four stages where elucidated. (1) In a first stage, pre (proto)-antropological, the pioneer researches highlighted that the pentecostal growing was based in the fact that the movement worked as a religious community. (2) In a second stage, the aymara pentecostalism was researched as a sect that was trying to destroy the aymara society (Holocaust). (3) In a third stage, the mapuche pentecostalism was understood as a process that implied at the same time a rupture and a continuity with the indigenous culture. (4) Finally, the researches of the aymara pentecostalism changed their holocaustic's position, turning the focus to the elements of continuity-discontinuity in the interaction between the pentecostalism and the local culture.</t>
  </si>
  <si>
    <t>0718-1043</t>
  </si>
  <si>
    <t>WOS:000347238000009</t>
  </si>
  <si>
    <t>Illanes, SE; Maisey, K; Sandoval, M; Reyes, FE; Figueroa-Gaete, C; Pérez-Sepúlveda, A; Busquets, M; González, P; Imarai, M</t>
  </si>
  <si>
    <t>Illanes, Sebastian E.; Maisey, Kevin; Sandoval, Marcelo; Reyes, Felipe E.; Figueroa-Gaete, Claudio; Perez-Sepulveda, Alejandra; Busquets, Maritza; Gonzalez, Patricia; Imarai, Monica</t>
  </si>
  <si>
    <t>Fas ligand+ fallopian tube epithelium induces apoptosis in both Fas receptor+ T lymphocytes and endometrial cells</t>
  </si>
  <si>
    <t>Objective: To establish whether human fallopian tube (FT) epithelium can induce apoptosis in T lymphocytes and endometrial cells. Design: Laboratory-based study. Setting: Hospital. Patient(s): Women undergoing abdominal hysterectomy for FT samples, and women volunteers with and without endometriosis for endometrial biopsies. Intervention(s): FT samples obtained at time of surgery performed in reproductive-aged women with normal menstrual cycles. Main Outcome Measure(s): T lymphocytes or endometrial cells coincubated with FT epithelial cells and assayed for apoptosis by DNA nick-end labeling and caspase-3 activity, with the presence of Fas ligand (FasL) and Fas receptor (FasR) assessed by indirect immunostaining. Result(s): The epithelium of the FT-induced apoptosis in T cells as well as in human endometrial cells. The mechanism probably involves the FasL/FasR system; accordingly, we observed FasL at the apical surface of the epithelium and in the stroma of the FT at all phases of the menstrual cycle except during the early proliferative phase. The endometrial samples from patients with endometriosis did not express FasR and were resistant to apoptosis. Conclusion(s): In both FasR(+) T lymphocytes and endometrial cells, FasL(+) FT cells induce apoptosis. Data suggest that the FT epithelium acts as a barrier to limit the influx of lymphocytes as well as endometrial cells ascending the tube. Failure of these regulatory mechanisms may be related to the development of endometriosis. (C) 2013 by American Society for Reproductive Medicine.</t>
  </si>
  <si>
    <t>Reyes-López, Felipe/S-1760-2018; Illanes, Sebastián/D-6455-2013; Maisey, Kevin/AAP-2886-2021</t>
  </si>
  <si>
    <t>Reyes-Lopez, Felipe E./0000-0002-5001-457X; Illanes, Sebastian/0000-0001-5433-9315; Imarai, Monica/0000-0001-8767-9180; Maisey, Kevin/0000-0002-7423-6329</t>
  </si>
  <si>
    <t>10.1016/j.fertnstert.2013.04.013</t>
  </si>
  <si>
    <t>WOS:000322633200048</t>
  </si>
  <si>
    <t>Fernández-Feijoo, J; Núñez-Orjales, JL; Limeres-Posse, J; Pérez-Serrano, E; Tomás-Carmona, I</t>
  </si>
  <si>
    <t>Fernandez-Feijoo, Javier; Nunez-Orjales, Jose-Luis; Limeres-Posse, Jacobo; Perez-Serrano, Esther; Tomas-Carmona, Inmaculada</t>
  </si>
  <si>
    <t>Screening for hypertension in a Primary Care Dental clinic</t>
  </si>
  <si>
    <t>MEDICINA ORAL PATOLOGIA ORAL Y CIRUGIA BUCAL</t>
  </si>
  <si>
    <t>Objective: The aim of this study was to record blood pressure in patients during their visit to a dental clinic, with the aim of identifying those who have high blood pressure and are unaware of it, as well as those who are aware of their condition but do have their blood pressure under adequate control. Study design: We designed a cross-sectional study which included 154 patients who were seen for a dental checkup at the Primary Dental Care of the Gallician Health Service (SERGAS). All participants completed a standardized medical questionnaire after measuring their systolic blood pressure (SBP) and diastolic blood pressure (DBP), which was conducted using the protocol established by the Spanish Society of Hypertension-Spanish League for the Fight Against Hypertension (HTA). Results: In 45 patients (29%), the figures for blood pressure were recorded as SBP &gt;= 140 mmHg and/or DBP &gt;= 90 mmHg, indicating that they may have hypertension. Only 12 of them had been previously diagnosed with hypertension, but did not have their blood pressure under adequate control. The remaining 33 had no history of hypertension and were referred to a family physician, but only 19 saw their doctor; 11 of these patients were given non-pharmacological treatment, 6 were prescribed drug treatment and no type of treatment was indicated for the other two patients. Conclusions: By screening for hypertension, especially among patients who are more than 40 years old, the dentist can play an important role in the early diagnosis.</t>
  </si>
  <si>
    <t>Limeres Posse, Jacobo/JXY-2597-2024; TOMAS, INMACULADA/M-1135-2014</t>
  </si>
  <si>
    <t>Limeres Posse, Jacobo/0000-0001-6340-1993; Fernandez Feijoo, Javier/0000-0002-3425-9489; TOMAS, INMACULADA/0000-0002-3317-0853</t>
  </si>
  <si>
    <t>1698-6946</t>
  </si>
  <si>
    <t>E467</t>
  </si>
  <si>
    <t>E472</t>
  </si>
  <si>
    <t>10.4317/medoral.15.e467</t>
  </si>
  <si>
    <t>WOS:000278232100011</t>
  </si>
  <si>
    <t>Arias, P; Gamboa, J; Falomir, H; Méndez, F</t>
  </si>
  <si>
    <t>Arias, Paola; Gamboa, Jorge; Falomir, Horacio; Mendez, Fernando</t>
  </si>
  <si>
    <t>EFFECTS OF HEAVY BOSONIC EXCITATIONS ON QED VACUUM</t>
  </si>
  <si>
    <t>We discuss the contribution of axion-like excitations (ALE) to the vacuum birefringence in the limit m(A) greater than or similar to omega, where m(A) is the mass of the excitation and omega the energy of test photons interacting with an external (intense) magnetic field. The relevance of this term with respect to the QED contribution depends on the ratio g(A)/m(A) and, from present bounds on the mass and the coupling constant g(A), we find that in the present low energy regime, it ranges from 10(-14) to 10(2) suggesting an interesting alternative to explore.</t>
  </si>
  <si>
    <t>Mendez, Fernando/0000-0002-9257-9552; Falomir, Horacio/0000-0001-8188-1062; Arias, Paola/0000-0001-5551-9182</t>
  </si>
  <si>
    <t>10.1142/S0217732309028898</t>
  </si>
  <si>
    <t>WOS:000266771300005</t>
  </si>
  <si>
    <t>López-Alarcón, C; Aspeé, A; Lissi, EA</t>
  </si>
  <si>
    <t>Lopez-Alarcon, C.; Aspee, A.; Lissi, E. A.</t>
  </si>
  <si>
    <t>RELEVANCE OF SECONDARY PROCESSES IN ORAC VALUES OBTAINED EMPLOYING PYROGALLOL RED AS TARGET MOLECULE</t>
  </si>
  <si>
    <t>Pyrogallol red (PGR) is readily bleached by peroxyl radicals. Addition of cinnamic acid derivatives (coumaric, caffeic, ferulic and sinapic acids), even at relatively high concentrations, barely protects PGR from bleaching, given very low ORAC (oxygen radical absorbance capacity) values. This lack of protection is contrary to that expected from the relative reactivity of cinnamic acid derivatives and PGR. It is concluded that the protection is not determined by competition of the antioxidant and the target molecule for peroxyl radicals, but for secondary processes involving phenoxyl and PGR derived radicals. In particular the occurrence of processes such as PO center dot + PGR -&gt; POH + PGR(center dot) can explain the lack of PGR protection even in conditions where most of the peroxyl radicals are trapped by the additive.</t>
  </si>
  <si>
    <t>Lopez, Camilo/J-5770-2013</t>
  </si>
  <si>
    <t>Lopez, Camilo/0000-0002-0174-8972</t>
  </si>
  <si>
    <t>WOS:000264937100003</t>
  </si>
  <si>
    <t>Cortez, MI; Durand, F</t>
  </si>
  <si>
    <t>Cortez, Maria Isabel; Durand, Fabien</t>
  </si>
  <si>
    <t>Self-Similar Tiling Systems, Topological Factors and Stretching Factors</t>
  </si>
  <si>
    <t>DISCRETE &amp; COMPUTATIONAL GEOMETRY</t>
  </si>
  <si>
    <t>In this paper we prove that if two self-similar tiling systems, with respective stretching factors lambda (1) and lambda (2), have a common factor which is a nonperiodic tiling system, then lambda (1) and lambda (2) are multiplicatively dependent.</t>
  </si>
  <si>
    <t>Durand, Fabien/0000-0001-6625-1839; Cortez, Maria Isabel/0000-0002-1819-032X</t>
  </si>
  <si>
    <t>0179-5376</t>
  </si>
  <si>
    <t>10.1007/s00454-008-9108-4</t>
  </si>
  <si>
    <t>WOS:000260524600008</t>
  </si>
  <si>
    <t>Antilén, M; Fudym, O; Vidal, A; Foerster, JE; Moraga, N; Escudey, M</t>
  </si>
  <si>
    <t>Mathematical modelling of temperature profile of volcanic soils affected by an external thermal impact</t>
  </si>
  <si>
    <t>AUSTRALIAN JOURNAL OF SOIL RESEARCH</t>
  </si>
  <si>
    <t>In this work, the soil temperature at depth was measured in the laboratory, and a mathematical model to fit the temperature pro. le in volcanic soils classified as Ultisols and Andisols was used. The mathematical model considered the transient heat diffusion equation, and a numerical discrete method was used to solve the equations system. The soil surface was heated for 2500 s and the temperature rose close to 700 degrees C; the soil temperature decreased with depth; the temperature v. time curves showed a constant value when the temperature reached around 100 degrees C, associated with water phase change and related to the water content of soils. The model was corrected by including the heat volumetric formulation. The observed relative errors are close to 10% in all fitted curves with respect to experimental data, showing the quality of the parametrisation chosen in the mathematical model. The fitting curve deviations were reduced when the actual position of thermocouples was considered, showing the sensitivity of the mathematical model. The simplified mathematical transient diffusion model proposed, which considers 2 ranges of thermal conductivity of soils and the surface temperature, was able to describe the experimental temperature pro. le in volcanic soils with wide differences in mineralogy, organic matter, and moisture contents.</t>
  </si>
  <si>
    <t>Antilen-Lizana, Monica/0000-0003-0512-4267</t>
  </si>
  <si>
    <t>0004-9573</t>
  </si>
  <si>
    <t>10.1071/SR05038</t>
  </si>
  <si>
    <t>WOS:000235253900007</t>
  </si>
  <si>
    <t>Pérez, JM; Pradenas, GA; Navarro, CA; Henríquez, DR; Pichuantes, SE; Vásquez, CC</t>
  </si>
  <si>
    <t>Perez, Jose M.; Pradenas, Gonzalo A.; Navarro, Claudio A.; Henriquez, Daniel R.; Pichuantes, Sergio E.; Vasquez, Claudio C.</t>
  </si>
  <si>
    <t>Geobacillus stearothermophilus LV cadA gene mediates resistance to cadmium, lead and zinc in zntA mutants of Salmonella enterica serovar Typhimurium</t>
  </si>
  <si>
    <t>Salmonella enterica serovar Typhimurium cells expressing the cadA gene of Geobacillus stearothermophilus LV exhibit a hypersensitive phenotype to cadmium chloride. Deletion of the ORF STM3576 from the Salmonella genome resulted in cadmium, lead and zinc sensitivity, confirming that this ORF is a homologue of the zntA gene. The observed sensitivity was reverted upon expression of the G. stearothermophilus LV cadA gene. These results indicate that the cadA gene product is involved in Cd, Pb and Zn resistance as a classical P-type ATPase and strongly suggest that the observed hypersensitive phenotype to these metals can be related to the function of the host zntA gene product.</t>
  </si>
  <si>
    <t>WOS:000248288400009</t>
  </si>
  <si>
    <t>Reyes, EG</t>
  </si>
  <si>
    <t>On the motion of particles and strings, presymplectic mechanics, and the variational bicomplex</t>
  </si>
  <si>
    <t>GENERAL RELATIVITY AND GRAVITATION</t>
  </si>
  <si>
    <t>Examples of equations of motion in classical relativistic mechanics are studied: the equations of motion of a charged spinning particle moving in a space-time ( with or without torsion) in the presence of an electromagnetic field are derived via Souriau presymplectic reduction. Then, the extension of Souriau's ideas to Lagrangian field theory due to Witten, Crnkovic, Zuckerman is reviewed using the variational bicomplex, the basic properties of the Lund - Regge equations describing the motion of a string interacting with a scalar field and moving in Minkowski spacetime are recalled, and a symplectic structure for their space of solutions is found.</t>
  </si>
  <si>
    <t>0001-7701</t>
  </si>
  <si>
    <t>1572-9532</t>
  </si>
  <si>
    <t>10.1007/s10714-005-0034-y</t>
  </si>
  <si>
    <t>WOS:000228203800001</t>
  </si>
  <si>
    <t>Keyantuo, V; Lizama, C</t>
  </si>
  <si>
    <t>Maximal regularity for a class of integro-differential equations with infinite delay in Banach spaces</t>
  </si>
  <si>
    <t>STUDIA MATHEMATICA</t>
  </si>
  <si>
    <t>We use Fourier multiplier theorems to establish maximal regularity results for a class of integro-differential equations with infinite delay in Banach spaces. Concrete equations of this type arise in viscoelasticity theory. Results are obtained for periodic solutions in the vector-valued Lebesgue and Besov spaces. An application to semilinear equations is considered.</t>
  </si>
  <si>
    <t>0039-3223</t>
  </si>
  <si>
    <t>1730-6337</t>
  </si>
  <si>
    <t>10.4064/sm168-1-3</t>
  </si>
  <si>
    <t>WOS:000229330200003</t>
  </si>
  <si>
    <t>Vergara, C; Ramirez, B</t>
  </si>
  <si>
    <t>CNTF, a pleiotropic cytokine: emphasis on its myotrophic role</t>
  </si>
  <si>
    <t>BRAIN RESEARCH REVIEWS</t>
  </si>
  <si>
    <t>International Workshop on Chemical and Electrical Synapses</t>
  </si>
  <si>
    <t>OCT 15-23, 2001</t>
  </si>
  <si>
    <t>Pontifica Univ Catolica Chile, Santiago, CHILE</t>
  </si>
  <si>
    <t>Pontifica Univ Catolica Chile</t>
  </si>
  <si>
    <t>Ciliary neurotrophic factor (CNTF) is a cytokine whose neurotrophic and differentiating effects over cells in the central nervous system (CNS) have been clearly demonstrated. This article summarizes the general characteristics of CNTF, its receptor and the signaling pathway that it activates and focuses on its effects over skeletal muscle, one of its major target tissues outside the central nervous system. The evidence for the existence of other molecules that signal through the same complex as CNTF is also reviewed. (C) 2004 Elsevier B.V All rights reserved.</t>
  </si>
  <si>
    <t>Vergara, Cecilia/H-6964-2014</t>
  </si>
  <si>
    <t>0165-0173</t>
  </si>
  <si>
    <t>10.1016/j.brainresrev.2004.07.010</t>
  </si>
  <si>
    <t>WOS:000229308600013</t>
  </si>
  <si>
    <t>Barrera, NP; Morales, B; Villalón, M</t>
  </si>
  <si>
    <t>Plasma and intracellular membrane inositol 1,4,5-trisphosphate receptors mediate the Ca2+ increase associated with the ATP-induced increase in ciliary beat frequency</t>
  </si>
  <si>
    <t>AMERICAN JOURNAL OF PHYSIOLOGY-CELL PHYSIOLOGY</t>
  </si>
  <si>
    <t>An increase in intracellular free Ca2+ concentration ([Ca2+](i)) has been shown to be involved in the increase in ciliary beat frequency (CBF) in response to ATP; however, the signaling pathways associated with inositol 1,4,5-trisphosphate (IP3) receptor-dependent Ca2+ mobilization remain unresolved. Using radioimmunoassay techniques, we have demonstrated the appearance of two IP3 peaks occurring 10 and 60 s after ATP addition, which was strongly correlated with a release of intracellular Ca2+ from internal stores and an influx of extracellular Ca2+, respectively. In addition, ATP-dependent Ca2+ mobilization required protein kinase C (PKC) and Ca2+/ calmodulin-dependent protein kinase II activation. We found an increase in PKC activity in response to ATP, with a peak at 60 s after ATP addition. Xestospongin C, an IP3 receptor blocker, significantly diminished both the ATP-induced increase in CBF and the initial transient [Ca2+](i) component. ATP addition in the presence of xestospongin C or thapsigargin revealed that the Ca2+ influx is also dependent on IP3 receptor activation. Immunofluorescence and confocal microscopic studies showed the presence of IP3 receptor types 1 and 3 in cultured ciliated cells. Immunogold electron microscopy localized IP3 receptor type 3 to the nucleus, the endoplasmic reticulum, and, interestingly, the plasma membrane. In contrast, IP3 receptor type 1 was found exclusively in the nucleus and the endoplasmic reticulum. Our study demonstrates for the first time the presence of IP3 receptor type 3 in the plasma membrane in ciliated cells and leads us to postulate that the IP3 receptor can directly trigger Ca2+ influx in response to ATP.</t>
  </si>
  <si>
    <t>0363-6143</t>
  </si>
  <si>
    <t>1522-1563</t>
  </si>
  <si>
    <t>C1114</t>
  </si>
  <si>
    <t>C1124</t>
  </si>
  <si>
    <t>10.1152/ajpcell.00343.2003</t>
  </si>
  <si>
    <t>WOS:000223762000032</t>
  </si>
  <si>
    <t>On the inversion of the Laplace transform for resolvent families in UMD spaces</t>
  </si>
  <si>
    <t>ARCHIV DER MATHEMATIK</t>
  </si>
  <si>
    <t>We analyze the inversion of the Laplace transform in UMD-spaces for resolvent families associated to an integral Volterra equation of convolution type.</t>
  </si>
  <si>
    <t>0003-889X</t>
  </si>
  <si>
    <t>10.1007/s00013-003-0536-3</t>
  </si>
  <si>
    <t>WOS:000186030000009</t>
  </si>
  <si>
    <t>Klishevich, SM; Plyushchay, MS</t>
  </si>
  <si>
    <t>Nonlinear holomorphic supersymmetry, Dolan-Grady relations and Onsager algebra</t>
  </si>
  <si>
    <t>Recently, it was noticed by us that the nonlinear holomorphic supersymmetry of order n is an element of N, n &gt; I (n-HSUSY) has an algebraic origin. We show that the Onsager algebra underlies n-HSUSY and investigate the structure of the former in the context of the latter, A new infinite set of mutually commuting charges is found which, unlike those from the Dolan-Grady set, include the terms quadratic in the Onsager algebra generators. This allows us to find the general form of the superalgebra of n-HSUSY and fix it explicitly for the cases of n = 2, 3, 4, 5, 6. The similar results are obtained for a new, contracted form of the Onsager algebra generated via the contracted Dolan-Grady relations. As an application, the algebraic structure of the known I D and 2D systems with n-HSUSY is clarified and a generalization of the construction to the case of nonlinear pseudo-supersymmetry is proposed, Such a generalization is discussed in application to some integrable spin models and with its help we obtain a family of quasi-exactly solvable systems appearing in the PT-symmetric quantum mechanics. (C) 2002 Elsevier Science B.V. All rights reserved.</t>
  </si>
  <si>
    <t>APR 29</t>
  </si>
  <si>
    <t>PII S0550-3213(02)00071-8</t>
  </si>
  <si>
    <t>10.1016/S0550-3213(02)00071-8</t>
  </si>
  <si>
    <t>WOS:000175111900007</t>
  </si>
  <si>
    <t>Häberle, P; Ibañez, W; Esparza, R; Vargas, P</t>
  </si>
  <si>
    <t>Unoccupied electronic states of Au(113):: Theory and experiment</t>
  </si>
  <si>
    <t>We present results from inverse photoemission spectroscopy in the isochromat mode, with angular resolution, from a clean Au(113) surface. To identify the origin of the different resonances, we have performed a first-principles calculation of the bulk band structure in the linear-muffin-tin-orbital formalism. We predict the dispersion of the bulk features, as a function of parallel momentum, considering energy and momentum conservation. We have been able to identify unambiguously two surface resonances and a surface state in the [(1) over bar 10] and [33 (2) over bar] directions, respectively, as well as various bulk-derived features.</t>
  </si>
  <si>
    <t>Häberle, Patricio/A-5774-2013; Vargas, Patricio/AAL-2633-2020; Esparza, Rodrigo/AAD-9682-2020</t>
  </si>
  <si>
    <t>Haberle, Patricio/0000-0003-0840-511X; vargas, patricio/0000-0001-9235-9747</t>
  </si>
  <si>
    <t>10.1103/PhysRevB.63.235412</t>
  </si>
  <si>
    <t>WOS:000169459300091</t>
  </si>
  <si>
    <t>Mayora, J; Fernandez, M; Alvarez, J; Ortega, M; Pardey, AJ; Longo, C; Baricelli, PJ; Lujano, E; Moya, SA</t>
  </si>
  <si>
    <t>Influence of the reaction conditions on the reduction of nitrobenzene catalyzed by poly(4-vinylpyridine) anchored [Rh(COD)(2-PIC)2](PF6) complex.</t>
  </si>
  <si>
    <t>Reported here are the influence of the reaction conditions variation (carbon monoxide pressure, P(CO), rhodium content, [Rh], and temperature) on the catalytic reduction of nitrobenzene to aniline by [Rh (COD) (2-pic)(2)] (PF6) (COD = 1,5-cyclooctadiene, 2-pic = 2-picoline) immobilized on poly(4-vinylpyridine) in contact with 80 % aqueous 2-ethoxyethanol under water-gas shift reactions conditions (RDGA, CO + H2O &lt;----&gt; CO2 + H-2). The turnover frequencies for the production of aniline displayed a first order dependence on the pressure of CO in the 0 - 1.9 atm range, a nonlinear dependence on rhodium content on the 0.9 - 12.2 wt. % range indicating that the active species have different nuclearities. The temperature dependence followed a segmented Arrhenius plot in the 70 - 130 degreesC ranges. These data are discussed in terms of a possible mechanism.</t>
  </si>
  <si>
    <t>WOS:000170137700004</t>
  </si>
  <si>
    <t>Jiménez, I; Lissi, EA; Speisky, H</t>
  </si>
  <si>
    <t>Free-radical-induced inactivation of lysozyme and carbonyl residue generation in protein are not necessarily associated</t>
  </si>
  <si>
    <t>The 2,2'-azobis(2-amidinopropane) (AAPH)-induced inactivation and oxidative modification of lysozyme, as determined by the loss of tryptophan-associated fluorescence (TAF) and the increase in dinitrophenyl-hydrazine-reactive carbonyl groups (CO), were studied in the absence and in the presence of antioxidants. AAPH induced a progressive inactivation of the enzyme and a parallel decrease of its TAF. Both changes were closely correlated (R-2 = 0.97); however, the inactivation was only partially associated with an increase in CO, The latter reached maximal values at times half those needed to attain maximal losses in both lysozyme activity and TAF. A stoichiometric comparison reveals that whereas over 74% of the enzyme molecules had lost their activity, only 5% exhibited an increment in CO. CO formation was affected differentially by boldine and trolox. Both antioxidants fully protected against the early inactivation and loss of TAF; however, the increase in CO was completely unaffected by trolox. Exposure of lysozyme to Fe3+/ascorbate induced no loss of activity or TAF,, but it led to an accumulation of CO similar to that induced by AAPH. Results indicate that CO formation and lysozyme inactivation are two mechanistically dissociable events and that changes in the former parameter can perfectly occur in the absence of changes in the latter. (C) 2000 Academic Press.</t>
  </si>
  <si>
    <t>SPEISKY, HERNAN/E-6146-2013; Jimenez, Isabel/LDG-0742-2024</t>
  </si>
  <si>
    <t>10.1006/abbi.2000.1963</t>
  </si>
  <si>
    <t>WOS:000089557300009</t>
  </si>
  <si>
    <t>Vargas, P; Castro, JDE; Altbir, D</t>
  </si>
  <si>
    <t>Magnetism of nanosized metallic particles</t>
  </si>
  <si>
    <t>The magnetism of a small cluster of magnetic atoms at finite temperatures is numerically investigated. The evolution of the system towards thermal equilibrium is studied, and the possibility of occurrence of vortexlike excitations in the arrangement of the magnetic moments within the cluster is pointed out. The magnetization curve as a function of temperature, of a small magnetic particle, suggests that magnetic clusters in granular metals are not saturated even at room temperature. The relevance of the present results to the understanding of the magnetic behavior of granular metals is discussed. [S0163-1829(99)04329-5].</t>
  </si>
  <si>
    <t>Vargas, Patricio/AAL-2633-2020; Altbir, Dora/R-6781-2018</t>
  </si>
  <si>
    <t>vargas, patricio/0000-0001-9235-9747</t>
  </si>
  <si>
    <t>1550-235X</t>
  </si>
  <si>
    <t>SEP 1</t>
  </si>
  <si>
    <t>10.1103/PhysRevB.60.6541</t>
  </si>
  <si>
    <t>WOS:000082570400069</t>
  </si>
  <si>
    <t>FIRINGUETTI, L; SCIOLLA, A; LOLAS, F; RISCO, L; LARRAGUIBEL, M</t>
  </si>
  <si>
    <t>ARIMA MODELING OF CHRONOSPSYCHOMETRIC SELF-EVALUATION OF DRIVE AND MOOD</t>
  </si>
  <si>
    <t>The expanding study of biological rhythms requires the use of refined methods of time series analysis. We propose the use of ARIMA (Autoregressive Integrated Moving Averages) model, a powerful statistical tool of relatively recent development. A group of 5 patients with Affective Disorders (2 bipolars, 3 unipolars) and 1 patient with Adjustment Disorder self-assessed their AS every 8 hours for about a month. The affective state (AS) was estimated for 4 indicators: the two main constructs (Mood and Drive) of the segmented Visual Scale ESTA III and two bipolar items (Anxiety and Drowsiness). Mood and Drive are continuous variables, while Anxiety and Drowsiness are ordinal ones. Strictly speaking, ARIMA modelling is not valid with ordinal data. However, comparison of models of the two kinds of variables reveals no significant differences. This points out to a certain robustness of the method. Most of the series were non-stationary but could be transformed taking no more than two differences. The models made a very good fit of the data. Statistically significant coefficients on different lags may indicate the presence of circadian and infradian periodicities in the series. Further applications of ARIMA models to biological and psychological rhythmometry may be quite useful.</t>
  </si>
  <si>
    <t>Lolas Stepke, Fernando/E-9241-2011</t>
  </si>
  <si>
    <t>WOS:A1990GN77100005</t>
  </si>
  <si>
    <t>Castro, M; Saéz, G; Apaz, PV; Allende, S; Nunez, AS</t>
  </si>
  <si>
    <t>Castro, Mario; Saez, Guidobeth; Vergara Apaz, Patricio; Allende, Sebastian; Nunez, Alvaro S.</t>
  </si>
  <si>
    <t>Toward Fully Multiferroic van der Waals SpinFETs: Basic Design and Quantum Calculations</t>
  </si>
  <si>
    <t>NANO LETTERS</t>
  </si>
  <si>
    <t>Manipulating spin transport enhances the functionality of electronic devices, allowing them to surpass physical constraints related to speed and power. For this reason, the use of van der Waals multiferroics at the interface of heterostructures offers promising prospects for developing high-performance devices, enabling the electrical control of spin information. Our work focuses primarily on a mechanism for multiferroicity in two-dimensional van der Waals materials that stems from an interplay between antiferromagnetism and the breaking of inversion symmetry in certain bilayers. We provide evidence for spin-electrical couplings that include manipulating van der Waals multiferroic edges via external voltages and the subsequent control of spin transport including for fully multiferroic spin field-effect transistors.</t>
  </si>
  <si>
    <t>Castro, Mario/ABD-7776-2021; Núñez, Alvaro/F-4572-2011</t>
  </si>
  <si>
    <t>castro, Mario/0000-0002-6956-8564; Nunez, Alvaro S./0000-0002-6804-9703; Saez, Guidobeth/0000-0003-1401-2531; Vergara Apaz, Patricio/0009-0009-2114-092X</t>
  </si>
  <si>
    <t>1530-6984</t>
  </si>
  <si>
    <t>1530-6992</t>
  </si>
  <si>
    <t>JUN 18</t>
  </si>
  <si>
    <t>10.1021/acs.nanolett.4c01146</t>
  </si>
  <si>
    <t>WOS:001251179700001</t>
  </si>
  <si>
    <t>Margarit Segura, D; Moraga Reyes, J; Roessler Vergara, PI; Alvarez Garrido, I</t>
  </si>
  <si>
    <t>Margarit Segura, Daisy; Moraga Reyes, Jorge; Roessler Vergara, Pablo Ignacio; Alvarez Garrido, Imara</t>
  </si>
  <si>
    <t>Migrant dwelling in Greater Santiago: housing, networks and overcrowding</t>
  </si>
  <si>
    <t>REVISTA INVI</t>
  </si>
  <si>
    <t>One of the distinctive aspects of the migrants' settlement in the destination territories is their concentration in metropolitan areas and, within them, in certain territorial areas. The article proposes problematizing migrant living through the dimensions of housing, home, and location of migrants residing in Greater Santiago, which allows us to understand the ongoing mi gratory phenomenon by identifying, through the overcrowding variable, the intangible social resources associated with social, cultural, and economic capitals that circulate in family and non-family networks. The methodological strategy is quantitative in nature, it uses statistical sources from the 2017 Census and the results of the Migrant Voices (VM) survey, carried out by the Jesuit Migrant Service (2019). The main results are aimed at understanding that migrant dwelling associated with overcrowding, despite presenting elements of precariousness and social vulnerability, could also expose family strategies of mutual support and care among the migrant population in the receiving societies.</t>
  </si>
  <si>
    <t>; Moraga R., Jorge/H-1786-2015</t>
  </si>
  <si>
    <t>Margarit Segura, Daisy/0000-0001-6792-6324; Moraga R., Jorge/0000-0002-3230-9526; Roessler Vergara, Pablo Ignacio/0000-0002-1216-0699</t>
  </si>
  <si>
    <t>0718-1299</t>
  </si>
  <si>
    <t>0718-8358</t>
  </si>
  <si>
    <t>10.5354/0718-8358.2022.63446</t>
  </si>
  <si>
    <t>WOS:000812366600011</t>
  </si>
  <si>
    <t>Zoulagh, T; El Haiek, B; Barbosa, KA; Hmamed, A; El Hajjaji, A</t>
  </si>
  <si>
    <t>Zoulagh, Taha; El Haiek, Badreddine; Barbosa, Karina A.; Hmamed, Abdelaziz; El Hajjaji, Ahmed</t>
  </si>
  <si>
    <t>Results on H∞ Filtering Continuous-Time Systems based on Singular Transformation</t>
  </si>
  <si>
    <t>IFAC PAPERSONLINE</t>
  </si>
  <si>
    <t>8th IFAC Symposium on Systems Structure and Control (SSSC)</t>
  </si>
  <si>
    <t>SEP 27-30, 2022</t>
  </si>
  <si>
    <t>Montreal, CANADA</t>
  </si>
  <si>
    <t>Int Federat Automat Control, Tech Comm 2 2 Linear Control Syst,Int Federat Automat Control, Tech Comm 1 3 Discrete Event &amp; Hybrid Syst,Int Federat Automat Control, Tech Comm 1 5 Networked Syst,Int Federat Automat Control, Tech Comm 2 1 Control Design,Int Federat Automat Control, Tech Comm 2 3 Non Linear Control Syst,Int Federat Automat Control, Tech Comm 2 5 Robust Control,Int Federat Automat Control, Tech Comm 2 6 Distributed Parameter Syst,Int Federat Automat Control, Tech Comm 4 2 Mechatron Syst,Int Federat Automat Control, Tech Comm 9 4 Control Educ</t>
  </si>
  <si>
    <t>The H-infinity filtering problem for continuous-time linear systems with polytopic uncertainty is addressed in this study. First, using several well-known lemmas from the literature, adequate analysis requirements in terms of linear matrix inequalities (LMIs) are developed, ensuring the asymptotic stability of the filtering error systems with the specified H-infinity performance level gamma. We will then concentrate on the design of filter gains using less restricted LMIs by combining several strategies that utilize slack variables and descriptor representation. Finally, numerical examples are presented to demonstrate the efficacy of the suggested technique in contrast to current works. Copyright (c) 2022 The Authors. This is an open access article under the CC BY-NC-ND license (https://creativecommons.org/licenses/by-nc-nd/4.0/)</t>
  </si>
  <si>
    <t>Barbosa, Karina/A-2236-2014; Zoulagh, Taha/AAT-5521-2020; El Hajjaji, Ahmed/D-6459-2016</t>
  </si>
  <si>
    <t>Zoulagh, Taha/0000-0003-4796-2744; El haiek, Badreddine/0000-0003-4776-0894; El Hajjaji, Ahmed/0000-0002-7564-3620</t>
  </si>
  <si>
    <t>2405-8963</t>
  </si>
  <si>
    <t>10.1016/j.ifacol.2022.11.323</t>
  </si>
  <si>
    <t>WOS:000903687800025</t>
  </si>
  <si>
    <t>Alavia, W; Soto, I; Lovera, JA</t>
  </si>
  <si>
    <t>Alavia, Wilson; Soto, Ismael; Lovera, Jorge A.</t>
  </si>
  <si>
    <t>Modeling of the Refractive Index for the Systems MX+H2O, M2X+H2O, H3BO3+MX+H2O, and H3BO3+M2X+H2O. M = K+, Na+, or Li+ and X = Cl- or SO42-</t>
  </si>
  <si>
    <t>PROCESSES</t>
  </si>
  <si>
    <t>The modeling of the refractive index for binary aqueous solutions of boric acid, sodium chloride, potassium chloride, sodium sulfate, lithium sulfate, and potassium sulfate, as well as ternary aqueous solutions of boric acid in the presence of sodium sulfate, lithium sulfate, or potassium chloride, is reported. The refraction index was represented by molar refraction. It was described as the sum of solutes' partial molar refraction and solvent molar refraction. The solutes' partial molar refraction was estimated from the molar refraction of the binary solutions. The excess molar refraction for these systems was described with the equation of Wang et al. The polarizability of the solutes present in the studied systems was estimated using the Lorenz-Lorenz relation. The results showed the model is appropriate for describing the systems studied; the interactions of boric acid, sodium, potassium, lithium, chloride, and sulfate ions with water molecules are relevant to explain the molar refraction and refractive index, and those for the binary systems of lithium chloride and sodium chloride are also relevant the ion-ion interactions. The model is robust and presents estimation capabilities within and beyond the concentrations and temperature range studied. Therefore, the outcomes represent valuable information to understand and follow the industrial processing of natural brines.</t>
  </si>
  <si>
    <t>Soto, Ismael/0000-0002-5501-5651; Alavia, Wilson/0000-0001-5674-8489</t>
  </si>
  <si>
    <t>2227-9717</t>
  </si>
  <si>
    <t>10.3390/pr9030525</t>
  </si>
  <si>
    <t>WOS:000634201700001</t>
  </si>
  <si>
    <t>Ahumada, C; Kaschel, H; Osorio-Comparan, R</t>
  </si>
  <si>
    <t>Ahumada, Cristian; Kaschel, Hector; Osorio-Comparan, Roman</t>
  </si>
  <si>
    <t>Design of an Array of a 2x1 Microstrip Antenna in the WIMAX Band, 3.5 GHz</t>
  </si>
  <si>
    <t>This work describes an array of a 2x1 microstrip patch antenna with 3.5 GHz of center frequency for the WiMax applications. In order to design and simulate this array of two by one with microstrip line feed technique, the software used was the Computer Simulation Tool (CST) by Microwave. The design of the antenna array was made on Rogers R03035 substrate with the following characteristics: overall size of 110 x 87 x 1.52 mm(3) and dielectric substrate with sigma(r) = 3.5. The structural design for the antenna was created on the CST software and the characteristic impedance for the transmission line model was used as the basis. The following are the characteristics of the microstrip antenna: small size, light weight, low cost, compatibility with rigid surfaces. Microstrip antennas are lowprofile antennas. At first, a single-patch microstrip antenna was designed and simulated, obtaining results that are represented in graphics. Next, a 2x 1 square patch microbrand antenna array was designed.</t>
  </si>
  <si>
    <t>Osorio, Roman/GLR-4090-2022</t>
  </si>
  <si>
    <t>10.1109/ICAACCA51523.2021.9465127</t>
  </si>
  <si>
    <t>WOS:000855764500019</t>
  </si>
  <si>
    <t>Gramsch, EV; Soto, CR; Oyola, PP; Reyes, FA; Vasquez, Y; Rubio, MA; Pérez, PA; Tagle, M</t>
  </si>
  <si>
    <t>Gramsch, Ernesto, V; Soto, Cristian R.; Oyola, Pedro P.; Reyes, Felipe A.; Vasquez, Yeanice; Rubio, Maria A.; Perez, Patricio A.; Tagle, Matias</t>
  </si>
  <si>
    <t>Relationship between UV Energy and Formation of Secondary Particles in Santiago de Chile</t>
  </si>
  <si>
    <t>Despite reduction efforts, the concentration of PM2.5 (particulate matter = 2.5 mu m in diameter) has remained steady or even grown slightly in Santiago, Chile, over the last few years. However, this potential increase may be due to the formation of secondary particles rather than a rise in primary emissions. Therefore, this study measured the size distribution of particulate matter with an Electrical Low Pressure Impactor (ELPI; Dekati) to investigate the generation of secondary ultrafine particles at several sites in this metropolitan area during 2013 and 2018. Little formation was detected during winter, but more activity was observed during fall, and the highest generation of these particles was found during summer, when the number of new particles between 10 and 20 nm in diameter displayed an obvious peak in the afternoon during periods of high solar radiation. Overall, no clear relationship was discerned between the secondary particle number and the UV radiation until the latter exceeded similar to 4.5 kJ m(-2), when an almost linear correlation (R-2 = 0.739) appeared. Additionally, the particle number exhibited a much lower correlation with the total solar energy, indicating that UV solar radiation plays the major role in ultrafine particle formation. However, these trends may only apply to polluted cities, which already contain elevated particulate matter concentrations. Also, the fact that secondary formation primarily occurs in Santiago during summer, when the PM2.5 level is low, confirms that large numbers of pre-existing particles inhibit the creation of new ones.</t>
  </si>
  <si>
    <t>Bajo, Maria/ABF-6991-2020; Soto, Cristian/I-1141-2013</t>
  </si>
  <si>
    <t>10.4209/aaqr.2018.08.0318</t>
  </si>
  <si>
    <t>WOS:000580033700009</t>
  </si>
  <si>
    <t>Aedo-Muñoz, E; Abarca-Reyes, V; Torres-Moreno, MJ; Bascuñan-Mosqueira, R; Brito, CJ; Miarka, B; Juan, JCS; Sanchez-Ramirez, C; Poblete-Gálvez, C</t>
  </si>
  <si>
    <t>Aedo-Munoz, Esteban; Abarca-Reyes, Victor; Torres-Moreno, Maria-Jose; Bascunan-Mosqueira, Ricardo; Brito, Ciro Jose; Miarka, Bianca; Juan, Jose Caro-San; Sanchez-Ramirez, Celso; Poblete-Galvez, Carolina</t>
  </si>
  <si>
    <t>Proposal of a Technical Model of Soccer Kicking: A Systematic Review of Kinematic and Kinetic Variables</t>
  </si>
  <si>
    <t>This article describes a propositive vision of the current literature on soccer kicking techniques. It aims to identify the potential kinetic and kinematic variables used in the analysis of the techniques, and to determine the values of kinetic and kinematic variables in relation to the kicking techniques in soccer. PubMed and Taylor &amp; Francis online were reviewed to obtain selected articles from 2000 to 2017. PRISMA. methodology was implemented. Twenty-nine papers were selected; they considered kicking techniques in soccer young or adult participants through biomechanical variables. Then, a four-phase technical model was prepared: preparation, roll, impact, and follow-up phases. A technique-based biomechanical perspective can offer a promising strategy to improve, from training and technique analysis, the performance in football, in addition to providing a background for injury prevention.</t>
  </si>
  <si>
    <t>Aedo-Muñoz, Esteban/R-5623-2019; Brito, Ciro/ABH-2245-2020; Miarka, Bianca/V-7395-2017</t>
  </si>
  <si>
    <t>Miarka, Bianca/0000-0002-7513-7605; Torres Moreno, Maria-Jose/0000-0002-4496-2135; brito, ciro/0000-0002-9678-1977; SANCHEZ-RAMIREZ, CELSO/0000-0001-6696-5751; Aedo-Munoz, Esteban/0000-0003-1544-2824</t>
  </si>
  <si>
    <t>10.15359/mhs.17-2.6</t>
  </si>
  <si>
    <t>WOS:000545011600005</t>
  </si>
  <si>
    <t>González-Camus, J; Keyantuo, V; Lizama, C; Warma, M</t>
  </si>
  <si>
    <t>Gonzalez-Camus, Jorge; Keyantuo, Valentin; Lizama, Carlos; Warma, Mahamadi</t>
  </si>
  <si>
    <t>Fundamental solutions for discrete dynamical systems involving the fractional Laplacian</t>
  </si>
  <si>
    <t>We prove representation results for solutions of a time-fractional differential equation involving the discrete fractional Laplace operator in terms of generalized Wright functions. Such equations arise in the modeling of many physical systems, for example, chain processes in chemistry and radioactivity. Our focus is in the problem Dt beta u(n,t)=-(-Delta d)alpha u(n,t)+g(n,t), where 0&lt;= 2, 0&lt;= 1, n is an element of Z, (-Delta(d))(alpha) is the discrete fractional Laplacian, and Dt beta is the Caputo fractional derivative of order beta. We discuss important special cases as consequences of the representations obtained.</t>
  </si>
  <si>
    <t>Gonzalez-Camus, Jorge/ABG-8235-2021; Lizama, Carlos/E-5909-2011</t>
  </si>
  <si>
    <t>Lizama, Carlos/0000-0002-9807-1100; Gonzalez-Camus, Jorge/0000-0001-6198-5403</t>
  </si>
  <si>
    <t>SEP 30</t>
  </si>
  <si>
    <t>10.1002/mma.5685</t>
  </si>
  <si>
    <t>WOS:000478748800004</t>
  </si>
  <si>
    <t>Aliaga, C; Michea, S; Pastenes, C; Salazar, J; Rezende, MC</t>
  </si>
  <si>
    <t>Aliaga, C.; Michea, S.; Pastenes, C.; Salazar, J.; Rezende, M. C.</t>
  </si>
  <si>
    <t>On the interactions of TEMPO radicals with gold nanostructures</t>
  </si>
  <si>
    <t>The direct binding of four TEMPO radicals to citrate-coated gold nanoparticles and nanoclusters was investigated by means of EPR, fluorescence spectroscopy, kinetic measurements, TEM imaging and microcalorimetry. Although some degree of binding between TEMPO or 4-hydroxy-TEMPO and gold nanoparticles could not be excluded, it was negligible when compared with binding with 4-amino or 4-carboxy-TEMPO, showing that binding takes place exclusively, or almost exclusively, via the 4-amino or 4-carboxy substituent.</t>
  </si>
  <si>
    <t>Caroli, Marcos/H-3570-2019; Salazar, Javier/JVP-1276-2024; Michea, Sebastian/E-9043-2017; Aliaga, Carolina/G-6024-2019</t>
  </si>
  <si>
    <t>Salazar-Munoz, Javier/0000-0001-6969-9321; Rezende, Marcos/0000-0003-2040-9009; Aliaga, Carolina/0000-0002-1352-3164; Michea, Sebastian/0000-0001-9312-5766</t>
  </si>
  <si>
    <t>JUN 21</t>
  </si>
  <si>
    <t>10.1039/c7nj04714b</t>
  </si>
  <si>
    <t>WOS:000435298100047</t>
  </si>
  <si>
    <t>Lastra, F; López, CE; Retamal, JC</t>
  </si>
  <si>
    <t>Lastra, F.; Lopez, C. E.; Retamal, J. C.</t>
  </si>
  <si>
    <t>Metastable decoherence-free subspace and pointer states in mesoscopic quantum systems</t>
  </si>
  <si>
    <t>Two initially correlated coherent states, each interacting with its own independent dissipative environment, exhibit a sudden transition from classical to quantum decoherence. This change in the dynamics is a turning point in the decoherence in the sense that depending on the average number of photons of each harmonic oscillator, decoherence can even be suppressed. Indeed, the quantum state is time independent for a time span in the mesoscopic regime, revealing a decoherence-free subspace. Furthermore, the absence of decoherence is manifested in the apparition of a metastable pointer-state basis.</t>
  </si>
  <si>
    <t>López, Carlos/B-8456-2009; Retamal, Juan/G-6425-2010</t>
  </si>
  <si>
    <t>2469-9926</t>
  </si>
  <si>
    <t>2469-9934</t>
  </si>
  <si>
    <t>APR 24</t>
  </si>
  <si>
    <t>10.1103/PhysRevA.97.042123</t>
  </si>
  <si>
    <t>WOS:000430663100004</t>
  </si>
  <si>
    <t>Ceballos, D; Cisternas, E; Vogel, EE; Allende, S</t>
  </si>
  <si>
    <t>Ceballos, D.; Cisternas, E.; Vogel, E. E.; Allende, S.</t>
  </si>
  <si>
    <t>Prevalence of information stored in arrays of magnetic nanowires against external fields</t>
  </si>
  <si>
    <t>JOURNAL OF MAGNETISM AND MAGNETIC MATERIALS</t>
  </si>
  <si>
    <t>Arrays of magnetic nanowires in porous alumina can be used to store information inscribed on the system by orienting the magnetization of selected wires pointing in a desired direction, so symbols can be read as ferromagnetic sectors. However, this information is subject to aging and the stored information could be gradually lost. We investigate here two mechanisms proposed to improve the prevalence of the stored information: opposite ferromagnetic band at the center of the symbol and bi-segmented nanowires acting as two layers of nanowires storing the same information. Both mechanisms prove to increase resistance to the action of external magnetic fields for the case of Ni wires in a geometry compatible with actually grown nanowires. Advantages and disadvantages of these mechanisms are discussed. (C) 2017 Elsevier B.V. All rights reserved.</t>
  </si>
  <si>
    <t>Cisternas, E/AAE-5482-2019</t>
  </si>
  <si>
    <t>Vogel, Eugenio/0000-0002-1701-3030</t>
  </si>
  <si>
    <t>0304-8853</t>
  </si>
  <si>
    <t>1873-4766</t>
  </si>
  <si>
    <t>10.1016/j.jmmm.2017.11.116</t>
  </si>
  <si>
    <t>WOS:000428259800095</t>
  </si>
  <si>
    <t>Mann, K; Rivas, C</t>
  </si>
  <si>
    <t>Mann, Kathryn; Rivas, Cristobal</t>
  </si>
  <si>
    <t>GROUP ORDERINGS, DYNAMICS, AND RIGIDITY</t>
  </si>
  <si>
    <t>ANNALES DE L INSTITUT FOURIER</t>
  </si>
  <si>
    <t>Let G be a countable group. We show there is a topological relationship between the space CO(G) of circular orders on G and the moduli space of actions of G on the circle; and an analogous relationship for spaces of left orders and actions on the line. In particular, we give a complete characterization of isolated left and circular orders in terms of strong rigidity of their induced actions of G on S-1- and R. As an application of our techniques, we give an explicit construction of infinitely many nonconjugate isolated points in the spaces CO (F-2n ) of circular orders on free groups, disproving a conjecture from Baik-Samperton, and infinitely many nonconjugate isolated points in the space of left orders on the pure braid group P-3 , answering a question of Navas. We also give a detailed analysis of circular orders on free groups, characterizing isolated orders.</t>
  </si>
  <si>
    <t>Rivas, Cristobal/0000-0003-4021-2705; Mann, Kathryn/0009-0006-9006-5239</t>
  </si>
  <si>
    <t>0373-0956</t>
  </si>
  <si>
    <t>1777-5310</t>
  </si>
  <si>
    <t>10.5802/aif.3191</t>
  </si>
  <si>
    <t>WOS:000451849500002</t>
  </si>
  <si>
    <t>Castillo-Sepúlveda, S; Escobar, RA; Altbir, D; Krizanac, M; Vedmedenko, EY</t>
  </si>
  <si>
    <t>Castillo-Sepulveda, S.; Escobar, R. A.; Altbir, D.; Krizanac, M.; Vedmedenko, E. Y.</t>
  </si>
  <si>
    <t>Magnetic Mobius stripe without frustration: Noncollinear metastable states</t>
  </si>
  <si>
    <t>The recently introduced area of topological magnetism searches for equilibrium structures stabilized by a combination of interactions and specific boundary conditions. Until now, the internal energy of open magnetic chains has been explored. Here, we study the energy landscape of closed magnetic chains with on-site anisotropy coupled with antiferromagnetic exchange and dipolar interactions analytically and numerically. We show that there are many stable stationary states in closed geometries. These states correspond to the noncollinear spin spirals for vanishing anisotropy or to kink solitons for high magnetic anisotropy. Particularly, the noncollinear Mobius magnetic state can be stabilized at finite temperatures in nonfrustrated rings or other closed shapes with an even number of sites without the Dzyaloshinskii-Moriya interaction. We identify the described configurations with the stable stationary states, which appear due to the finite length of a ring.</t>
  </si>
  <si>
    <t>; Altbir, Dora/R-6781-2018</t>
  </si>
  <si>
    <t>Castillo, Sebastian/0000-0001-7730-8773; Altbir, Dora/0000-0002-2945-4909</t>
  </si>
  <si>
    <t>JUL 19</t>
  </si>
  <si>
    <t>10.1103/PhysRevB.96.024426</t>
  </si>
  <si>
    <t>WOS:000405876300004</t>
  </si>
  <si>
    <t>Palacios, J; Faúndez, C; Pérez, R; Montoya, M; Lavin, P; Vaca, I; Martínez, C; Chávez, R</t>
  </si>
  <si>
    <t>Palacios, Jose; Faundez, Carolina; Perez, Rodrigo; Montoya, Marcelo; Lavin, Paris; Vaca, Inmaculada; Martinez, Claudio; Chavez, Renato</t>
  </si>
  <si>
    <t>β-Galactosidase activity in microorganisms isolated from Antarctic environments</t>
  </si>
  <si>
    <t>NEW BIOTECHNOLOGY</t>
  </si>
  <si>
    <t>Martinez, Claudio/MGS-9961-2025; Montoya, Mercedes/AAB-5577-2019; Lavin, Paris/AAI-9053-2020</t>
  </si>
  <si>
    <t>Lavin, Paris/0000-0002-8893-526X</t>
  </si>
  <si>
    <t>1871-6784</t>
  </si>
  <si>
    <t>1876-4347</t>
  </si>
  <si>
    <t>JUL 25</t>
  </si>
  <si>
    <t>P8-46</t>
  </si>
  <si>
    <t>S108</t>
  </si>
  <si>
    <t>S109</t>
  </si>
  <si>
    <t>10.1016/j.nbt.2016.06.1100</t>
  </si>
  <si>
    <t>WOS:000393400600349</t>
  </si>
  <si>
    <t>Chavez, H; Lee, D; Baldick, R</t>
  </si>
  <si>
    <t>Chavez, Hector; Lee, Duehee; Baldick, Ross</t>
  </si>
  <si>
    <t>CPS1-Compliant Regulation Using a PSD Analysis of Wind Expansion in a Single Balancing Authority</t>
  </si>
  <si>
    <t>2016 IEEE POWER AND ENERGY SOCIETY GENERAL MEETING (PESGM)</t>
  </si>
  <si>
    <t>IEEE Power and Energy Society General Meeting PESGM</t>
  </si>
  <si>
    <t>IEEE-Power-and-Energy-Society General Meeting (PESGM)</t>
  </si>
  <si>
    <t>JUL 17-21, 2016</t>
  </si>
  <si>
    <t>Boston, MA</t>
  </si>
  <si>
    <t>IEEE Power &amp; Energ Soc</t>
  </si>
  <si>
    <t>1944-9925</t>
  </si>
  <si>
    <t>978-1-5090-4168-8</t>
  </si>
  <si>
    <t>WOS:000399937900090</t>
  </si>
  <si>
    <t>Kaschel, H; Cordero, S; Costoya, E</t>
  </si>
  <si>
    <t>Kaschel, Hector; Cordero, Sergio; Costoya, Eduardo</t>
  </si>
  <si>
    <t>Modeling and Simulation of point to area prediction on Digital TV, extensible to other technologies and its validation with actual field records</t>
  </si>
  <si>
    <t>2016 IEEE INTERNATIONAL CONFERENCE ON AUTOMATICA (ICA-ACCA)</t>
  </si>
  <si>
    <t>IEEE International Conference on Automatica (ICA-ACCA)</t>
  </si>
  <si>
    <t>OCT 19-21, 2016</t>
  </si>
  <si>
    <t>Univ Talca, Curico, CHILE</t>
  </si>
  <si>
    <t>Univ Talca</t>
  </si>
  <si>
    <t>On this paper, worldwide Digital TV Standards (TDT) are reviewed as well as the approach and needs for point to area propagation modeling currently used worldwide to predict TDT broadcasting coverage. One of the models currently used for coverage calculations, the deterministic ITM (Irregular Terrain Model - Longley-Rice) based on Technical Note 101 Vol-I and II, as well as the empirical ITUR-P1546-5 Model will be studied and analyzed. The modeling of TVD coverage of existing TVD stations will be performed with both Models and compared with actual coverage of exiting field strength surveys, performed by broadcast operators under the ITU recommendations specs. Finally, conclusions will be drawn on the pros and cons of each Model.</t>
  </si>
  <si>
    <t>978-1-5090-1147-6</t>
  </si>
  <si>
    <t>WOS:000390556300023</t>
  </si>
  <si>
    <t>Artigas, A; Bustos, O; Sipos, K; Garza-Montes-de-Oca, NF; Monsalve, A; Mena, J; Seco, R</t>
  </si>
  <si>
    <t>Artigas, Alfredo; Bustos, Oscar; Sipos, Konstantin; Garza-Montes-de-Oca, Nelson F.; Monsalve, Alberto; Mena, Juan; Seco, Rodrigo</t>
  </si>
  <si>
    <t>Marine atmospheric corrosion behavior of structural ferritic pearlitic and ferritic martensitic weathering steel</t>
  </si>
  <si>
    <t>MATERIA-RIO DE JANEIRO</t>
  </si>
  <si>
    <t>The steel industry constantly faces the challenge of developing new and better steels for diverse needs, on of this necessities is the use of structural steels with higher corrosion resistance to marine atmospheres and improved mechanical properties than those that currently exist. Therefore, it is necessary to systematically research both the influence in the corrosion resistant to marine atmospheres of the alloying elements, and others variables such as changes in the manufacturing process of this materials. This work aims to compare the behavior on marine atmospheric corrosion between weathering steels (ASTM A242 and ASTM A588) with ferritic-pearlitic and ferritic-martensitic structures. Wetting and drying cycles were performed. Saline wetting was performed in a salt spray apparatus, according to ASTM B177, while drying was performed in a furnace at 40 degrees C. At the end of each cycles, the corrosion products were removed in accordance to ASTM G1.</t>
  </si>
  <si>
    <t>Artigas, Alfredo/Y-1185-2019; Allende, Rodrigo/N-5507-2017</t>
  </si>
  <si>
    <t>Allende, Rodrigo/0000-0002-2115-8160</t>
  </si>
  <si>
    <t>1517-7076</t>
  </si>
  <si>
    <t>10.1590/S1517-707620150003.0068</t>
  </si>
  <si>
    <t>WOS:000362323600013</t>
  </si>
  <si>
    <t>Alvarez, E; Lizama, C; Ponce, R</t>
  </si>
  <si>
    <t>Alvarez, Edgardo; Lizama, Carlos; Ponce, Rodrigo</t>
  </si>
  <si>
    <t>Weighted pseudo antiperiodic solutions for fractional integro-differential equations in Banach spaces</t>
  </si>
  <si>
    <t>In this paper we prove the existence of weighted pseudo antiperiodic mild solutions for fractional integro-differential equations in the form D(alpha)u(t) = Au(t) + integral(t)(infinity) a(t - s)Au(s)ds + f (t, u(t)), t is an element of R, where f (., u(.)) is Stepanov-like weighted pseudo antiperiodic and A generates a resolvent family of bounded and linear operators on a Banach space X, a is an element of L-loc(1)(R+) and alpha &gt; 0. Here the fractional derivative is considered in the sense of Weyl. Also, we give a short proof to show that the vector-valued space of Stepanov-like weighted pseudo antiperiodic functions is a Banach space. (C) 2015 Elsevier Inc. All rights reserved.</t>
  </si>
  <si>
    <t>Alvarez, Edgardo/0000-0003-2699-398X; Lizama, Carlos/0000-0002-9807-1100; Ponce, Rodrigo/0000-0002-1337-8083</t>
  </si>
  <si>
    <t>10.1016/j.amc.2015.02.047</t>
  </si>
  <si>
    <t>WOS:000353393700015</t>
  </si>
  <si>
    <t>Garcia, AR; Rebolledo, EC; Chahuan, JC; Fernández, W</t>
  </si>
  <si>
    <t>Chova, LG; Martinez, AL; Torres, IC</t>
  </si>
  <si>
    <t>Rodriguez Garcia, Arturo; Cavieres Rebolledo, Elena; Chahuan Chahuan, Jorge; Fernandez, Washington</t>
  </si>
  <si>
    <t>INNOVATION, IMPACT AND QUALITY: THE IMPORTANCE OF ALIGNMENT</t>
  </si>
  <si>
    <t>INTED2015: 9TH INTERNATIONAL TECHNOLOGY, EDUCATION AND DEVELOPMENT CONFERENCE</t>
  </si>
  <si>
    <t>INTED Proceedings</t>
  </si>
  <si>
    <t>9th International Technology, Education and Development Conference (INTED)</t>
  </si>
  <si>
    <t>MAR 02-04, 2015</t>
  </si>
  <si>
    <t>Madrid, SPAIN</t>
  </si>
  <si>
    <t>The importance given today to innovation in educational institutions has driven the development of countless interventions with classroom innovations. However, there has been little development in the assessment of these interventions and their impact in areas of competencies of the universities that create them. The quality of education is a topic of great concern for universities, therefore its definition is of utmost importance. Quality should be evaluated from a perspective of student training, which places learning in a very relevant situation. However, innovations are limited to practice methods and methodologies of great assistance in improving attention and dispersion within the classroom, because the focus of most of the interventions are the students and not their professionalism in the context of quality (PCQ). This makes the need for alignment between Innovation-Impact-Quality (I2Q) clearly visible. Without this alignment, efforts made by universities with regard to implementing innovation will fade in time, because students only focus on their needs and not on the main objective, which is their professionalism. Thus, teachers, administration and students should collide for the students' professionalization. It also proposes that PCQ should be developed in alignment with I2Q, as this condition is essential for interventions to become virtuous behaviors that produce positive effects on professionalization. This concern leads the researcher to reflect on I2Q alignment and determine the current characteristics of distortions in I2Q and their implications for the PCQ.</t>
  </si>
  <si>
    <t>Rodriguez, Arturo/I-7205-2016</t>
  </si>
  <si>
    <t>2340-1079</t>
  </si>
  <si>
    <t>978-84-606-5763-7</t>
  </si>
  <si>
    <t>WOS:000398586302080</t>
  </si>
  <si>
    <t>Shah, C; Hendahewa, C; González-Ibáñez, R</t>
  </si>
  <si>
    <t>Shah, Chirag; Hendahewa, Chathra; Gonzalez-Ibanez, Roberto</t>
  </si>
  <si>
    <t>Two's company, but three's no crowd Evaluating exploratory web search for individuals and teams</t>
  </si>
  <si>
    <t>ASLIB JOURNAL OF INFORMATION MANAGEMENT</t>
  </si>
  <si>
    <t>Purpose - The purpose of this paper is to investigate when and how people working in collaboration could be benefitted by an exploratory search task, specifically focussing on team size and its effect on the outcomes of such a task. Design/methodology/approach - The paper investigates the effects of team sizes on exploratory search tasks using a lab study involving 68 participants - 12 individuals, ten dyads, and 12 triads. In order to assess various factors during their exploratory search sessions, an evaluation framework is synthesized using relevant literature. The framework consists of measures for five groups of quantities relevant to exploratory search: information exposure, information relevancy, information search, performance, and learning. Findings - The analyses on the user study data using the proposed framework reveals that while individuals working alone cover more information than those working in teams, the teams (dyads and triads) are able to achieve better information coverage and search performance due to their collaborative strategies. In many of the measures, the triads are found to be even better than the dyads, demonstrating the value of adding a collaborator to a search process with multiple facets. Originality/value - The findings shed light on not only how collaborative work could help in achieving better results in exploratory search, but also how team sizes affect specific aspects information exposure, information relevancy, information search, performance, and learning - of exploratory search. This has implications for system designers, information managers, and educators.</t>
  </si>
  <si>
    <t>Shah, Chirag/AAU-2437-2020</t>
  </si>
  <si>
    <t>Shah, Chirag/0000-0002-3797-4293; Gonzalez-Ibanez, Roberto/0000-0002-4193-6548</t>
  </si>
  <si>
    <t>2050-3806</t>
  </si>
  <si>
    <t>1758-3748</t>
  </si>
  <si>
    <t>10.1108/AJIM-05-2015-0082</t>
  </si>
  <si>
    <t>WOS:000366468500002</t>
  </si>
  <si>
    <t>Coloma, A; Rodríguez, FJ; Bruna, JE; Guarda, A; Galotto, MJ</t>
  </si>
  <si>
    <t>Coloma, A.; Rodriguez, F. J.; Bruna, J. E.; Guarda, A.; Galotto, M. J.</t>
  </si>
  <si>
    <t>DEVELOPMENT OF AN ACTIVE FILM WITH NATURAL ZEOLITE AS ETHYLENE SCAVENGER</t>
  </si>
  <si>
    <t>Ethylene (C2H4) acts as a plant hormone, growth regulator that has a number of effects on the growth. Ethylene accelerates respiration, leading to maturity and also softening and ripening of many kinds of fruits. Although ethylene has some positive effects, it is often hazardous to the quality and shelf-life of fruits and vegetables. The removal of ethylene and/or inhibition of the effect of ethylene in stored environments is fundamental to maintaining postharvest quality of climacteric produce. In this study, the efficiency of a Chilean natural zeolite (NZ-Ch) against a commercial Na+ montmorillonite (Cloisite Na+) was studied. The aluminosilicate characterization (XDR, FTIR, EGME, CEC, chemical composition) indicates that natural Chilean zeolite belongs to mordenite group. Elemental chemical analysis indicated that compensating ions, were sodium for MTNa+ and calcium, sodium and potassium for NZ-Ch, and in both aluminosilicates copper was present in their composition. Ethylene adsorption kinetics were fitted to a pseudo-second order model. The rate constant of the ethylene adsorption was nearly double for NZ-Ch compared with MtNa(+). Langmuir-Freundlich isotherm allowed to determine maximum adsorption capacity that reached values of 5.4 mu l g(-1) for NZ-Ch and 1.28 mu l g(-1) for MtNa(+). Films of low density polyethylene (LDPE) were obtained with different NZ-Ch concentrations. After 50 hours, a removal of 37% of ethylene present on headspace was achieves with 10% of ZN-Ch in LDPE active films.</t>
  </si>
  <si>
    <t>Rodríguez, Francisco/I-5283-2018; bruna, julio/AAM-6867-2021</t>
  </si>
  <si>
    <t>Rodriguez-Mercado, Francisco/0000-0002-0530-6653; Coloma Paxi, Alejandro/0000-0002-2678-5104; Bruna, Julio E./0000-0001-9656-6022</t>
  </si>
  <si>
    <t>10.4067/S0717-97072014000200003</t>
  </si>
  <si>
    <t>WOS:000342613100003</t>
  </si>
  <si>
    <t>Górka, P; Kurek, A; Lazarte, E; Prado, H</t>
  </si>
  <si>
    <t>Gorka, Przemyslaw; Kurek, Anna; Lazarte, Enrique; Prado, Humberto</t>
  </si>
  <si>
    <t>Parabolic flow on metric measure spaces</t>
  </si>
  <si>
    <t>SEMIGROUP FORUM</t>
  </si>
  <si>
    <t>We present parabolic equations on metric measure spaces. We prove existence and uniqueness of solutions. Under some assumptions the existence of global in time solution is proved. Moreover, regularity and qualitative property of the solutions are shown.</t>
  </si>
  <si>
    <t>Kurek, Anna/B-8655-2018</t>
  </si>
  <si>
    <t>Gorka, Przemyslaw/0000-0002-1943-383X</t>
  </si>
  <si>
    <t>0037-1912</t>
  </si>
  <si>
    <t>1432-2137</t>
  </si>
  <si>
    <t>10.1007/s00233-013-9506-7</t>
  </si>
  <si>
    <t>WOS:000330987500009</t>
  </si>
  <si>
    <t>Flores, EIS; Friswell, MI</t>
  </si>
  <si>
    <t>Flores, E. I. Saavedra; Friswell, M. I.</t>
  </si>
  <si>
    <t>Multi-scale finite element model for a new material inspired by the mechanics and structure of wood cell-walls</t>
  </si>
  <si>
    <t>JOURNAL OF THE MECHANICS AND PHYSICS OF SOLIDS</t>
  </si>
  <si>
    <t>This paper proposes a fully coupled multi-scale finite element model for the constitutive description of an alumina/magnesium alloy/epoxy composite inspired in the mechanics and structure of the wall of wood cells. The mechanical response of the composite (the large scale continuum) is described by means of a representative volume element (RVE, corresponding to the intermediate scale) in which the fibre is represented as a periodic alternation of alumina and magnesium alloy fractions. Furthermore, at a lower scale the overall constitutive behavior of the alumina/magnesium alloy fibre is modelled as a single material defined by a large number of RVEs (the smallest material scale) at the Gauss point (intermediate) level. Numerical material tests show that this new composite maximises its toughness when the hierarchical design of wood cellulose fibres is replicated. The above results provide for the first time new clues into the understanding of how trees and plants optimise their microstructures at the cellulose level in order to absorb a large amount of strain energy before failure. These findings are likely to shed more light into natural materials and bio-inspired design strategies, which are still not well-understood at present. (C) 2012 Elsevier Ltd. All rights reserved.</t>
  </si>
  <si>
    <t>Friswell, Michael/0000-0003-4677-7395</t>
  </si>
  <si>
    <t>0022-5096</t>
  </si>
  <si>
    <t>1873-4782</t>
  </si>
  <si>
    <t>10.1016/j.jmps.2012.03.007</t>
  </si>
  <si>
    <t>WOS:000304687700005</t>
  </si>
  <si>
    <t>Cruz, N; González-Díaz, PF; Rozas-Fernández, A; Sánchez, G</t>
  </si>
  <si>
    <t>Cruz, Norman; Gonzalez-Diaz, Pedro F.; Rozas-Fernandez, Alberto; Sanchez, Guillermo</t>
  </si>
  <si>
    <t>Holographic kinetic k-essence model</t>
  </si>
  <si>
    <t>We consider a connection between the holographic dark energy density and the kinetic k-essence energy density in a flat FRW universe. With the choice c &gt;=, 1, the holographic dark energy can be described by a kinetic k-essence scalar field in a certain way. In this Letter we show this kinetic k-essential description of the holographic dark energy with c &gt;= 1 and reconstruct the kinetic k-essence function F(X). (C) 2009 Elsevier B.V. All rights reserved.</t>
  </si>
  <si>
    <t>Rozas-Fernandez, Alberto/0000-0002-6131-2804</t>
  </si>
  <si>
    <t>10.1016/j.physletb.2009.07.028</t>
  </si>
  <si>
    <t>WOS:000269989800001</t>
  </si>
  <si>
    <t>Cortés, C; Beltrán, C; Muñoz, R; Daube, E; Wolff, M</t>
  </si>
  <si>
    <t>Cortes, Claudia; Beltran, Carlos; Munoz, Rodrigo; Daube, Elizabeth; Wolff, Marcelo</t>
  </si>
  <si>
    <t>Cohorte Chilena SIDA</t>
  </si>
  <si>
    <t>Impact of baseline CD4 count, immune recovery and viral suppression at 1 year of first highly active antiretroviral therapy on survival, AIDS defining events and immune recovery reactions</t>
  </si>
  <si>
    <t>Background Baseline (BL) CD4 cell count is a major factor in outcome of highly active antiretroviral therapy (HAART); treatment induced immune recovery and viral response can modulale this outcome. Aim: To evaluate the association between baseline CD4 cell count and outcome during the first HAART regimen. Material and methods: Prospective study in 2,050 patient, on first HAART with a follow up (f/u) of at least 1 year. All had BL CD4 and viral load (VL) counts which were repeated at least twice a year. Patients were grouped according to BL CD4 (cells/mm(3)) in 100 (G1), 100-199 (G2) and &gt;= 200 (G3). Groups were further divided according to immune and virological response at 1 year in CD4 &gt; or &lt; 200 and VL detectable or undetectable (&lt;80 copies/mL). Outcome measures were death, AIDS defining events (ADE) and, as a surrogate marker of immune recovery reaction, herpes zoster (HZ). Results: During the first year of follow up, 113 patients (10.8%) died in G1 (n = 1,044), 17 (2.5%) in G2 (n = 675) (G1-2 p &lt;0.05) and 9 (2.7%) in G3 (n =331) (G2-3 p NS). One hundred twenty five of 919 (13.6%) patients alive at 1 year had ADE in G1, 55/643 (8.5%) in G2 (p &lt;0.05) and 20/320 (5.2%) in G3 (G2-3 p NS). ADEs with follow up CD4 &gt; vs &lt; 200 were: 25/274 (9.1%) vs 100/643 (15.7%) in G1 (p &lt; 0.005); 28/404 (6.9%) vs 27/235 (11.2%) in G2 (p NS) and 18/281 (6.4%) vs 2/41 (4.8%) in G3 respectively (p NS). Detectabe VL was an additional risk for ADE only in G1 without CD4 recovery, HZ was seen in 6.6% of G1 vs 4% in G2 (p &lt;0.05) and 4.3% in G3. HZ rate was higher in all groups reaching a follow up CD4&gt;200 than those who did not, with a statistically significant difference at p &lt; 0.005 only in G1 (9.5% vs 5.3%). Conclusions: The occurrence of death and ADE during the first year of HAART was significantly higher in patients with a BL CD4 &lt;100, but no statistically significant difference was observed from BL CD4 &gt;100 upwards. Immune recovery during f/u in the more immunosuppressed group greatly improved the outcome. The group with lowest BL CD4 and greater immune recovery showed the highest rate of immune recovery reaction (Rev Med Chile 2008; 136: 1503-10).</t>
  </si>
  <si>
    <t>Wolff, Marcelo/0000-0002-9956-8872; Cortes, Claudia P./0000-0001-9101-9783</t>
  </si>
  <si>
    <t>WOS:000262886000001</t>
  </si>
  <si>
    <t>Patterns of turnover and floristic similarity show a non-random distribution of naturalized flora in Chile, South America</t>
  </si>
  <si>
    <t>The current geographical distribution of alien species could be informative of processes involved in the biological invasions facilitated by humans. Because environmental and anthropic factors affect the geographic distribution of alien plants, we hypothesize that naturalized plants have a non-random distribution along extensive geographical ranges. On the basis of a complete and updated database of naturalized plants in Chile, we analyzed their turnover and floristic similarities among regions that encompass a wide latitudinal gradient in South America. Using Moran's index and Mantel's test we characterized the spatial auto-correlation (regional aggregation) and the effect of geographical distance on the index values. Additionally, we used clustering methods and resampling procedures to detect plant assemblages at regional level. Whittaker's index displayed a positive tilt, increasing according to geographical distance and reaching a plateau; conversely, Jaccard's index was negatively associated with geographical distance. Removing the effect of distance, both Whittaker's and Jaccard's values showed no significant trends. Multivariate analysis combined with resampling procedures revealed the existence of three distinctive plant clusters: Northernmost Chile, Central-southern Chile, and Southernmost Chile. These clusters are characterized by naturalized plants that are not present in the others. Based on this evidence, we conclude that the set of naturalized plants in Chile exhibits a non-random geographical distribution, displaying an ordered geographical pattern across regions (latitude). We discuss the role of the environmental variables (climate, latitude) and land use post-European colonization as factors in the distributional patterns here documented.</t>
  </si>
  <si>
    <t>WOS:000254704700009</t>
  </si>
  <si>
    <t>Ureta-Zañartu, MS; Yáñez, CY; Gutiérrez, C</t>
  </si>
  <si>
    <t>Cyclic voltammetric, EQCM and impedance study of the 1-octanol-β-cyclodextrin-electrodeposited platinum system in perchloric medium</t>
  </si>
  <si>
    <t>The system of I-octanol-beta-cyclodextrin in 0.5 M HClO4 at Pt electrodeposited on an Au/quartz crystal (Pt/Au/Q) has been studied by cyclic voltammetry (CV), the electrochemical quartz crystal microbalance (EQCM) and impedance measurements. beta-Cyclodextrin (beta-CD), a cyclic oligomer of seven alpha-D-glucopyranose units, was chosen for this study because it forms an inclusion complex with primary alcohols and because of its hydrophilic exterior. Previous cycling in I-octanol profoundly affected (aged) the electrodeposited Pt, as is readily seen in subsequent CVs and mass curves in 0.5 M HClO4. Since adsorbed I-octanol and beta-CD would tend to render the Pt surface hydrophobic and hydrophilic, respectively, these opposite tendencies should be detectable by the EQCM. Effectively, in a positive potential scan, 1-octanol and beta-CD added at -0.22 V produced a mass decrease and increase, respectively, of aged Pt/Au/Q. owing to a decrease and increase of the amount of adsorbed water and/or ions, which was attributed to physisorption of these compounds. With freshly deposited Pt/Au/Q, I-octanol added at open circuit produced a mass decrease over the whole potential cycle, again evidence of adsorption of a hydrophobic compound. The potential at which the aged Pt/Au/Q electrode immersed in an 1-octanol solution was held while beta-CD was added to the electrolyte crucially affected the subsequent voltammogram and mass Curve. If beta-CD and I-octanol were added together at -0.22 V, the current in a subsequent positive scan was the same as in I-octanol added at -0.22 V, but the mass was higher, both at -0.22 V and over the whole positive scan. This mass increase was probably due to physisorption (since the current was unaffected.) of the inclusion complex, since beta-CD alone did not affect the mass at -0.22 V. On the contrary, if beta-CD was added at open circuit to an electrolyte already containing I-octanol, also added at open circuit, both the H desorption and Pt oxidation currents were lower than in I-octanol. indicating a strong interaction of beta-CD with the Pt Surface, and the mass was also lower over most of the positive scan. Most probably this strong interaction of beta-CD involves adsorbed residues formed in the dissociative chemisorption of I-octanol at open circuit. (C) 2004 Elsevier B.V. All rights reserved.</t>
  </si>
  <si>
    <t>Ureta-Zañartu, Maria/G-5239-2019; Yañez, Claudia/I-2840-2013</t>
  </si>
  <si>
    <t>10.1016/j.jelechem.2004.03.011</t>
  </si>
  <si>
    <t>WOS:000222650800014</t>
  </si>
  <si>
    <t>Günther, B; Morgado, E</t>
  </si>
  <si>
    <t>An invariant number of the respiratory system of mammals:: newborn and adult</t>
  </si>
  <si>
    <t>From four empirical allometric equations concerning the dynamics of the respiratory functions of mammals, it has been possible to obtain an invariant and dimensionless number after applying Buckingham's pi-theorem. In the present study, this invariant number (INR), whose origin was interspecies comparisons in mammals of different sizes, was assayed with the aim to compare in a quantitative manner the possible difference between newborn and adult mammals. The results were compared with the predicted values from two theories of biological similarity, one mass-dependent, valid for newborns, and the other, weight-dependent, valid for adult mammals. Finally, we utilized Stahl's residual mass exponents (RME) to test the validity of the empirical and theoretical approaches. (C) 2002 Elsevier Science B.V. All rights reserved.</t>
  </si>
  <si>
    <t>PII S1569-9048(02)00009-9</t>
  </si>
  <si>
    <t>10.1016/S0034-5687(02)00009-9</t>
  </si>
  <si>
    <t>WOS:000176825600010</t>
  </si>
  <si>
    <t>Moroni, AM; Benavides, A; Retamal, Y</t>
  </si>
  <si>
    <t>Macroglossia as the presenting symptom of amyloidosis</t>
  </si>
  <si>
    <t>Amyloidosis is a rare disease characterized by the pathological deposit of extracellular proteins in organs or tissues. We report a 78 years old female with a history of euthyroid goiter and carpal. syndrome, that presented complaining of weight loss and the sensation of a big and rough tongue. On Physical examination, macroglossia and white nodules of 1.5 cm diameter in the mucosa of the mouth, were observed. The pathological examination of these nodules disclosed amyloid infiltration. A bone marrow biopsy showed plasma cell infiltration. The patient was treated with melphalan and prednisone, but she deteriorated progressively and died 14 months after the diagnosis. (Rev Med Chile 2002; 130: 215-8).</t>
  </si>
  <si>
    <t>WOS:000174730500012</t>
  </si>
  <si>
    <t>Aros, R; Troncoso, R; Zanelli, J</t>
  </si>
  <si>
    <t>Black holes with topologically nontrivial AdS asymptotics</t>
  </si>
  <si>
    <t>Asymptotically locally AdS black hole geometries of dimension d greater than or equal to3 are studied for nontrivial topologies of the transverse section. These geometries are static solutions of a set of theories labeled by an integer k is an element of {1,2,...,[(d-1)/2]} which possess a unique globally AdS vacuum. The transverse sections of these solutions are d-2 surfaces of constant curvature gamma, normalized to gamma=+/-1,0 allowing for different topological configurations. The thermodynamic analysis of these solutions reveals that the presence of a negative cosmological constant is essential to ensure the existence of stable equilibrium states. In addition, it is shown that these theories are holographically related to [(d-1)/2] different conformal field theories at the boundary.</t>
  </si>
  <si>
    <t>Troncoso, Ricardo/H-5051-2013</t>
  </si>
  <si>
    <t>Troncoso, Ricardo/0000-0003-3659-1140; Aros, Rod/0000-0001-5337-1153</t>
  </si>
  <si>
    <t>10.1103/PhysRevD.63.084015</t>
  </si>
  <si>
    <t>WOS:000168203400044</t>
  </si>
  <si>
    <t>Pardey, AJ; FernandezFernández, M; Alvarez, J; Urbina, C; Moronta, D; Leon, V; Longo, C; Baricelli, PJ; Moya, SA</t>
  </si>
  <si>
    <t>The reduction of nitrobenzene as catalyzed by poly(4-vinylpyridine)-immobilized [Rh(COD)(amine)2](PF6) complexes under WGSR conditions</t>
  </si>
  <si>
    <t>Catalysts for the selective reduction of nitrobenzene to aniline prepared from poly(4-vinylpyridine) (P(4-VP))-immobilized [Rh(COD)(amine)(2)](PF6)(COD=1,5-cyclooctadiene, amine =4-picoline, 3-picoline, 2-picoline, pyridine, 3,5-lutidine or 2,6-lutidine) complexes in contact with 80% aqueous 2-ethoxyethanol, 1x10(-4) mol Rh/0.5 g of polymer, 0.9 atm of CO pressure at 100 degreesC under water-gas shift reaction conditions (WGSR, CO+H2O CO2+H-2) are described. Aniline production (milimole/3 h) depends on the nature of the amine and decreases in the following order: 2-picoline (0.65)&gt;4-picoline (0.59)greater than or equal to 3-picoline (0.56)&gt;pyridine (0.49)&gt;3,5-lutidine (0.38)&gt;2,6-lutidine (0.34). The immobilized [Rh(COD)(2-picoline)21 (PF6) complex was found to be reusable as a catalyst for the title reaction. The Rh/2-picoline complex was immobilized to the pyridine groups of the organic polymer as supported by Fourier transform infrared (FT-IR), electron paramagnetic resonance (EPR), X-ray photoelectron spectroscopy (XPS), UV/Vis/diffuse reflectance (DR) spectroscopies, and scanning electron microscopy (SEM) studies. (C) 2000 Elsevier Science B.V. All rights reserved.</t>
  </si>
  <si>
    <t>Fernández Fernández, Martín/AEE-2044-2022</t>
  </si>
  <si>
    <t>1873-314X</t>
  </si>
  <si>
    <t>10.1016/S1381-1169(00)00264-8</t>
  </si>
  <si>
    <t>WOS:000166078400025</t>
  </si>
  <si>
    <t>Labbe, R; Pinton, JF</t>
  </si>
  <si>
    <t>Propagation of sound through a turbulent vortex</t>
  </si>
  <si>
    <t>We report an experimental study of sound propagation in the bulk of a homogeneous flow made of a single intense vortex in air. By using an adaptive-coherent average technique, the mean amplitude and phase of the distorted wave fronts are reconstructed. A large phase shift is observed on the wave fronts on either side of the shadow region behind the vortex. The shape of the averaged amplitude, as a function of space coordinates, shows that caustics are also formed in the acoustic field. In a nonstationary flow, these effects make it possible to monitor the vortex strength and position.</t>
  </si>
  <si>
    <t>Labbe, Raul/C-4581-2008</t>
  </si>
  <si>
    <t>Labbe, Raul/0000-0003-4233-8387</t>
  </si>
  <si>
    <t>AUG 17</t>
  </si>
  <si>
    <t>10.1103/PhysRevLett.81.1413</t>
  </si>
  <si>
    <t>WOS:000075398100016</t>
  </si>
  <si>
    <t>Núñez, E; Vidal, J; Chávez, M; Bordeu, E; Osorio, F; Vargas, S; Hormazábal, E; Brossard, N</t>
  </si>
  <si>
    <t>Nunez, Emerson; Vidal, Josefina; Chavez, Matias; Bordeu, Edmundo; Osorio, Fernando; Vargas, Sebastian; Hormazabal, Elba; Brossard, Natalia</t>
  </si>
  <si>
    <t>Effect of Mannoprotein-Producing Yeast on Viscosity and Mouthfeel of Red Wine</t>
  </si>
  <si>
    <t>FOODS</t>
  </si>
  <si>
    <t>Mannoproteins enhance wine stability and sensory properties, but their specific role in modulating viscosity and mouthfeel across wine quality levels remains underexplored. This study explores the nuanced impact of various mannoprotein-producing yeast strains on specific mouthfeel sensations, particularly emphasizing viscosity, across Standard and Premium quality tiers of Cabernet Sauvignon commercial wines. The aim was to understand the intricate relationship between yeast-derived mannoproteins and the broader sensory landscape of red wines. The methodology encompasses a comprehensive mannose extraction method, rheological measurements, and sensory Rate-All-That-Apply evaluations, all of which are integrated into a Principal Component Analysis. The results showed slight color variations due to the wine spending one month on lees. A positive correlation was found between mannose content and viscosity in only Standard-quality wines. The correlation with sensory data indicated a strong relationship between volume, viscosity, and mannose content in Premium-quality wines, which was less pronounced in Standard-quality wines. Furthermore, parameters related to mouthfeel quality, such as roundness and smoothness, were also associated with these findings. Prospects involve further exploration of correlations between mouthfeel sensations, sensory descriptors, and the structural characteristics of mannoproteins, aiming for a more comprehensive understanding of the intricate interplay in wine composition.</t>
  </si>
  <si>
    <t>osorio, fernando/0000-0001-7206-0924; Brossard, Natalia/0000-0001-7444-8869; Vargas Soto, Sebastian/0000-0001-8450-1731</t>
  </si>
  <si>
    <t>2304-8158</t>
  </si>
  <si>
    <t>10.3390/foods14030462</t>
  </si>
  <si>
    <t>WOS:001418544100001</t>
  </si>
  <si>
    <t>Tovar-Perez, P; Smith, G; Chiroboga, MA; Gaston-Panthaki, A; Castillo, A; Fernández, AM; Childers, JB</t>
  </si>
  <si>
    <t>Tovar-Perez, Priscilla; Smith, Gemma; Chiroboga, Maria Alarcon; Gaston-Panthaki, Aria; Castillo, Anelene; Fernandez, Ana Maria; Childers, Jane B.</t>
  </si>
  <si>
    <t>How Often Do Verbs Co-occur with Relevant Events? Examining Parent and Toddler Speech in Latin America and the US</t>
  </si>
  <si>
    <t>JOURNAL OF COGNITION AND DEVELOPMENT</t>
  </si>
  <si>
    <t>A basic cognitive ability is the ability to detect patterns in the environment. A key pattern that could be useful in verb learning concerns correspondences between verbs and events. No prior study of verb + event links has included older toddlers or children learning a language other than English. We observed mother-child dyads across two languages/cultures, to ask: how often do young children hear verbs while seeing relevant events in everyday life? In Study 1, monolingual Spanish-speaking dyads (n = 12, 19-36 months old) in Santiago, Chile and Guatemala City, Guatemala were videotaped in their homes in two 45-60-min sessions. Samples were transcribed by fluent Spanish speakers and coded for verbs with referents that could be seen (e.g., forms of pintar/to paint). For these action verbs, coders then identified whether a relevant event was present; proportions computed to adjust for different amounts of talk. Children produced verbs with events 30% of the time (ave. prop. verb = .30, SE = .09); parents' rate was 20% (ave. prop. verb = .20, SE = .05) for a combined rate of 50%. In Study 2, the same procedure was repeated with an English-speaking sample in Austin, Texas (n = 12, 23-36 months old), and similar rates of verb-event co-occurrences in the children's and parents' speech were found. Specific verbs spoken by children and parents are reported. In sum, across two languages/cultures, action verbs co-occurred with referents approximately 50% of the time, and many co-occurrences fit the child's actions. These findings are important to inform new empirical studies and guide current verb theories.</t>
  </si>
  <si>
    <t>Urpí-Fernández, Ana-María/AAF-7098-2019</t>
  </si>
  <si>
    <t>Childers, Jane/0000-0002-9934-9987</t>
  </si>
  <si>
    <t>1524-8372</t>
  </si>
  <si>
    <t>1532-7647</t>
  </si>
  <si>
    <t>10.1080/15248372.2024.2418628</t>
  </si>
  <si>
    <t>WOS:001353183100001</t>
  </si>
  <si>
    <t>Paredes-Toledo, J; Herrera, J; Morales, J; Robert, P; Oyarzun-Ampuero, F; Giménez, B</t>
  </si>
  <si>
    <t>Paredes-Toledo, Javier; Herrera, Javier; Morales, Javier; Robert, Paz; Oyarzun-Ampuero, Felipe; Gimenez, Begona</t>
  </si>
  <si>
    <t>Bioaccessibility of chlorogenic acid and curcumin co-encapsulated in double emulsions with the inner interface stabilized by functionalized silica nanoparticles</t>
  </si>
  <si>
    <t>The aim of this study was to evaluate the bioaccessibility of chlorogenic acid (CA) and curcumin co-encapsulated in Pickering double emulsions (DEs) with the inner interface stabilized by hydrophobically modified silica nanoparticles with myristic acid (SNPs-C14) or tocopherol succinate (SNPs-TS). Both SNPs-C14 and SNPs-TS showed contact angles &gt; 90 degrees. Pickering W-1/O emulsions were formulated with 4 % of both types of SNPs. Pickering DEs showed higher creaming stability (5-7 %, day 42) and higher CA encapsulation efficiency (EE; 80 %) than control DE. The EE of curcumin was &gt; 98 % in all the DEs. CA was steadily released from Pickering DEs during digestion, achieving bioaccessibility values of 58-60 %. Curcumin was released during the intestinal phase (similar to 80 % bioaccessibility in all DEs). Co-loaded DEs showed similar bioaccessibility for CA and curcumin than single-loaded. SNPs-C14 and SNPs-TS were suitable to stabilize the W-1:O interface of DEs as co-delivery systems of bioactive compounds with health-promoting properties.</t>
  </si>
  <si>
    <t>Paredes-Toledo, Javier/0000-0003-1354-2434</t>
  </si>
  <si>
    <t>10.1016/j.foodchem.2024.138828</t>
  </si>
  <si>
    <t>FEB 2024</t>
  </si>
  <si>
    <t>WOS:001196098100001</t>
  </si>
  <si>
    <t>d'Alençon, PA; Ortiz, DM</t>
  </si>
  <si>
    <t>d'Alencon, Paola Alfaro; Ortiz, Diego Moya</t>
  </si>
  <si>
    <t>Focusing on Actors, Scaling-Up, and Networks to Understand Co-Production Practices: Reporting From Berlin and Santiago</t>
  </si>
  <si>
    <t>URBAN PLANNING</t>
  </si>
  <si>
    <t>In different policy agendas, such as the New Urban Agenda and the Sustainable Development Goals, co -production is introduced as a desirable urban planning practice to validate the engagement and inclusion of diverse actors/networks. Nevertheless, some scholars argue (e.g., Watson, Robinson) that the Western planning approach faces difficulties incorporating rationalities beyond the Global North-South division. In this context based on the research project DFG-KOPRO Int for the German Research Foundation on Chilean and German cases and the local context, this article seeks to explore how local groups are undertaking co -production, which means of legitimacy are used, and which socio-spatial results develop. In doing so, the research focuses firstly on the negotiation processes (governance) between stakeholders by undertaking network analysis and, secondly, on understanding the impulse for urban development by analysing the project's socio-spatial material patterns. Chile's neoliberal context and the case studies showcase diverse cooperative forms that try to close governance gaps within strong political struggles. In the German context, actors from different areas, such as cultural institutions, universities, and private actors undertake diverse mandates for testing regulatory, persuasive, or financial instruments. As different as local realities are, the overall results show that co -production occurs mostly in highly contested fields such as housing projects and highlights a three-part constellation of actors-state, private, and civil society-in urban development. However, negotiation processes take place, ranging from conflictive to cooperative. Hence, co -production challenges prevailing social and political structures by providing an arena for new forms of collective and pluralistic governance.</t>
  </si>
  <si>
    <t>2183-7635</t>
  </si>
  <si>
    <t>10.17645/up.7297</t>
  </si>
  <si>
    <t>WOS:001194358600008</t>
  </si>
  <si>
    <t>Cofré-Toledo, J; Roa-Cossio, D; Vasco, DA; Cabeza, LF; Rouault, F</t>
  </si>
  <si>
    <t>Cofre-Toledo, Jonathan; Roa-Cossio, Diego; Vasco, Diego A.; Cabeza, Luisa F.; Rouault, Fabien</t>
  </si>
  <si>
    <t>Numerical simulation of the melting and solidification processes of two organic phase change materials in spherical enclosures for cold thermal energy storage applications</t>
  </si>
  <si>
    <t>The encapsulation of phase change materials (PCMs) is a convenient alternative for latent heat thermal energy storage systems (LHTESSs) because of the excellent relationship between their storage volume and the heat transfer surface. The goal is to establish a unified heat transfer behavior of encapsulated PCM. Computational fluid dynamics (CFD) numerical simulations are performed with ANSYS/Fluent of the melting and solidification processes of the commercial organic PCMs RT5HC and RT10HC. The numerical study involve a parametric study of the sphere diameter (40, 60, and 80 mm), thermal gradient (difference between wall temperature and phase change temperature) for melting (1-5 ?), and thermal gradient for solidification (1-3 ?). The numerical simulations implemented the experimentally obtained and temperature-dependent thermophysical properties of thermal conductivity (k), phase change enthalpy (L), specific heat (c(p)), and viscosity (mu) of the PCMs. The computational simulations allowed us to determine the behavior of the heat transfer coefficient (h) as a function of the liquid fraction (phi) and solid fraction (phi(so)) of the PCM. Furthermore, nonlinear regression adjustments to the Nusselt number (Nu) curves allowed the fitting of power-law curves with suitable correlation parameters. Finally, the coefficients (a, b, and c) of the proposed fitting power-law curves were plotted and adjusted via linear regression through the origin as a function of the dimensionless numbers of Archimedes (Ar), Stefan (Ste), Grashof (Gr), Prandtl (Pr), and dimensionless thermal conductivity (kappa), unifying the behavior of the melting and solidification processes through two correlations of the Nu number. These correlations will be helpful in the design of LHTESS tanks for their application in heat-pump-type air-conditioning systems in buildings.</t>
  </si>
  <si>
    <t>Vasco, Diego/Y-2934-2019; Cabeza, Luisa F./B-4587-2013; Rouault, Fabien/JBJ-7625-2023</t>
  </si>
  <si>
    <t>Cofre-Toledo, Jonathan/0000-0002-7961-1554; Vasco, Diego Andres/0000-0001-7456-4683</t>
  </si>
  <si>
    <t>10.1016/j.est.2022.104337</t>
  </si>
  <si>
    <t>WOS:000780337000001</t>
  </si>
  <si>
    <t>Foster, B; Verschueren, N; Knobloch, E; Gordillo, L</t>
  </si>
  <si>
    <t>Foster, Benjamin; Verschueren, Nicolas; Knobloch, Edgar; Gordillo, Leonardo</t>
  </si>
  <si>
    <t>Pressure-driven wrinkling of soft inner-lined tubes</t>
  </si>
  <si>
    <t>NEW JOURNAL OF PHYSICS</t>
  </si>
  <si>
    <t>A simple equation modelling an inextensible elastic lining of an inner-lined tube subject to an imposed pressure difference is derived from a consideration of the idealised elastic properties of the lining and the pressure and soft-substrate forces. Two cases are considered in detail, one with prominent wrinkling and a second one in which wrinkling is absent and only buckling remains. Bifurcation diagrams are computed via numerical continuation for both cases. Wrinkling, buckling, folding, and mixed-mode solutions are found and organised according to system-response measures including tension, in-plane compression, maximum curvature and energy. Approximate wrinkle solutions are constructed using weakly nonlinear theory, in excellent agreement with numerics. Our approach explains how the wavelength of the wrinkles is selected as a function of the parameters in compressed wrinkling systems and shows how localised folds and mixed-mode states form in secondary bifurcations from wrinkled states. Our model aims to capture the wrinkling response of arterial endothelium to blood pressure changes but applies much more broadly.</t>
  </si>
  <si>
    <t>Verschueren van Rees, Nicolas/ABG-1077-2021; Foster, Ben/KQU-2001-2024; GORDILLO, Leonardo/I-8215-2014</t>
  </si>
  <si>
    <t>Foster, Benjamin/0000-0002-0894-9953; GORDILLO, Leonardo/0000-0002-9516-1346; Verschueren van Rees, Nicolas/0000-0002-1086-4625</t>
  </si>
  <si>
    <t>1367-2630</t>
  </si>
  <si>
    <t>10.1088/1367-2630/ac45cd</t>
  </si>
  <si>
    <t>WOS:000742190000001</t>
  </si>
  <si>
    <t>Garreton, M; Espinoza, V; Cantillan, R</t>
  </si>
  <si>
    <t>Garreton, Matias; Espinoza, Vicente; Cantillan, Roberto</t>
  </si>
  <si>
    <t>Social capital in the urban context: Diversity and social contacts in Chilean cities</t>
  </si>
  <si>
    <t>JOURNAL OF URBAN AFFAIRS</t>
  </si>
  <si>
    <t>This study examines the relationship between social capital and neighborhood diversity in Chilean cities. We propose that differences exist between hierarchical forms of diversity, which might erode social trust, and cultural differences that might foster new social links in heterogeneous communities. In Chile, strong material inequalities represent the main form of hierarchical differentiation, while south-to-south immigrants convey qualitative differences based on race, ethnic origin, or cultural practices. In contrast to most Western industrialized countries, where material and ethnic differences tend to converge, they appear to be uncoupled in Chile, explaining the presence of immigrants at different levels of the social hierarchy. We analyze original data from a Latin American country with high domestic inequality. Multilevel models nested at the city level reveal that social capital is negatively correlated with socioeconomic diversity, but positively correlated with immigrant diversity, suggesting that uncoupling these differences has a positive effect on social capital development.</t>
  </si>
  <si>
    <t>Garreton, Matias/LLL-0135-2024; Espinoza, Vicente/EAY-3744-2022</t>
  </si>
  <si>
    <t>Espinoza, Vicente/0000-0002-2943-4430; Garreton, Matias/0000-0002-1076-2194</t>
  </si>
  <si>
    <t>0735-2166</t>
  </si>
  <si>
    <t>1467-9906</t>
  </si>
  <si>
    <t>OCT 21</t>
  </si>
  <si>
    <t>10.1080/07352166.2021.1974302</t>
  </si>
  <si>
    <t>WOS:000707124500001</t>
  </si>
  <si>
    <t>Cornejo, FAO; Barrientos, RMG; Muñoz, CB</t>
  </si>
  <si>
    <t>Otarola Cornejo, Fabiola Andrea; Gutierrez Barrientos, Rosa Maria; Bertini Munoz, Claudia</t>
  </si>
  <si>
    <t>Ideational metafunction in chilean sign language: Lexical verb forms as processes</t>
  </si>
  <si>
    <t>Y In this study, part of the Fondecyt research project No 3180640, we explore the realization of the Ideational Metafunction in Chilean Sign Language (LSCh). The conceptualization of the semantics of ideation is based on the theoretical framework of Systemic Functional Grammar (SFG) and, therefore, its inductive and descriptive approach is adopted to explore the relation between the verbal forms in LSCh and their semantic function. Our corpus is formed by visual-spatial clauses from 42 narratives produced by 14 Deaf signers with 7 or more years of immersion in LSCh and with ages ranging from 9 to 16 years old. The elicitation task was a semi-structured interview conducted by a deaf interviewer. A research team composed by deaf and hearing researchers analyzed the corpus using ELAN, a software enabling the display and code-annotation of a visual corpus. In this article, we present 12 cases, selected upon the crossing of semantic categories (material, behavioral, mental and verbal) and traditional verb categories in Sign Languages (plain, directional and spatial). As a result, it was observed that lexicogrammatical models construe the verbal idea using a variety of resources (verb forms, role-shifting and classifier constructions), which differ in the use of space, a key linguistic resource for Sign Languages. These preliminary results can enrich the analysis methods for LSCh and deepen our understanding of this language, especially its grammar, which is a current necessity for developing educational programs for deaf students.</t>
  </si>
  <si>
    <t>10.4067/s0071-17132020000100169</t>
  </si>
  <si>
    <t>WOS:000572536500010</t>
  </si>
  <si>
    <t>Rodríguez, FE; Laporte, D; González, A; Mendez, KN; Castro-Nallar, E; Meneses, C; Huidobro-Toro, JP; Moenne, A</t>
  </si>
  <si>
    <t>Rodriguez, Felipe E.; Laporte, Daniel; Gonzalez, Alberto; Mendez, Katterinne N.; Castro-Nallar, Eduardo; Meneses, Claudio; Pablo Huidobro-Toro, Juan; Moenne, Alejandra</t>
  </si>
  <si>
    <t>Copper-induced increased expression of genes involved in photosynthesis, carotenoid synthesis and C assimilation in the marine alga Ulva compressa</t>
  </si>
  <si>
    <t>BMC GENOMICS</t>
  </si>
  <si>
    <t>BackgroundThe marine alga Ulva compressa is the dominant species in coastal areas receiving effluents from copper mines. The alga can accumulate high amounts of copper and possesses a strong antioxidant system. Here, we performed short-term transcriptomic analyses using total RNA of the alga cultivated with 10M of copper for 0, 3, 6, 12 and 24h by RNA-seq.ResultsDe novo transcriptomes were assembled using the Trinity software, putative proteins were annotated and classified using Blast2GO. Differentially expressed transcripts were identified using edgeR. Transcript levels were compared by paired times 0 vs 3, 0 vs 6, 0 vs 12 and 0 vs 24h at an FDR&lt;0.01 and Log2 Fold Change &gt;2. Up-regulated transcripts encode proteins belonging to photosystem II (PSII), Light Harvesting II Complex (LHCII), PSI and LHCI, proteins involved in assembly and repair of PSII, and assembly and protection of PSI. In addition, transcripts encoding enzymes leading to -carotene synthesis and enzymes belonging to the Calvin-Benson cycle were also increased. We further analyzed photosynthesis and carotenoid levels in the alga cultivated with 10M of copper for 0 to 24h. Photosynthesis was increased from 3 to 24h as well as the level of total carotenoids. The increase in transcripts encoding enzymes of the Calvin-Benson cycle suggests that C assimilation may also be increased.ConclusionsThus, U. compressa displays a short-term response to copper stress enhancing the expression of genes encoding proteins involved in photosynthesis, enzymes involved carotenoids synthesis, as well as those belonging to the Calvin-Benson cycle, which may result in an increase in C assimilation.</t>
  </si>
  <si>
    <t>González, Alberto/IYJ-8593-2023; Castro-Nallar, Eduardo/I-5925-2019</t>
  </si>
  <si>
    <t>Laporte, Daniel/0000-0003-0883-0917; Gonzalez Figueroa, Alberto/0000-0002-5777-9022; Mendez, Katterinne/0000-0001-9139-3708; Castro-Nallar, Eduardo/0000-0003-4384-8661; Rodriguez-Tirado, Felipe/0000-0002-6554-8187; Moenne, Alejandra/0000-0002-7309-9713; Meneses, Claudio/0000-0002-6452-8950</t>
  </si>
  <si>
    <t>1471-2164</t>
  </si>
  <si>
    <t>NOV 20</t>
  </si>
  <si>
    <t>10.1186/s12864-018-5226-4</t>
  </si>
  <si>
    <t>WOS:000450776700004</t>
  </si>
  <si>
    <t>Ortiz, JA; Matsuhiro, B; Zapata, PA; Corrales, T; Catalina, F</t>
  </si>
  <si>
    <t>Andres Ortiz, J.; Matsuhiro, Betty; Zapata, Paula A.; Corrales, Teresa; Catalina, Fernando</t>
  </si>
  <si>
    <t>Preparation and characterization of maleoylagarose/PNIPAAm graft copolymers and formation of polyelectrolyte complexes with chitosan</t>
  </si>
  <si>
    <t>A water soluble derivative in 98% yield with 23.1% incorporation of maleoyl groups was obtained by esterification of agarose with maleic anhydride. Graft copolymers were synthesized through vinyl groups of maleoylagarose with N-isopropylacrylamide using ceric ammonium nitrate or ammonium persulfate as initiator, by conventional method or microwave irradiation. High nitrogen content (4.6%) was obtained in the grafting process using ceric ammonium nitrate as initiator without microwave irradiation. Copolymers were characterized by FT-IR and NMR spectroscopies, TGA, DSC and morphological analysis by AFM and SEM microscopy, confirming the grafting of PNIPAAm onto polysaccharide backbone. Hydrogel films were obtained by ionic complexation between opposite charged groups of maleoylagarose-g-poly(N-isopropylacrylamide) and chitosan. The swelling of 1: 1 w/v maleoylagarose-g-PNIPAAm: chitosan film was higher than 2: 1 w/v film at 25 and 37 degrees C. 53% release in vitro of diclofenac sodium from 1: 1 w/v maleoylagarose-g-PNIPAAm: chitosan was obtained at 37 degrees C and pH 6.0 with&lt; 0.5 diffusional constant values.</t>
  </si>
  <si>
    <t>corrales, teresa/AAN-5978-2020; Ortiz, J. Andrés/R-4060-2019; Catalina, Fernando/AAF-2569-2019</t>
  </si>
  <si>
    <t>Ortiz, J. Andres/0000-0002-3142-9470; Zapata, Paula Andrea/0000-0003-3361-6226</t>
  </si>
  <si>
    <t>10.1016/j.carbpol.2017.11.012</t>
  </si>
  <si>
    <t>WOS:000418661800011</t>
  </si>
  <si>
    <t>Guelman, N; Rivas, C</t>
  </si>
  <si>
    <t>Guelman, Nancy; Rivas, Cristobal</t>
  </si>
  <si>
    <t>Quasi-invariant measures for some amenable groups acting on the line</t>
  </si>
  <si>
    <t>ALGEBRAIC AND GEOMETRIC TOPOLOGY</t>
  </si>
  <si>
    <t>We show that if G is a solvable group acting on the line and if there is T is an element of G having no fixed points, then there is a Radon measure mu on the line quasi-invariant under G. In fact, our method allows for the same conclusion for G inside a class of groups that is closed under extensions and contains all solvable groups and all groups of subexponential growth.</t>
  </si>
  <si>
    <t>Rivas, Cristobal/0000-0003-4021-2705; Guelman, Nancy/0000-0002-9613-3179</t>
  </si>
  <si>
    <t>1472-2739</t>
  </si>
  <si>
    <t>10.2140/agt.2018.18.1067</t>
  </si>
  <si>
    <t>WOS:000432962600014</t>
  </si>
  <si>
    <t>Rojas, CG; Baumert, T</t>
  </si>
  <si>
    <t>Beltramin, JB</t>
  </si>
  <si>
    <t>Gutierrez Rojas, Cristian; Baumert, Thomas</t>
  </si>
  <si>
    <t>Smith, Schumpeter and the study of innovation systems</t>
  </si>
  <si>
    <t>TECNOLOGIA Y SOCIETY: UNA MIRADA MULTIDISCIPLINARIA, VOL 1</t>
  </si>
  <si>
    <t>This chapter analyzes the concept of Systems of Innovation from the perspective of two of the most influential economists in the history of capitalism: Adam Smith and Joseph Schumpeter. While the Smithian vision provides the vision that innovation reflects the process of division of labor in the field of innovation with the corresponding participation of a broad set of interrelated agents and institutions, whose activities should generate synergies or save costs, the Schumpeterian vision understands the process of innovation as the result of creativity, genius and chance. This implies a profound revision of the concepts currently in use among the makers of scientific and technological policies, particularly about their efficiency as promoters and generators of new innovations in our economies.</t>
  </si>
  <si>
    <t>978-956-303-399-1</t>
  </si>
  <si>
    <t>WOS:000483366800004</t>
  </si>
  <si>
    <t>Vanegas, J; Vásquez, F</t>
  </si>
  <si>
    <t>Vanegas, Jairo; Vasquez, Fabian</t>
  </si>
  <si>
    <t>Multivariate Adaptive Regression Splines (MARS), an alternative for the analysis of time series</t>
  </si>
  <si>
    <t>GACETA SANITARIA</t>
  </si>
  <si>
    <t>Multivariate Adaptive Regression Splines (MARS) is a non-parametric modelling method that extends the linear model, incorporating nonlinearities and interactions between variables. It is a flexible tool that automates the construction of predictive models: selecting relevant variables, transforming the predictor variables, processing missing values and preventing overshooting using a self-test. It is also able to predict, taking into account structural factors that might influence the outcome variable, thereby generating hypothetical models. The end result could identify relevant cut-off points in data series. It is rarely used in health, so it is proposed as a tool for the evaluation of relevant public health indicators. For demonstrative purposes, data series regarding the mortality of children under 5 years of age in-Costa Rica were used, comprising the period 1978-2008. (C) 2016 SESPAS. Published by Elsevier Espana, S.L.U.</t>
  </si>
  <si>
    <t>Vasquez, Felipe/B-6987-2016; Vanegas, Jairo/AAK-4264-2020</t>
  </si>
  <si>
    <t>Vanegas Lopez, Jairo Javier/0000-0001-5281-483X</t>
  </si>
  <si>
    <t>0213-9111</t>
  </si>
  <si>
    <t>1578-1283</t>
  </si>
  <si>
    <t>10.1016/j.gaceta.2016.10.003</t>
  </si>
  <si>
    <t>WOS:000400322500010</t>
  </si>
  <si>
    <t>Ureta-Zañartu, MS; Mascayano, C; Gutiérrez, C</t>
  </si>
  <si>
    <t>Ureta-Zanartu, M. Soledad; Mascayano, Carolina; Gutierrez, Claudio</t>
  </si>
  <si>
    <t>On the dramatic increase with chain length of the oxidazability of linear saturated aliphatic alcohols on gold in alkaline media</t>
  </si>
  <si>
    <t>The electrooxidation of linear saturated aliphatic alcohols from C1 to C8 on gold in alkaline media has been studied by cyclic voltammetry and with an electrochemical quartz crystal microbalance. The current density of alcohol oxidation very markedly increased and, correspondingly, the onset potential decreased, with increasing chain length, that is, with initially slightly increasing, and then constant, pKa. We attribute this oxidazability increase with chain length to the increasing hydrophobicity of the alcohol. Effectively, a molecular dynamics simulation of the hydration of alcohols and alcoholates shows that the hydrophobicity of the alcohols increases with increasing chain length. The higher activity of gold for the oxidation of organic, and also inorganic (CO), compounds in alkaline media is well known, and should be due to an activation of the gold surface by OH adsorption, and not to a change of the compounds themselves, the (majority) neutral alcohol being the oxidized species both in acid and alkaline media. At the potentials at which 1-heptanol oxidation starts, the mass in both base electrolyte and in 1-heptanol is at a minimum, or nearly so, which shows that water is driven away from the surface of gold prior to the oxidation of both gold and 1-heptanol. (C) 2015 Elsevier Ltd. All rights reserved.</t>
  </si>
  <si>
    <t>Ureta-Zañartu, Maria/G-5239-2019</t>
  </si>
  <si>
    <t>Mascayano Collado, Carolina Lorena/0000-0002-3488-9309</t>
  </si>
  <si>
    <t>MAY 20</t>
  </si>
  <si>
    <t>10.1016/j.electacta.2015.02.230</t>
  </si>
  <si>
    <t>WOS:000353499400033</t>
  </si>
  <si>
    <t>Bustos, O; Ordoñez, S; Colás, R</t>
  </si>
  <si>
    <t>Bustos, O.; Ordonez, S.; Colas, R.</t>
  </si>
  <si>
    <t>RHEOLOGICAL AND MICROSTRUCTURAL STUDY OF A356 ALLOY SOLIDIFIED UNDER MAGNETIC STIRRING</t>
  </si>
  <si>
    <t>INTERNATIONAL JOURNAL OF METALCASTING</t>
  </si>
  <si>
    <t>Results on the rheological behavior of an A356 alloy compressed between parallel plates in the semisolid state are presented in this work. The tests were performed on cylindrical specimens machined from billets cast while being subjected to a rotating permanent magnetic field. These samples did not exhibit the conventional microstructure of dendrites, and were tested with different solid fractions. The tests were performed either at a constant load or at a constant displacement rate. A power law equation was derived to describe the rheological behavior of the material when tested at constant load, however, it was not possible to establish a mathematical relationship to describe the flow on the semisolid material when the tests were made at constant displacement rate. It can be concluded from these results that the theological behavior of the alloy is affected by the morphology of the phases present in the microstructure, in such a way that a globular microstructure, with a shape factor near the unit, behaves as a fluid while deformed in the semisolid state, a behavior that is not witnessed in an as-cast dendritic microstructure.</t>
  </si>
  <si>
    <t>Colas, Rafael/0000-0001-6017-7244</t>
  </si>
  <si>
    <t>1939-5981</t>
  </si>
  <si>
    <t>2163-3193</t>
  </si>
  <si>
    <t>10.1007/BF03355542</t>
  </si>
  <si>
    <t>WOS:000314076400004</t>
  </si>
  <si>
    <t>Potgieter, CA; Castillo, A; Castro, M; Cottet, L; Morales, A</t>
  </si>
  <si>
    <t>Potgieter, Christiaan A.; Castillo, Antonio; Castro, Miguel; Cottet, Luis; Morales, Angelica</t>
  </si>
  <si>
    <t>A wild-type Botrytis cinerea strain co-infected by double-stranded RNA mycoviruses presents hypovirulence-associated traits</t>
  </si>
  <si>
    <t>VIROLOGY JOURNAL</t>
  </si>
  <si>
    <t>Background: Botrytis cinerea CCg378 is a wild-type strain infected with two types of double-stranded RNA (dsRNA) mycoviruses and which presents hypovirulence-associated traits. The objectives of the present study were to characterize the mycoviruses and investigate their relationship with the low virulence degree of the fungal host. Results: B. cinerea CCg378 contains five dsRNA molecules that are associated with two different types of isometric viral particles of 32 and 23 nm in diameter, formed by structural polypeptides of 70-kDa and 48-kDa, respectively. The transfection of spheroplasts of a virus-free strain, B. cinerea CKg54, with viral particles purified from the CCg378 strain revealed that the 2.2-kbp dsRNAs have no dependency on the smaller molecules for its stable maintenance in the fungal cytoplasm, because a fungal clone that only contains the 2.2-kbp dsRNAs associated with the 32-nm particles was obtained, which we named B. cinerea CKg54vi378. One of the 2.2 kbpdsRNA segments (2219 bp) was sequenced and corresponds to the gene encoding the capsid protein of B. cinerea CCg378 virus 1 (Bc378V1), a putative new member of the Partitiviridae family. Furthermore, physiological parameters related to the degree of virulence of the fungus, such as the sporulation rate and laccase activity, were lower in B. cinerea CCg378 and B. cinerea CKg54vi378 than in B. cinerea CKg54. Additionally, bioassays performed on grapevine leaves showed that the CCg378 and CKg54vi378 strains presented a lower degree of invasiveness on the plant tissue than the CKg54 strain. Conclusions: The results show that B. cinerea CCg378 is coinfected by two mycoviruses and that the 2.2-kbp dsRNAs correspond to the 32-nm mycovirus genome, which would be a new member of the Partitiviridae family as it has the typical pattern of partitiviruses. On the other hand, the results suggest that the hypovirulence of B. cinerea CCg378 could be conferred by both mycoviruses, since the fungal clone B. cinerea CKg54vi378 presents an intermediate virulence between the CKg54 and CCg378 strains. Therefore, the putative partitivirus would be partially contributing to the hypovirulence phenotype of the CCg378 strain.</t>
  </si>
  <si>
    <t>Castillo, Antonio/AAE-6832-2020</t>
  </si>
  <si>
    <t>Castillo, Antonio/0000-0003-0639-6045</t>
  </si>
  <si>
    <t>1743-422X</t>
  </si>
  <si>
    <t>JUL 2</t>
  </si>
  <si>
    <t>10.1186/1743-422X-10-220</t>
  </si>
  <si>
    <t>WOS:000321341800001</t>
  </si>
  <si>
    <t>Bobadilla, F; Rodriguez-Tirado, C; Imarai, M; Galotto, MJ; Andersson, R</t>
  </si>
  <si>
    <t>Bobadilla, Francisca; Rodriguez-Tirado, Carolina; Imarai, Monica; Jose Galotto, Maria; Andersson, Roger</t>
  </si>
  <si>
    <t>Soluble β-1,3/1,6-glucan in seaweed from the southern hemisphere and its immunomodulatory effect</t>
  </si>
  <si>
    <t>Five types of macroalgae from the southern hemisphere were analysed for the presence of beta-1,3/1,6-glucan and its immunostimulant properties. We were able to extract soluble beta-1,3/1,6-D-glucan from Durvillaea antarctica (Chamisso) Harlot (DA). The morphology of the brown algae influenced extraction, and the highest percentage of beta-glucan was found in the fronds. The content of beta-glucan in the stipes and holdfast was on average 33% and &lt;5%, respectively, of that in the fronds. A simple laboratory extraction process was developed. A highly pure water-soluble polysaccharide, mainly composed of glucose residues, was obtained with a dominant average molecular weight of 6.9 kDa. NMR spectroscopy confirmed the polysaccharide structure to be of beta-1,3/1,6-glucan type, comprising a beta-1,3-glucan backbone and 21% degree of branching of beta-1,6-glucan side chains. Mouse cells were exposed to four DA extract concentrations in water (50, 100, 250 and 500 mu g/mL) and no adverse effects on survival were noted. Remarkably, the beta-glucan induced a 16.9% increase in activated CD19+ B lymphocytes compared with the control sample. The optimal concentration for maximum activity was 100 mu g DA extract/mL. (C) 2012 Elsevier Ltd. All rights reserved.</t>
  </si>
  <si>
    <t>Rodriguez Tirado, Carolina/GRF-6133-2022; Andersson, Roger/L-7914-2015</t>
  </si>
  <si>
    <t>Rodriguez-Tirado, Carolina/0000-0002-3853-7909; Imarai, Monica/0000-0001-8767-9180; Andersson, Roger/0000-0001-8763-832X</t>
  </si>
  <si>
    <t>10.1016/j.carbpol.2012.09.071</t>
  </si>
  <si>
    <t>WOS:000313146900033</t>
  </si>
  <si>
    <t>Espinoza, C; Palma, P; Soto, D; Rozas, V; Ramirez, A; Gonzalez, M</t>
  </si>
  <si>
    <t>Espinoza S, Christian; Palma, Pedro, V; Soto, Diego, V; Rozas A, Vania; Ramirez N, Alfredo; Gonzalez T, Miguel</t>
  </si>
  <si>
    <t>Cardiac hydatidosis. Report of one case</t>
  </si>
  <si>
    <t>Cardiac hydatidosis. Report of one case Hydatidosis is an endemic zoonosis in Chile. We report a 48-year-old former slaughterman, with a previous history of pulmonary hydatidosis, who presented a stroke without associated cardiovascular symptoms. An echocardiogram revealed a tumor mass with cystic features in the left ventricle. The patient was operated and the cyst was successfully excised. During the follow up, the patient remains asymptomatic. (Rev Med Chile 2012; 140: 1449-1452).</t>
  </si>
  <si>
    <t>10.4067/S0034-98872012001100011</t>
  </si>
  <si>
    <t>WOS:000312626000011</t>
  </si>
  <si>
    <t>Experimental study of drop impacts and spreading on epicarps: Effect of fluid properties</t>
  </si>
  <si>
    <t>JOURNAL OF FOOD ENGINEERING</t>
  </si>
  <si>
    <t>The fluid mechanic of liquid drop impacts on solid food plays an important role in food engineering, e.g. when a spray technology is used to apply a coating. In the present work, drop impact behavior on banana and purple cabbage epicarps using high speed camera was studied. Drop velocity was controlled by modifying the height from which drop was ejected. Weber number varied from 100 to 800, whereas Reynolds number ranged from 1000 to 12,500. Liquid drop viscosity and surface tension effects on drop impact behavior were evaluated and temporal evolution of both spreading and flattening factors are presented. Results show that viscosity and epicarp surface properties had great influence on impact dynamics. For low viscosity liquid drops (water and Tween 20-water), the maximum spread factor, scaled with We(0.25+/-0.02), whereas for viscous fluid (water-glycerol mixture) it scaled with We(0.16+/-0.02). Finally, a new model was proposed to better fit the experimental data than the Roisman's and Scheller's models. (C) 2011 Elsevier Ltd. All rights reserved.</t>
  </si>
  <si>
    <t>skurtys, olivier/HNS-4835-2023; osorio, fernando/AAY-7304-2021; Andrade-Pizarro, Ricardo/H-4016-2017</t>
  </si>
  <si>
    <t>skurtys, olivier/0000-0003-1432-7242; osorio, fernando/0000-0001-7206-0924; Andrade-Pizarro, Ricardo/0000-0002-1673-0361</t>
  </si>
  <si>
    <t>0260-8774</t>
  </si>
  <si>
    <t>1873-5770</t>
  </si>
  <si>
    <t>10.1016/j.jfoodeng.2011.10.038</t>
  </si>
  <si>
    <t>WOS:000300199000012</t>
  </si>
  <si>
    <t>Chaná, P</t>
  </si>
  <si>
    <t>Chana, Pedro</t>
  </si>
  <si>
    <t>Patient empowerment: A new dimension in doctor-patient relationship</t>
  </si>
  <si>
    <t>WOS:000302927100020</t>
  </si>
  <si>
    <t>Fernández, R; Nardocci, G; Simon, F; Martin, A; Becerra, A; Rodríguez-Tirado, C; Maisey, KR; Acuña-Castillo, C; Cortes, PP</t>
  </si>
  <si>
    <t>Fernandez, Ricardo; Nardocci, Gino; Simon, Felipe; Martin, Aldo; Becerra, Alvaro; Rodriguez-Tirado, Carolina; Maisey, Kevin R.; Acuna-Castillo, Claudio; Cortes, Paula P.</t>
  </si>
  <si>
    <t>Lipopolysaccharide signaling in the carotid chemoreceptor pathway of rats with sepsis syndrome</t>
  </si>
  <si>
    <t>In addition to their role in cardiorespiratory regulation, carotid body (CB) chemoreceptors serve as sensors for inflammatory status and as a protective factor during sepsis. However, lipopolysaccharide-induced sepsis (LPS) reduces CB responsiveness to excitatory or depressant stimuli. We tested whether LPS exerts a direct effect on the carotid chemoreceptor pathway, the CB and its sensory ganglion. We determined that the rat CB and nodose-petrosal-jugular ganglion complex (NPJgc) express TLR4, TNF-alpha and its receptors (TNF-R1 and TNF-R2). LPS administration (15 mg/kg intraperitoneally) evoked MyD88-mechanism pathway activation in CB and NPJgc, with NF-kappa B p65, p38 MAPK, and ERK activation. Consistently, LPS increased TNF-alpha and TNF-R2. Double-labeling studies showed that the aforementioned pathway occurs in TH-containing glomus cells and NPJgc neurons, components of the chemosensitive neural pathway. Thus, our results suggest that LPS acting directly through TLR4/MyD88-mechanism pathways increases TNF-alpha and TNF-R2 expression in the carotid chemoreceptor pathway. These results show a novel afferent pathway to the central nervous system during endotoxemia, and could be relevant in understanding sepsis pathophysiology and therapy. (C) 2010 Elsevier B.V. All rights reserved.</t>
  </si>
  <si>
    <t>Rodriguez Tirado, Carolina/GRF-6133-2022; Maisey, Kevin/AAP-2886-2021; Nardocci, Gino/AAE-7793-2019; Acuña-Castillo, Claudio/AAI-7090-2021; Becerra, Alvaro/JAO-5119-2023; Fernandez, Ricardo/H-3422-2018</t>
  </si>
  <si>
    <t>Simon, Felipe/0000-0002-2653-9798; Maisey, Kevin/0000-0002-7423-6329; Fernandez, Ricardo/0000-0003-4493-9362; Becerra, Alvaro/0000-0001-8182-6135; Acuna-Castillo, Claudio/0000-0003-3607-6077; Rodriguez-Tirado, Carolina/0000-0002-3853-7909; Nardocci, Gino/0000-0002-2342-6480</t>
  </si>
  <si>
    <t>10.1016/j.resp.2010.12.014</t>
  </si>
  <si>
    <t>WOS:000287896900006</t>
  </si>
  <si>
    <t>Pereda, J; Monge, JI; Niimi, G</t>
  </si>
  <si>
    <t>Pereda, Jaime; Monge, Juan I.; Niimi, Gen</t>
  </si>
  <si>
    <t>Two Different Pathways for the Transport of Primitive and Definitive Blood Cells From the Yolk Sac to the Embryo in Humans</t>
  </si>
  <si>
    <t>MICROSCOPY RESEARCH AND TECHNIQUE</t>
  </si>
  <si>
    <t>During the early human embryonic period nutrients and blood cells are temporarily provided by the extraembryonic yolk sac (YS). The YS before week six is involved not only in primitive but also in definitive erythropoiesis. While the destiny of primitive erythroid cells that fill the blood vessels of the YS is well known, the final destination of erythrocytes present in the endodermal vesicular system is unknown. In the present study we have investigated, step by step, the destiny of the erythrocytes present in the endodermal vesicles during the embryonic period. Twelve human YSs and their corresponding yolk stalks were analyzed between weeks 4 and 7 of embryonic age by light and scanning electron microscopy. It is shown that erythrocytes (according to their size and morphological features) located within the endodermal vesicles of the IS wall are pulled out through endodermal pits into the YS cavity, from where they reach the lumen of the primitive gut of the embryo through the vitelline duct, a temporary pathway communicating both compartments. During the study period no erythrocytes were seen within the embryo's vascular network where only primitive erythroblasts were identified. Our results indicate that the vitelline duct plays an important transient role as a pathway for the transport of nutrients and blood cells between the IS and the embryo before week five of embryonic development that ends just at the time when YS-embryo circulation becomes established. Microsc. Res. Tech. 73:803-809, 2010. (C) 2010 Wiley-Liss, Inc.</t>
  </si>
  <si>
    <t>1059-910X</t>
  </si>
  <si>
    <t>10.1002/jemt.20823</t>
  </si>
  <si>
    <t>WOS:000280944600010</t>
  </si>
  <si>
    <t>López, CE; Romero, G; Retamal, JC</t>
  </si>
  <si>
    <t>Lopez, C. E.; Romero, G.; Retamal, J. C.</t>
  </si>
  <si>
    <t>Dynamics of entanglement transfer through multipartite dissipative systems</t>
  </si>
  <si>
    <t>We study the dynamics of entanglement transfer in a system composed of two initially correlated three-level atoms, each located in a cavity interacting with its own reservoir. Instead of tracing out reservoir modes to describe the dynamics using the master equation approach, we consider explicitly the dynamics of the reservoirs. In this situation, we show that the entanglement is completely transferred from atoms to reservoirs. Although the cavities mediate this entanglement transfer, we show that under certain conditions, no entanglement is found in cavities throughout the dynamics. Considering the entanglement dynamics of interacting and noninteracting bipartite subsystems, we found time windows where the entanglement can only flow through interacting subsystems, depending on the system parameters.</t>
  </si>
  <si>
    <t>López, Carlos/B-8456-2009; Retamal, Juan/G-6425-2010; Romero, Guillermo/C-8245-2009; Romero, Guillermo/C-8245-2009</t>
  </si>
  <si>
    <t>Romero, Guillermo/0000-0003-2917-7814; Retamal Abarzua, Juan Carlos/0000-0002-7174-7879; Romero, Guillermo/0000-0003-4366-4950</t>
  </si>
  <si>
    <t>JUN 14</t>
  </si>
  <si>
    <t>10.1103/PhysRevA.81.062114</t>
  </si>
  <si>
    <t>WOS:000278719000001</t>
  </si>
  <si>
    <t>Vidal, R; Meneses, I; Smith, M</t>
  </si>
  <si>
    <t>Vidal, Rodrigo; Meneses, Isabel; Smith, Macarena</t>
  </si>
  <si>
    <t>Phylogeography of the genus Spongites (Corallinales, Rhodophyta) from Chile</t>
  </si>
  <si>
    <t>Both the records and the descriptions of the crustose species of coralline algae on the southeastern coast of South America are from the early 1900s. Unlike other algae species on the coast of Chile, the biogeography and distribution of crustose corallines have not been studied despite their abundance. Through recent studies, it has been determined that the genus Spongites is the most conspicuous genus along the rocky intertidal of the Chilean coasts. It is also common to the entire coast of the Southern Hemisphere; however, the relationship between species and the possible reasons for their distribution is unknown. We used nuclear and mitochondrial genetic markers and SEM observations of morphological characters to examine Spongites samples from the Southern Hemisphere and to establish the phylogeographic relationships of Chilean Spongites with specimens from other southern coasts. The combination of these analyses revealed the following: (i) a monophyletic clade that represents the Chilean Spongites and (ii) a paraphyletic clade for South African, New Zealand, and Argentine samples. Consequently, we postulate two nonexclusive hypotheses regarding the relationship of Spongites species in the Southern Hemisphere: (i) a complex history of extinction, speciation, and recolonization that might have erased original Gondwanan split patterns, and (ii) an Antarctic Peninsula origin for the Chilean Spongites species.</t>
  </si>
  <si>
    <t>10.1111/j.1529-8817.2007.00431.x</t>
  </si>
  <si>
    <t>WOS:000252986000025</t>
  </si>
  <si>
    <t>Alvarez, C; Cerda, C; Jadue, A; Rojas, F; Abelleira, M; Hermansen, C; Gatica, F</t>
  </si>
  <si>
    <t>Alvarez Z, Carlos; Cerda C, Cesar; Jadue T, Andres; Rojas R, Francisco; Abelleira P, Millarai; Hermansen T, Carlos; Gatica J, Francisco</t>
  </si>
  <si>
    <t>Spontaneous retroperitoneal hematoma. Report of one case</t>
  </si>
  <si>
    <t>Spontaneous retroperitoneal hematoma is a rare condition. We report a 78 year-old man with progressive pain in his right thigh and bp lasting one week. The pain subsequently was associated with abdominal pain in the right lower quadrant. Physical examination revealed in to deep palpation of the area, associated with a diffuse positive rebound pain. an abdominal andpelvi CTscan sboived an extensive mesenteric hematoma. Dufiik j suigery, a laige retroperitoneal encapsulated hematoma, without evidence of active bleeding, was found and drained. Pathology confirmed the diagnosis and was negative for cancer</t>
  </si>
  <si>
    <t>Alvarez Zepeda, Carlos/0000-0001-6966-7936</t>
  </si>
  <si>
    <t>WOS:000250091600013</t>
  </si>
  <si>
    <t>Lobos, J; Wisniewski, C; Heran, M; Grasmick, A</t>
  </si>
  <si>
    <t>Lobos, J.; Wisniewski, C.; Heran, M.; Grasmick, A.</t>
  </si>
  <si>
    <t>Continuous and sequencing membrane bioreactors applied to food industry effluent treatment</t>
  </si>
  <si>
    <t>4th Conference on Sustainable Viticulture Winery Wastes and Ecological Impact Management</t>
  </si>
  <si>
    <t>NOV 05-08, 2006</t>
  </si>
  <si>
    <t>Vina del Mar, CHILE</t>
  </si>
  <si>
    <t>This work focuses on the performances of two immersed membrane bioreactors used for the treatment of easily biodegradable organic matter present in food industry effluents, for the purpose of water reuse. Two reactor functioning modes (continuous and sequencing) were compared in terms of organic carbon removal and of membrane permeability. For each working mode, pollutant removal was very high, treated water quality presented a low COD concentration (&lt; 125 mg.L-1), no solids in suspension and low turbidity (&lt; 0.5 NTU). The quality of the treated water (including germ removal) enabled its reuse on site. Moreover, by developing high biomass concentrations in the reactor, excess sludge production remained very low (&lt; 0.1 gVSS.gCOD(-1)). The performances appeared slightly better for the continuous system (lower COD concentration in the effluent, &lt; 50 mg.L-1, and lower sludge production). In terms of filtration, a distinct difference was observed between continuous and sequencing systems; transmembrane pressure showed a small and constant evolution rate in continuous membrane bioreactor (CMBR) although it appeared more difficult to control in sequencing membrane bioreactor (SMBR) probably due to punctually higher permeate flow rate and modified suspension properties. The rapid evolution of membrane permeability observed in SMBR was such that more frequent chemical cleaning of the membrane system was required.</t>
  </si>
  <si>
    <t>Heran, Marc/K-6518-2012</t>
  </si>
  <si>
    <t>Wisniewski, Christelle/0000-0002-3068-5018; Heran, Marc/0000-0001-9036-207X</t>
  </si>
  <si>
    <t>10.2166/wst.2007.474</t>
  </si>
  <si>
    <t>WOS:000248820800011</t>
  </si>
  <si>
    <t>Urzúa, A; Jara, F; Tojo, E; Wilkens, M; Mendoza, L; Rezende, MC</t>
  </si>
  <si>
    <t>A new antibacterial clerodane diterpenoid from the resinous exudate of Haplopappus uncinatus</t>
  </si>
  <si>
    <t>The antibacterial activity of Haplopappus uncinatus is attributed to a new clerodane diterpenoid, 18-acetoxy-cis-cleroda-3-en-15-oic acid (10 beta H, 16 xi 19 beta, 20 alpha form) (1), isolated as a major component from the resinous exudates of its twigs and leaves, together with the inactive 3,5-dihydroxy-6,7,3',4'-tetramethoxyflavone, n-alkanes and a few sesquiterpenoids. (c) 2005 Elsevier Ireland Ltd. All rights reserved.</t>
  </si>
  <si>
    <t>Caroli, Marcos/H-3570-2019; Wilkens, Marcela/G-5928-2019; Tojo, Emilia/B-3532-2011</t>
  </si>
  <si>
    <t>JAN 16</t>
  </si>
  <si>
    <t>10.1016/j.jep.2005.09.042</t>
  </si>
  <si>
    <t>WOS:000234840100022</t>
  </si>
  <si>
    <t>López-Alarcón, C; Aspée, A; Henríquez, C; Campos, AM; Lissi, EA</t>
  </si>
  <si>
    <t>Interaction and reactivity of urocanic acid towards peroxyl radicals</t>
  </si>
  <si>
    <t>REDOX REPORT</t>
  </si>
  <si>
    <t>The capacity of urocanic acid to interact with peroxyl radicals has been evaluated in several systems: oxidation in the presence of a free radical source (2,2'-azobis(2-amidinopropane; AAPH), protection of phycocyanin bleaching elicited by peroxyl radicals, and Cu(II)-and AAPH-promoted LDL oxidation. The results indicate that both isomers (cis and trans) are mild peroxyl radical scavengers. For example, trans-urocanic acid is nearly 400 times less efficient than Trolox in the protection of the peroxyl radical promoted bleaching of phycocyanin. Regarding the removal of urocanic acid by peroxyl radicals, nearly 100 mu M trans-urocanic acid is required to trap half of the produced radicals under the employed conditions ( 10 mM AAPH, 37 degrees C). Competitive experiments show that the cis-isomer traps peroxyl radicals similar to 30% less efficiently than the trans-isomer. Given the high concentrations that trans-urocanic acid reaches in skin, its capacity to trap peroxyl radicals could contribute to the protection of the tissue towards ROS-mediated processes. Furthermore, both isomers, and particularly the cis-isomer, protect LDL from Cu(II)-induced oxidation.</t>
  </si>
  <si>
    <t>1351-0002</t>
  </si>
  <si>
    <t>1743-2928</t>
  </si>
  <si>
    <t>10.1179/135100005X70189</t>
  </si>
  <si>
    <t>WOS:000234389400006</t>
  </si>
  <si>
    <t>Juri, C; Chaná, P; Tapia, J; Kunstmann, C; Parrao, T</t>
  </si>
  <si>
    <t>Quetiapine for insomnia in Parkinson disease -: Results from an open-label trial</t>
  </si>
  <si>
    <t>CLINICAL NEUROPHARMACOLOGY</t>
  </si>
  <si>
    <t>8th International Congress of Parkinsons Disease and Movement Disorders</t>
  </si>
  <si>
    <t>JUN 13-17, 2004</t>
  </si>
  <si>
    <t>Quetiapine is an atypical antipsychotic with sedative properties frequently used to treat hallucinations and psychosis in Parkinson disease (PD). The objective of this trial is to evaluate quetiapine for insomnia in nonpsychotic PD patients. Fourteen consecutive PD patients with frequent insomnia and without psychotic symptoms were treated openly for 12 weeks with a single evening dose of quetiapine. The dose was adjusted according to clinical improvement and tolerance. The severity of insomnia was assessed using the Pittsburgh Sleep Quality Index (PSQI), daytime sleepiness was evaluated with the Epworth Sleep Scale (ESS), and motor performance was evaluated using the motor section of the Unified Parkinson's Disease Rating Scale (UPDRS). All evaluations were done before and 1, 2, and 3 months after initiation of treatment. Total PSQI basal scores were 13.6 +/- 3.7 points. The PSQI score improved in 11 patients and was reduced by 3.8 +/- 3.9 points by the end of the study (P &lt; 0.01). The ESS score was reduced by 4.3 +/- 3.7 points (P &lt; 0.01). The mean quetiapine dose was 31.9 mg/day. No significant change was observed in the motor scale. Two patients were discontinued due to nonserious adverse effects. These results suggest that quetiapine may be a safe and effective treatment of insomnia in PD patients. Double-blind studies will probably confirm these findings.</t>
  </si>
  <si>
    <t>Chana, Pedro/ABG-9944-2020; Juri, Carlos/B-6213-2008</t>
  </si>
  <si>
    <t>Juri, Carlos/0000-0002-1939-5976</t>
  </si>
  <si>
    <t>0362-5664</t>
  </si>
  <si>
    <t>1537-162X</t>
  </si>
  <si>
    <t>10.1097/01.wnf.0000174932.82134.e2</t>
  </si>
  <si>
    <t>WOS:000231330000007</t>
  </si>
  <si>
    <t>Hernández, A; Constandil, L; Laurido, C; Pelissier, T; Marchand, F; Ardid, D; Alloui, A; Eschalier, A; Soto-Moyano, R</t>
  </si>
  <si>
    <t>Venlafaxine-induced depression of wind-up activity in mononeuropathic rats is potentiated by inhibition of brain 5-HT1A receptor expression in vivo</t>
  </si>
  <si>
    <t>INTERNATIONAL JOURNAL OF NEUROSCIENCE</t>
  </si>
  <si>
    <t>Antinociceptive effects of inhibiting 5-HT1A receptor expression by intracerebroventricular administration of an antisense oligodeoxynucleotide were studied in mononeuropathic rats. A 7-day period of treatment with the antisense produced: (i) reduction of mechanical hyperalgesia in the neuropathic hindlimb starting from day 5 of treatment, (ii) decrease of the hypothermic effect of 8-OH-DPAT challenge on day 6 of treatment, and (iii) potentiation of the inhibitory effect of velafaxine on spinal wind-up activity on day 7 of treatment. Results suggest a counteracting role of somatodendritic 5-HT1A receptors of raphe nuclei neurons in the antinociceptive efficacy of antidepressants with serotonergic spectrum in neuropathic pain.</t>
  </si>
  <si>
    <t>ardid, denis/K-2234-2015; ESCHALIER, Alain/L-9957-2015; Hernandez, Alejandro/M-4796-2019; MARCHAND, Fabien/K-1285-2015</t>
  </si>
  <si>
    <t>Constandil, Luis/0000-0002-2504-0119; Hernandez, Alejandro/0000-0001-9222-6522</t>
  </si>
  <si>
    <t>0020-7454</t>
  </si>
  <si>
    <t>1563-5279</t>
  </si>
  <si>
    <t>10.1080/00207450490269453</t>
  </si>
  <si>
    <t>WOS:000188663200008</t>
  </si>
  <si>
    <t>Encinas, MV; González-Nilo, FD; Andreu, JM; Alfonso, C; Cardemil, E</t>
  </si>
  <si>
    <t>Urea-induced unfolding studies of free- and ligand-bound tetrameric ATP-dependent Saccharomyces cerevisiae phosphoenolpyruvate carboxykinase Influence of quaternary structure on protein conformational stability</t>
  </si>
  <si>
    <t>ATP-dependent phosphoenolpyruvate (PEP) carboxykinases are found in plants and microorganisms, and catalyse the reversible formation of PEP, ADP, and CO2 from oxaloacetate plus ATP. These enzymes vary in quaternary structure although there is significant sequence identity among the proteins isolated from different sources. To help understand the influence of quaternary structure in protein stability, the urea-induced unfolding of free- and substrate-bound tetrameric Saccharomyces cerevisiae PEP carboxykinase is described and compared with the unfolding characteristics of the monomeric Escherichia coli enzyme [Eur. J. Biochem. 255 (1998) 439]. The urea-induced denaturation of S. cerevisiae PEP carboxykinase was studied by monitoring the enzyme activity, intrinsic protein fluorescence, circular dichroism (CD) spectra, and 1-anilino-8-naphthalenesulfonate (ANS) binding. The unfolding profiles were multi-steps, and formation of hydrophobic structures were detected. The data indicate that unfolding and dissociation of the enzyme tetramer are simultaneous events. Ligand binding, most notably PEP in the presence of MnCl2,, conferred a marked protection against urea-induced denaturation. A similar protection effect was found when N-iodoacetyl-N'-(5-sulfo-1-napthyl)ethylene diamine (1,5-1-AEDANS) was covalently bound at Cys(365), within the active site region. Refolding experiments indicated that total recovery of tertiary structure was only obtained from samples previously unfolded to less than 30%. In the presence of substrates, complete refolding was achieved from samples originally denatured up to 50%. The unfolding behaviour of S. cerevisiae PEP carboxykinase was found to be similar to that of E. coli PEP carboxykinase, however all steps take place at lower urea concentrations. These findings show that, at least for monomeric and tetrameric ATP-dependent PEP carboxykinases, quaternary structure does not contribute to protein conformational stability. (C) 2002 Elsevier Science Ltd. All rights reserved.</t>
  </si>
  <si>
    <t>Encinas, Maria/L-9686-2014; Alfonso, Carlos/K-1316-2014; Gonzalez Nilo, Fernando Danilo/M-5671-2016</t>
  </si>
  <si>
    <t>Andreu, Jose M/0000-0001-8064-6933; Alfonso, Carlos/0000-0001-7165-4800; Gonzalez Nilo, Fernando Danilo/0000-0001-6857-3575</t>
  </si>
  <si>
    <t>PII S1357-2725(01)00175-3</t>
  </si>
  <si>
    <t>10.1016/S1357-2725(01)00175-3</t>
  </si>
  <si>
    <t>WOS:000175551800010</t>
  </si>
  <si>
    <t>Pardey, AJ; Fernández, M; Alvarez, J; Ortega, MC; Canestrari, M; Longo, C; Aguirre, P; Moya, SA; Lujano, E; Baricelli, PJ</t>
  </si>
  <si>
    <t>Kinetics of the water gas shift reaction catalyzed by [Rh(COD)(4-picoline)2]PF6 immobilized on poly(4-vinylpyridine)</t>
  </si>
  <si>
    <t>Meeting of the Chilean-Chemical-Society</t>
  </si>
  <si>
    <t>JUN 14-16, 2000</t>
  </si>
  <si>
    <t>CHILE</t>
  </si>
  <si>
    <t>Chilean Chem Soc</t>
  </si>
  <si>
    <t>Kinetic studies of the water gas shift reaction have been carried AE t in the presence of [Rh(COD) (4-picoline)(2)] PF6, (COD = 1,5-cyclooctadiene) as catalyst, immobilized on poly(4-vinylpyridine) 2% cross linked with divinylbenzene in contact with a mixture of 80% aqueous 2-ethoxyethanol. The rhodium complex was anchored to the pyridine groups of the organic polymer. Analyses of kinetic results show a first order dependence on carbon monoxide pressure, a nonlinear dependence on rhodium total concentration and a segmented Arrhenius plot. These data are discussed in terms of a possible mechanism.</t>
  </si>
  <si>
    <t>WOS:000089763300003</t>
  </si>
  <si>
    <t>Zeise, ML; Jofré, D; Morales, P; Espinoza, J; Nalli, A; Aranda, M</t>
  </si>
  <si>
    <t>Methyl bromide decreases excitability without having immediate toxic effects in rat hippocampal CA1 neurons in vitro</t>
  </si>
  <si>
    <t>NEUROTOXICOLOGY</t>
  </si>
  <si>
    <t>Methyl bromide, a disinfectant gas amply used worldwide, is neurotoxic in humans and other mammals. To study its short-term effects on neurons, it was applied in aqueous solution to hippocampal slices of young rats (1.4 and 0.7 mM, for 8 minutes). Extracellular field recordings and intracellular microelectrode recordings from CA1 pyramidal neurons showed that the neurons stay viable for at least one hour after application of the mono-halomethane. However, a moderate, but consistent, irreversible decrease in synaptic excitability was observed. The intracellular recordings indicate that this may be attributed to a decrease in excitatory postsynaptic potentials. No effects were observed at 0.7 mM methyl bromide. Bromide, in a dose-dependent, partly reversible manner (during one hour), produced a similar decrease in excitability. Quantitatively, the action of bromide at 0.5 mM resembled the one seen with methyl bromide at the concentration of 1.4 mM. Since methyl bromide did not induce electrophyiologic changes consistent with evidence of neurotoxicity during one hour of observation it is concluded that it lacks immediate toxic effects on hippocampal rat neurons. Its neurotoxicity may be entirely due to metabolites or other indirect effects. The slight decrease in excitability may be due to the effect of bromide that is set free as tissue proteins and other cell molecules are methylated. (C) 1999 Inter Press, Inc.</t>
  </si>
  <si>
    <t>Bustos, Mario/A-6599-2013; Morales, Paola/AAY-4928-2021; Morales Retamales, Paola/G-1287-2014</t>
  </si>
  <si>
    <t>Morales Retamales, Paola/0000-0001-8914-2977</t>
  </si>
  <si>
    <t>0161-813X</t>
  </si>
  <si>
    <t>WOS:000083920200016</t>
  </si>
  <si>
    <t>Klishevich, S; Plyushchay, M</t>
  </si>
  <si>
    <t>Zitterbewegung and reduction: 4D spinning particles and 3D anyons on light-like curves</t>
  </si>
  <si>
    <t>We construct the model with light-like world-lines for the massive 4D spinning particles and 3D anyons. It is obtained via the formal bosonization of pseudoclassical model for the massive Dirac particle with subsequent reduction to the light-like curves. The peculiarity of the light-like trajectories produced due to the Zitterbewegung is explained from the viewpoint of reduction and reparametrization invariance. (C) 1999 Published by Elsevier Science B.V. All rights reserved.</t>
  </si>
  <si>
    <t>JUL 22</t>
  </si>
  <si>
    <t>10.1016/S0370-2693(99)00637-1</t>
  </si>
  <si>
    <t>WOS:000081689500033</t>
  </si>
  <si>
    <t>Vásquez, C; Saavedra, C; Loyola, C; Moscoso, H; Pichuantes, S</t>
  </si>
  <si>
    <t>Cloning of a tellurite resistance determinant from Bacillus stearothermophilus V in Escherichia coli</t>
  </si>
  <si>
    <t>A potassium tellurite-resistance determinant was isolated from Bacillus stearothermophilus V and cloned in Escherichia coli. Transformed cells formed black colonies when grown on solid media containing permissive tellurite concentrations. The resistance determinant was contained in a B. stearothermophilus V chromosomal DNA fragment of 7 kb.</t>
  </si>
  <si>
    <t>WOS:000079366300002</t>
  </si>
  <si>
    <t>Chandia, O; Zanelli, J</t>
  </si>
  <si>
    <t>Topological invariants, instantons, and the chiral anomaly on spaces with torsion</t>
  </si>
  <si>
    <t>In a spacetime with nonvanishing torsion there can occur topologically stable configurations associated with the frame bundle which are independent of the curvature. The relevant topological invariants are integrals of local scalar densities first discussed by Nieh and Yan (NY). In four dimensions, the NY form N=(T-a boolean AND T-a-R(ab)boolean AND e(a) boolean AND e(b)) is the only closed four-form invariant under local Lorentz rotations associated with the torsion of the manifold. The integral of N over a compact D-dimensional (Euclidean) manifold is shown to be a topological invariant related to the Pontryagin classes of SO(D + 1) and SO(D), An explicit example of a topologically nontrivial configuration carrying a nonvanishing instanton number proportional to integral N is constructed. The chiral anomaly in a four-dimensional spacetime with torsion is also shown to contain a contribution proportional to N, in addition to the usual Pontryagin density related to the spacetime curvature. The violation of chiral symmetry can thus depend on the instanton number of the tangent frame bundle of the manifold. Similar invariants can be constructed in D&gt;4 dimensions and the existence of the corresponding nontrivial excitations is also discussed.</t>
  </si>
  <si>
    <t>0556-2821</t>
  </si>
  <si>
    <t>10.1103/PhysRevD.55.7580</t>
  </si>
  <si>
    <t>WOS:A1997XF60100024</t>
  </si>
  <si>
    <t>Nkeng, P; Koenig, JF; Gautier, JL; Chartier, P; Poillerat, G</t>
  </si>
  <si>
    <t>Enhancement of surface areas of Co3O4 and NiCo2O4 electrocatalysts prepared by spray pyrolysis</t>
  </si>
  <si>
    <t>Nickel and cobalt cobaltites have been prepared as thin films by spray pyrolysis of solutions containing cobalt and nickel nitrates. An alkali nitrate has been added to the sprayed solution which remained undecomposed during the formation of the oxide film. Then, this alkali nitrate dissolved leading to an enhancement of the roughness of the films which can be controlled, We report herein the preparation and characterization of such films by X-ray diffraction, FTIR reflectance spectroscopy, scanning electron microscopy and electrochemical methods, The roughness factors have been determined by cyclic voltammetry. An increase of the roughness, up to ten times, has been observed, The stationary I-E curves are representative of the good correlation between the magnitude of the currents obtained and the roughness factors. Owing to experimental evidence and considering the low preparation temperature, we have rejected the possibility of incorporation of the alkali ions in the crystalline lattice.</t>
  </si>
  <si>
    <t>0022-0728</t>
  </si>
  <si>
    <t>FEB 7</t>
  </si>
  <si>
    <t>10.1016/0022-0728(95)04254-7</t>
  </si>
  <si>
    <t>WOS:A1996UC28000009</t>
  </si>
  <si>
    <t>SILVA, C; QUADE, D</t>
  </si>
  <si>
    <t>ESTIMATING THE ASYMPTOTIC RELATIVE EFFICIENCY OF WEIGHTED RANKINGS</t>
  </si>
  <si>
    <t>COMMUNICATIONS IN STATISTICS-SIMULATION AND COMPUTATION</t>
  </si>
  <si>
    <t>0361-0918</t>
  </si>
  <si>
    <t>10.1080/03610918308812339</t>
  </si>
  <si>
    <t>WOS:A1983RE44500001</t>
  </si>
  <si>
    <t>Palma, JG; Pincus, J</t>
  </si>
  <si>
    <t>Palma, Jose Gabriel; Pincus, Jonathan</t>
  </si>
  <si>
    <t>Is Southeast Asia falling into a Latin American-style middle-income trap?</t>
  </si>
  <si>
    <t>JAPANESE POLITICAL ECONOMY</t>
  </si>
  <si>
    <t>Output and productivity growth slowed in Southeast Asia after the 1997 financial crisis. Latin America experienced a more extreme slowdown following their radical 1980s (post-ISI) neoliberal reforms. This paper explores the causes of the middle-income trap and asks if Southeast Asia is following Latin America's footsteps. In non-resource manufacturing the trap typically manifests when countries are priced out of labor-intensive activities but fail to penetrate more technically sophisticated markets. Natural resource exporters experience the trap when their extractivist strategies run out of steam and new engines of productivity growth, such as the processing of raw materials fail to materialize. Mainstream growth theory posits that middle-income countries can escape the trap by doubling down on orthodox policies such as more trade and financial liberalization, further deregulation, and investment in human capital. Yet evidence from countries that have evaded the trap does not support these claims; instead, they have formulated national strategies to promote investment in activities with greater long-term productivity growth potential, especially manufactured exports. The capacity to built flexible industrial strategies is also key. Resource-rich middle-income countries must reinvigorate and sustain their productivity growth by reengineering existing extractivist strategies to strengthen backward and forward linkages and leverage natural resource-based industrialization.</t>
  </si>
  <si>
    <t>Palma, Jose Gabriel/0000-0003-3039-7996</t>
  </si>
  <si>
    <t>2329-194X</t>
  </si>
  <si>
    <t>2329-1958</t>
  </si>
  <si>
    <t>10.1080/2329194X.2024.2430255</t>
  </si>
  <si>
    <t>WOS:001372967900001</t>
  </si>
  <si>
    <t>Carmona, R; Miranda, R; Rodriguez, P; Serafini, D; Rodriguez, A; Mena, M; Gil, AF; Valdes, J; Masip, Y</t>
  </si>
  <si>
    <t>Carmona, Roberto; Miranda, Ricardo; Rodriguez, Pablo; Serafini, Daniel; Rodriguez, Angel; Mena, Marcelo; Gil, Alejandro Fernandez; Valdes, Javier; Masip, Yunesky</t>
  </si>
  <si>
    <t>Assessment of the green hydrogen value chain in cases of the local industry in Chile applying an optimization model</t>
  </si>
  <si>
    <t>ENERGY</t>
  </si>
  <si>
    <t>This study assessed the feasibility of integrating a green hydrogen value chain into the local industry, examining two case studies by comparing four scenarios. The optimization focused on generating electricity from stationary renewable sources, such as solar or through Power Purchase Agreements, to produce sufficient hydrogen in electrolyzers. Current demand profiles, renewable participation targets, electricity supply sources, levelized costs of energy and hydrogen, and technology options were considered. The most cost-effective scenario showed a levelized cost of energy of 0.032 and 0.05 US$/kWh and a hydrogen cost below 1.0 US$/kgH2 for cases 1 and 2, respectively. A sensitivity analysis highlighted the critical influence of fuel cell technology on cost modification, underscoring the importance of focusing cost reduction strategies on these technologies to enhance the economic viability of the green hydrogen value chain. Specifically, a high sensitivity towards reducing the levelized costs of energy and hydrogen in the port sector with adjustments in fuel cell technology costs was identified, indicating the need for specific policies and supports to facilitate their adoption.</t>
  </si>
  <si>
    <t>Macía, Yunesky/D-5888-2016; Rodríguez, Pablo/J-3063-2018; Rodríguez Soto, Angel/JZD-8317-2024; Fernandez Gil, Alejandro/ABX-5507-2022; Garrido, Rene/I-6852-2018</t>
  </si>
  <si>
    <t>, Ricardo Miranda/0009-0007-9686-0599; Fernandez Gil, Alejandro/0000-0003-0291-7739; Masip Macia, Yunesky/0000-0003-4455-1819; Rodriguez, Pablo/0009-0007-8365-8201; Valdes Lucas, Javier/0000-0002-1497-0695; Garrido, Rene/0000-0003-1259-0995; Carmona Campos, Roberto/0009-0001-1490-3564</t>
  </si>
  <si>
    <t>0360-5442</t>
  </si>
  <si>
    <t>1873-6785</t>
  </si>
  <si>
    <t>10.1016/j.energy.2024.131630</t>
  </si>
  <si>
    <t>WOS:001333027000001</t>
  </si>
  <si>
    <t>González, MG; Navarrete, DG; Navarro, FT; Cuevas, PL; Convertino, FR; Reyes, RR</t>
  </si>
  <si>
    <t>Gonzalez, Mariana Griffero; Navarrete, Diego Gonzalez; Navarro, Francisco Tolosa; Cuevas, Patricia Lopez; Convertino, Fernando Rodriguez; Reyes, Rossana Roman</t>
  </si>
  <si>
    <t>Growth Hormone treatment in children with Growth Hormone deficiency, idiopathic short stature, SHOX gene mutation, small for gestational age and Turner syndrome</t>
  </si>
  <si>
    <t>ANDES PEDIATRICA</t>
  </si>
  <si>
    <t>Growth hormone (GH) is effective in improving height in several conditions. Objective: To describe the evolution of a group of children who received GH in a tertiary center between 2012-2022. Patients and Method: Descriptive, retrospective study. We analyzed the impact on height after GH use with Z -score according to etiology, age at onset and bone age. Patients under 15 years old at baseline and receiving GH for at least 12 months, with diagnoses of GH deficiency (GHD), idiopathic short stature (ISS), small for gestational age (SGA), SHOX Haploinsufficiency (SHOX) and Turner syndrome (TS) were included. Height was expressed as Z -score for age and sex, according to NCHS curves. Results: 145 children received GH. Sixty patients were excluded due to irregular administration, incomplete data, less than 12 months of GH, change of hospital, and associated comorbidities. Seventy-three patients were analyzed, 23 GHD, 15 ISS, 20 SGA, 9 SHOX and 6 TS patients. Significant improvement in height (Z -score for age and sex) was observed in SGA (1.4 +/- 0.8 gain; p &lt; 0.001), GHD (1.1 +/- 1.0; p &lt; 0.001), ISS (1.1 +/- 0.8; p &lt; 0.001) and SHOX (0.8 +/- 0.7; p = 0.007) patients. In TS, a non -statistically significant improvement was observed (0.7 +/- 0.8; p = 0.085). In GHD, onset before 3 years showed a gain of 1.9 +/- 1.1, vs 0.7 +/- 0.6 (p = 0.083) and in ISS onset with bone age less than 9 years increased it by 1.7 +/- 0.5 vs 0.5 +/- 0.5 (p &lt; 0.001). Adverse events: 27/73 (37%) headache, 18/73 (24%) lower extremity pain, 1/73 (1.5%) dizziness, 1/73 (1.5%) scoliosis, 1/73 (1.5%) epiphysiolysis and 1/73 (1.5%) craniopharyngioma recurrence. Conclusions: Children with GHD, ISS, SHOX mutation and SGA significantly improved their height, highlighting in GHD and ISS the importance of early treatment. Treatment was well tolerated in the 5 groups analyzed.</t>
  </si>
  <si>
    <t>****_****</t>
  </si>
  <si>
    <t>2452-6053</t>
  </si>
  <si>
    <t>10.32641/andespediatr.v95i2.4941</t>
  </si>
  <si>
    <t>WOS:001223686000009</t>
  </si>
  <si>
    <t>Gacitúa, MM; Saavedra, MM; Vinnett, L</t>
  </si>
  <si>
    <t>Gacitua, Michel Morales; Saavedra, Miguel Maldonado; Vinnett, Luis</t>
  </si>
  <si>
    <t>The Impact of Restricting Air Intake in Self-Aspirated Flotation Cells at Los Pelambres Concentrator</t>
  </si>
  <si>
    <t>This article describes the impact of restricting the air intake in industrial 250 m3 WEMCO flotation cells at Los Pelambres concentrator. The influence of air restriction on the hydrodynamic and metallurgical performance of this type of machine was evaluated. The experiments were conducted in single flotation cells and entire rougher banks. In all cases, the gas holdup was measured to estimate the effectiveness of the obstruction system to decrease the air concentration. In single cells, axial profiles for solid percentage and particle size were evaluated. In addition, mass balances were conducted to assess the copper recoveries and concentrate features. In individual cells, air restriction led to a decrease in the gas holdup. However, this slight change was enough to obtain a more stable froth zone and a better solid suspension. The latter was observed as: (i) a higher P80 below the pulp-froth interface, (ii) a less diluted pulp at this level, (iii) a slightly higher Cu recovery, and (iv) a coarser concentrate product. A mineralogical analysis of the concentrate sample also showed the presence of coarser liberated Cu-sulfide particles. The results in single cells suggested an improvement in the recovery of coarse particles via more intense solid suspension. The air intake was also restricted in three rougher banks to assess the impact of air obstruction on the overall performance of the respective circuit. Eleven out of fourteen cells were operated with air restriction, which led to a significant improvement in recovery of 0.9%-1.6% (absolute), at a 95% confidence level. Size-by-size mass balances were also conducted for the rougher circuits, which proved that the recovery improvements were justified by the simultaneous increase in the recovery of coarse and fine particles. Thus, a restriction in the air intake showed that a decrease in the gas holdup (and in the bubble surface area flux) was compensated by better solid suspension and a higher collision efficiency in the draft tube. The former promoted the recovery of coarse particles in the quiescent zone, whereas the latter improved the interaction between bubbles and fine particles. Further developments are being made to implement a regulatory control strategy for the air intake in self-aspirated flotation cells and to use this approach for optimizing industrial flotation banks.</t>
  </si>
  <si>
    <t>Vinnett, Luis/AAW-3822-2020</t>
  </si>
  <si>
    <t>Vinnett, Luis/0000-0001-7173-9054</t>
  </si>
  <si>
    <t>10.3390/min13111375</t>
  </si>
  <si>
    <t>WOS:001119828000001</t>
  </si>
  <si>
    <t>Loor, F; Manriquez, M; Gil-Costa, V; Marin, M</t>
  </si>
  <si>
    <t>Loor, Fernando; Manriquez, Manuel; Gil-Costa, Veronica; Marin, Mauricio</t>
  </si>
  <si>
    <t>Feasibility of P2P-STB based crowdsourcing to speed-up photo classification for natural disasters</t>
  </si>
  <si>
    <t>CLUSTER COMPUTING-THE JOURNAL OF NETWORKS SOFTWARE TOOLS AND APPLICATIONS</t>
  </si>
  <si>
    <t>We present a distributed platform aimed to process photos taken after a natural disaster strikes by people witnesses of the situation. These photos have to be processed as quickly as possible to collect statistical data used by the decision makers to coordinate rescue teams. A photo can be classified using a predefined taxonomy such as infrastructure and service, affected people, emotional support, among others. Some photos can be classified automatically while other photos require human intervention. The proposed platform is organized in three layers: an architecture, a communication pattern algorithm and optimization modules. The architecture is based on a community of digital volunteers forming a peer-to-peer network. The digital volunteers receive photos from a centralized server that collects and integrates the results into the management process to improve the general understanding of the situation or rescue actions. We present three communication pattern algorithms that define the flow of tasks between the volunteers and the server. The first algorithm is based on point-to-point communication and the other two algorithms use cache techniques inside the peer-to-peer network. Our proposal is devised for short term campaigns and we aim to speed-up the image processing process, to reduce the workload of the server and to reduce communication latency between the server and the volunteers. We evaluate our proposed platform under highly demanding task traffic rates. We analyze the impact of the input parameters of each communication pattern algorithm. We evaluate the performance of our proposed platform with different approaches presented in the technical literature which are deployed as optimization modules. Results show that the performance of the platform when using the cache-based communication pattern algorithms can outperform the one-to-one communication algorithm under high task traffic rates.</t>
  </si>
  <si>
    <t>Marin, Mauricio/0000-0003-0662-7149; Loor, Fernando/0000-0002-8552-1221</t>
  </si>
  <si>
    <t>1386-7857</t>
  </si>
  <si>
    <t>1573-7543</t>
  </si>
  <si>
    <t>10.1007/s10586-021-03381-6</t>
  </si>
  <si>
    <t>WOS:000690731400001</t>
  </si>
  <si>
    <t>Díaz, CZ</t>
  </si>
  <si>
    <t>Diaz, Cesar Zamorano</t>
  </si>
  <si>
    <t>Un millon de chilenos: Testimonies of the exile in the journal Araucaria de Chile</t>
  </si>
  <si>
    <t>One of the political consequences of the repression experienced during the years of the Chilean dictatorship established after the 1973 coup d'etat and led by the military Junta, was the phenomenon of exile. Through the study of the journals created by Chileans in exile in the most remote places of the planet, it is possible to recompose the cultural and political history of Chile. In particular, this article proposes cultural journals as fundamental spaces for recognizing how the common experience of a past of Unidad Popular is approached from exile, together with the horror of a present marked by the coup d'etat, persecution and exile. In this sense, the journal Araucaria de Chile (1978-1990) coined in its pages the writing of the outside, pierced by the modes of saying dependent to a great extent on the concrete experience of the social disarticulation of a previous identity and its ways of re-articulation. Focusing the work on the section Un millon de chilenos will allow us to identify three dimensions within the set of testimonial narratives that deal with the experience of exile defined as uprooting, guilt and possibility.</t>
  </si>
  <si>
    <t>Zamorano Diaz, Cesar/K-6033-2015</t>
  </si>
  <si>
    <t>Zamorano Diaz, Cesar/0000-0003-4510-8069</t>
  </si>
  <si>
    <t>10.4067/S0718-23762021000100109</t>
  </si>
  <si>
    <t>WOS:000716376900005</t>
  </si>
  <si>
    <t>McSherry, J. Patrice</t>
  </si>
  <si>
    <t>Making the Revolution: Histories of the Latin American Left.</t>
  </si>
  <si>
    <t>AMERICAS</t>
  </si>
  <si>
    <t>0003-1615</t>
  </si>
  <si>
    <t>1533-6247</t>
  </si>
  <si>
    <t>10.1017/tam.2020.62</t>
  </si>
  <si>
    <t>WOS:000566753900023</t>
  </si>
  <si>
    <t>Ghosts ofSheridan Circle: How A Washington Assassination Brought Pinochet's Terror State to Justice.</t>
  </si>
  <si>
    <t>PII S0003161520000310</t>
  </si>
  <si>
    <t>10.1017/tam.2020.31</t>
  </si>
  <si>
    <t>WOS:000529165900030</t>
  </si>
  <si>
    <t>Díaz, MV; Simonetti, JA; Zorondo-Rodríguez, F</t>
  </si>
  <si>
    <t>Diaz, Marion V.; Simonetti, Javier A.; Zorondo-Rodriguez, Francisco</t>
  </si>
  <si>
    <t>Social acceptability of management actions for addressing different conflict scenarios between humans and wildlife in Patagonia</t>
  </si>
  <si>
    <t>HUMAN DIMENSIONS OF WILDLIFE</t>
  </si>
  <si>
    <t>Conflicts between humans and wildlife could generate problems for biodiversity, and conflict management is important for avoiding biodiversity loss. Social acceptability of management actions for mitigating these conflicts can influence the success of wild carnivore management. Our study was carried out in southern Chile where we evaluated levels of social acceptability and consensus (using PCI2) for frightening, relocating, and lethal control in different scenarios for conflicts with pumas and foxes (native species), and feral dogs. Frightening or relocating wild carnivores were more socially acceptable than to not carry out any actions. In comparison to non-ranchers, ranchers were more likely to accept lethal control for feral dogs. Finally, ranchers were more accepting of lethal control for feral dogs rather than lethal control for native carnivores. We found that social group (ranchers or non-ranchers), type of encounter scenario, and carnivore type influenced the social acceptability of different management actions.</t>
  </si>
  <si>
    <t>Zorondo-Rodríguez, Francisco/GWU-8371-2022; Díaz, Marion/ABA-9997-2021; Simonetti, Javier A./A-4658-2008; Zorondo-Rodriguez, Francisco/I-8273-2014</t>
  </si>
  <si>
    <t>Diaz, Marion/0000-0001-5757-2796; Simonetti, Javier A./0000-0002-7238-4133; Zorondo-Rodriguez, Francisco/0000-0001-6469-9859</t>
  </si>
  <si>
    <t>1087-1209</t>
  </si>
  <si>
    <t>1533-158X</t>
  </si>
  <si>
    <t>10.1080/10871209.2020.1678079</t>
  </si>
  <si>
    <t>OCT 2019</t>
  </si>
  <si>
    <t>WOS:000492205200001</t>
  </si>
  <si>
    <t>Yáñez-S, M; Matsuhiro, B; Maldonado, S; González, R; Luengo, J; Uyarte, O; Serafine, D; Moya, S; Romero, J; Torres, R; Kogan, MJ</t>
  </si>
  <si>
    <t>Yanez-S, Mauricio; Matsuhiro, Betty; Maldonado, Santiago; Gonzalez, Raul; Luengo, Jorge; Uyarte, Omar; Serafine, Daniel; Moya, Sergio; Romero, Julio; Torres, Rodrigo; Kogan, Marcelo J.</t>
  </si>
  <si>
    <t>Carboxymethylcellulose from bleached organosolv fibers of Eucalyptus nitens: synthesis and physicochemical characterization</t>
  </si>
  <si>
    <t>CELLULOSE</t>
  </si>
  <si>
    <t>The objective of the present study was to synthesize sodium carboxymethylcellulose from Eucalyptus nitens cellulose. The cellulose extraction was carried out in three stages. In the first stage, E. nitens wood was fractionated using an organosolv pretreatment (methanol-water 50% v/v, 45 min at 200 degrees C) followed by an alkaline extraction (NaOH, 1.5 M). Finally, the organosolv pulp was bleached using NaClO2 (1.3% w/v, pH 3.8). The bleached cellulose obtained was converted to sodium carboxymethylcellulose (NaCMC) by an etherification reaction in isopropanol medium. NaCMC structure, morphology and properties were researched using FTIR, H-1 and C-13 NMR spectroscopy, scanning electron microscopy, and thermogravimetric analysis. The results indicate substitution mostly occurred mostly at the C-6 position of 1 -&gt; 4 beta-D-glucopyranosyl residues of cellulose chains.</t>
  </si>
  <si>
    <t>Torres-Castro, Rodrigo/E-3630-2014; Romero, Julio/I-6705-2013; Moya, Sergio/I-1446-2015; kogan, Marcelo/I-2868-2013</t>
  </si>
  <si>
    <t>Kogan, Marcelo/0000-0003-0608-5087; Romero, Julio/0000-0002-1229-1592</t>
  </si>
  <si>
    <t>0969-0239</t>
  </si>
  <si>
    <t>1572-882X</t>
  </si>
  <si>
    <t>10.1007/s10570-018-1766-7</t>
  </si>
  <si>
    <t>WOS:000431788000011</t>
  </si>
  <si>
    <t>Cantero-López, P; Yañez-Osses, O; Páez-Meza, MS; López, JE; Páez-Hernández, D; Arratia-Pérez, R</t>
  </si>
  <si>
    <t>Cantero-Lopez, Plinio; Yanez-Osses, Osvaldo; Silvestre Paez-Meza, Manuel; Lopez, Johana E.; Paez-Hernandez, Dayan; Arratia-Perez, Ramiro</t>
  </si>
  <si>
    <t>Theoretical and experimental approach on the molecular interactions of the DL-Alanine with an electrolytic environment</t>
  </si>
  <si>
    <t>CHEMICAL PHYSICS LETTERS</t>
  </si>
  <si>
    <t>The molecular interactions that promote the stability of proteins and amino acids in saline solutions is a central topic of molecular biophysics. However, a well-supported molecular picture of the phenomena has not been established yet. In this paper, we studied as model system the mix between DL-Alanine in aqueous solutions of STP (Na2S2O3 center dot 5H(2)O) at different temperatures, from volumetric and viscometric properties. The thermophysical properties obtained indicate the presence of a strong preferential solvation, structure-making action and a possible salt in effect. Quantum chemical calculations and molecular dynamic (MD) simulations provide a new insight to support these arguments. (C) 2017 Elsevier B.V. All rights reserved.</t>
  </si>
  <si>
    <t>Páez-Hernández, Dayán/AAJ-3317-2020; Osorio, Edison/L-7964-2015; Arratia-Perez, Ramiro/AAG-2648-2019</t>
  </si>
  <si>
    <t>Paez-Hernandez, Dayan/0000-0002-8163-1343; Cantero-Lopez, Plinio/0000-0003-4090-9879; Yanez Osses, Osvaldo Andres/0000-0001-8993-9353</t>
  </si>
  <si>
    <t>0009-2614</t>
  </si>
  <si>
    <t>1873-4448</t>
  </si>
  <si>
    <t>10.1016/j.cplett.2017.08.067</t>
  </si>
  <si>
    <t>WOS:000412453700012</t>
  </si>
  <si>
    <t>Rivas-Aravena, A; Muñoz, P; Jorquera, P; Diaz, A; Reinoso, C; González-Catrilelbún, S; Sandino, AM</t>
  </si>
  <si>
    <t>Rivas-Aravena, Andrea; Munoz, Patricio; Jorquera, Patricia; Diaz, Alvaro; Reinoso, Claudia; Gonzalez-Catrilelbun, Sebastian; Maria Sandino, Ana</t>
  </si>
  <si>
    <t>Study of RNA-A Initiation Translation of The Infectious Pancreatic Necrosis Virus</t>
  </si>
  <si>
    <t>VIRUS RESEARCH</t>
  </si>
  <si>
    <t>The infectious pancreatic necrosis virus (IPNV) is a salmonid pathogen that causes significant economic losses to the aquaculture industry. IPNV is a non-enveloped virus containing two uncapped and non-polyadenylated double strand RNA genomic segments, RNA-A and RNA-B. The viral protein Vpg is covalently attached to the 5' end of both segments. There is little knowledge about its viral cycle, particularly about the translation of the RNAs. Through experiments using mono and bicistronic reporters, in this work we show that the 120-nucleotide long 5'-UTR of RNA-A contains an internal ribosome entry site (IRES) that functions efficiently both in vitro and in salmon cells. IRES activity is strongly dependent on temperature. Also, the IRES structure is confined to the 5'UTR and is not affected by the viral coding sequence. This is the first report of IRES activity in a fish virus and can give us tools to generate antivirals to attack the virus without affecting fish directly.</t>
  </si>
  <si>
    <t>Jorquera, Patricia/0000-0002-8111-5138; SANDINO, ANA MARIA/0000-0002-3862-3743</t>
  </si>
  <si>
    <t>0168-1702</t>
  </si>
  <si>
    <t>1872-7492</t>
  </si>
  <si>
    <t>10.1016/j.virusres.2017.07.014</t>
  </si>
  <si>
    <t>WOS:000413133000016</t>
  </si>
  <si>
    <t>Urrutia, M; Fernández, S; González, M; Vilches, R; Rojas, P; Vásquez, M; Kurte, M; Vega-Letter, AM; Carrión, F; Figueroa, F; Rojas, P; Irarrázabal, C; Fuentealba, RA</t>
  </si>
  <si>
    <t>Urrutia, Mariana; Fernandez, Sebastian; Gonzalez, Marisol; Vilches, Rodrigo; Rojas, Pablo; Vasquez, Manuel; Kurte, Monica; Maria Vega-Letter, Ana; Carrion, Flavio; Figueroa, Fernando; Rojas, Patricio; Irarrazabal, Carlos; Fuentealba, Rodrigo A.</t>
  </si>
  <si>
    <t>Overexpression of Glutamate Decarboxylase in Mesenchymal Stem Cells Enhances Their Immunosuppressive Properties and Increases GABA and Nitric Oxide Levels</t>
  </si>
  <si>
    <t>The neurotransmitter GABA has been recently identified as a potent immunosuppressive agent that targets both innate and adaptive immune systems and prevents disease progression of several autoimmunity models. Mesenchymal stem cells (MSCs) are self-renewing progenitor cells that differentiate into various cell types under specific conditions, including neurons. In addition, MSC possess strong immunosuppressive capabilities. Upon cytokine priming, undifferentiated MSC suppress T-cell proliferation via cell-to-cell contact mechanisms and the secretion of soluble factors like nitric oxide, prostaglandin E2 and IDO. Although MSC and MSC-derived neuron-like cells express some GABAergic markers in vitro, the role for GABAergic signaling in MSC-mediated immunosuppression remains completely unexplored. Here, we demonstrate that pro-inflammatory cytokines selectively regulate GAD-67 expression in murine bone marrow-MSC. However, expression of GAD-65 is required for maximal GABA release by MSC. Gain of function experiments using GAD-67 and GAD-65 co-expression demonstrates that GAD increases immunosuppressive function in the absence of pro-inflammatory licensing. Moreover, GAD expression in MSC evokes an increase in both GABA and NO levels in the supernatants of co-cultured MSC with activated splenocytes. Notably, the increase in NO levels by GAD expression was not observed in cultures of isolated MSC expressing GAD, suggesting crosstalk between these two pathways in the setting of immunosuppression. These results indicate that GAD expression increases MSC-mediated immunosuppression via secretion of immunosuppressive agents. Our findings may help reconsider GABAergic activation in MSC for immunological disorders.</t>
  </si>
  <si>
    <t>CARRION, FLAVIO/AAP-7907-2021; Figueroa, Fernando E./AAO-5228-2020</t>
  </si>
  <si>
    <t>Figueroa, Fernando E./0000-0002-9387-094X; Irarrazabal, Carlos Ernesto/0000-0002-6538-5314; Kurte, Monica/0000-0001-5107-5676; Vega-Letter, Ana Maria/0000-0001-9259-8174; Carrion, Flavio/0000-0002-4086-6867; Fuentealba, Rodrigo/0000-0001-8724-091X</t>
  </si>
  <si>
    <t>e0163735</t>
  </si>
  <si>
    <t>10.1371/journal.pone.0163735</t>
  </si>
  <si>
    <t>WOS:000383893500064</t>
  </si>
  <si>
    <t>González-Muñoz, A; Montero, B; Enrione, J; Matiacevich, S</t>
  </si>
  <si>
    <t>Gonzalez-Munoz, Adrian; Montero, Bernabe; Enrione, Javier; Matiacevich, Silvia</t>
  </si>
  <si>
    <t>Rapid prediction of moisture content of quinoa (Chenopodium quinoa Willd.) flour by Fourier transform infrared (FTIR) spectroscopy</t>
  </si>
  <si>
    <t>JOURNAL OF CEREAL SCIENCE</t>
  </si>
  <si>
    <t>Moisture content determination on quinoa flour is actually performed by gravimetric analysis, which is time, energy consuming and sample destructive. An emerging technique to measure moisture in an innovative way avoiding those problems is the Fourier transform infrared (FTIR) spectroscopy. The aim of this study is to obtain a trustable and validated model to predict moisture content of quinoa flour using FTIR. To perform the moisture measurements in five quinoa ecotypes, a gravimetric data and area under the curve obtained by FTIR, considering the OH peak associated to water (3200 cm(-1)), were compared at five different relative humidities (0, 33, 58, 75 and 100%). A good correlation between gravimetric measurements and FfIR area were observed (R-2 = 0.8729) and no differences were observed between quinoa ecotypes. A cross validation technique to predict moisture considering experimental and predicted data by area under de curve by FTIR was performed obtaining a general equation (y = 35.73x + 46.04) with a high repetitively and good prediction (100%) of the tested models. (C) 2016 Elsevier Ltd. All rights reserved.</t>
  </si>
  <si>
    <t>Enrione, Javier/I-9225-2014; Gonzalez-Muñoz, Adrian/GOK-1800-2022</t>
  </si>
  <si>
    <t>Enrione, Javier/0000-0002-3916-6775; Gonzalez M, Adrian/0000-0001-6284-6552</t>
  </si>
  <si>
    <t>0733-5210</t>
  </si>
  <si>
    <t>1095-9963</t>
  </si>
  <si>
    <t>10.1016/j.jcs.2016.09.006</t>
  </si>
  <si>
    <t>WOS:000391898800034</t>
  </si>
  <si>
    <t>Bustos, C; Herrera, CG; Celentano, D; Chen, DM; Cruchaga, M</t>
  </si>
  <si>
    <t>Bustos, Claudio; Garcia Herrera, Claudio; Celentano, Diego; Chen, Daming; Cruchaga, Marcela</t>
  </si>
  <si>
    <t>Numerical Simulation and Experimental Validation of the Inflation Test of Latex Balloons</t>
  </si>
  <si>
    <t>LATIN AMERICAN JOURNAL OF SOLIDS AND STRUCTURES</t>
  </si>
  <si>
    <t>Experiments and modeling aimed at assessing the mechanical response of latex balloons in the inflation test are presented. To this end, the hyperelastic Yeoh material model is firstly characterized via tensile test and, then, used to numerically simulate via finite elements the stress-strain evolution during the inflation test. The numerical pressure-displacement curves are validated with those obtained experimentally. Moreover, this analysis is extended to a biomedical problem of an eyeball under glaucoma conditions.</t>
  </si>
  <si>
    <t>chen, daming/KIC-9013-2024; García-Herrera, Claudio/ABE-8991-2020; Celentano, Diego/JQW-5027-2023; Cruchaga, Marcela/M-7522-2014</t>
  </si>
  <si>
    <t>1679-7825</t>
  </si>
  <si>
    <t>10.1590/1679-78252622</t>
  </si>
  <si>
    <t>WOS:000387963500006</t>
  </si>
  <si>
    <t>Herrera-Acuña, R; Argyriou, V; Velastin, SA</t>
  </si>
  <si>
    <t>Herrera-Acuna, Raul; Argyriou, Vasileios; Velastin, Sergio A.</t>
  </si>
  <si>
    <t>A Kinect-based 3D hand-gesture interface for 3D databases</t>
  </si>
  <si>
    <t>JOURNAL ON MULTIMODAL USER INTERFACES</t>
  </si>
  <si>
    <t>The use of natural interfaces improves significantly aspects related to human-computer interaction and consequently the productivity and the overall performance. In this paper we present a novel framework to interact with data elements presented in a 3D space. The system provides two mechanisms to interact using 2D and 3D gestures based on data provided by Kinect and on hand detection and gesture interpretation algorithms. The proposed architecture is analysed indicating that 3D interaction with information is possible, and provides advantages over a 2D interaction over the same problem. Finally, two sets of experiments were performed to evaluate 2D and 3D interaction styles based on natural interfaces focusing on traditional interaction with 3D databases.</t>
  </si>
  <si>
    <t>Herrera-Acuna, Raul/0000-0002-8832-8419; Argyriou, Vasileios/0000-0003-4679-8049; VELASTIN, SERGIO ALEJANDRO/0000-0001-6775-7137</t>
  </si>
  <si>
    <t>1783-7677</t>
  </si>
  <si>
    <t>1783-8738</t>
  </si>
  <si>
    <t>10.1007/s12193-014-0173-0</t>
  </si>
  <si>
    <t>WOS:000354258100003</t>
  </si>
  <si>
    <t>Quezada, LE; Lopez-Ospina, HA</t>
  </si>
  <si>
    <t>Quezada, Luis E.; Lopez-Ospina, Hector A.</t>
  </si>
  <si>
    <t>A method for designing a strategy map using AHP and linear programming</t>
  </si>
  <si>
    <t>This paper presents a method to support the identification of the cause-effect relationships of strategic objectives of a strategy map of a balanced scorecard. A strategy map contains the strategic objectives of an organization, grouped into four perspectives (a) finances, (b) clients, (c) internal processes and (d) growth and learning, all of them linked through cause-effect relationships. The issue addressed in this paper is the identification of those relationships, topic in which the existing literature is scarce. A previous work was revisited, which uses the Analytic Hierarchy Process (AHP) to establish the importance of the arcs (relationships) of a strategy map. That work then deletes those arcs with an importance lower than a given threshold level defined by the authors. This paper goes beyond by selecting the arcs using a multi-objective linear programming model (LP). The model has two objectives (a) to minimize the number of selected relationships and (b) to maximize the total importance of the selected relationships. It is interested to see that a trade-off between both objectives is produced, so a control variable is used to incorporate the importance given to both objectives by managers. The paper also shows some applications of the method and their analysis. (C) 2014 Elsevier B.V. All rights reserved.</t>
  </si>
  <si>
    <t>Quezada, Luis/0000-0003-1364-9266; Lopez-Ospina, Hector/0000-0001-8144-6394</t>
  </si>
  <si>
    <t>10.1016/j.ijpe.2014.08.008</t>
  </si>
  <si>
    <t>WOS:000345729500023</t>
  </si>
  <si>
    <t>Ríos-Rojas, L; Tapia, F; Gurovich, LA</t>
  </si>
  <si>
    <t>Rios-Rojas, Liliana; Tapia, Franco; Gurovich, Luis A.</t>
  </si>
  <si>
    <t>Electrophysiological assessment of water stress in fruit-bearing woody plants</t>
  </si>
  <si>
    <t>JOURNAL OF PLANT PHYSIOLOGY</t>
  </si>
  <si>
    <t>Development and evaluation of a real-time plant water stress sensor, based on the electrophysiological behavior of fruit-bearing woody plants is presented. Continuous electric potentials are measured in tree trunks for different irrigation schedules, inducing variable water stress conditions; results are discussed in relation to soil water content and micro-atmospheric evaporative demand, determined continuously by conventional sensors, correlating this information with tree electric potential measurements. Systematic and differentiable patterns of electric potentials for water-stressed and no-stressed trees in 2 fruit species are presented. Early detection and recovery dynamics of water stress conditions can also be monitored with these electrophysiology sensors, which enable continuous and non-destructive measurements for efficient irrigation scheduling throughout the year. The experiment is developed under controlled conditions, in Faraday cages located at a greenhouse area, both in Persea americana and Prunus domestica plants. Soil moisture evolution is controlled using capacitance sensors and solar radiation, temperature, relative humidity, wind intensity and direction are continuously registered with accurate weather sensors, in a micro-agrometeorological automatic station located at the experimental site. The electrophysiological sensor has two stainless steel electrodes (measuring/reference), inserted on the stem; a high precision Keithley 2701 digital multimeter is used to measure plant electrical signals; an algorithm written in MatLab, allows correlating the signal to environmental variables. An electric cyclic behavior is observed (circadian cycle) in the experimental plants. For non-irrigated plants, the electrical signal shows a time positive slope and then, a negative slope after restarting irrigation throughout a rather extended recovery process, before reaching a stable electrical signal with zero slope. Well-watered plants presented a continuous signal with daily maximum and a minimum EP of similar magnitude in time, with zero slope. This plant electrical behavior is proposed for the development of a sensor measuring real-time plant water status. (C) 2014 Elsevier GmbH. All rights reserved.</t>
  </si>
  <si>
    <t>Tapia, Franco/JFJ-2655-2023</t>
  </si>
  <si>
    <t>Tapia Uribe, Franco/0000-0001-9150-3700</t>
  </si>
  <si>
    <t>0176-1617</t>
  </si>
  <si>
    <t>1618-1328</t>
  </si>
  <si>
    <t>10.1016/j.jplph.2014.02.005</t>
  </si>
  <si>
    <t>WOS:000345628400003</t>
  </si>
  <si>
    <t>Reyes-Guerrero, JC; Mariscal, LA</t>
  </si>
  <si>
    <t>Reyes-Guerrero, J. C.; Mariscal, L. A.</t>
  </si>
  <si>
    <t>5.8 GHz propagation of low-height wireless links in sea port scenario</t>
  </si>
  <si>
    <t>ELECTRONICS LETTERS</t>
  </si>
  <si>
    <t>Experimental fading measurements were performed in Cadiz Bay, Spain, for a variety of operational scenarios over the sea at the unlicensed 5.8 GHz frequency band. Measurements are based on continuous wave (CW) transmissions with both the transmitter and the receiver installed in typical low-height maritime platforms, such as oceanographic buoys, military ships and boats. Based on the measurements, large-scale and small-scale fading statistics are characterised by cumulative distribution functions (CDFs) and key wireless channel parameters are estimated and discussed. Results show, first, that large-scale fading can be modelled using classical log-normal path-loss models and, secondly, that small-scale fading statistics fits the extreme value distribution (EVD) function when they are expressed in decibel units. This study can be used for practical planning of wireless communications in maritime applications and as an experimental basis for further simulation works.</t>
  </si>
  <si>
    <t>0013-5194</t>
  </si>
  <si>
    <t>1350-911X</t>
  </si>
  <si>
    <t>10.1049/el.2014.0098</t>
  </si>
  <si>
    <t>WOS:000335565800038</t>
  </si>
  <si>
    <t>Vidal, RR; Carson, EW; Gold, JR</t>
  </si>
  <si>
    <t>Vidal, R. R.; Carson, E. W.; Gold, J. R.</t>
  </si>
  <si>
    <t>Population structure in Chilean hake Merluccius gayi as revealed by mitochondrial DNA sequences</t>
  </si>
  <si>
    <t>JOURNAL OF FISH BIOLOGY</t>
  </si>
  <si>
    <t>Genetic variation and divergence among samples of Chilean hake Merluccius gayi, from three localities off the coast of Chile and one locality off the coast of northern Peru, were assessed using sequences from the control region of mitochondrial DNA. Homogeneity tests revealed occurrence of at least three distinct genetic stocks of M. gayi within the region sampled. Factors potentially contributing to genetic divergence among M. gayi probably include hydrodynamics and behaviour.</t>
  </si>
  <si>
    <t>Carson, Evan W./AAD-6482-2021</t>
  </si>
  <si>
    <t>Carson, Evan W./0000-0001-5502-9984</t>
  </si>
  <si>
    <t>0022-1112</t>
  </si>
  <si>
    <t>1095-8649</t>
  </si>
  <si>
    <t>10.1111/j.1095-8649.2012.03440.x</t>
  </si>
  <si>
    <t>WOS:000309452800020</t>
  </si>
  <si>
    <t>Lavín, R; Gallardo, C; Palma, JL; Escrig, J; Denardin, JC</t>
  </si>
  <si>
    <t>Lavin, R.; Gallardo, C.; Palma, J. L.; Escrig, J.; Denardin, J. C.</t>
  </si>
  <si>
    <t>Angular dependence of the coercivity and remanence of ordered arrays of Co nanowires</t>
  </si>
  <si>
    <t>The angular dependence of the coercivity and remanence of ordered hexagonal arrays of Co nanowires prepared using anodic aluminum oxide templates was investigated. The experimental evolution of coercivity as a function of the angle, in which the external field is applied, is interpreted considering micromagnetic simulations. Depending on the angle between the axis of the wire and the applied magnetic field direction our results show that the magnetization reversal mode changes from vortex to a transverse domain wall. Besides, we observed that the dipolar interactions cause a reduction in coercive fields, mainly in the direction of easy magnetization of the nanowires. Good agreement between numerical and experimental data is obtained. (C) 2012 Elsevier B.V. All rights reserved.</t>
  </si>
  <si>
    <t>Palma, Juan/IAP-4554-2023; Denardin, Juliano/S-6407-2019; Escrig, Juan/N-4304-2015</t>
  </si>
  <si>
    <t>Denardin, Juliano/0000-0002-1373-6207; Escrig, Juan/0000-0002-3958-8185; Palma, JuanLuis/0000-0003-2068-174X</t>
  </si>
  <si>
    <t>10.1016/j.jmmm.2012.02.125</t>
  </si>
  <si>
    <t>WOS:000302784700006</t>
  </si>
  <si>
    <t>Weiss, VVG; López, MSE; Medina, LHB</t>
  </si>
  <si>
    <t>Geldres Weiss, Valeska Viola; Etchebarne Lopez, Maria Soledad; Bustos Medina, Luis H.</t>
  </si>
  <si>
    <t>THE IMPACT OF GOVERNMENTAL EXPORT PROMOTION ON THE FIRM'S EXPORT PERFORMANCE</t>
  </si>
  <si>
    <t>This study evaluates the impact of one of the public policy instruments for export promotion, the Export Marketing Assistance (EMA), on the firm's export performance. EMA instruments have been present in Chile since 1974, and are used internationally in both developed and developing countries. A meta-analytic review of the literature resulting from EMA empirical research in the international marketing area is undertaken. The study takes place in a specific region of Chile, La Araucania, measuring a group of 73 exporting firms, mainly SMEs in the forestry and agricultural sectors. The data from the study cover the period 2002-2005. DID Matching is used. The results show that the utilization of the EMA instruments in general, has had a positive impact on the amount of exports from regional firms. However, most of the results are not statistically significant. The results show a statistically significant and positive relation between the internationalization stage and export performance.</t>
  </si>
  <si>
    <t>Geldres-Weiss, Valeska/C-8673-2015</t>
  </si>
  <si>
    <t>WOS:000293372400003</t>
  </si>
  <si>
    <t>What Do We Talk About When We Talk About Corruption?</t>
  </si>
  <si>
    <t>JOURNAL OF LAW ECONOMICS &amp; ORGANIZATION</t>
  </si>
  <si>
    <t>In this article, we analyze the behavior of three objective measures of corruption: absolute corruption incidence, relative corruption incidence, and corruption rents. We present a theoretical model of bribery and investment in which these measures of corruption are defined and compared. We then study the changes that arise when key parameters of the model change and show that, under identical circumstances, the behavior of any particular corruption measure can differ completely from the behavior of the other measures. Furthermore, in our model high and low corruption lead to two types of equilibria. We show that the behavior of all three measures can vary substantially when the type of equilibrium changes.</t>
  </si>
  <si>
    <t>8756-6222</t>
  </si>
  <si>
    <t>1465-7341</t>
  </si>
  <si>
    <t>10.1093/jleo/ewp003</t>
  </si>
  <si>
    <t>WOS:000283673900003</t>
  </si>
  <si>
    <t>Osorio-Román, IO; Aroca, RF; Astudillo, J; Matsuhiro, B; Vásquez, C; Pérez, JM</t>
  </si>
  <si>
    <t>Osorio-Roman, I. O.; Aroca, R. F.; Astudillo, J.; Matsuhiro, B.; Vasquez, C.; Perez, J. M.</t>
  </si>
  <si>
    <t>Characterization of bacteria using its O-antigen with surface-enhanced Raman scattering</t>
  </si>
  <si>
    <t>ANALYST</t>
  </si>
  <si>
    <t>The O-antigen determines the specificity of bacterial serotype, a sort of bacterial fingerprinting. In this work we report the extraction, purification and characterization of the O-antigen of two pathogenic bacteria, Escherichia coli O16 and Salmonella typhimurium. Molecular fingerprints found in the vibrational spectra represent a powerful analytical technique for identification (or differentiation) of molecular moieties in complex systems such as pathogens. In addition, advantages of vibrational Raman scattering are unique thanks to the high sensitivity and specificity achieved via surface-enhanced Raman scattering (SERS). SERS is used here to take advantage of characteristic vibrational frequency differences of O-antigens, thus allowing bacterial differentiation. Characteristic fundamental vibrational modes associated with the monosaccharide N-acetylglucosamine and deformations of the O-antigen chains provide the main spectroscopic differences between the O-antigens of E. coli O16 and S. typhimurium.</t>
  </si>
  <si>
    <t>Osorio, Igor/AEX-9230-2022; Perez-Donoso, Jose/G-3668-2013</t>
  </si>
  <si>
    <t>Osorio-Roman, Igor/0000-0001-7502-8698; Perez-Donoso, Jose/0000-0002-9506-1716</t>
  </si>
  <si>
    <t>0003-2654</t>
  </si>
  <si>
    <t>1364-5528</t>
  </si>
  <si>
    <t>10.1039/c0an00061b</t>
  </si>
  <si>
    <t>WOS:000280087000022</t>
  </si>
  <si>
    <t>Oyarzun, MS; Gonzalez, S; Mendoza, M; Ferrarotti, F; Chacon, M; Marin, M</t>
  </si>
  <si>
    <t>Sloot, PMA; Albada, GDV; Dongarra, J</t>
  </si>
  <si>
    <t>ICCS</t>
  </si>
  <si>
    <t>Oyarzun, Mauricio S.; Gonzalez, Senen; Mendoza, Marcelo; Ferrarotti, Flavio; Chacon, Max; Marin, Mauricio</t>
  </si>
  <si>
    <t>A vector model for routing queries in web search engines</t>
  </si>
  <si>
    <t>ICCS 2010 - INTERNATIONAL CONFERENCE ON COMPUTATIONAL SCIENCE, PROCEEDINGS</t>
  </si>
  <si>
    <t>International Conference on Computational Science (ICCS)</t>
  </si>
  <si>
    <t>MAY 31-JUN 02, 2010</t>
  </si>
  <si>
    <t>Univ Amsterdam, Amsterdam, NETHERLANDS</t>
  </si>
  <si>
    <t>NWO, Netherlands Org Sci Res,KNAW, Royal Netherlands Acad Arts &amp; Sci,Elsevier,Univ Amsterdam</t>
  </si>
  <si>
    <t>Univ Amsterdam</t>
  </si>
  <si>
    <t>This paper proposes a method for reducing the number of search nodes involved in the solution of queries arriving to a Web search engine. The method is applied by the query receptionist machine during situations of sudden peaks in query traffic to reduce the load on the search nodes. The experimental evaluation based on actual traces from users of a major search engine, shows that the proposed method outperforms alternative strategies. This is more evident for systems composed of a large number of search nodes which indicates that the method is also more scalable than the alternative strategies. (C) 2010 Published by Elsevier Ltd.</t>
  </si>
  <si>
    <t>Marin, Mauricio/GLR-7700-2022; Oyarzún, Mauricio/AAE-6310-2019; Mendoza, Marcelo/D-2312-2014</t>
  </si>
  <si>
    <t>Ferrarotti, Flavio/0000-0003-2278-8233; Mendoza, Marcelo/0000-0002-7969-6041; Marin, Mauricio/0000-0003-0662-7149</t>
  </si>
  <si>
    <t>10.1016/j.procs.2010.04.049</t>
  </si>
  <si>
    <t>WOS:000281951600048</t>
  </si>
  <si>
    <t>Suazo, M; Del Pozo, T; Gutiérrez, R; Orellana, C; González, M</t>
  </si>
  <si>
    <t>Suazo, Miriam; Del Pozo, Talia; Gutierrez, Ricardo; Orellana, Cristobal; Gonzalez, Mauricio</t>
  </si>
  <si>
    <t>Physiological Copper Exposure in Human Mononuclear Cells Induces Changes in the Expression of Genes Encoding Copper Metabolism and Cholesterogenic Proteins</t>
  </si>
  <si>
    <t>JOURNAL OF NUTRIGENETICS AND NUTRIGENOMICS</t>
  </si>
  <si>
    <t>Gonzalez, Mauricio/I-2772-2013</t>
  </si>
  <si>
    <t>1661-6499</t>
  </si>
  <si>
    <t>WOS:000284126800148</t>
  </si>
  <si>
    <t>Márquez, FB; Pérez, FP</t>
  </si>
  <si>
    <t>Marquez, Francisca B.; Perez, Francisca P.</t>
  </si>
  <si>
    <t>Spatial frontiers and neo-communitarian identities in the city:: The case of Santiago de Chile</t>
  </si>
  <si>
    <t>URBAN STUDIES</t>
  </si>
  <si>
    <t>This article analyses the different, yet similar, processes of identity-building used by poor and middle-income inhabitants of Santiago, Chile. It is suggested that these identity-building processes express the current type of urban segregation in this city and point to a weakening of the previously predominant model, which was based on the acceptance of social differences and daily exchanges between these sectors. Additionally, it is contended that the notion of 'public space' and values, such as (political) citizenship and social integration, have weakened. Paradoxically, this 'new' urban segregation has paved the way for a practice of neo-communitarian lifestyles, which supposedly reinforce the value of 'us' and protect this 'us' from the danger posed by 'them'.</t>
  </si>
  <si>
    <t>Pérez, Francisca/KPH-0503-2024</t>
  </si>
  <si>
    <t>Marquez, Francisca/0000-0002-9479-0001</t>
  </si>
  <si>
    <t>0042-0980</t>
  </si>
  <si>
    <t>1360-063X</t>
  </si>
  <si>
    <t>10.1177/0042098008090684</t>
  </si>
  <si>
    <t>WOS:000256195500007</t>
  </si>
  <si>
    <t>Pedreschi, F; Mery, D; Marique, T</t>
  </si>
  <si>
    <t>Sun, DW</t>
  </si>
  <si>
    <t>Pedreschi, Franco; Mery, Domingo; Marique, Thierry</t>
  </si>
  <si>
    <t>Grading of Potatoes</t>
  </si>
  <si>
    <t>COMPUTER VISION TECHNOLOGY FOR FOOD QUALITY EVALUATION</t>
  </si>
  <si>
    <t>Food Science and Technology-International Series</t>
  </si>
  <si>
    <t>978-0-08-055624-6; 978-0-12-373642-0</t>
  </si>
  <si>
    <t>10.1016/B978-012373642-0.50016-8</t>
  </si>
  <si>
    <t>WOS:000310957500014</t>
  </si>
  <si>
    <t>Aspée, A; Bar-Magen, T; Villareal, JM; Mikelsons, L; Saavedra, C; Scaiano, JC</t>
  </si>
  <si>
    <t>Aspee, Alexis; Bar-Magen, Tamara; Villareal, Jose Miguel; Mikelsons, Larisa; Saavedra, Claudia; Scaiano, J. C.</t>
  </si>
  <si>
    <t>Permeability and localization of nitroxide pre-fluorescent probes in epithelial cells</t>
  </si>
  <si>
    <t>European Meeting of the Society-for-Free-Radical-Research-Europe (SFRR-Europe)</t>
  </si>
  <si>
    <t>OCT 10-13, 2007</t>
  </si>
  <si>
    <t>Vilamoura, PORTUGAL</t>
  </si>
  <si>
    <t>Soc Free Rad Res Europe,Portuguese Grp Free Rad,Spanish Grp Free Rad</t>
  </si>
  <si>
    <t>S17</t>
  </si>
  <si>
    <t>WOS:000252296300047</t>
  </si>
  <si>
    <t>Fernández, C; Lujano, E; Macias, U; Marcano, J; Baricelli, PJ; Longo, C; Moya, SA; Solórzano, MG; Ortega, MC; Pardey, AJ</t>
  </si>
  <si>
    <t>Catalytic reduction of 4-nitrobenzoic acid by cis-[Rh(CO)2(amine)2](PF6) complexes under water-gas shift reaction conditions:: kinetics study</t>
  </si>
  <si>
    <t>Rhodium(I) complexes of the type, cis-[Rh(CO)(2)(amine)(2)](PF6) where (amine = 3-picoline, 2-picoline, pyridine, 2,6-lutidina or 3,5-lutidine) dissolved in 80% aqueous amine solutions catalyzed the selective reduction of 4-nitrobenzoic acid to 4-aminobenzoic acid under CO atmosphere. The importance of these catalytic systems is their high chemo selectivity for the aromatic nitro group of the 4-nitrobenzoic acid with respect to the carboxylic group, allowing the production of the desired aromatic amine in high yields. The 4-aminobenzoic acid production depends on the nature of the coordinated amine. The Rh/3,5-lutidine system, the most active catalyst among tested, displays turnover frequencies for 4-aminobenzoic acid production of about 173 moles per mole Rh per day for [Rh] = 1 x 10(-4) mol, [4-nitrobenzoic acid] = 3.82 x 10(-3) mol, 10 mL of 80% aqueous 3,5-lutidine, P(CO) = 0.9 atm at 100 degreesC. Analyses of kinetic results for the Rh/3,5-lutidine system show a first order dependence on 4-nitrobenzoic acid concentration, a non-linear dependence on CO pressure, a segmented Arrhenius plot and dependence on the nature of the reducing gas agent. These data are discussed in terms of a possible mechanism.</t>
  </si>
  <si>
    <t>Macías-Cruz, Ulises/K-2283-2017</t>
  </si>
  <si>
    <t>10.1023/B:CATL.0000027287.78214.bf</t>
  </si>
  <si>
    <t>WOS:000221338900007</t>
  </si>
  <si>
    <t>Campos, AM; Sotomayor, CP; Pino, E; Lissi, E</t>
  </si>
  <si>
    <t>A pyranine based procedure for evaluation of the total antioxidant potential (TRAP) of polyphenols. A comparison with closely related methodologies</t>
  </si>
  <si>
    <t>Vinsalud Chile 2002 Wine and Health International Congress</t>
  </si>
  <si>
    <t>OCT, 2002</t>
  </si>
  <si>
    <t>A novel procedure for the evaluation of total reactive antioxidant potentials (TRAP) is described. The method is based on the measurement of the bleaching of pyranine by peroxyl radicals. The addition of the antioxidants produces a clear induction time whose magnitude is directly related to the antioxidant concentration. A comparison of the values obtained with those reported employing closely related methodologies shows that the results are significantly affected by the substrate employed to monitor the steady state free radical concentration. Possible Sources of this dependence are discussed.</t>
  </si>
  <si>
    <t>Pino, Eduardo Francisco/0000-0002-7851-3952</t>
  </si>
  <si>
    <t>WOS:000224112200015</t>
  </si>
  <si>
    <t>Ratkevicius, N; Correa, JA; Moenne, A</t>
  </si>
  <si>
    <t>Copper accumulation, synthesis of ascorbate and activation of ascorbate peroxidase in Enteromorpha compressa (L.) Grev. (Chlorophyta) from heavy metal-enriched environments in northern Chile</t>
  </si>
  <si>
    <t>Enteromorpha compressa is the dominant species in coastal areas of northern Chile receiving copper mine wastes. Copper remains as the main heavy metal in these coastal waters and it is accumulated in E. compressa growing at the impacted sites. Algae from these sites showed higher levels of lipoperoxides than from non-impacted sites, which suggests the occurrence of cellular damage resulting from oxidative stress. The strong activation of ascorbate peroxidase detected in this study probably occurs in order to buffer this oxidative stress. Unexpectedly, the activity of glutathione reductase, normally coupled to ascorbate peroxidase activity, was not affected by the chronic exposure to the mine wastes. Moreover, catalase, dehydroascorbate reductase and glutathione peroxidase, commonly reported to buffer oxidative stress in plants and algae, were not detected in E. compressa from any of the studied sites. Levels of total glutathione and phenolic compounds decreased in algae from mine-impacted sites. In contrast, high levels of dehydroascorbate were found in algae from impacted sites, whereas ascorbate remained unchanged. Therefore, it is suggested that E. compressa tolerates a copper-enriched environment, and the accompanying oxidative stress, through the accumulation of copper, activation of ascorbate peroxidase, synthesis of ascorbate ( accumulated as dehydroascorbate) and consumption of glutathione and water-soluble phenolic compounds.</t>
  </si>
  <si>
    <t>10.1046/j.1365-3040.2003.01073.x</t>
  </si>
  <si>
    <t>WOS:000185536000001</t>
  </si>
  <si>
    <t>Paez, MA; Sandoval, A; Sepulveda, Y; Monsalve, A; Skeldon, P; Thompson, GE; Zhou, X</t>
  </si>
  <si>
    <t>Anodic oxidation of Al-Ag alloys</t>
  </si>
  <si>
    <t>CORROSION SCIENCE</t>
  </si>
  <si>
    <t>The anodic oxidation of solution-treated and quenched Al-Ag alloys containing 0.3, 0.6, 0.9 and 1.2 at.%Ag, is examined in ammonium pentaborate electrolyte, which leads to growth of barrier-type anodic films. Enrichments of silver, similar to3.1 x 10(15) Ag atoms cm(-2), are developed in the alloys immediately beneath the amorphous alumina films, with the level of enrichment not depending significantly upon the composition of the bulk alloy. The enrichment is relatively low due to clustering of silver atoms in the bulk alloy, which reduces the concentration of silver that is available to enrich from solid solution. Silver species are incorporated into the anodic film, where they migrate outward faster than Al3+ ions. (C) 2002 Elsevier Science Ltd. All rights reserved.</t>
  </si>
  <si>
    <t>Pappas, Georgios/F-7194-2014; Paez, Maritza/M-2010-2014; Zhou, Xiaorong/M-3600-2014</t>
  </si>
  <si>
    <t>Monsalve, Alberto/0000-0002-5772-8815; paez, maritza/0000-0001-5881-884X; Zhou, Xiaorong/0000-0001-9943-3997</t>
  </si>
  <si>
    <t>0010-938X</t>
  </si>
  <si>
    <t>PII S0010-938X(02)00084-7</t>
  </si>
  <si>
    <t>10.1016/S0010-938X(02)00084-7</t>
  </si>
  <si>
    <t>WOS:000178148800014</t>
  </si>
  <si>
    <t>Gramsch, E; Lynn, KG; Throwe, J; Kanazawa, I</t>
  </si>
  <si>
    <t>Positron diffusion in solid and liquid metals</t>
  </si>
  <si>
    <t>We made a systematic study of the diffusion of positrons in several liquid and solid metals with a vertical positron beam. Several interesting effects have been observed by studying the line shape parameter S, the fraction of positronium formed at the surface, and the diffusion length of positrons in liquids. The S parameter and the fraction of positronium created and released at the surface (F parameter) were measured as a function of temperature in the solid and liquid phases of Ga, Bi, Na, Sn, In, and Pb. An appreciable change just below or across the melting point in the S parameter was measured in metals where positron trapping has not been observed (Ga, Bi, and Sn). In metals where positron trapping occurs in the solid phase. there is a small change or none in the S parameter (Pb and In), which indicates that there is only a small change in the nature of the traps. Positron trapping was seen in all the liquid metals, indicating that they have a high density of defect like sites that trap positrons. The diffusion length of positrons in the Liquid was extracted from the experimental data. In Ga, Bi, and Sn, there is a large drop in the diffusion length upon melting, in Pb and Int only a small change or none is seen. In all liquid metals the diffusion length increases as the temperature increases, suggesting that diffusion is related to trapping in temporary fluctuations in the liquid's structure. The positron moves from fluctuation to fluctuation. The size of the traps strongly depends on temperature, and so when it increases, the positron's hopping motion increases. We also measured the reemitted energy spectra of positrons from liquid and solid surfaces. No appreciable change was seen with increasing temperature or when the metals melted.</t>
  </si>
  <si>
    <t>Gramsch, Ernesto/M-5507-2017</t>
  </si>
  <si>
    <t>Gramsch, Ernesto/0000-0002-6787-7355</t>
  </si>
  <si>
    <t>10.1103/PhysRevB.59.14282</t>
  </si>
  <si>
    <t>WOS:000080780700022</t>
  </si>
  <si>
    <t>Mediavilla, M; Pineda, D; Lopez, F; Moronta, D; Longo, C; Moya, SA; Baricelli, PJ; Pardey, AJ</t>
  </si>
  <si>
    <t>Homogeneous catalysis of the water-gas shift reaction by copper complexes in aqueous substituted pyridine solutions</t>
  </si>
  <si>
    <t>Homogeneous catalysis of the water-gas shift reaction has been accomplished by the use of solutions of CuCl2 . 2H(2)O in aqueous pyridine and other substituted pyridine (methyl pyridines or dimethylpyridine) solutions. This system is stable, low active catalyst displaying turnover frequencies for hydrogen production (TF(H-2)) of about 6 moles H-2 per mole Cu per day for [Cu] = 20 mM, P(CO)= 1.9 atm and T = 120 degrees. (C) 1998 Elsevier Science Ltd. All rights reserved.</t>
  </si>
  <si>
    <t>10.1016/S0277-5387(97)00465-8</t>
  </si>
  <si>
    <t>WOS:000073948100004</t>
  </si>
  <si>
    <t>Zabalgogeazcoa, I; deBlas, C; Cabaleiro, C; Segura, A; Ponz, F</t>
  </si>
  <si>
    <t>First report of grapevine virus A in Spain.</t>
  </si>
  <si>
    <t>PLANT DISEASE</t>
  </si>
  <si>
    <t>Zabalgogeazcoa, Inigo/F-9523-2016; Ponz, Fernando/J-8861-2014</t>
  </si>
  <si>
    <t>Zabalgogeazcoa, Inigo/0000-0002-9524-7799; Ponz, Fernando/0000-0003-0344-4363</t>
  </si>
  <si>
    <t>0191-2917</t>
  </si>
  <si>
    <t>1943-7692</t>
  </si>
  <si>
    <t>10.1094/PDIS.1997.81.7.830B</t>
  </si>
  <si>
    <t>WOS:A1997XN28600030</t>
  </si>
  <si>
    <t>Estiu, GL; Jubert, AH; Costamagna, J; Vargas, J</t>
  </si>
  <si>
    <t>Quantum chemical calculations of the structures and electronic properties of N,N'-bis(3,5-dibromosalicylidene)-1,2-diaminobenzene and its cobalt(II) complex. Origin of the redox activity of the cobalt complex</t>
  </si>
  <si>
    <t>1520-510X</t>
  </si>
  <si>
    <t>JAN 3</t>
  </si>
  <si>
    <t>10.1021/ic950219s</t>
  </si>
  <si>
    <t>WOS:A1996TP07200046</t>
  </si>
  <si>
    <t>CAMESELLETEIJEIRO, J; VARELADURAN, J; VILLANUEVA, JP</t>
  </si>
  <si>
    <t>SOLID CELL NESTS OF THE THYROID - REPLY</t>
  </si>
  <si>
    <t>HUMAN PATHOLOGY</t>
  </si>
  <si>
    <t>0046-8177</t>
  </si>
  <si>
    <t>10.1016/0046-8177(95)90020-9</t>
  </si>
  <si>
    <t>WOS:A1995RN51900021</t>
  </si>
  <si>
    <t>ARAVENA, JL; PORTER, WA</t>
  </si>
  <si>
    <t>MULTIDIMENSIONAL APERTURE CONTROL</t>
  </si>
  <si>
    <t>IEEE TRANSACTIONS ON AUTOMATIC CONTROL</t>
  </si>
  <si>
    <t>0018-9286</t>
  </si>
  <si>
    <t>10.1109/TAC.1984.1103443</t>
  </si>
  <si>
    <t>WOS:A1984TV12600014</t>
  </si>
  <si>
    <t>Escobar-Farfán, M; Cervera-Taulet, A; Schlesinger, W</t>
  </si>
  <si>
    <t>Escobar-Farfan, Manuel; Cervera-Taulet, Amparo; Schlesinger, Walesska</t>
  </si>
  <si>
    <t>Destination brand identity: challenges, opportunities, and future research agenda</t>
  </si>
  <si>
    <t>COGENT SOCIAL SCIENCES</t>
  </si>
  <si>
    <t>Destination brand identity has become a crucial topic in tourism research, garnering considerable significance recently. This study aims to provide a scholarly contribution by conducting a bibliometric mapping analysis, specifically focusing on identifying areas that will significantly impact future research. The research uses SciMAT software to structure various topics into clusters based on their similarities and scientifically map them. The data sample comprises 295 papers published in the SCOPUS database between 1995 and 2022. The findings show the evolutionary structure of pertinent domains. The analysis identified eight main themes and proposed a research agenda to guide future lines of research: (a) tourist destination, (b) communications and digital technologies, (c) co-creation; (d) place branding, (e) cultural identity, (f) sustainable destination, (g) dimensionality, and (h) destination satisfaction. This article is a pioneering document in mapping this field of research, as it identifies relevant areas and sub-areas for current and future research. As a result, this article should be considered a guide for tourism and hospitality researchers.</t>
  </si>
  <si>
    <t>Escobar Farfán, Manuel/HJH-8388-2023; Schlesinger, Walesska/L-3307-2014; Cervera-Taulet, Amparo/K-8590-2012</t>
  </si>
  <si>
    <t>Schlesinger, Walesska/0000-0001-5492-2631; Escobar-Farfan, Manuel/0000-0002-2975-7010; Cervera-Taulet, Amparo/0000-0003-2424-2525</t>
  </si>
  <si>
    <t>2331-1886</t>
  </si>
  <si>
    <t>DEC 31</t>
  </si>
  <si>
    <t>10.1080/23311886.2024.2302803</t>
  </si>
  <si>
    <t>WOS:001151134100001</t>
  </si>
  <si>
    <t>Romero-Diaz, SA; Guerrero-Salgado, LF; García-Muñoz, AI; Aedo-Muñoz, E</t>
  </si>
  <si>
    <t>Romero-Diaz, Sol Angie; Guerrero-Salgado, Luz Fanny; Garcia-Munoz, Ana Isabel; Aedo-Munoz, Esteban</t>
  </si>
  <si>
    <t>Characterization of Pulmonary Function in Colombian COVID-19 Survivors</t>
  </si>
  <si>
    <t>IATREIA</t>
  </si>
  <si>
    <t>Introduction: SARS-CoV-2 acutely affects human pulmonary function, and respiratory alterations may persist after overcoming the infection. Objectives: To characterize the pulmonary function among Colombian survivors of COVID-19. Methods: A pilot study was conducted where pulmonary function was assessed using a MiniBoxTM device, aerobic fitness with a six-minute walk test, and fatigue perception with the Multidimensional Fatigue Inventory (MFI-20). Results: Out of an initial group of 70 participants, only 39 completed the study, with a disease course ranging from mild to moderate. Women comprised the majority (51%) of the participants, and no abnormal values were found in pulmonary function. The total fatigue score was 39 +/- 9.2; for general fatigue, it was 5 +/- 0, the same as for physical fatigue (5 +/- 0); for mental fatigue, the score was 8.56 +/- 3.5; for reduced activity, it was 11.2 +/- 2.96, and for reduced motivation, it was 9.38 +/- 4.4. Additionally, the peak oxygen co sumption (VO2 2 peak) was 19.51 ml/kg/min +/- 2.8 ml/kg/min. Conclusions: Pulmonary function and fatigue levels in Colombian COVID-19 survivors residing in Bogot &amp; aacute; who did not require ventilatory support were normal according to the tests performed, while cardiopulmonary fitness was low.</t>
  </si>
  <si>
    <t>Guerrero Salgado, Luz Fanny/KOC-7950-2024; Aedo-Muñoz, Esteban/R-5623-2019</t>
  </si>
  <si>
    <t>ROMERO, SOL ANGIE/0000-0002-8181-3315; GUERRERO SALGADO, LUZ FANNY/0000-0001-9912-6938</t>
  </si>
  <si>
    <t>0121-0793</t>
  </si>
  <si>
    <t>2011-7965</t>
  </si>
  <si>
    <t>10.17533/udea.iatreia.265</t>
  </si>
  <si>
    <t>WOS:001333494300002</t>
  </si>
  <si>
    <t>Ormazábal-Toledo, R; Rezende, MC; Vidal, M</t>
  </si>
  <si>
    <t>Ormazabal-Toledo, Rodrigo; Rezende, Marcos Caroli; Vidal, Matias</t>
  </si>
  <si>
    <t>The Simulation of Solvent Polarizabilities and Dipolarities with Polarizable Continuum Model</t>
  </si>
  <si>
    <t>JOURNAL OF PHYSICAL CHEMISTRY B</t>
  </si>
  <si>
    <t>The ability of polarizable continuum models (PCM) to simulate nonspecific solvent effects (dipolarity and polarizability) was evaluated by calculating the transition energies of 1,1,10,10-tetrabutyldecanonaene (ttbp9) and 2-N,N-dimethylamino-7-nitrofluorene (DMANF), basis of Catalan's polarizability (SP) and dipolarity (SdP) solvent scales, respectively. Time-dependent density-functional theory (TD-DFT) calculations were performed at different levels of theory, employing four basis sets in 10 different solvents, covering the full range of the normalized SP and SdP scales. Transition energies were calculated using linear response (LR) and corrected linear response (cLR2) schemes. Although these methods yielded variable mean absolute errors, the LR-PCM calculations reproduced medium polarizability and dipolarity trends. While calculated ttbp9 transition energies correlated with SP and Laurence's dispersion-induced (DI) scales, the DMANF transition energies correlated poorly with SdP or Laurence's ES dipolarity scales. This result agrees with the fact that DMANF solvatochromism is contaminated by solvent polarizability and HB acidity. The incorporation of SP or DI contributions led to much better (r( 2 )&gt; 0.95) correlations with the DMANF-calculated transitions. The results offer a clearer picture of the limitations of continuum models in simulating the behavior of solvatochromic dyes in solution by pointing out their poor performance when specific solvent effects, such as hydrogen-bond interactions, play a significant role in their solvatochromism.</t>
  </si>
  <si>
    <t>Caroli, Marcos/H-3570-2019; Ormazabal-Toledo, Rodrigo/HSH-6230-2023; Ormazabal-Toledo, Rodrigo/I-2490-2013</t>
  </si>
  <si>
    <t>Vidal, Matias/0000-0003-4888-7926; Ormazabal-Toledo, Rodrigo/0000-0003-1777-0426</t>
  </si>
  <si>
    <t>1520-6106</t>
  </si>
  <si>
    <t>1520-5207</t>
  </si>
  <si>
    <t>JUL 11</t>
  </si>
  <si>
    <t>10.1021/acs.jpcb.4c01521</t>
  </si>
  <si>
    <t>JUL 2024</t>
  </si>
  <si>
    <t>WOS:001277960500001</t>
  </si>
  <si>
    <t>Myriam, P; Braulio, P; Javiera, RA; Claudia, MV; Omar, O; Renato, C; Gloria, L</t>
  </si>
  <si>
    <t>Myriam, Perez; Braulio, Paillavil; Javiera, Rivera-Araya; Claudia, Munoz-Villagran; Omar, Orellana; Renato, Chavez; Gloria, Levican</t>
  </si>
  <si>
    <t>Insights into Systems for Iron-Sulfur Cluster Biosynthesis in Acidophilic Microorganisms</t>
  </si>
  <si>
    <t>JOURNAL OF MICROBIOLOGY AND BIOTECHNOLOGY</t>
  </si>
  <si>
    <t>Fe-S clusters are versatile and essential cofactors that participate in multiple and fundamental biological processes. In Escherichia coli, the biogenesis of these cofactors requires either the housekeeping Isc pathway, or the stress-induced Suf pathway which plays a general role under conditions of oxidative stress or iron limitation. In the present work, the Fe-S cluster assembly Isc and Suf systems of acidophilic Bacteria and Archaea, which thrive in highly oxidative environments, were studied. This analysis revealed that acidophilic microorganisms have a complete set of genes encoding for a single system (either Suf or Isc). In acidophilic Proteobacteria and Nitrospirae, a complete set of isc genes (iscRSUAX-hscBA-fdx), but not genes coding for the Suf system, was detected. The activity of the Isc system was studied in Leptospirillum sp. CF-1 (Nitrospirae). RT-PCR experiments showed that eight candidate genes were co-transcribed and conform the isc operon in this strain. Additionally, RT-qPCR assays showed that the expression of the iscS gene was significantly up-regulated in cells exposed to oxidative stress imposed by 260 mM Fe2(SO4)3 for 1 h or iron starvation for 3 h. The activity of cysteine desulfurase (IscS) in CF-1 cell extracts was also up -regulated under such conditions. Thus, the Isc system from Leptospirillum sp. CF-1 seems to play an active role in stressful environments. These results contribute to a better understanding of the distribution and role of Fe-S cluster protein biogenesis systems in organisms that thrive in extreme environmental conditions.</t>
  </si>
  <si>
    <t>Perez Gonzalez, Myriam/0000-0002-3918-5749</t>
  </si>
  <si>
    <t>1017-7825</t>
  </si>
  <si>
    <t>1738-8872</t>
  </si>
  <si>
    <t>10.4014/jmb.2206.06045</t>
  </si>
  <si>
    <t>WOS:000864871700005</t>
  </si>
  <si>
    <t>The Haitians: A Decolonial History</t>
  </si>
  <si>
    <t>10.1017/tam.2021.89</t>
  </si>
  <si>
    <t>WOS:000721292600017</t>
  </si>
  <si>
    <t>Bachelet, VC; Navarrete, MS; Barrera-Riquelme, C; Carrasco, VA; Dallaserra, M; Díaz, RA; Ibarra, AA; Lizana, FJ; Meza-Ducaud, N; Saavedra, MG; Tapia-Davegno, C; Vergara, AF; Villanueva, J</t>
  </si>
  <si>
    <t>Bachelet, Vivienne C.; Navarrete, Maria S.; Barrera-Riquelme, Constanza; Carrasco, Victor A.; Dallaserra, Matias; Diaz, Ruben A.; Ibarra, Alvaro A.; Lizana, Francisca J.; Meza-Ducaud, Nicolas; Saavedra, Macarena G.; Tapia-Davegno, Camila; Vergara, Alonso F.; Villanueva, Julio</t>
  </si>
  <si>
    <t>A multiyear systematic survey of the quality of reporting for randomised trials in dentistry, neurology and geriatrics published in journals of Spain and Latin America</t>
  </si>
  <si>
    <t>BMC MEDICAL RESEARCH METHODOLOGY</t>
  </si>
  <si>
    <t>Background The Iberoamerican Cochrane Network is currently developing an extensive project to identify Spanish-language journals that publish original clinical research in Spain and Latin America. The project is called BADERI (Database of Iberoamerican Essays and Journal) and feeds the research articles, mainly randomised clinical trials (RCTs), into CENTRAL (Cochrane Collaboration Central Register of Controlled Trials). This study aims to assess the quality of reporting of RCTs published in Spanish and Latin American journals for three clinical fields and assess changes over time. Methods We did a systematic survey with time trend analysis of RCTs for dentistry, geriatrics, and neurology. These fields were chosen for pragmatic reasons as they had not yet been completed in BADERI. After screening RCTs from 1990 to 2018 for randomised or quasi-randomised clinical trials, we extracted data for 23 CONSORT items. The primary outcome was the total score of the 23 predefined CONSORT 2010 items for each RCT (score range from 0 to 34). The secondary outcome measure was the score for each one of these 23 items. Results A total of 392 articles from 1990 to 2018 were included as follows: dentistry (282), neurology (80), and geriatrics (30). We found that the overall compliance score for the CONSORT items included in this study for all 392 RCTs analysed was 12.6 on a scale with a maximum score of 34. With time, the quality of reporting improved slightly for all RCTs. None of the articles achieved the complete individual CONSORT item compliance score. The lowest overall compliance percentage was for item 10 (Randomisation implementation) and item 24 (Protocol registration), with a dismal 1% compliance across all included RCTs, regardless of country. Conclusions CONSORT compliance is very poor in the 392 analysed RCTs. The impact of the CONSORT statement on improving the completeness of RCT reporting in Latin America and Spain is not clear. Iberoamerican journals should become more involved in endorsing and enforcing adherence to the CONSORT guidelines.</t>
  </si>
  <si>
    <t>Bachelet, Vivienne/JAN-7158-2023; NAVARRETE, MARISOL/AAG-4222-2020; Villanueva, Julio/F-8704-2010</t>
  </si>
  <si>
    <t>Meza Ducaud, Nicolas/0000-0002-7194-6472; Diaz, Ruben/0000-0001-6231-4871; Carrasco, Victor A./0000-0002-6588-7189; Villanueva, Julio/0000-0002-5807-442X; Barrera Riquelme, Constanza Laura/0000-0001-7340-2711; Navarrete, Maria S/0000-0002-5411-4498; Saavedra Tilleria, Macarena/0000-0002-5241-2811; Bachelet, Vivienne C./0000-0002-5715-9755; Ibarra Munoz, Alvaro Andres/0000-0001-6998-646X; Dallaserra, Matias/0000-0001-8654-1817</t>
  </si>
  <si>
    <t>1471-2288</t>
  </si>
  <si>
    <t>10.1186/s12874-021-01337-3</t>
  </si>
  <si>
    <t>WOS:000678626200002</t>
  </si>
  <si>
    <t>Ardiles-Briones, M; Zartha-Sossa, JW</t>
  </si>
  <si>
    <t>Ardiles-Briones, Mauricio; Wilder Zartha-Sossa, Jhon</t>
  </si>
  <si>
    <t>Comparative analysis of advantages and disadvantages of the criteria considered by technology Surveillance Models</t>
  </si>
  <si>
    <t>This article presents a comparison analysis of the advantages and disadvantages of the different criteria considered by technology surveillance models. For this purpose, some models of technological surveillance are described, to later analyze the main criteria used in the various phases of this methodology. This analysis will simplify decision-making regarding which model to adopt for the incorporation of a technology surveillance methodology in organizations. As a result, various characteristics that organizations must take into consideration are exposed to effectively use a technology surveillance model.</t>
  </si>
  <si>
    <t>Zartha, Jhon/K-8666-2017</t>
  </si>
  <si>
    <t>APR-AUG</t>
  </si>
  <si>
    <t>10.35588/gpt.v14i41.5069</t>
  </si>
  <si>
    <t>WOS:000681063700006</t>
  </si>
  <si>
    <t>del Campo, NM</t>
  </si>
  <si>
    <t>Henze, R; Escribal, F</t>
  </si>
  <si>
    <t>Munoz del Campo, Norma</t>
  </si>
  <si>
    <t>Cultural management in Chile Between professionalisation and the emergence of a public intervention category</t>
  </si>
  <si>
    <t>CULTURAL MANAGEMENT AND POLICY IN LATIN AMERICA</t>
  </si>
  <si>
    <t>Routledge Research in the Creative and Cultural Industries</t>
  </si>
  <si>
    <t>978-1-003-10923-5; 978-0-367-62269-5</t>
  </si>
  <si>
    <t>WOS:001056578300009</t>
  </si>
  <si>
    <t>In physics, conserved quantities are key to understand and describe physical phenomena. These conserved quantities are related to Noether's theorem and Lagrangian description in both classical mechanics and field theory. In this article we have found the equation of the vortex core trajectory in ferrimagnets close to the compensation point in terms of two conserved physical quantities, namely the energy,.., and a vector perpendicular to the orbit plane,... = -... +... |..... |2/2 where...,... and..... are the topological gyrovector, the angular momentum and the position of the vortex core, respectively. We found that in the absence of a dissipative term, for small deviations of the vortex core, the trajectory is bounded between two concentric circles. On the contrary, under the action of a dissipative term proportional to the damping coefficient,... is no longer conservative and the vortex core moves either towards the center or out of the cylinder, depending on the circularity of the magnetic vortex and the intensity of the magnetic field applied in the plane of the cylinder.</t>
  </si>
  <si>
    <t>Rodríguez, Alejandro/R-4062-2019</t>
  </si>
  <si>
    <t>WOS:000604224200008</t>
  </si>
  <si>
    <t>Levy, CW; Wolff, M</t>
  </si>
  <si>
    <t>Levy, C. Wolff; Wolff, M.</t>
  </si>
  <si>
    <t>Suicide in a HIV-infected adult population cared at a chilean public hospital: an appraisal of the issue</t>
  </si>
  <si>
    <t>EUROPEAN PSYCHIATRY</t>
  </si>
  <si>
    <t>28th European Congress of Psychiatry</t>
  </si>
  <si>
    <t>JUL 04-07, 2020</t>
  </si>
  <si>
    <t>European Psychiat Assoc</t>
  </si>
  <si>
    <t>0924-9338</t>
  </si>
  <si>
    <t>1778-3585</t>
  </si>
  <si>
    <t>EPV1458</t>
  </si>
  <si>
    <t>S577</t>
  </si>
  <si>
    <t>WOS:000582502502233</t>
  </si>
  <si>
    <t>Mancilla-Almonacid, D; Jaeschke-Ubiergo, R; Núñez, AS; Allende, S</t>
  </si>
  <si>
    <t>Mancilla-Almonacid, D.; Jaeschke-Ubiergo, R.; Nunez, A. S.; Allende, S.</t>
  </si>
  <si>
    <t>Ultrafast domain wall propagation due to the interfacial Dzyaloshinskii-Moriya interaction</t>
  </si>
  <si>
    <t>It is shown that the interplay between curvature and interfacial Dzyalonshinsky-Moriya interaction (DMI) is a pathway to ultrafast domain wall (DW) dynamics in ferromagnetic nanotubes. In this work, we theoretically study the effect that interfacial DMI has on the average velocity of a vortex DW in thin ferromagnetic nanotubes grown around a core composed of heavy atoms. Our main result shows that by delaying the Walker breakdown instability, the DW average velocity is of the order of 10(3) m s(-1), which is greater than usual values for these systems. The remarkable velocities achieved through this configuration could greatly benefit the development of spintronic devices.</t>
  </si>
  <si>
    <t>Mancilla Almonacid, Daniela/JEP-6778-2023; Jaeschke-Ubiergo, Rodrigo/LRT-3373-2024; Núñez, Alvaro/F-4572-2011</t>
  </si>
  <si>
    <t>Nunez, Alvaro S./0000-0002-6804-9703; Mancilla Almonacid, Daniela/0000-0003-4356-5119</t>
  </si>
  <si>
    <t>10.1088/1361-6528/ab5f83</t>
  </si>
  <si>
    <t>WOS:000514709100004</t>
  </si>
  <si>
    <t>Yam-Cervantes, M; León-Campos, I; Sánchez, J; Santiago-García, JL; Estrella-Gómez, NE; Aguilar-Vega, M</t>
  </si>
  <si>
    <t>Yam-Cervantes, Marcial; Leon-Campos, Ileana; Sanchez, Julio; Luis Santiago-Garcia, Jose; Eloisa Estrella-Gomez, Neyi; Aguilar-Vega, Manuel</t>
  </si>
  <si>
    <t>Poly(hydroxyamide) as support for thin-film composite membranes for water treatment</t>
  </si>
  <si>
    <t>Preparation of a porous support for a thin-film composite (TFC) membrane was achieved based on a highly aromatic poly(hydroxyamide) (PHA) formed from 5-hydroxyisophthalic acid and 4,4 '-(hexafluoroisopropylidene)dianiline. PHA synthesis was confirmed by Fourier transform infrared and proton nuclear magnetic resonance (H-1 NMR) spectroscopies. PHA was soluble in N-methyl-2-pyrrolidinone (NMP), N,N-dimethylacetamide (DMAc), and tetrahydrofuran (THF) with Mw 6.1x10(4) Da. Moreover, PHA showed good thermal stability up to 390 degrees C. Parameters for an appropriated PHA porous structure support membrane by the phase-inversion method were determined. Porous PHA support offers higher thermal stability and better adhesion between support amide thin skin layer than the ones used actually. Water permeation flux was 543Lm(-2)h(-1) for PHA porous support, whereas thin-film composite membrane PHA-TFC formed presented a decrease in water permeation flux (2.5Lm(-2)h(-1)) and a salt rejection capacity of 29% which situates it as a nanofiltration membrane.</t>
  </si>
  <si>
    <t>Aguilar-Vega, Manuel/AFT-2873-2022; Yam, Marcial/L-4305-2019; García, José/O-5528-2016; Sanchez, Julio/AEO-4360-2022; Yam Cervantes, Marcial Alfredo/K-1089-2018</t>
  </si>
  <si>
    <t>Leon Campos, Maria Ileana/0000-0002-4836-2356; Yam Cervantes, Marcial Alfredo/0000-0001-8816-1156; Sanchez, Julio/0000-0003-4245-0096</t>
  </si>
  <si>
    <t>1436-2449</t>
  </si>
  <si>
    <t>10.1007/s00289-018-2619-0</t>
  </si>
  <si>
    <t>WOS:000476829800016</t>
  </si>
  <si>
    <t>Mancilla-Almonacid, D; Arias, RE; Escobar, RA; Altbir, D; Allende, S</t>
  </si>
  <si>
    <t>Mancilla-Almonacid, D.; Arias, R. E.; Escobar, R. A.; Altbir, D.; Allende, S.</t>
  </si>
  <si>
    <t>Spin wave modes of two magnetostatic coupled spin transfer torque nano-oscillators</t>
  </si>
  <si>
    <t>JOURNAL OF APPLIED PHYSICS</t>
  </si>
  <si>
    <t>A detailed analytical and numerical study of the spin wave modes of two nanopillar spin torque nano-oscillators coupled by magnetostatic interactions is presented under the macrospin approximation. Results show that the normal modes of the system oscillate with the magnetizations in-phase or anti-phase in both disks. The frequencies and critical current densities necessary to induce autooscillations of the spin wave modes of the coupled system depend on the relative position of the nanopillars and the applied magnetic field. If the oscillators are identical, these modes are degenerate at a certain relative position of the nanopillars, while if the oscillators are non-identical, such degeneracy is removed. Then, we can conclude that the magnetostatic coupling between two spin transfer torque nano-oscillators is a powerful mechanism to control the spin wave modes of these systems. Published by AIP Publishing.</t>
  </si>
  <si>
    <t>Mancilla Almonacid, Daniela/JEP-6778-2023; Arias Federici, Rodrigo Enrique/F-2164-2017; Altbir, Dora/R-6781-2018</t>
  </si>
  <si>
    <t>Arias Federici, Rodrigo Enrique/0000-0001-7627-2860; Altbir, Dora/0000-0002-2945-4909; Mancilla Almonacid, Daniela/0000-0003-4356-5119</t>
  </si>
  <si>
    <t>0021-8979</t>
  </si>
  <si>
    <t>1089-7550</t>
  </si>
  <si>
    <t>OCT 28</t>
  </si>
  <si>
    <t>10.1063/1.5040262</t>
  </si>
  <si>
    <t>WOS:000448975000008</t>
  </si>
  <si>
    <t>Tello, M; Avalos, F; Orellaru, O</t>
  </si>
  <si>
    <t>Tello, Mario; Avalos, Felipe; Orellaru, Omar</t>
  </si>
  <si>
    <t>Codon usage and modular interactions between messenger RNA coding regions and small RNAs in Escherichia coli</t>
  </si>
  <si>
    <t>Background: Small RNAs (sRNAs) are key regulators of gene expression in bacteria. In addition to modulating translation initiation, sRNAs can interact with mRNA coding regions to regulate mRNA stability and translation efficiency, enhancing or impeding progression of the ribosome along the mRNA. Since most amino acids are decoded by more than one codon (synonymous) we asked as to whether there is a codon bias in the interaction of sRNAs with coding regions of mRNAs. Therefore, we explored whether there are differences in codon usage or tRNA availability according to whether an mRNA is regulated by sRNAs or not. We also explored these parameters in the coding interaction regions in mRNAs. We focused our analysis on sRNAs that regulate multiple mRNAs. Results: We found differences in codon adaptation index and tRNA adaptation index between sRNA-regulated and non-sRNA-regulated mRNAs. Interestingly, the sRNA-mRNA interacting regions tended to be enriched in unpreferred codons decoded by scarce tRNAs. We also found that sRNAs with multiple targets often contained modular segments capable of recognizing conserved motifs among these mRNAs. Conclusions: Our results show that sRNAs in E. coli tend to recognize mRNA coding regions in which the ribosome is predicted to advance at low speeds. Identified motifs in interacting regions are conserved among mRNAs that are recognized by the same sRNA.</t>
  </si>
  <si>
    <t>Tello, Mario/N-4198-2019; Orellana, Omar/I-5646-2016</t>
  </si>
  <si>
    <t>Orellana, Omar/0000-0002-6019-1545; Tello, Mario/0000-0003-4573-6460</t>
  </si>
  <si>
    <t>SEP 6</t>
  </si>
  <si>
    <t>10.1186/s12864-018-5038-6</t>
  </si>
  <si>
    <t>WOS:000443899500002</t>
  </si>
  <si>
    <t>Corrêa, L; Borguesan, B; Farfán, C; Inostroza-Ponta, M; Dorn, M</t>
  </si>
  <si>
    <t>Correa, Leonardo; Borguesan, Bruno; Farfan, Camilo; Inostroza-Ponta, Mario; Dorn, Marcio</t>
  </si>
  <si>
    <t>A Memetic Algorithm for 3D Protein Structure Prediction Problem</t>
  </si>
  <si>
    <t>IEEE-ACM TRANSACTIONS ON COMPUTATIONAL BIOLOGY AND BIOINFORMATICS</t>
  </si>
  <si>
    <t>Memetic Algorithms are population-based metaheuristics intrinsically concerned with exploiting all available knowledge about the problem under study. The incorporation of problem domain knowledge is not an optional mechanism, but a fundamental feature of the Memetic Algorithms. In this paper, we present a Memetic Algorithm to tackle the three-dimensional protein structure prediction problem. The method uses a structured population and incorporates a Simulated Annealing algorithm as a local search strategy, as well as ad-hoc crossover and mutation operators to deal with the problem. It takes advantage of structural knowledge stored in the Protein Data Bank, by using an Angle Probability List that helps to reduce the search space and to guide the search strategy. The proposed algorithm was tested on 19 protein sequences of amino acid residues, and the results show the ability of the algorithm to find native-like protein structures. Experimental results have revealed that the proposed algorithm can find good solutions regarding root-mean-square deviation and global distance total score test in comparison with the experimental protein structures. We also show that our results are comparable in terms of folding organization with state-of-the-art prediction methods, corroborating the effectiveness of our proposal.</t>
  </si>
  <si>
    <t>Correa, Leonardo/HSF-8697-2023; Inostroza-Ponta, Mario/G-7548-2012; Dorn, Marcio/D-3696-2009</t>
  </si>
  <si>
    <t>Inostroza-Ponta, Mario/0000-0003-1295-8972; Dorn, Marcio/0000-0001-8534-3480</t>
  </si>
  <si>
    <t>1545-5963</t>
  </si>
  <si>
    <t>1557-9964</t>
  </si>
  <si>
    <t>10.1109/TCBB.2016.2635143</t>
  </si>
  <si>
    <t>WOS:000434295100002</t>
  </si>
  <si>
    <t>Latapiat, V; Rodríguez, FE; Godoy, F; Montenegro, FA; Barrera, NP; Huidobro-Toro, JP</t>
  </si>
  <si>
    <t>Latapiat, Veronica; Rodriguez, Felipe E.; Godoy, Francisca; Montenegro, Felipe A.; Barrera, Nelson P.; Huidobro-Toro, Juan P.</t>
  </si>
  <si>
    <t>P2X4 Receptor in Silico and Electrophysiological Approaches Reveal Insights of Ivermectin and Zinc Allosteric Modulation</t>
  </si>
  <si>
    <t>FRONTIERS IN PHARMACOLOGY</t>
  </si>
  <si>
    <t>Protein allosteric modulation is a pillar of metabolic regulatory mechanisms; this concept has been extended to include ion channel regulation. P2XRs are ligand-gated channels activated by extracellular ATP, sensitive to trace metals and other chemicals. By combining in silico calculations with electrophysiological recordings, we investigated the molecular basis of P2X4R modulation by Zn(II) and ivermectin, an antiparasite drug currently used in veterinary medicine. To this aim, docking studies, molecular dynamics simulations and non-bonded energy calculations for the P2X4R in the apo and holo states or in the presence of ivermectin and/or Zn(II) were accomplished. Based on the crystallized Danio rerio P2X4R, the rat P2X4R, P2X2R, and P2X7R structures were modeled, to determine ivermectin binding localization. Calculations revealed that its allosteric site is restricted to transmembrane domains of the P2X4R; the role of Y42 and W46 plus S341 and non-polar residues were revealed as essential, and are not present in the homologous P2X2R or P2X7R transmembrane domains. This finding was confirmed by preferential binding conformations and electrophysiological data, revealing P2X4R modulator specificity. Zn(II) acts in the P2X4R extracellular domain neighboring the SS3 bridge. Molecular dynamics in the different P2X4R states revealed allosterism-induced stability. Pore and lateral fenestration measurements of the P2X4R showed conformational changes in the presence of both modulators compatible with a larger opening of the extracellular vestibule. Electrophysiological studies demonstrated additive effects in the ATP-gated currents by joint applications of ivermectin plus Zn(II). The C132A P2X4R mutant was insensitive to Zn(II); but IVM caused a 4.9 +/- 0.7-fold increase in the ATP-evoked currents. Likewise, the simultaneous application of both modulators elicited a 7.1 +/- 1.7-fold increase in the ATP-gated current. Moreover, the C126A P2X4R mutant evoked similar ATP-gated currents comparable to those of wild-type P2X4R. Finally, a P2X4/2R chimera did not respond to IVM but Zn(II) elicited a 2.7 +/- 0.6-fold increase in the ATP-gated current. The application of IVM plus Zn(II) evoked a 2.7 +/- 0.9-fold increase in the ATP-gated currents. In summary, allosteric modulators caused additive ATP-gated currents; consistent with lateral fenestration enlargement. Energy calculations demonstrated a favorable transition of the holo receptor state following both allosteric modulators binding, as expected for allosteric interactions.</t>
  </si>
  <si>
    <t>Rodriguez-Tirado, Felipe/0000-0002-6554-8187; Godoy Santin, Maria Francisca/0000-0002-3270-2299; Barrera, Nelson/0000-0001-7825-1406</t>
  </si>
  <si>
    <t>1663-9812</t>
  </si>
  <si>
    <t>10.3389/fphar.2017.00918</t>
  </si>
  <si>
    <t>WOS:000418040500001</t>
  </si>
  <si>
    <t>Palma, JL; Denardin, JC; Escrig, J</t>
  </si>
  <si>
    <t>Palma, J. L.; Denardin, J. C.; Escrig, J.</t>
  </si>
  <si>
    <t>Method for nanomodulation of metallic thin films following the replica-antireplica process based on porous alumina membranes</t>
  </si>
  <si>
    <t>In this paper we have introduced a method for modulation of metallic thin films by sputtering of metals on anodized aluminum templates. Using a high deposition rate during deposition of the non-magnetic metal on the Al pattern, we have separated the two metallic surfaces and, thus, imprinted a pattern of nanohills on a nonmagnetic metallic film, such as Au, Ag or Cu. The morphology of the nanostructured metallic films was determined by scanning electron microscopy. Thus, we have confirmed that the ordering degree of the Al template remained after the replication process. Additionally, and as an example of use of these films, we have prepared Supermalloy thin films deposited by sputtering onto these nanostructured non-magnetic metals. The room temperature magnetic behavior of these thin films is also studied. Interestingly, we have found that when the external magnetic field is applied out of plane of the substrate, the coercivity increases linearly as we increase the radius of the nanohills. These soft magnetic films can open new opportunities for magnetic field sensor applications.</t>
  </si>
  <si>
    <t>Denardin, Juliano/S-6407-2019; Palma, Juan/IAP-4554-2023; Escrig, Juan/N-4304-2015</t>
  </si>
  <si>
    <t>10.1016/j.jmmm.2016.10.121</t>
  </si>
  <si>
    <t>WOS:000397198500117</t>
  </si>
  <si>
    <t>Ramírez, CS</t>
  </si>
  <si>
    <t>Sanchez Ramirez, Celso</t>
  </si>
  <si>
    <t>Morphological Characterization of the Medial Plantar Longitudinal Arch Foot in a Chilean Population</t>
  </si>
  <si>
    <t>INTERNATIONAL JOURNAL OF MORPHOLOGY</t>
  </si>
  <si>
    <t>The (MPLA) is the most important component in statics and dynamics of the vault plant. Its height defines normal, flat and cavus feet, which are predisposing factors for injuries. The objective of this research was to describe and relate in a population of Chilean university students the prevalence of normal, cavus and flat feet according to body-mass index (BMI), sex, and weekly physical activity (PA) and the distribution of asymmetries between feet. 209 subject were studied (128 men and 81 women), university students, whose age, height, weight and BMI was of 20.4 years (+/- 3.4); 1,68 m (+/- 0.09); 67.6 kg (+/- 12.4) and 23.77 (+/- 3.0) respectively. The PAs habits of the sample were determined by means of questionnaire. The footprint is obtained by photo-podoscopy, which was evaluated by the Arch Index (AI) of Cavanagh and Rodgers. Men have higher prevalence of flat foot (31.3 % against 11.1 %). There are both statistically significant positive correlations between AI and BMI in both sexes. Greater correlation between left AI and PA in both men and women was obtained with statistical significance. The 31.25 % of men and 37.04 % of women presented asymmetries in MPLA. Men with normal BMI have 64.20 % of asymmetric feet. Women that practice between 6 and 10 hours of PA a week presented 50.98 % of asymmetric feet. The BMI is related to a decrease of the height of MPLA, suggesting the control of this variable in subjects with flexible flat foot and valgus flat foot diagnosis. The practice of PA is related to the height of the MPLA increased in men and women and it is known that it also helps to reduce BMI, acting in accordance to these two variables.</t>
  </si>
  <si>
    <t>0717-9502</t>
  </si>
  <si>
    <t>0717-9367</t>
  </si>
  <si>
    <t>WOS:000400464600015</t>
  </si>
  <si>
    <t>Artigas, A; Seco, R; Monsalve, A; Sipos, K; Garza-Montes-De-Oca, N</t>
  </si>
  <si>
    <t>Artigas, Alfredo; Seco, Rodrigo; Monsalve, Alberto; Sipos, Konstantin; Garza-Montes-De-Oca, Nelson</t>
  </si>
  <si>
    <t>Bi-modal behavior of gray cast iron and carbon structural steel in accelerated marine atmospheric corrosion</t>
  </si>
  <si>
    <t>According to data gathered in the last Metal Foundry Industrial Production Survey [1], approximately 46% of the industrial production of ferrous alloys is gray- iron. In this context the study of the atmospheric corrosion resistance of gray-iron becomes interesting to asset its useful life when subject to weathering conditions. The studies of gray- iron atmospheric corrosion behavior are scarce due to the fact that it takes long periods of time for its real-time characterization. In order to validate an accelerated atmospheric corrosion test, a gray cast iron [2] and a carbon steel [3] were subjected to a 40 days accelerated testing, that includes wetting in a saline fog chamber, washing and drying [4], measuring the corroded thickness at each exposure time. These results were then compared with those obtained by Southwell et al [5] after 16 years of exposure in a marine environment (Panama Canal). The result analysis reveals that both materials show a bimodal behavior, in accordance with those results reported by Melchers et al [6, 7, 8]. This behavior is characterized by an inflection point in the kinetic curve of corrosion, meanly related to the presence of bacteria in the interphase metal-corrosion products. The fact that the kinetic curve of corroded thickness shows an inflection point, allows the validation of the proposed methodology as a path to evaluate the atmospheric corrosion resistance in a short time test.</t>
  </si>
  <si>
    <t>Monsalve, Alberto/0000-0002-5772-8815; Allende, Rodrigo/0000-0002-2115-8160</t>
  </si>
  <si>
    <t>e11810</t>
  </si>
  <si>
    <t>10.1590/S1517-707620170002.0142</t>
  </si>
  <si>
    <t>WOS:000404484000005</t>
  </si>
  <si>
    <t>Bozzoli, C; Brueck, T; Muhumuza, T</t>
  </si>
  <si>
    <t>Bozzoli, Carlos; Brueck, Tilman; Muhumuza, Tony</t>
  </si>
  <si>
    <t>ACTIVITY CHOICES OF INTERNALLY DISPLACED PERSONS AND RETURNEES: QUANTITATIVE SURVEY EVIDENCE FROM POST-WAR NORTHERN UGANDA</t>
  </si>
  <si>
    <t>BULLETIN OF ECONOMIC RESEARCH</t>
  </si>
  <si>
    <t>We investigate post-war economic activity choices of displaced and just-returned individuals. In particular, the effect of living in an internally displaced persons camp on the choice of economic activities is analysed. Because individuals relocating away from camps may be different from those staying in them, a recursive bivariate probit procedure is used to control for selection on unobservables. The empirical procedure also relies on merging survey data with the micro-level dataset on conflict events. This allows us to incorporate conflict in the framework, but also to use a bivariate probit procedure to control for endogeneity (selection of households out of camps). This work contributes to literature on household labour allocation and economics of conflict. Results show that residing in a camp has varied effects on the choice of economic activities. Individuals in camps may be more inclined than those who choose to return home, to engage in certain economic activities. One of the key lessons that could be drawn from this paper is that internally displaced persons may possess important livelihood skills that post-conflict development interventions need to take advantage of, in order to fast-track recovery.</t>
  </si>
  <si>
    <t>Bozzoli, Carlos/AGM-6733-2022; Bruck, Tilman/N-2522-2014</t>
  </si>
  <si>
    <t>Bruck, Tilman/0000-0002-8344-8948</t>
  </si>
  <si>
    <t>0307-3378</t>
  </si>
  <si>
    <t>1467-8586</t>
  </si>
  <si>
    <t>10.1111/boer.12056</t>
  </si>
  <si>
    <t>WOS:000385671200002</t>
  </si>
  <si>
    <t>Herrera-Leyton, C; Madrid-Rojas, M; López, JJ; Cañete, A; Hermosilla-Ibáñez, P; Pérez, EG</t>
  </si>
  <si>
    <t>Herrera-Leyton, Camilo; Madrid-Rojas, Matias; Lopez, Jhon J.; Canete, Alvaro; Hermosilla-Ibanez, Patricio; Perez, Edwin G.</t>
  </si>
  <si>
    <t>Copper-Catalyzed Intermolecular Aminooxygenation of Styrenes using N-Fluorobenzenesulfonimide and Simple Alcohols</t>
  </si>
  <si>
    <t>CHEMCATCHEM</t>
  </si>
  <si>
    <t>The mild and fast copper-catalyzed radical and regioselective aminoalkoxylation of styrenes by using N-fluorobenzenesulfonimide and simple alcohols as nitrogen and alkoxy sources, respectively, was investigated. The aminoalkoxylated products obtained could be used in the synthesis of new compounds with possible activity as neurotransmitter receptor ligands.</t>
  </si>
  <si>
    <t>Perez, Edwin/KVY-5791-2024; Hermosilla-Ibanez, Patricio/Y-7454-2018; Lopez Villa, Jhon Jairo/V-7443-2019; Lopez Villa, Jhon Jairo/V-7443-2019</t>
  </si>
  <si>
    <t>Canete, Alvaro/0000-0002-0285-0733; Perez, Edwin/0000-0002-3777-6297; Hermosilla-Ibanez, Patricio/0000-0002-2272-9690; Lopez Villa, Jhon Jairo/0000-0002-8771-9557; Lopez Villa, Jhon Jairo/0000-0002-2678-3627</t>
  </si>
  <si>
    <t>1867-3880</t>
  </si>
  <si>
    <t>1867-3899</t>
  </si>
  <si>
    <t>10.1002/cctc.201600254</t>
  </si>
  <si>
    <t>WOS:000379533600003</t>
  </si>
  <si>
    <t>Development of a new method to predict the maximum spread factor for shear thinning drops</t>
  </si>
  <si>
    <t>Drop impact on a solid surface has obtained attention for a variety of industrial processes, such as application of edible coatings by spray application method. In the present work, drop impact behavior of edible coating formulations (ECF) based on gelatin, glycerol and cellulose nanofiber on banana and eggplant epicarps was studied. Drops of ECF were generated from a syringe pump system-controlled, for images a high speed camera was used and the maximum spread diameter was determined with ImageJ program. The models reported in the literature do not predict experimental data of maximum spread factor, because the EFC behave as non-Newtonian fluid, so it was necessary to modify these models by introducing an apparent viscosity at average shear rate (effective viscosity). The inclusion of an effective viscosity significantly improves the prediction of the evaluated models. (C) 2015 Elsevier Ltd. All rights reserved.</t>
  </si>
  <si>
    <t>10.1016/j.jfoodeng.2015.02.017</t>
  </si>
  <si>
    <t>WOS:000353010600010</t>
  </si>
  <si>
    <t>Páez, D; Rimé, B; Basabe, N; Wlodarczyk, A; Zumeta, L</t>
  </si>
  <si>
    <t>Paez, Dario; Rime, Bernard; Basabe, Nekane; Wlodarczyk, Anna; Zumeta, Larraitz</t>
  </si>
  <si>
    <t>Psychosocial Effects of Perceived Emotional Synchrony in Collective Gatherings</t>
  </si>
  <si>
    <t>JOURNAL OF PERSONALITY AND SOCIAL PSYCHOLOGY</t>
  </si>
  <si>
    <t>In a classic theory, Durkheim (1912) predicted that because of the social sharing of emotion they generate, collective gatherings bring participants to a stage of collective effervescence in which they experience a sense of union with others and a feeling of empowerment accompanied by positive affect. This would lead them to leave the collective situation with a renewed sense of confidence in life and in social institutions. A century after Durkheim's predictions of these effects, though, they remained untested as a whole. This article reports 4 studies, 2 correlational, 1 semilongitudinal, and 1 experimental, assessing the positive effects of participation in either positively valenced (folkloric marches) or negatively valenced (protest demonstrations) collective gatherings. Results confirmed that collective gatherings consistently strengthened collective identity, identity fusion, and social integration, as well as enhancing personal and collective self-esteem and efficacy, positive affect, and positive social beliefs among participants. In line with a central tenet of the theory, emotional communion, or perceived emotional synchrony with others mediated these effects. Higher perceived emotional synchrony was associated with stronger emotional reactions, stronger social support, and higher endorsement of social beliefs and values. Participation in symbolic collective gatherings also particularly reinforced identity fusion when perceived emotional synchrony was high. The respective contributions of perceived emotional synchrony and flow, or optimal experience, were also assessed. Whereas perceived emotional synchrony emerged as strongly related to the various social outcomes, flow was observed to be related first to collective efficacy and self-esteem, and thus, to encompass mainly empowerment effects.</t>
  </si>
  <si>
    <t>Wlodarczyk, Anna/HHC-3887-2022; Sánchez, Larraitz/ABG-2496-2020; Rimé, Bernard/N-7721-2019; Basabe, Nekane/D-3918-2011; Wlodarczyk, Anna/K-4968-2014; Paez, Dario/D-5207-2009</t>
  </si>
  <si>
    <t>Basabe, Nekane/0000-0003-4753-4299; Wlodarczyk, Anna/0000-0003-2106-5324; Paez, Dario/0000-0002-8459-6037</t>
  </si>
  <si>
    <t>0022-3514</t>
  </si>
  <si>
    <t>1939-1315</t>
  </si>
  <si>
    <t>10.1037/pspi0000014</t>
  </si>
  <si>
    <t>WOS:000353578700004</t>
  </si>
  <si>
    <t>García, PF; Livacic-Rojas, PE; Herrero, ET; Seco, GV</t>
  </si>
  <si>
    <t>Fernandez Garcia, Paula; Esteban Livacic-Rojas, Pablo; Tuero Herrero, Ellian; Vallejo Seco, Guillermo</t>
  </si>
  <si>
    <t>Where to look for information when planning scientific research in Psychology: Sources and channels</t>
  </si>
  <si>
    <t>INTERNATIONAL JOURNAL OF CLINICAL AND HEALTH PSYCHOLOGY</t>
  </si>
  <si>
    <t>It is imperative that researchers invest time in the planning of their research, and it is certainly essential to stop and seek information before making any kind of decision. The present work sets out to guide psychologists in this crucial task. To this end we begin by suggesting a visit to the APA website, where a great deal of relevant information on most topics can be found, whether it pertains to new and controversial issues or to those on which there is greater consensus. In this regard we shall consider at length the meanings of the expressions evidence-based practice and scientific evidence and their inherent methodological aspects, from scientific evidence contributed by systematic reviews to the way it can be obtained using handbooks and guidelines of inestimable value for the successful completion of our research. All such resources will help researchers to set out their hypotheses correctly, to test them adequately and to analyze the data in the most appropriate and rigorous fashion. In this way, the quality of the research will undoubtedly improve. (C) 2013 Asociacion Espanola de Psicologia Conductual. Published by Elsevier Espana, S.L. All rights reserved.</t>
  </si>
  <si>
    <t>Fernandez, Paula/0000-0003-0140-7702; Vallejo, Guillermo/0000-0002-8010-6854</t>
  </si>
  <si>
    <t>1697-2600</t>
  </si>
  <si>
    <t>1576-7329</t>
  </si>
  <si>
    <t>10.1016/S1697-2600(14)70039-0</t>
  </si>
  <si>
    <t>WOS:000328809900009</t>
  </si>
  <si>
    <t>Soto, L; Pavéz, C; Moreno, J; Pedreros, J; Altamirano, L</t>
  </si>
  <si>
    <t>IOP</t>
  </si>
  <si>
    <t>Soto, Leopoldo; Pavez, Cristian; Moreno, Jose; Pedreros, Jose; Altamirano, Luis</t>
  </si>
  <si>
    <t>Non-radioactive Source for Field Applications Based in a Plasma Focus of 2J: Pinch evidence</t>
  </si>
  <si>
    <t>15TH INTERNATIONAL CONGRESS ON PLASMA PHYSICS (ICPP2010) &amp; 13TH LATIN AMERICAN WORKSHOP ON PLASMA PHYSICS (LAWPP2010)</t>
  </si>
  <si>
    <t>Journal of Physics Conference Series</t>
  </si>
  <si>
    <t>15th International Congress on Plasma Physics (ICPP) / 13th Latin American Workshop on Plasma Physics (LAWPP)</t>
  </si>
  <si>
    <t>AUG 08-13, 2010</t>
  </si>
  <si>
    <t>Chilean Nucl Energy Commiss, Thermonuclear Plasma Dept</t>
  </si>
  <si>
    <t>A portable plasma focus for field applications operating at two joules have been designed and constructed. Pinch evidence in the current derivative signal have been obtained. Also the dependence of the time to pinch, t(p), over the filling pressure, p0, (tp alpha root p0) was observed. Therefore, the device is working as a plasma focus.</t>
  </si>
  <si>
    <t>Soto, Leopoldo/A-7084-2012; Moreno, Jose/A-7125-2012; Pavez, Cristian/A-7441-2012</t>
  </si>
  <si>
    <t>1742-6588</t>
  </si>
  <si>
    <t>1742-6596</t>
  </si>
  <si>
    <t>10.1088/1742-6596/511/1/012032</t>
  </si>
  <si>
    <t>WOS:000337223400032</t>
  </si>
  <si>
    <t>Saavedra Flores, E. I.; Friswell, M. I.</t>
  </si>
  <si>
    <t>Ultrastructural mechanisms of deformation and failure in wood under tension</t>
  </si>
  <si>
    <t>INTERNATIONAL JOURNAL OF SOLIDS AND STRUCTURES</t>
  </si>
  <si>
    <t>This paper investigates the deformation and failure mechanisms of wood at the ultrastructural scale. At this level, wood is composed of a periodic alternation of amorphous and crystalline cellulose fractions, embedded in a soft hemicellulose-lignin matrix. The mechanical response of wood is calculated under tensile loading conditions by means of the computational homogenisation of a representative volume element (RVE) of material. Three potential mechanisms of failure are suggested: axial straining of the crystalline fraction of cellulose, accumulation of plastic strain in the amorphous portion of cellulose and tensile rupture in the hemicellulose-lignin matrix due to cellulose fibres separation. In order to validate the present multi-scale framework, we compare our numerical predictions for the reorientation of cellulose fibres with experimental data, finding a good agreement for a wide range of strains. Furthermore, we assess successfully our numerical predictions for ultimate strains at the instant of failure when compared to experimental values. Numerical simulations show that our model is able to provide new clues into the understanding of how trees and plants optimise their microstructure in order to develop larger strains without apparent damage. A remarkable prediction by our model suggests that the extensibility of the material is maximised for initial microfibril angles (MFA) between 50 degrees and 55 degrees, a range of values found typically in branches of trees, in which the extensibility is an essential requirement. These findings are likely to shed more light into the dissipative mechanisms of wood and natural materials, which are still not well-understood at present. (C) 2013 Elsevier Ltd. All rights reserved.</t>
  </si>
  <si>
    <t>0020-7683</t>
  </si>
  <si>
    <t>1879-2146</t>
  </si>
  <si>
    <t>10.1016/j.ijsolstr.2013.03.003</t>
  </si>
  <si>
    <t>WOS:000319309900005</t>
  </si>
  <si>
    <t>Lizama, C; Pozo, JC</t>
  </si>
  <si>
    <t>Lizama, Carlos; Pozo, Juan C.</t>
  </si>
  <si>
    <t>Existence of Mild Solutions for a Semilinear Integrodifferential Equation with Nonlocal Initial Conditions</t>
  </si>
  <si>
    <t>Using Hausdorff measure of noncompactness and a fixed-point argument we prove the existence of mild solutions for the semilinear integrodifferential equation subject to nonlocal initial conditions u'(t) =Au(t)+integral(t)(0) B(t - s)u(s)ds + f(t, u(t)), t epsilon [0, 1], u(0) = g(u), where A : D(A) subset of X -&gt; X, and for every t is an element of [0, 1] the maps B(t) : D(B(t)) subset of X -&gt; X are linear closed operators defined in a Banach space X. We assume further that D(A) subset of D(B(t)) for every t is an element of [0, 1], and the functions f : [0, 1] x X -&gt; X and g : C([0, 1]; X) -&gt; X are X-valued functions which satisfy appropriate conditions.</t>
  </si>
  <si>
    <t>Lizama, Carlos/0000-0002-9807-1100; Pozo, Juan Carlos/0009-0003-1910-7895</t>
  </si>
  <si>
    <t>1687-0409</t>
  </si>
  <si>
    <t>10.1155/2012/647103</t>
  </si>
  <si>
    <t>WOS:000313435500001</t>
  </si>
  <si>
    <t>Arenas, FA; Covarrubias, PC; Sandoval, JM; Pérez-Donoso, JM; Imlay, JA; Vásquez, CC</t>
  </si>
  <si>
    <t>Arenas, Felipe A.; Covarrubias, Paulo C.; Sandoval, Juan M.; Perez-Donoso, Jose M.; Imlay, James A.; Vasquez, Claudio C.</t>
  </si>
  <si>
    <t>The Escherichia coli BtuE Protein Functions as a Resistance Determinant against Reactive Oxygen Species</t>
  </si>
  <si>
    <t>This work shows that the recently described Escherichia coli BtuE peroxidase protects the bacterium against oxidative stress that is generated by tellurite and by other reactive oxygen species elicitors (ROS). Cells lacking btuE (Delta btuE) displayed higher sensitivity to K(2)TeO(3) and other oxidative stress-generating agents than did the isogenic, parental, wild-type strain. They also exhibited increased levels of cytoplasmic reactive oxygen species, oxidized proteins, thiobarbituric acid reactive substances, and lipoperoxides. E. coli Delta btuE that was exposed to tellurite or H(2)O(2) did not show growth changes relative to wild type cells either in aerobic or anaerobic conditions. Nevertheless, the elimination of btuE from cells deficient in catalases/peroxidases (Hpx(-)) resulted in impaired growth and resistance to these toxicants only in aerobic conditions, suggesting that BtuE is involved in the defense against oxidative damage. Genetic complementation of E. coli Delta btuE restored toxicant resistance to levels exhibited by the wild type strain. As expected, btuE overexpression resulted in decreased amounts of oxidative damage products as well as in lower transcriptional levels of the oxidative stress-induced genes ibpA, soxS and katG.</t>
  </si>
  <si>
    <t>Pérez-Donoso, José/G-3668-2013</t>
  </si>
  <si>
    <t>e15979</t>
  </si>
  <si>
    <t>10.1371/journal.pone.0015979</t>
  </si>
  <si>
    <t>WOS:000286513100022</t>
  </si>
  <si>
    <t>Lobos, J; Heran, M; Grasmick, A</t>
  </si>
  <si>
    <t>Lobos, J.; Heran, M.; Grasmick, A.</t>
  </si>
  <si>
    <t>Optimization of the operations conditions in membrane bioreactors through the use of ASM3 model simulations</t>
  </si>
  <si>
    <t>DESALINATION AND WATER TREATMENT</t>
  </si>
  <si>
    <t>The aim of this work was the application of the ASM3 models simulations to obtain most favorable operations conditions in membrane bioreactors for efficient organic matter removal, sludge production reduction and oxygen transfer costs. Simulations were realized used the ASM3 model (Activated Sludge Model)(Henze et al., 2000) for three theoretical influents. The organic load rate (OLR) and the hydraulic retention time (HRT) were fixed at 1 kg COD m(-3) d(-1) and 0.4 d(-1) respectively and the sludge retention time (SRT) was varied from 2.5 d to 67 d. The steady state values of the active biomass concentration (X(BH)), the total biomass concentration (X(SS)) (active biomass + inert suspended solid), and the oxygen uptake rate (OLR) were obtained for each condition. Thus the observed conversion yield was evaluated (Y(OBS)). The results show that, if the SRT increases, the X(BH) increases until a maximal value. In the other hand, a constant increase evolution of the X(SS) is observed, without reach a saturation value. Therefore, the suspended solids accumulation after this maximal value are due to a dilution of the active biomass by inert compounds coming from endogenous respiration and also, inert influent. If the OLR restricted the amount of active biomass, on the contrary, high SRT induced high X(SS) concentration, thus generating rheological sludge properties that penalize the phenomena of mixing, oxygenation and membrane separation</t>
  </si>
  <si>
    <t>Heran, Marc/0000-0001-9036-207X</t>
  </si>
  <si>
    <t>1944-3994</t>
  </si>
  <si>
    <t>10.5004/dwt.2009.761</t>
  </si>
  <si>
    <t>WOS:000271042800020</t>
  </si>
  <si>
    <t>Rubio, MA; Oyola, P; Gramsch, E; Lissi, E; Pizarro, J; Villena, G</t>
  </si>
  <si>
    <t>Ozone and peroxyacetylnitrate in downtown Santiago, Chile</t>
  </si>
  <si>
    <t>Peroxyacetylnitrate (PAN) and ozone have been measured during spring and early summer in downtown Santiago during 2002 and 2003. Although the values are lower than those reported at a site located downwind from the center of the city, ozone levels frequently surpass the air quality standard (80 ppb, 1 h or 60 ppb, 8 h mobile average), and PAN levels as high as 22 ppb have been measured. Ozone and PAN levels strongly correlate between them and with the maximum daily temperature. This dependence is not due to a direct relationship between temperature and irradiance, and allows a prediction of critical days from the temperature forecast. In fact, in days with temperatures below 29 degreesC, ozone quality standard is surpassed only 16% of the time, and PAN reaches values above 5 ppb only 7% of the measured days. On the other hand, when the temperature reaches above 29 degreesC, ozone surpass the quality standards 87% of the days and PAN values are above 5 ppb 83% of the measured days. (C) 2004 Elsevier Ltd. All rights reserved.</t>
  </si>
  <si>
    <t>Bajo, Maria/ABF-6991-2020; Gramsch, Ernesto/M-5507-2017</t>
  </si>
  <si>
    <t>Gramsch, Ernesto/0000-0002-6787-7355; Villena, Guillermo/0000-0002-1867-1879</t>
  </si>
  <si>
    <t>10.1016/j.atmosenv.2004.05.051</t>
  </si>
  <si>
    <t>WOS:000223646300013</t>
  </si>
  <si>
    <t>Fourier multipliers and integro-differential equations in Banach spaces</t>
  </si>
  <si>
    <t>Operator-valued Fourier multiplier theorems are used to establish maximal regularity results for an integro-differential equation with infinite delay in Banach spaces. Results are obtained under general conditions for periodic solutions in the vector-valued Lebesgue and Besov spaces. The latter scale includes in particular the Holder spaces C-alpha, 0 &lt; a &lt; 1.</t>
  </si>
  <si>
    <t>10.1112/S0024610704005198</t>
  </si>
  <si>
    <t>WOS:000222287400012</t>
  </si>
  <si>
    <t>Romero, J; Rios, GM; Sanchez, J; Saavedra, A</t>
  </si>
  <si>
    <t>Analysis of boundary layer and solute transport in osmotic evaporation</t>
  </si>
  <si>
    <t>AICHE JOURNAL</t>
  </si>
  <si>
    <t>The osmotic evaporation process (OE) is based on the transfer of solvent from a dilute solution to be concentrated to an extraction medium (for example, a highly concentrated brine) separated by a macroporous hydrophobic membrane. Mass transfer takes place in the gas phase through the membrane pores under the influence of the water activity gradient. The OE process has been analyzed before in experiments by Courel et al. in 2000 and models by Romero et al. in 2001. These previous studies take into account the effect of structural membrane parameters and working conditions of water flux performance. An algorithm has been developed to solve the system constituted of the mass- and heat-transfer equations. In order to validate it more easily, the simulation was conducted for the results of pure water evaporation. This provides a lot of interesting information on transfer resistances, temperature, and concentration profiles, as well as the prediction of water flows. A work that is the logical continuation of these previous studies is proposed. First, it aims at explaining the influence of the concentration polarization that develops at the solution-membrane interface when the concentration is applied to a sucrose solution. The transfer of very dilute volatile compounds from the sweetened solution is also analyzed with a view to understanding the mechanism that controls the loss of aroma compounds during the concentration of fruit juices.</t>
  </si>
  <si>
    <t>Romero, Julio/I-6705-2013; Sanchez-Marcano, Jose/E-1445-2012</t>
  </si>
  <si>
    <t>Romero, Julio/0000-0002-1229-1592; Sanchez-Marcano, Jose/0000-0003-1783-2092</t>
  </si>
  <si>
    <t>0001-1541</t>
  </si>
  <si>
    <t>1547-5905</t>
  </si>
  <si>
    <t>10.1002/aic.690491111</t>
  </si>
  <si>
    <t>WOS:000186664000010</t>
  </si>
  <si>
    <t>Molecular genetic identification of crustose representatives of the order Corallinales (Rhodophyta) in Chile</t>
  </si>
  <si>
    <t>MOLECULAR PHYLOGENETICS AND EVOLUTION</t>
  </si>
  <si>
    <t>Annual Meeting of the Society-for-Molecular-Biology-and-Evolution</t>
  </si>
  <si>
    <t>JUN 13-16, 2002</t>
  </si>
  <si>
    <t>SORRENTY, ITALY</t>
  </si>
  <si>
    <t>Soc Mol Biol &amp; Evolut</t>
  </si>
  <si>
    <t>Knowledge on species of the order Corallinales along the coast of Chile is still scarce despite a number of studies and records of other divisions of sea-weeds made since the early 20th century. This lack of information is more dramatic amongcrustose representatives of the order, thus depriving biogeographic studies of a thorough analysis and resulting in inadequately representative accounts of biodiversity. The currently changing taxonomy of the group makes it difficult to identify and differentiate among taxa based on morphological and developmental characters. Therefore, the use of molecular tools has been adopted in this study in order to facilitate identification and comparison of crustose corallines collected at the rocky intertidal between 27degrees and 48degreesS along the Pacific temperate coast of South America. A sequence 600 bp (in length) from the SSU-rDNA gene was used to identify five taxa to the genus level: Lithophyllum, Spongites, Mesophyllum, Synarthrophyton, and Leptophytum. In all cases, the genus distinction based on morphological characters coincide with designations based on variation in the ribosomal DNA gene sequence. Spongites is the most frequently occurring genus and is found in all localities sampled while the others appear occasionally. Taxa recognition at species level must be examined with caution considering that morphological variability is not well understood in Chile because the SSU-rDNA region sequence does not always stand alone as an unambiguous means of identifying all coralline species. In such cases, more rapidly evolving markers are needed. For example, sequences from the ITS (rDNA) region often provide greater resolution among closely related species and genera. However, the methodology presented here remains a useful tool for species-level identification. (C) 2003 Elsevier Science (USA). All rights reserved.</t>
  </si>
  <si>
    <t>1055-7903</t>
  </si>
  <si>
    <t>10.1016/S1055-7903(03)00123-4</t>
  </si>
  <si>
    <t>WOS:000184974800003</t>
  </si>
  <si>
    <t>Alvez, G; García, R; Cid, R; Escalona, N; Gil-Llambías, FJ</t>
  </si>
  <si>
    <t>Hydrodesulfurization of thiophene on Ni-W and Ni-Re catalyst supported effect.</t>
  </si>
  <si>
    <t>W, Re, MW and NiRe supported catalyst, on pillared clays (PILC), ultrastable zeolite (USY), active carbon (Carbon) and alumina (Al2O3) were prepared. The active fase and support influence in the reaction of hydrodesulfurization (HDS) of thiophene under atmosferic pressure and T= 400 degreesC have been studied. The catalytic activities increases when the nickel is incorporated to the W monomethalic catalyst, in the four studied supports, and this difference is more notorius when the support is alumina: On the other hand, if nickel is incorporated to Re monomethalic catalyst, when the support are Carbon and Al2O3, no significant change is observed on the catalytic activities. When the used support are PILL and USY the Ni incorporation decreases the catalytic activity. The catalytic activity results are discussed in function of some properties of the support and catalyst, and possible sinergic and antagonic effects that would be generated.</t>
  </si>
  <si>
    <t>Escalona, Nestor/F-3593-2016</t>
  </si>
  <si>
    <t>Escalona Burgos, Nestor/0000-0002-2628-4609</t>
  </si>
  <si>
    <t>WOS:000172210200015</t>
  </si>
  <si>
    <t>Nonlinear supersymmetry, quantum anomaly and quasi-exactly solvable systems</t>
  </si>
  <si>
    <t>The nonlinear supersymmetry of one-dimensional systems is investigated in the context of the quantum anomaly problem. Any classical supersymmetric system characterized by the nonlinear in the Hamiltonian superalgebra is symplectomorphic to a supersymmetric canonical system with the holomorphic form of the supercharges. Depending on the behaviour of the superpotential. the canonical supersymmetric systems are separated into the three classes. In one of them the parameter specifying the supersymmetry order is. subject to some sort of classical quantization, whereas the supersymmetry of another extreme class has a rather fictive nature since its fermion degrees of freedom are decoupled completely by a canonical transformation. The nonlinear supersymmetry with polynomial in momentum super-charges is analysed., and the most general one-parametric Calogero-like solution with the second order supercharges is found. Quantization of the systems of the canonical form reveals the two anomaly-free classes, one of which gives rise naturally to the quasi-exactly solvable systems. The quantum anomaly problem for the Calogero-like models is cured by the specific superpotential-dependent term of order h(2). The nonlinear supersymmetry admits the generalization to the case of two-dimensional systems. (C) 2001 Elsevier Science B.V. All rights reserved.</t>
  </si>
  <si>
    <t>JUL 16</t>
  </si>
  <si>
    <t>10.1016/S0550-3213(01)00197-3</t>
  </si>
  <si>
    <t>WOS:000170463000002</t>
  </si>
  <si>
    <t>Rezende, MC; Campodonico, P; Abuin, E; Kossanyi, J</t>
  </si>
  <si>
    <t>Merocyanine-type dyes from barbituric acid derivatives</t>
  </si>
  <si>
    <t>SPECTROCHIMICA ACTA PART A-MOLECULAR AND BIOMOLECULAR SPECTROSCOPY</t>
  </si>
  <si>
    <t>The preparation and the solvatochromic behavior of two dyes, obtained by condensation of N,N'-dimethylbarbituric acid with dimethylaminobenzaldehyde and with 4,4'-bis( N,N-dimethylamino)benzophenone (Michler's ketone) are described. The latter dye is rather sensitive to the polarity of the medium, and in particular, to the hydrogen-bond-donor ability of protic solvents. The solvatochromism of both compounds is discussed in terms of the pi* and E-T(30) solvent polarity scales and their differences in behavior interpreted with the aid of semiempirical calculations. (C) 2001 Elsevier Science B.V. All rights reserved.</t>
  </si>
  <si>
    <t>Campodónico, Paola/L-9664-2014; Caroli, Marcos/H-3570-2019</t>
  </si>
  <si>
    <t>Campodonico, Paola/0000-0003-2840-0666; Rezende, Marcos/0000-0003-2040-9009</t>
  </si>
  <si>
    <t>1386-1425</t>
  </si>
  <si>
    <t>1873-3557</t>
  </si>
  <si>
    <t>10.1016/S1386-1425(00)00461-3</t>
  </si>
  <si>
    <t>WOS:000168783600005</t>
  </si>
  <si>
    <t>Chen, D; Barros, M; Spencer, E; Patton, JT</t>
  </si>
  <si>
    <t>Features of the 3'-consensus sequence of rotavirus mRNAs critical to minus strand synthesis</t>
  </si>
  <si>
    <t>VIROLOGY</t>
  </si>
  <si>
    <t>The last seven nucleotides of the 3 ' -end of rotavirus mRNAs, 5 ' -UGUGACC-3 ', are highly conserved acid form a cis-acting signal that can promote the synthesis of (-) strand RNA to produce the viral dsRNA genome in vitro. Previous studies have shown that the sequence, location, and strandedness (single- versus double-stranded) of the 3 ' -consensus sequence of the mRNA affect the efficiency of (-) strand synthesis. In this study. we have used exhaustive mutagenesis of the SA11 gene 8 mRNA and an in vitro replication system to define the importance of each of the residues in the consensus sequence in (-) strand synthesis. The analysis showed that the CC of the consensus sequence was the most critical for (-) strand synthesis. Furthermore, the data revealed that other, but not all, residues of the consensus sequence contributed to efficient(-) strand synthesis in vitro. Mutant gene 8 RNAs supported an intermediate level of (-) strand synthesis when the 15 nt sequence upstream of the CC was replaced with long tracts of poly(A) or poly(U), but not with poly(G). Predictions of the secondary structure of the mutant RNAs suggested that the poly(G)-RNA could not replicate because its 3 ' -terminus was largely basepaired, instead of extending as a single-stranded tail as is the case for the 3 ' -termini of the poly(A)- and poly(U)-RNAs and wild-type gene 8 RNA. Subsequent experiments performed with complementary oligonucleotides indicated that efficient RNA replication occurs in vitro only when the last four residues of the 3 ' -consensus sequence, and most importantly the two terminal C's, existed in a single-stranded form. A single-stranded CC may be crucial for formation of an initiation complex for (-) strand synthesis consisting of viral RdRP, mRNA, and the dinucleotide pGpG.</t>
  </si>
  <si>
    <t>Barros, Maria/JQC-8835-2023; Patton, John/P-1390-2014; Patton, John/V-7651-2018</t>
  </si>
  <si>
    <t>Spencer, Eugenio/0000-0001-6109-140X; Patton, John/0000-0003-1572-0732</t>
  </si>
  <si>
    <t>0042-6822</t>
  </si>
  <si>
    <t>APR 10</t>
  </si>
  <si>
    <t>10.1006/viro.2001.0825</t>
  </si>
  <si>
    <t>WOS:000168260100002</t>
  </si>
  <si>
    <t>Castillo, A; Baricelli, PJ; Pardey, AJ; Moya, SA</t>
  </si>
  <si>
    <t>Catalytic oxidation of 1-hexene with molecular oxygen by the Cu(CH3CN)2(NO2)2/Pd(CH3CN)2Cl2 bimetallic system</t>
  </si>
  <si>
    <t>This work describes the study of the oxidation reaction of l-hexene to oxygenated compounds homogeneous catalyzed by the bimetallic system, Cu(CH3CN)(2)(NO2)(2)I Pd(CH3CN)(2)CI2 dissolved in acetonitrile/chloroform under oxygen pressure (1-20 atm) at 55-100 degreesC. The results show that 2-hexanone and 3-hexanone are the only oxygenated products formed at 55 degreesC. Other oxygenated products such as 2-methyl-3-propyl-oxyrane, 2,3-diethyl-oxyrane and butyl-oxyrane were also observed, beside of the above mentioned at temperatures higher than 55 degreesC.</t>
  </si>
  <si>
    <t>WOS:000168175900002</t>
  </si>
  <si>
    <t>Silber, JJ; Biasutti, A; Abuin, E; Lissi, E</t>
  </si>
  <si>
    <t>Interactions of small molecules with reverse micelles</t>
  </si>
  <si>
    <t>ADVANCES IN COLLOID AND INTERFACE SCIENCE</t>
  </si>
  <si>
    <t>Reverse micelles, or water-in-oil microemulsions, incorporate a variety of solutes. The distribution of the solute between the surrounding solvent and the micelles can be described in terms of a partition constant based on a two pseudophases model that can be expanded to three pseudophases in micelles with high water to surfactant more ratios. In these systems, two partition constants can be defined, one between the external solvent and the micellar interface, and other between the external solvent and the inner water pool. The present review describes the methodologies that can be employed to obtain distribution constants, and discuss literature data obtained in these systems. The localization of solutes associated to the micelles, as well as the effects promoted by solute incorporation on micellar properties are also discussed. (C) 1999 Elsevier Science B.V. All rights reserved.</t>
  </si>
  <si>
    <t>Silber, Juana/0000-0001-9395-9939</t>
  </si>
  <si>
    <t>0001-8686</t>
  </si>
  <si>
    <t>OCT 10</t>
  </si>
  <si>
    <t>10.1016/S0001-8686(99)00018-4</t>
  </si>
  <si>
    <t>WOS:000082737100005</t>
  </si>
  <si>
    <t>Rezende, MC; Moll, AU; González, LC; Beezer, A; Mitchell, JC</t>
  </si>
  <si>
    <t>Solute-solvent interactions from diffusion of flavonoids in methanol</t>
  </si>
  <si>
    <t>JOURNAL OF SOLUTION CHEMISTRY</t>
  </si>
  <si>
    <t>The diffusion coefficients of five commercial flavonoids in methanol were determined at 25 degrees C utilizing the Taylor-Aris dispersion technique. The results provide insight on solute-solvent interactions, in particular, on subtle differences in hydrogen bonding of the various hydroxyl groups of these compounds with the solvent.</t>
  </si>
  <si>
    <t>Mitchell, John/0000-0003-2945-3292; Rezende, Marcos/0000-0003-2040-9009; Urzua, Alejandro/0000-0003-2638-0921</t>
  </si>
  <si>
    <t>0095-9782</t>
  </si>
  <si>
    <t>10.1023/A:1022629411310</t>
  </si>
  <si>
    <t>WOS:000082876500004</t>
  </si>
  <si>
    <t>Simpson, J; Navarro, P; Alguacil, FJ</t>
  </si>
  <si>
    <t>Iron(III) extraction by LIX 860 and its influence on copper(II) extraction from sulphuric solutions</t>
  </si>
  <si>
    <t>Solvent extraction of iron(III) by means of the commercial salicylaldoxime LIX 860 and its influence on copper(II) extraction from sulphuric solutions has been studied. Extraction experiments were carried out varying the equilibration time, temperature, extractant concentration, aqueous pH and the ferric and cupric ions concentrations. Iron(III) extraction by LIX 860 can be represented by the reaction: Fe-aq(3+) + 3HR(org) reversible arrow FeR(3org) + 3H(aq)(+) in which HR represents the extractant molecule, Iron(III) extraction can be performed at pH values above 1 and the extraction reaction is endothermic, It was determined that, for the above reaction, log K-ext(25 degrees C) is - 1.196 and the corresponding values of Delta H degrees, Delta G degrees(25 degrees C) and Delta S degrees(25 degrees C) are 8.6 kJ/mol, 6.8 kJ/mol and 0.006 kJ/mol K, It was also concluded that, under the present experimental conditions, copper(II) is extracted preferably to iron(III) and the presence of this ion does not appreciably influence the equilibrium constant of the copper extraction reaction by LIX 860.</t>
  </si>
  <si>
    <t>10.1016/0304-386X(95)00078-U</t>
  </si>
  <si>
    <t>WOS:A1996VD23600002</t>
  </si>
  <si>
    <t>VILLARROEL, L; TORRES, R; GAVIN, J; REINA, M; DELAFUENTE, G</t>
  </si>
  <si>
    <t>9-OXO-10-ALPHA-H-FURANOEREMOPHILANES FROM SENECIO-CHILENSIS AND SENECIO-PATAGONICUS</t>
  </si>
  <si>
    <t>A new structure, 1-alpha-angeloxy-6-beta-isobutyroxy-9-oxo-10-alpha-H-furanoeremophilane {1} and three previously described compounds, 1-alpha-acetoxy-6-beta-isobutyroxy-9-oxo-10-alpha-H-furanoeremophilane {2}, 6-beta-isobutyroxy-9-oxo-10-alpha-H-furanoeremophilane {3}, and 6-beta-acetoxy-9-oxo-10-alpha-H-furanoeremophilane {4}, were isolated from Senecio chilensis and Senecio patagonicus. C-13-nmr chemical shifts of structures 1-4 and double resonance and nOe experiments of structure 4 clearly confirmed a trans-decalin system for furanoeremophilanes.</t>
  </si>
  <si>
    <t>Gavín, José/L-5165-2014</t>
  </si>
  <si>
    <t>10.1021/np50074a039</t>
  </si>
  <si>
    <t>WOS:A1991FN15400039</t>
  </si>
  <si>
    <t>Arancibia, F; Rojas, M; Becerra, D; Fuenzalida, R; Cea-Del Rio, C; Mpodozis, J; Sanhueza, M; Nunez-Parra, A</t>
  </si>
  <si>
    <t>Arancibia, Felipe; Rojas, Marcelo; Becerra, Diego; Fuenzalida, Rocio; Cea-Del Rio, Christian; Mpodozis, Jorge; Sanhueza, Magdalena; Nunez-Parra, Alexia</t>
  </si>
  <si>
    <t>Olfactory dysfunction and altered cortical excitability in the mouse model of Fragile X Syndrome</t>
  </si>
  <si>
    <t>Fragile X Syndrome (FXS) is the most common monogenetic cause of autism and inherited intellectual disability. A key feature of FXS symptomatology is altered sensory processing greatly affecting FXS individual's life quality. Here, we use a combination of behavioral tests and slice physiology tools to study the neurophysiological alterations underlying aberrant sensory processing in the olfactory system of the FXS mouse model (Fmr1 KO). We focused on the piriform cortex (PC), since it is in this brain region where olfactory information is integrated and ultimately decoded. Using a go-no go behavioral task we have found that Fmr1 KO learn to discriminate between a rewarded and a not rewarded odorant but cannot distinguish complex odor mixtures, akin to what is found in the environment. Moreover, Fmr1 KO long-term memory is impaired compared to control mice suggesting possibly cortical processing alterations. In addition, electrophysiological data from PC layer II neurons of Fmr1 KO mice showed a hyperexcitable phenotype manifested by differences in active membrane properties and altered network connectivity. Taken together, our data suggest a possible causal link between the observed olfactory discrimination deficiencies in the Fmr1 KO mouse and the altered physiology of PC.</t>
  </si>
  <si>
    <t>Rio, Christian/T-1356-2019</t>
  </si>
  <si>
    <t>10.1186/s40659-024-00582-2</t>
  </si>
  <si>
    <t>WOS:001474337900001</t>
  </si>
  <si>
    <t>Moraga, C; Astudillo, CA; Estay, R; Maranek, A</t>
  </si>
  <si>
    <t>Moraga, Carlos; Astudillo, Cesar A.; Estay, Rodrigo; Maranek, Alicia</t>
  </si>
  <si>
    <t>Enhancing Comminution Process Modeling in Mineral Processing: A Conjoint Analysis Approach for Implementing Neural Networks with Limited Data</t>
  </si>
  <si>
    <t>MINING</t>
  </si>
  <si>
    <t>Mineral processing is a crucial stage in the mining process, involving comminution and concentration stages. Comminution is modeled using various ore variables and operational parameters, representing a complex system. An alternative to simplifying the complexity of these stages is adopting machine learning (ML) techniques; however, ML often requires a substantial amount of data for effective training and validation. The conjoint analysis methodology was used to develop a procedure for discretizing input variables and reducing the data needed for training neural networks, requiring only 77 different scenarios. Using the results from a comminution plant simulator built in Matlab Simulink, neural networks were trained to predict the key output parameters, such as the water consumption, energy consumption, operational parameters, and particle size generated by the plant. The predictive capability of the neural networks was excellent, achieving R-2 &gt; 0.99 in all cases. The networks were tested with a new set of scenarios to assess their response to values not categorized in the discretization process, achieving R-2 &gt; 0.98. However, the prediction capability was lost for out-of-range input variables. This approach is attractive for developing easy-to-implement ML tools capable of representing complex systems without needing large amounts of input data, thereby simplifying the modeling process in mineral processing.</t>
  </si>
  <si>
    <t>Astudillo, César/LLK-6520-2024</t>
  </si>
  <si>
    <t>2673-6489</t>
  </si>
  <si>
    <t>10.3390/mining4040054</t>
  </si>
  <si>
    <t>WOS:001467183500001</t>
  </si>
  <si>
    <t>Bruna, JE; Castillo, M; de Dicastillo, CL; Muñoz-Shugulí, C; Lira, M; Guarda, A; Rodríguez-Mercado, FJ; Galotto, MJ</t>
  </si>
  <si>
    <t>Bruna, Julio E.; Castillo, Mario; de Dicastillo, Carol Lopez; Munoz-Shuguli, Cristina; Lira, Marcia; Guarda, Abel; Rodriguez-Mercado, Francisco J.; Galotto, Maria J.</t>
  </si>
  <si>
    <t>Development of active biocomposite films based on poly(lactic acid) and wine by-product: Effect of grape pomace content and extrusion temperature</t>
  </si>
  <si>
    <t>This work aims to evaluate the effect of the extrusion temperature of poly(lactic acid) (PLA) with different grape pomace (GP) content for the development of active biocomposite films. Two different GP concentrations (10 and 15 wt.%) were used to obtain GP/PLA composites through extrusion at three different temperature profiles. The biocomposites were characterized through optical, thermal, structural, and mechanical tests. In addition, the antimicrobial and antioxidant capacity of materials were evaluated. Results showed GP antioxidant components are stable up to 180 degrees C. The incorporation of GP in PLA resulted in red-color films with a high color difference (?E &gt; 30). The glass transition, cold crystallization, and melting temperatures as well as the tensile strength of PLA decreased by increasing GP concentration in the films; however, elastic modulus and elongation at break increased. The biocomposite with lowest GP content had better antimicrobial activity against Escherichia coli and Listeria innocua. Contrary, 15% GP/PLA composite showed the highest antioxidant activity. Nevertheless, high extrusion temperature profile reduced the bioactivity of materials due to the GP degradation. These results showed the feasibility and best extrusion temperature profile to develop active materials using wine by-products, which could be applied as active food packaging.</t>
  </si>
  <si>
    <t>bruna, julio/AAM-6867-2021; Rodríguez, Francisco/I-5283-2018; Muñoz-Shugulí, Cristina/AAO-4231-2020; Lopez-de-Dicastillo, Carol/C-6347-2019</t>
  </si>
  <si>
    <t>Bruna, Julio E./0000-0001-9656-6022; Munoz Shuguli, Cristina Alejandra/0000-0003-0052-7411; Rodriguez-Mercado, Francisco/0000-0002-0530-6653; Lopez-de-Dicastillo, Carol/0000-0003-0067-9765</t>
  </si>
  <si>
    <t>10.1002/app.54425</t>
  </si>
  <si>
    <t>WOS:001030980200001</t>
  </si>
  <si>
    <t>Wong-Guerra, M; Calfio, C; Maccioni, RB; Rojo, LE</t>
  </si>
  <si>
    <t>Wong-Guerra, Maylin; Calfio, Camila; Maccioni, Ricardo B.; Rojo, Leonel E.</t>
  </si>
  <si>
    <t>Revisiting the neuroinflammation hypothesis in Alzheimer's disease: a focus on the druggability of current targets</t>
  </si>
  <si>
    <t>Alzheimer's disease (AD) is the most common form of neurodegenerative disease and disability in the elderly; it is estimated to account for 60%-70% of all cases of dementia worldwide. The most relevant mechanistic hypothesis to explain AD symptoms is neurotoxicity induced by aggregated amyloid-beta peptide (A beta) and misfolded tau protein. These molecular entities are seemingly insufficient to explain AD as a multifactorial disease characterized by synaptic dysfunction, cognitive decline, psychotic symptoms, chronic inflammatory environment within the central nervous system (CNS), activated microglial cells, and dysfunctional gut microbiota. The discovery that AD is a neuroinflammatory disease linked to innate immunity phenomena started in the early nineties by several authors, including the ICC ' s group that described, in 2004, the role IL-6 in AD-type phosphorylation of tau protein in deregulating the cdk5/p35 pathway. The Theory of Neuroimmunomodulation, published in 2008, proposed the onset and progression of degenerative diseases as a multi-component damage signals phenomena, suggesting the feasibility of multitarget therapies in AD. This theory explains in detail the cascade of molecular events stemming from microglial disorder through the overactivation of the Cdk5/p35 pathway. All these knowledge have led to the rational search for inflammatory druggable targets against AD. The accumulated evidence on increased levels of inflammatory markers in the cerebrospinal fluid (CSF) of AD patients, along with reports describing CNS alterations caused by senescent immune cells in neuro-degenerative diseases, set out a conceptual framework in which the neuroinflammation hypothesis is being challenged from different angles towards developing new therapies against AD. The current evidence points to controversial findings in the search for therapeutic candidates to treat neuroinflammation in AD. In this article, we discuss a neuroimmune-modulatory perspective for pharmacological exploration of molecular targets against AD, as well as potential deleterious effects of modifying neuroinflammation in the brain parenchyma. We specifically focus on the role of B and T cells, immuno-senescence, the brain lymphatic system (BLS), gut-brain axis alterations, and dysfunctional interactions between neurons, microglia and astrocytes. We also outline a rational framework for identifying druggable targets for multi-mechanistic small molecules with therapeutic potential against AD.</t>
  </si>
  <si>
    <t>Calfio, Camila/0000-0002-8220-9849; Rojo, Leonel/0000-0002-0188-2266</t>
  </si>
  <si>
    <t>JUN 9</t>
  </si>
  <si>
    <t>10.3389/fphar.2023.1161850</t>
  </si>
  <si>
    <t>WOS:001020088800001</t>
  </si>
  <si>
    <t>Grande-Tovar, CD; Castro, JI; Llano, CHV; Tenorio, DL; Saavedra, M; Zapata, PA; Chaur, MN</t>
  </si>
  <si>
    <t>Grande-Tovar, Carlos David; Castro, Jorge Ivan; Valencia Llano, Carlos Humberto; Tenorio, Diego Lopez; Saavedra, Marcela; Zapata, Paula A.; Chaur, Manuel N.</t>
  </si>
  <si>
    <t>Polycaprolactone (PCL)-Polylactic Acid (PLA)-Glycerol (Gly) Composites Incorporated with Zinc Oxide Nanoparticles (ZnO-NPs) and Tea Tree Essential Oil (TTEO) for Tissue Engineering Applications</t>
  </si>
  <si>
    <t>PHARMACEUTICS</t>
  </si>
  <si>
    <t>The search for new biocompatible materials that can replace invasive materials in biomedical applications has increased due to the great demand derived from accidents and diseases such as cancer in various tissues. In this sense, four formulations based on polycaprolactone (PCL) and polylactic acid (PLA) incorporated with zinc oxide nanoparticles (ZnO-NPs) and tea tree essential oil (TTEO) were prepared. The sol-gel method was used for zinc oxide nanoparticle synthesis with an average size of 11 +/- 2 nm and spherical morphology. On the other hand, Fourier Transformed infrared spectroscopy (FTIR) showed characteristic functional groups for each composite component. The TTEO incorporation in the formulations was related to the increased intensity of the C-O-C band. The thermal properties of the materials show that the degradative properties of the ZnO-NPs decrease the thermal stability. The morphological study by scanning electron microscopy (SEM) showed that the presence of TTEO and ZnO-NPs act synergistically, obtaining smooth surfaces, whereas membranes with the presence of ZnO-NPs or TTEO only show porous morphologies. Histological implantation of the membranes showed biocompatibility and biodegradability after 60 days of implantation. This degradation occurs through the fragmentation of the larger particles with the presence of connective tissue constituted by type III collagen fibers, blood vessels, and inflammatory cells, where the process of resorption of the implanted material continues.</t>
  </si>
  <si>
    <t>Tovar, Carlos/J-9638-2019; Chaur Valencia, Manuel Noe/LDF-9448-2024; Valencia Llano, Carlos Humberto/KZU-6023-2024</t>
  </si>
  <si>
    <t>Chaur Valencia, Manuel Noe/0000-0002-9845-9252; castro castro, jorge ivan/0000-0003-1930-6598; Lopez Tenorio, Diego/0009-0002-5855-0497; Valencia Llano, Carlos Humberto/0000-0003-4892-9786; Grande Tovar, Carlos David/0000-0002-6243-4571; Zapata, Paula Andrea/0000-0003-3361-6226</t>
  </si>
  <si>
    <t>1999-4923</t>
  </si>
  <si>
    <t>10.3390/pharmaceutics15010043</t>
  </si>
  <si>
    <t>WOS:000918943600001</t>
  </si>
  <si>
    <t>Burgos-Díaz, C; Opazo-Navarrete, M; Palacios, JL; Barahona, T; Mosi-Roa, Y; Anguita-Barrales, F; Bustamante, M</t>
  </si>
  <si>
    <t>Burgos-Diaz, Cesar; Opazo-Navarrete, Mauricio; Palacios, Jose Luis; Barahona, Tamara; Mosi-Roa, Yohanna; Anguita-Barrales, Fresia; Bustamante, Mariela</t>
  </si>
  <si>
    <t>Synthesis of New Chitosan from an Endemic Chilean Crayfish Exoskeleton (Parastacus Pugnax): Physicochemical and Biological Properties</t>
  </si>
  <si>
    <t>Chitin is one of the most abundant natural polysaccharides in the world and it is mainly used to produce chitosan by a deacetylation process. In the present study, the extraction of chitin and chitosan from the Parastacus pugnax (P. pugnax) crayfish exoskeleton was studied for the first time. Thus, the P. pugnax crayfish exoskeleton was converted to chitosan following the steps of depigmentation, deproteinization, and deacetylation. The produced chitosan (Chitosan-CGNA) was characterized in terms of the protein content, solubility, degree of deacetylation, viscosity, molecular weight, FTIR, SEM, XRD, antimicrobial, and antioxidant activity. The results showed that the obtained chitosan had a high degree of deacetylation (91.55%) and a medium molecular weight (589.43 kDa). The antibacterial activity of the chitosan was tested against bacterial strains relevant for the food industry and the lowest minimum inhibitory concentration (MIC) values were evidenced with Salmonella tiphymurium (S. typhimurium), Staphylococcus aureus (S. aureus), Enterococcus faecalis (E. faecalis) and Listeria. Monocytogenes (L. monocytogenes). Moreover, the Chitosan-CGNA showed an effect on DPPH radical scavenging activity, and its antioxidant activity was dependent on concentration and deacetylation degree. These results suggest that P. pugnax exoskeleton could be an excellent natural source for the production of chitosan with potential applications in the health system, and to prevent infections associated with pathogens strains.</t>
  </si>
  <si>
    <t>Burgos-Diaz, Cesar/IWM-4985-2023; Bustamante, Mariela/S-1126-2019</t>
  </si>
  <si>
    <t>Burgos-Diaz, Cesar/0000-0002-5584-8637; Mosi-Roa, Yohanna/0009-0001-7089-0294</t>
  </si>
  <si>
    <t>10.3390/polym13142304</t>
  </si>
  <si>
    <t>WOS:000676900000001</t>
  </si>
  <si>
    <t>Carrillo, E; Laguna, L; Arancibia, C; Tárrega, A</t>
  </si>
  <si>
    <t>Carrillo, Elizabeth; Laguna, Laura; Arancibia, Carla; Tarrega, Amparo</t>
  </si>
  <si>
    <t>Rescuing Flavor Identity and Dynamic Perception in Pureed Dishes; A Restructuring Solution for the Puree Diet</t>
  </si>
  <si>
    <t>With age, difficulties with masticating and swallowing means food consistency and structure must be modified, such as pureeing food. However, elderly consumers have reported that pureed food's taste lacks appeal. This study shows how pureeing food changes the recognition and dynamics of flavors and new strategies to improve them. Further, to measure the identification and dynamics of flavor, a new sensory method was investigated that combined Free Choice and Temporal Order of Sensation (Free-TOS). Three dishes (macaroni, pizza, and potato salad), their purees, and three pasta purees with added flavors (cheese and dry-cured ham; added directly or as an oil in water emulsion or using two types of emulsions (oil in water and water in oil) were assessed by three groups of 60 consumers using Free-TOS. Results showed that in the puree the frequency of mentioned sensations decreased compared with the dish, as it was more difficult to identify flavors. Adding flavors in powder form only allowed a cheese/ham flavor identification, but in the purees with emulsions, it was possible to identify the dry-cured ham flavor. Therefore, this study showed that the Free-TOS method does not need a predetermined attribute list and registers the actual identified flavors and their order of appearance.</t>
  </si>
  <si>
    <t>Carrillo, Elizabeth/AAA-7402-2021; Arancibia, Carla/AAN-2290-2020; Tarrega, Amparo/F-6334-2016</t>
  </si>
  <si>
    <t>Tarrega, Amparo/0000-0003-3338-2204; Laguna, Laura/0000-0001-8551-1886</t>
  </si>
  <si>
    <t>10.3390/foods10040905</t>
  </si>
  <si>
    <t>WOS:000643044100001</t>
  </si>
  <si>
    <t>de Dicastillo, CL; Garrido, L; Velásquez, E; Rojas, A; Gavara, R</t>
  </si>
  <si>
    <t>Lopez de Dicastillo, Carol; Garrido, Luan; Velasquez, Eliezer; Rojas, Adrian; Gavara, Rafael</t>
  </si>
  <si>
    <t>Designing Biodegradable and Active Multilayer System by Assembling an Electrospun Polycaprolactone Mat Containing Quercetin and Nanocellulose between Polylactic Acid Films</t>
  </si>
  <si>
    <t>The design of multilayer systems is an innovative strategy to improve physical properties of biodegradable polymers and introduce functionality to the materials through the incorporation of an active compound into some of these layers. In this work, a trilayer film based on a sandwich of electrospun polycaprolactone (PCL) fibers (PCLe) containing quercetin (Q) and cellulose nanocrystals (CNC) between extruded polylactic acid (PLA) films was designed with the purpose of improving thermal and barrier properties and affording antioxidant activity to packaged foods. PCLe was successfully electrospun onto 70 mu m-thick extruded PLA film followed by the assembling of a third 25 mu m-thick commercial PLA film through hot pressing. Optical, morphological, thermal, and barrier properties were evaluated in order to study the effect of PCL layer and the addition of Q and CNC. Bilayer systems obtained after the electrospinning process of PCL onto PLA film were also evaluated. The release of quercetin from bi- and trilayer films to food simulants was also analyzed. Results evidenced that thermal treatment during thermo-compression melted PCL polymer and resulted in trilayer systems with barrier properties similar to single PLA film. Quercetin release from bi- and trilayer films followed a similar profile, but achieved highest value through the addition of CNC.</t>
  </si>
  <si>
    <t>Rojas, Adrián/AAR-9441-2021; Lopez-de-Dicastillo, Carol/C-6347-2019; Gavara, Rafael/H-4096-2012</t>
  </si>
  <si>
    <t>VELASQUEZ, ELIEZER/0000-0001-8858-8926; Rojas, Adrian/0000-0001-9253-1295; Lopez-de-Dicastillo, Carol/0000-0003-0067-9765; Gavara, Rafael/0000-0001-6376-8939</t>
  </si>
  <si>
    <t>10.3390/polym13081288</t>
  </si>
  <si>
    <t>WOS:000644614400001</t>
  </si>
  <si>
    <t>Dammert-Guardia, M; Dammert, L; Sarmiento, K</t>
  </si>
  <si>
    <t>Dammert-Guardia, Manuel; Dammert, Lucia; Sarmiento, Katherine</t>
  </si>
  <si>
    <t>Human trafficking in the Andean region: Socio-spatial dynamics in the Peruvian borders</t>
  </si>
  <si>
    <t>ICONOS</t>
  </si>
  <si>
    <t>Human trafficking is an illegal activity that harms the dignity and freedom of thousands of people, many of them women; but which is still not a priority in public debates and about which there is still little information. This article explores the socio-spatial dynamics of human trafficking on the national borders of Peru, as a contribution to the study of the complex relationships that exist between criminal activity and territory. The analysis of human trafficking in the borders between Peru and Ecuador and between Peru and Bolivia during the period 2000-2014 is based on a hemcrographic review, statistical information generated by government sources competent in the matter and secondary data produced by international organizations. The article argues that borders constitute a strategic site for human trafficking in four different ways: i) they allow the formation of circuits, stages and itineraries that: ii) facilitate the incorporation of this criminal activity as a part of local life iii) they increase the dangers and vulnerabilities of cross-border migration and iv) they reveal the systemic connections of this illegal market to global processes.</t>
  </si>
  <si>
    <t>guardia, manuel/Z-1186-2019; Dammert, Lucia/U-2327-2019</t>
  </si>
  <si>
    <t>Dammert-Guardia, Manuel/0000-0001-7583-1878; Dammert, Lucia/0000-0003-1239-4425</t>
  </si>
  <si>
    <t>1390-1249</t>
  </si>
  <si>
    <t>1390-8065</t>
  </si>
  <si>
    <t>SEP-DEC</t>
  </si>
  <si>
    <t>10.17141/iconos.68.2020.4043</t>
  </si>
  <si>
    <t>WOS:000565177900007</t>
  </si>
  <si>
    <t>Videla, A; Faúndez, D; Meneses, J; Gaete, L; Vargas, Y</t>
  </si>
  <si>
    <t>Videla, Alvaro; Faundez, Daniel; Meneses, Josue; Gaete, Luis; Vargas, Yolanda</t>
  </si>
  <si>
    <t>Enhancement of the sedimentation rate of copper tailings by application of acoustic fields</t>
  </si>
  <si>
    <t>The rate of sedimentation in tailings thickeners in the mining industry is negatively affected when ultra-fine particles like clays or over-grinded particles appear in the concentration process. Such particles, sized less than 50 pm, reduce speed severely thus generating sedimentation suspensions. This harmful effect must be compensated with a reduction in the feeding rate, putting the entire upstream operation at risk. In the present study, results of the application of transversal and longitudinal ultrasound waves are shown in the sedimentation of tailings from copper mining to establish if the process can be accelerated. For this purpose, a rotating sedimentation system was designed and manufactured. It included sedimentation tubes equipped with electroacoustic transducers to stimulate the system in various ways during the sedimentation process. Different sedimentation experiments were developed to evaluate the effect of the excitation frequency and the position of the transducers. In each experiment, the copper tailings sample was mixed in the tube with anionic flocculant and subjected to ultrasonic fields with different frequencies to determine the tailings samples' settling characteristics. It was found that the applied ultrasonic treatment positively affected the tailings processing and improved the speed of sedimentation.</t>
  </si>
  <si>
    <t>Videla, Alvaro/E-1533-2014</t>
  </si>
  <si>
    <t>Videla, Alvaro/0000-0002-6785-5818; Gaete-Garreton, Luis/0000-0002-2234-8783</t>
  </si>
  <si>
    <t>10.1016/j.mineng.2019.106096</t>
  </si>
  <si>
    <t>WOS:000509630400015</t>
  </si>
  <si>
    <t>Molina, DA; Causa, L; Tapia, J</t>
  </si>
  <si>
    <t>Bromme, A; Busch, C; Dantcheva, A; Raja, K; Rathgeb, C; Uhl, A</t>
  </si>
  <si>
    <t>Molina, David A.; Causa, Leonardo; Tapia, Juan</t>
  </si>
  <si>
    <t>Reduction of Bias for Gender and Ethnicity from Face Images using Automated Skin Tone Classification</t>
  </si>
  <si>
    <t>2020 INTERNATIONAL CONFERENCE OF THE BIOMETRICS SPECIAL INTEREST GROUP (BIOSIG)</t>
  </si>
  <si>
    <t>Lecture Notes in Informatics-Proceedings</t>
  </si>
  <si>
    <t>19th Annual International Conference of the Biometrics-Special-Interest-Group (BIOSIG) of the Gesellschaft-fur-Informatik (GI)-e-V</t>
  </si>
  <si>
    <t>SEP 16-18, 2020</t>
  </si>
  <si>
    <t>Gesellschaft Informatik e V, Biometr Special Interest Grp,Gesellschaft Informatik e V,Competence Ctr Appl Secur Technol e V,German Fed Off Informat Secur,European Assoc Biometr,TeleTrusT Deutschland e V,Norwegian Biometr Lab,Natl Res Ctr Appl Cybersecur,Inst Engn &amp; Technol Biometr Journal,Fraunhofer Inst Comp Graph Res,Inst Elect &amp; Elect Engineers</t>
  </si>
  <si>
    <t>This paper proposes and analyzes a new approach for reducing the bias in gender caused by skin tone from faces based on transfer learning with fine-tuning. The categorization of the ethnicity was developed based on an objective method instead of a subjective Fitzpatrick scale. A K-means method was used to categorize the color faces using clusters of RGB pixel values. Also, a new database was collected from the internet and will be available upon request. Our method outperforms the state of the art and reduces the gender classification bias using the skin-type categorization. The best results were achieved with VGGNET architecture with 96.71% accuracy and 3.29% error rate.</t>
  </si>
  <si>
    <t>Tapia, Juan/KVZ-0330-2024</t>
  </si>
  <si>
    <t>Tapia, Juan/0000-0001-9159-4075</t>
  </si>
  <si>
    <t>1617-5468</t>
  </si>
  <si>
    <t>978-3-88579-700-5</t>
  </si>
  <si>
    <t>P-306</t>
  </si>
  <si>
    <t>WOS:000682778600026</t>
  </si>
  <si>
    <t>Cimadoro, J; Ribba, L; Goyanes, S; Cerda, E</t>
  </si>
  <si>
    <t>Cimadoro, J.; Ribba, L.; Goyanes, S.; Cerda, E.</t>
  </si>
  <si>
    <t>Wetting a superomniphobic porous system</t>
  </si>
  <si>
    <t>SOFT MATTER</t>
  </si>
  <si>
    <t>While important research has been focused on developing surfaces that do not wet, some textures with high-wetting resistance are familiar in other applications in which the opposite is needed. A multivalued surface, common in most fabrics or meshes, allows the invading gas-liquid interface to support relatively high imposed pressures and plays a key role in producing topographic elements that avoid wetting. Here we study experimentally and theoretically the critical pressure needed to move a liquid through a network of pores and show that, for small aperture size, wetting and leaking are typical first-order transitions, with a singular behavior at the omniphobic/omniphilic limit (theta(c) = pi/2).</t>
  </si>
  <si>
    <t>Ribba, Laura/ITU-5815-2023; Goyanes, Silvia/AAW-8165-2020</t>
  </si>
  <si>
    <t>Goyanes, Silvia/0000-0002-2200-0576; Ribba, Laura/0000-0001-7535-7205; Cerda, Enrique/0000-0003-3515-1442</t>
  </si>
  <si>
    <t>1744-683X</t>
  </si>
  <si>
    <t>1744-6848</t>
  </si>
  <si>
    <t>10.1039/c9sm01091b</t>
  </si>
  <si>
    <t>WOS:000493519700016</t>
  </si>
  <si>
    <t>Bakhtiyarov, S; Siginer, DA</t>
  </si>
  <si>
    <t>Totten, GE; Tiryakioglu, M; Kessler, O</t>
  </si>
  <si>
    <t>Bakhtiyarov, Sayavur; Siginer, Dennis A.</t>
  </si>
  <si>
    <t>Rheoprocessing of Semisolid Aluminum Alloys</t>
  </si>
  <si>
    <t>ENCYCLOPEDIA OF ALUMINUM AND ITS ALLOYS, VOLS I AND II</t>
  </si>
  <si>
    <t>A semisolid metal processing technique is one of the newest metal casting technologies (less than 40 years). However, it has already proved itself as a commercially workable technology for the production of complex shape metallic components with improved mechanical properties and dimensional tolerances. The review of the commercially significant aluminum alloys and the specifics of their rheology are presented in this article.</t>
  </si>
  <si>
    <t>978-1-4665-1081-4; 978-1-4665-1080-7</t>
  </si>
  <si>
    <t>10.1201/9781351045636-140000239</t>
  </si>
  <si>
    <t>10.1201/9781351045636</t>
  </si>
  <si>
    <t>WOS:000670295800139</t>
  </si>
  <si>
    <t>García-Romero, A; Vergara, PM; Granados-Peláez, C; Santibañez-Andrade, G</t>
  </si>
  <si>
    <t>Garcia-Romero, Arturo; Vergara, Pablo M.; Granados-Pelaez, Carlos; Santibanez-Andrade, Gabriela</t>
  </si>
  <si>
    <t>Landscape-mediated edge effect in temperate deciduous forest: implications for oak regeneration</t>
  </si>
  <si>
    <t>LANDSCAPE ECOLOGY</t>
  </si>
  <si>
    <t>ContextAlthough the edge effect is known to be an important factor influencing the recruitment of trees in temperate forests, little is known of its synergistic relationships with landscape and fragment attributes.ObjectivesWe investigated how the edge effect on regeneration of oaks (Quercus spp.) varies with respect to fragment geometry, connectivity and landscape composition.MethodsWe recorded oak sapling density along edge-interior gradients in 29 forest fragments at the periphery of Mexico City and examined the data with Generalized Additive Models.ResultsA nonlinear and landscape-mediated edge effect was supported by data, including the interactions of the edge distance with patch connectivity, shape and size. Saplings were more abundant at a distance of ca. 50m from the edge of small, large and connected patches, but large patches also exhibited reduced recruitment towards the interior of the patch. Conversely, sapling density in simple-shaped or connected patches was lower at the edge, exhibiting linear and concave-down increase trends towards the interior of patches, respectively.ConclusionsBoundary conditions could be interacting with interior forest conditions, making regeneration more frequent at 50m from the edge. Shady and cooler sites in large patches may be inhibiting oak regeneration. The activity of acorn-dispersing animals and oak predators may increase in unconnected patches, thus increasing the likelihood of edge effects. These results provide insights into the restoration of temperate forest patches in heterogeneous fragmented landscapes.</t>
  </si>
  <si>
    <t>Santibañez-Andrade, Gabriela/T-7821-2019; Vergara, Pablo/F-2519-2010; Garcia-Romero, Arturo/A-1935-2012</t>
  </si>
  <si>
    <t>Vergara, Pablo/0000-0002-0024-1678; Garcia-Romero, Arturo/0000-0002-6339-1577; Santibanez, Gabriela/0000-0002-0722-2744</t>
  </si>
  <si>
    <t>0921-2973</t>
  </si>
  <si>
    <t>1572-9761</t>
  </si>
  <si>
    <t>10.1007/s10980-018-0733-x</t>
  </si>
  <si>
    <t>WOS:000458986300005</t>
  </si>
  <si>
    <t>Carreño, A; Zúñiga, C; Páez-Hernández, D; Gacitúa, M; Polanco, R; Otero, C; Arratia-Pérez, R; Fuentes, JA</t>
  </si>
  <si>
    <t>Carreno, Alexander; Zuniga, Cesar; Paez-Hernandez, Dayan; Gacitua, Manuel; Polanco, Ruben; Otero, Carolina; Arratia-Perez, Ramiro; Fuentes, Juan A.</t>
  </si>
  <si>
    <t>Study of the structure-bioactivity relationship of three new pyridine Schiff bases: synthesis, spectral characterization, DFT calculations and biological assays</t>
  </si>
  <si>
    <t>Schiff bases exhibit a broad range of applications, including their use as catalysts, stabilizers, dyes, and intermediates in organic synthesis; and biological activities, such as antifungal properties. In this work, we synthesized and characterized three new pyridine Schiff bases L3 ((E)-2-{[(3-aminopyridin-4-yl)imino]-methyl}-4,6-di-chloro-phenol), L4 ((E)-2-{[(3-aminopyridin-4-yl)imino]-methyl}-6-chloro-phenol), and L5 ((E)-2-{[(3-aminopyridin-4-yl)imino]-methyl}-4-methyl-phenol) to explore their structure-bioactivity relationship as antifungal agents. We also synthesized and characterized a diamine-derived Schiff base (L6) that is similar to (E)-2-{[(3-aminopyridin-4-yl)imino]-methyl}-4,6-di-tert-butyl-phenol (L2, which previously demonstrated antifungal activity), but lacks the pyridine ring, to assess the impact of this structural modification on the biological properties. All the Schiff bases were characterized by FTIR, H-1 and C-13 NMR, DEPT, HHCOSY, TOCSY, UV-vis, MS, cyclic voltammetry, DFT calculations, and NBO to assess the stability of the intramolecular hydrogen bond (IHB). In addition, we determined the antimicrobial properties by obtaining the minimal inhibitory concentration (MIC) for Cryptococcus spp. (yeast) and Salmonella enterica (bacteria), and growth inhibition of Botrytis cinerea (mold). We found that the antifungal activity of these Schiff bases relied on the nitrogen atom in the pyridine ring, and the antifungal activity can be modulated by different substituents in the phenolic ring. In this work we provide data supporting a correlation between the structure and bioactivity in this kind of Schiff base. The understanding of the structural prerequisites for antimicrobial activity could contribute to designing new drugs.</t>
  </si>
  <si>
    <t>Carreno, Alexander/I-6374-2019; Arratia-Perez, Ramiro/AAG-2648-2019; Páez-Hernández, Dayán/AAJ-3317-2020; Gacitua, Manuel/R-8868-2019</t>
  </si>
  <si>
    <t>Zuniga, Cesar/0009-0004-8736-6861; Arratia-Perez, Ramiro/0000-0001-6140-2116; Paez-Hernandez, Dayan/0000-0002-8163-1343; Paez, Dayan/0000-0003-2747-9982; Carreno, Alexander/0000-0001-9733-8224; Fuentes, Juan A./0000-0002-9374-0707; Gacitua, Manuel/0000-0003-0807-2677</t>
  </si>
  <si>
    <t>JUN 7</t>
  </si>
  <si>
    <t>10.1039/c8nj00390d</t>
  </si>
  <si>
    <t>WOS:000434246400066</t>
  </si>
  <si>
    <t>Euler, M; Euler, N; Reyes, EG</t>
  </si>
  <si>
    <t>Euler, Marianna; Euler, Norbert; Reyes, Enrique G.</t>
  </si>
  <si>
    <t>Multipotentializations and nonlocal symmetries: Kupershmidt, Kaup-Kupershmidt and Sawada-Kotera equations</t>
  </si>
  <si>
    <t>JOURNAL OF NONLINEAR MATHEMATICAL PHYSICS</t>
  </si>
  <si>
    <t>In this letter we report a new invariant for the Sawada-Kotera equation that is obtained by a systematic potentialization of the Kupershmidt equation. We show that this result can be derived from nonlocal symmetries and that, conversely, a previously known invariant of the Kaup-Kupershmidt equation can be recovered using potentializations.</t>
  </si>
  <si>
    <t>Euler, Norbert/AAS-1051-2021; Reyes, Enrique/AAD-1308-2019; Euler, Marianna/AAS-1049-2021</t>
  </si>
  <si>
    <t>1402-9251</t>
  </si>
  <si>
    <t>1776-0852</t>
  </si>
  <si>
    <t>10.1080/14029251.2017.1341694</t>
  </si>
  <si>
    <t>WOS:000414996700001</t>
  </si>
  <si>
    <t>Friedman-Soza, AM; Friedman, JR; Pozo, DH; Yevenes, CF</t>
  </si>
  <si>
    <t>Friedman-Soza, Antonio M.; Friedman, Jorge R.; Pozo, Domingo H.; Yevenes, Carlos F.</t>
  </si>
  <si>
    <t>Who Attends Sporting Events? Evidence from Mexican Micro Data</t>
  </si>
  <si>
    <t>INTERNATIONAL JOURNAL OF SPORT FINANCE</t>
  </si>
  <si>
    <t>Applying probit in Mexican micro data we conclude that sporting event attendance is determined mostly by education, income, gender, employment, marital status, ethnic origin, urbanization, and age. Showing that education is so central in the decision to attend a sporting event in developing countries is perhaps the most distinctive feature of the study; highly educated people are seven times more likely to buy tickets to sporting events than those with little formal education. The data fit information criteria confirms the importance of education. These results reveal yet another mechanism through which education increases the wellbeing of society by enabling individuals to spend their leisure time attending sporting events rather than exhibiting negative behaviors such as abusive drinking or illegal drug consumption. Household income presents a dichotomy: it is largely irrelevant for 75% of the households and very relevant for the richer ones. Finally, people who classify themselves as indigenous attend significantly fewer sporting events.</t>
  </si>
  <si>
    <t>friedman, jorge/ABC-4538-2021</t>
  </si>
  <si>
    <t>Friedman, Jorge/0000-0002-3262-1296</t>
  </si>
  <si>
    <t>1558-6235</t>
  </si>
  <si>
    <t>1930-076X</t>
  </si>
  <si>
    <t>WOS:000392463600003</t>
  </si>
  <si>
    <t>Lozano, I; Wacyk, JM; Carrasco, J; Cortez-San Martín, MA</t>
  </si>
  <si>
    <t>Lozano, Ivonne; Wacyk, Jurij M.; Carrasco, Jaime; Cortez-San Martin, Marcelo A.</t>
  </si>
  <si>
    <t>Red macroalgae Pyropia columbina and Gracilaria chilensis: sustainable feed additive in the Salmo salar diet and the evaluation of potential antiviral activity against infectious salmon anemia virus</t>
  </si>
  <si>
    <t>Red macroalgae (Phylum Rhodophyta) are considered to be an important source of biologically active metabolites; their use as functional feed ingredients in fish diets can increase disease resistance and animal growth. Furthermore, red macroalgae can be cultured in a sustainable and environmentally friendly manner. We evaluate the potential antiviral activity against the infectious salmon anemia (ISA) virus of Chilean red macroalgae as a sustainable feed additive in the Atlantic salmon (Salmo salar) diet. Lyophilized Chilean red macroalgae concentrates were elaborated and added to a commercial diet. Diets were prepared with 0.1, 1.0, and 10.0 % of Gracilaria chilensis and Pyropia columbina separately, and 0.1 and 1.0 % of a mix of both species in a 1:1 ratio. The diets were fed to S. salar over a period of 2 months. We collected data on production parameters and blood samples. The serum and its constituents were challenged with the ISA virus in the presence of Atlantic salmon kidney cells and tested ex vivo for antiviral capacity using a plaque reduction neutralization assay. Fish fed a diet containing 10 % G. chilensis showed a significantly higher specific growth rate compared with fish fed the control diet. The feed conversion ratio was not significantly affected by treatments. Sera from fish fed the algae diets showed a significant increase in antiviral activity against the ISA virus compared with sera of fish fed the control diet that did not include red macroalgae. Diets including G. chilensis (1.0 and 10 %) exhibited the largest increase in antiviral activity.</t>
  </si>
  <si>
    <t>Wacyk, Jurij/AAG-4868-2021; Muñoz, Ivonne/H-4724-2019</t>
  </si>
  <si>
    <t>Wacyk, Jurij/0000-0002-9044-2755; Lozano-Munoz, Ivonne/0000-0002-1609-0317</t>
  </si>
  <si>
    <t>10.1007/s10811-015-0648-8</t>
  </si>
  <si>
    <t>WOS:000372256900062</t>
  </si>
  <si>
    <t>Burgos, H; Cofré, C; Hernández, A; Sáez-Briones, P; Agurto, R; Castillo, A; Morales, B; Zeise, ML</t>
  </si>
  <si>
    <t>Burgos, H.; Cofre, C.; Hernandez, A.; Saez-Briones, P.; Agurto, R.; Castillo, A.; Morales, B.; Zeise, M. L.</t>
  </si>
  <si>
    <t>Methylphenidate has long-lasting metaplastic effects in the prefrontal cortex of adolescent rats</t>
  </si>
  <si>
    <t>BEHAVIOURAL BRAIN RESEARCH</t>
  </si>
  <si>
    <t>Methylphenidate (MPH) is widely used as a nootropic agent and in the treatment of disorders of attention, and has been shown to modulate synaptic plasticity in vitro. Here we present in vivo evidence that this MPH-induced metaplasticity can last long after the end of treatment. MPH (0, 0.2, 1 and 5 mg/kg) was administered daily to male rats from postnatal day 42 for 15 days. The animals were tested daily in a radial maze. Long-term potentiation (LTP), a marker of neural plasticity, was induced in vivo in the prefrontal cortex after 2-3 h, 15-18 days or 5 months without treatment. The behavioral performance of the 1 mg/kg group improved, while that of animals that had received 5 mg/kg deteriorated. In the 1 and 5 mg/kg groups LTP induced 2-3 h after the last MPH treatment was twice as large as in the controls. Further, 15-18 days after the last MPH administration, in groups receiving 1 and 5 mg/kg, LTP was about fourfold higher than in controls. However, 5 months later, LTP in the 1 mg/kg group was similar to controls and in the 5 mg/kg group LTP could not be induced at all. No significant changes of LTP were seen in the low-dose group of animals (0.2 mg/kg). Thus, firstly, doses of MPH that improve learning coincide approximately with those that augment LTP. Secondly, MPH-induced increases in LTP can last for several weeks, but these may disappear over longer periods or deteriorate at high doses. (C) 2015 Elsevier B.V. All rights reserved.</t>
  </si>
  <si>
    <t>Hernandez, Alejandro/M-4796-2019; BURGOS, HECTOR/ABA-6821-2020</t>
  </si>
  <si>
    <t>Hernandez, Alejandro/0000-0001-9222-6522; BURGOS, HECTOR/0000-0001-7705-4347</t>
  </si>
  <si>
    <t>0166-4328</t>
  </si>
  <si>
    <t>1872-7549</t>
  </si>
  <si>
    <t>10.1016/j.bbr.2015.05.009</t>
  </si>
  <si>
    <t>WOS:000358454800014</t>
  </si>
  <si>
    <t>Vásquez, C; Díaz-Calderón, P; Enrione, J; Matiacevich, S</t>
  </si>
  <si>
    <t>Vasquez, Corina; Diaz-Calderon, Paulo; Enrione, Javier; Matiacevich, Silvia</t>
  </si>
  <si>
    <t>State diagram, sorption isotherm and color of blueberries as a function of water content</t>
  </si>
  <si>
    <t>THERMOCHIMICA ACTA</t>
  </si>
  <si>
    <t>A state diagram of blueberries was developed using freezing and glass transition curves, and maximal-freeze-concentration condition in order to predict the behavior and physical changes of fresh and lyophilized blueberries. Freezing points (Clausius-Clapeyron equation) and glass transition temperature (Gordon-Taylor equation) were measured by differential scanning calorimetry (DSC). Color samples were measured by computer vision system. Isotherms data was fitted using GAB, Peleg and Iglesias-Chirife equations. Glass transition decreased as decreasing solids content due to water plasticizing effect. Lyophilized and fresh samples varied their color; however thermal properties were similar, principally affected by their constituents although the blueberry's matrix state changed. Maximum-freeze-concentration conditions was found as X-s' = 0.69 kg solid (kg blueberry)(-1), T-g' = -54.86 degrees C and T-m' = -45.45 degrees C. In conclusion, a state diagram was developed using lyophilized fruit but it can be extrapolated to whole blueberry fruit. (c) 2013 Elsevier B.V.. All rights reserved.</t>
  </si>
  <si>
    <t>Enrione, Javier/I-9225-2014</t>
  </si>
  <si>
    <t>Enrione, Javier/0000-0002-3916-6775; Diaz-Calderon, Paulo/0000-0002-8375-2210</t>
  </si>
  <si>
    <t>0040-6031</t>
  </si>
  <si>
    <t>1872-762X</t>
  </si>
  <si>
    <t>10.1016/j.tca.2013.07.029</t>
  </si>
  <si>
    <t>WOS:000325673600002</t>
  </si>
  <si>
    <t>Friswell, MI; Flores, EIS</t>
  </si>
  <si>
    <t>Friswell, M. I.; Saavedra Flores, E. I.</t>
  </si>
  <si>
    <t>Dynamic isolation systems using tunable nonlinear stiffness beams</t>
  </si>
  <si>
    <t>EUROPEAN PHYSICAL JOURNAL-SPECIAL TOPICS</t>
  </si>
  <si>
    <t>Vibration isolation devices are required to reduce the forcing into the supporting structure or to protect sensitive equipment from base excitation. A suspension system with a low natural frequency is required to improve isolation, but with linear supports the minimum stiffness is bounded by the static stiffness required to support the equipment. However, nonlinear high-static-low-dynamic-stiffness (HSLDS) mounts may be designed, for example by combining elastic springs in particular geometries, to give the required nonlinear force-displacement characteristics. Current approaches to realise the required nonlinear characteristics are often inconvenient. Furthermore, the weight of the supported equipment, the environment, or the structural stiffness may change. This paper investigates the design of HSLDS isolation mounts using beams of tunable geometric nonlinear stiffness. In order to obtain the nonlinear response required, we first study the case of generic beams subject to static loads that are able to tune their nonlinear force-displacement characteristics to ensure that the isolators have very low dynamic stiffness. Tuning is achieved by actuators at the ends of the beams that prescribe the axial displacement and rotation. Secondly, we study a composite beam with an initial thermal pre-stress, resulting in internal stresses that give the required nonlinear response.</t>
  </si>
  <si>
    <t>Friswell, Michael/B-5581-2009</t>
  </si>
  <si>
    <t>1951-6355</t>
  </si>
  <si>
    <t>1951-6401</t>
  </si>
  <si>
    <t>10.1140/epjst/e2013-01945-5</t>
  </si>
  <si>
    <t>WOS:000324636900007</t>
  </si>
  <si>
    <t>Peredo-Parada, M; Martínez-Capel, F; Quevedo, DI; Hernández-Mascarell, AB</t>
  </si>
  <si>
    <t>Peredo-Parada, Matias; Martinez-Capel, Francisco; Quevedo, Diana I.; Hernandez-Mascarell, Aina B.</t>
  </si>
  <si>
    <t>Implementation of an eco-hydrological classification in Chilean rivers</t>
  </si>
  <si>
    <t>GAYANA</t>
  </si>
  <si>
    <t>Concern has grown in Chile to protect and conserve aquatic ecosystems taking into account the high degree of habitat degradation. As a first step towards the development of conservation plans, it is necessary to classify these ecosystems in order to learn about them and understand their different types and functions. Considering that hydrological regime is the main factor in the composition of river ecosystems, an Eco-Hydrological Classification of Chilean Rivers (REC-Chile) has been developed. REC-Chile is based on the hierarchical superposition of the controlling factors of the hydrological pattern in Chile. REC-Chile is a multi-scale classification system, allowing to represent different river patterns at different spatial scales according to the selected controlling factors. The typology of the river segment is represented as a 6-digit code, in which the position of the digit represents the controlling factor and the digit value represents the factor category. This hierarchical configuration and the assignment of geography-independent classes makes REC-Chile an easy way of interpreting the hydrological classes. Given the flexibility provided by the multi-scale nature of REC-Chile, and the simplicity in the interpretation of the classes, it is expected that REC-Chile will become a very useful and suitable tool for developing conservation plans for aquatic ecosystems.</t>
  </si>
  <si>
    <t>Quevedo, Diana/G-8259-2016; Martinez-Capel, Francisco/ABA-1984-2020</t>
  </si>
  <si>
    <t>0717-6538</t>
  </si>
  <si>
    <t>10.4067/S0717-65382011000100003</t>
  </si>
  <si>
    <t>WOS:000291712100003</t>
  </si>
  <si>
    <t>Bubnovich, V; Henríquez, L; Gnesdilov, N</t>
  </si>
  <si>
    <t>Bubnovich, V.; Henriquez, L.; Gnesdilov, N.</t>
  </si>
  <si>
    <t>Numerical study of the effect of the diameter of alumina balls on flame stabilization in a porous-medium burner</t>
  </si>
  <si>
    <t>NUMERICAL HEAT TRANSFER PART A-APPLICATIONS</t>
  </si>
  <si>
    <t>The results of a computer simulation analysis of a porous-medium burner with a double layer of alumina balls are reported. The objectives are the determination of the stabilization ranges, for gas velocity and equivalence ratio, by studying the combustion wave velocity, and optimization of these variables to decrease the formation of pollutants in the combustion of methane. The computer simulation shows the importance of high temperatures in the formation of NOx by Zeldovich's route. The optimum conditions found consider values of the operational variables that provide low temperatures and minimize exposure of the reagents to them.</t>
  </si>
  <si>
    <t>Henríquez-Vargas, Luis/Q-3617-2019</t>
  </si>
  <si>
    <t>1040-7782</t>
  </si>
  <si>
    <t>1521-0634</t>
  </si>
  <si>
    <t>10.1080/00397910601149942</t>
  </si>
  <si>
    <t>WOS:000248114400005</t>
  </si>
  <si>
    <t>Echeverry, C; Ferreira, M; Reyes-Parada, M; Abin-Carriquiry, JA; Blasina, F; González-Neves, G; Dajas, F</t>
  </si>
  <si>
    <t>Changes in antioxidant capacity of Tannat red wines during early maturation</t>
  </si>
  <si>
    <t>The prevention of pathologies associated with oxidative stress has been related to red wine consumption and antioxidant phenolic compounds have been suggested as being responsible of this effect. To study factors influencing the antioxidant capacity (AC) and phenolic composition of red wines, different viticulture, vinification and maturation processes of the red wine variety Tannat were studied. AC correlated with total polyphenol content at 1, 6 and 12 months post-fermentation times. In all wines studied, AC increased with aging although most of the phenolic families remained constant, suggesting the relevance of qualitative changes of these compounds for AC. Changes in field treatments such as etephon application, the timing of the application and variations in wine making techniques such as the use of S. cerevisiae var. ellipsoideus or a color extractor pectinolytic enzyme were the most effective in increasing AC. (c) 2004 Published by Elsevier Ltd.</t>
  </si>
  <si>
    <t>Echeverry, Carolina/GNO-9877-2022</t>
  </si>
  <si>
    <t>Blasina, Maria/0000-0001-6697-5570; Echeverry, Carolina/0000-0002-3953-4814; Gonzalez-Neves, Gustavo/0000-0002-0828-4752</t>
  </si>
  <si>
    <t>10.1016/j.jfoodeng.2004.08.005</t>
  </si>
  <si>
    <t>WOS:000228242400002</t>
  </si>
  <si>
    <t>Navarro, P; Vargas, C; Alguacil, FJ; Alvarez, R</t>
  </si>
  <si>
    <t>Application of kinetics models on gold cementation by zinc from tiosulphate and ammonia solutions</t>
  </si>
  <si>
    <t>9th National Congress on Metallurgical Science and Technology</t>
  </si>
  <si>
    <t>NOV 05-07, 2003</t>
  </si>
  <si>
    <t>Being thiosulphate leaching of gold one of the proposed alternatives to conventional cyanide leaching of several gold ores, different approaches for metal recovery from pregnant thisulphate solutions had been considered and from these, gold cementation by zinc had not been widely Study. In the present work, several kinetics models had been tested on experimental results of gold cementation by powdered zinc, and under varying conditions results are best fitted to the passivation model. Overall, the cementation of the precious metal by zinc from ammoniacal thiosulphate solutions was concluded to be under mass transfer control, higher temperatures and pH/ammonia concentration were established to positively affect the rate of gold cementation.</t>
  </si>
  <si>
    <t>WOS:000237464800011</t>
  </si>
  <si>
    <t>Costamagna, J; Lillo, LE; Matsuhiro, B; Noseda, MD; Villagrán, M</t>
  </si>
  <si>
    <t>Ni(II) complexes with Schiff bases derived from amino sugars</t>
  </si>
  <si>
    <t>CARBOHYDRATE RESEARCH</t>
  </si>
  <si>
    <t>It was found by H-1 and C-13 NMR spectroscopy that the Schiff base, 2-deoxy-2-(2-hydroxybenzaldimino)-D-glucopyranose exhibits enol-imine-keto-amine and anomeric equilibria in methanolic, and in dimethyl sulfoxide solutions. The reaction of the Schiff base with nickel acetate gave the bidentate, mononuclear Ni(II) complex that was characterized by spectroscopic methods and by cyclic voltammetry. The coordination of the Schiff base to the metal is through the enol-imine tautomeric form, and the anomeric equilibrium remains in dimethyl sulfoxide solutions. This complex was also obtained by reaction Of D-glucosamine with Ni(II) salicylaldehydate. The same reaction was employed for the synthesis of bis-N-[2-deoxy-D-galactopyranosyl-2-(2-hydroxybenzaidiminate)]Ni(II). The small paramagnetic shifts of the H-1 NMR resonances of the complexes suggest that paramagnetic species are present in low proportions. (C) 2003 Elsevier Ltd. All rights reserved.</t>
  </si>
  <si>
    <t>Noseda, Miguel/I-6480-2013</t>
  </si>
  <si>
    <t>Noseda, Miguel/0000-0002-0724-1515</t>
  </si>
  <si>
    <t>0008-6215</t>
  </si>
  <si>
    <t>1873-426X</t>
  </si>
  <si>
    <t>10.1016/S0008-6215(03)00237-4</t>
  </si>
  <si>
    <t>WOS:000184380600002</t>
  </si>
  <si>
    <t>Cárdenas, M; Esparza, C; Rojas, R</t>
  </si>
  <si>
    <t>Consolute critical phenomena in porous media</t>
  </si>
  <si>
    <t>REVISTA MEXICANA DE FISICA</t>
  </si>
  <si>
    <t>12th Chilean Symposium of Physics</t>
  </si>
  <si>
    <t>NOV 22-24, 2000</t>
  </si>
  <si>
    <t>SANTIAGO, CHILE</t>
  </si>
  <si>
    <t>We introduce a model for a binary mixture confined to a porous medium. This system is set within the framework of the classical theory of liquids and the replica method. The resulting equations for the structural functions of the confined mixture are solved numerically and the free energy as well as other related quantities of the confined mixture are evaluated.</t>
  </si>
  <si>
    <t>0035-001X</t>
  </si>
  <si>
    <t>WOS:000180065500003</t>
  </si>
  <si>
    <t>Contreras, C; Vergara, L</t>
  </si>
  <si>
    <t>Scalar field theory renormalization in the Hamiltonian formulation</t>
  </si>
  <si>
    <t>We formulate a renormalization group (RG) transformation through a unitary transformation which diagonalize the Hamiltonian in the high frequency modes, allowing the definition of an effective low-energy theory. We apply this to the lambdaphi(4)-scalar theory.</t>
  </si>
  <si>
    <t>Vergara, Lautaro/V-2736-2019</t>
  </si>
  <si>
    <t>WOS:000180065500027</t>
  </si>
  <si>
    <t>Abuin, E; Lissi, E; Duarte, R; Silber, JJ; Biasutti, MA</t>
  </si>
  <si>
    <t>Solubilization in AOT-water reverse micelles. Effect of the external solvent</t>
  </si>
  <si>
    <t>The partition of 1-pyrenemethanol (PyM) between the external medium and AOT/water reverse micelles formed in several organic solvents has been measured and compared with its partition between bulk solvents. The organic solvents employed were n-heptane, cyclohexane, isooctane, dodecane, benzene, chlorobenzene, toluene, and tetrachloroethylene. The partition of PyM in AOT/water/nonpolar solvent reverse micelles is dominated by the free energy of the probe in the external solvent. To evaluate the stability of the probe in micelles dispersed in different solvents, the micellar data were referred to a common (water) solvent. A weakly positive correlation was obtained for the partition of the probe between the different micelles and water. Furthermore, the polarity sensed by PyM is higher in AOT/alkane/water that in AOT/aromatic solvent/water reverse micelles. These results can be explained in terms of two driving forces whose relative importance is determined by the characteristics of the solute and the external solvent. One of them, solvation of the surfactant head by the polar group of PyM, will be disfavored by polar solvents. The second one, interaction of the aromatic part of the micelle associated PyM molecules with the external solvent, would be determined by the solvent/probe affinity, measured by the solvent/water partition constant.</t>
  </si>
  <si>
    <t>10.1021/la020492o</t>
  </si>
  <si>
    <t>WOS:000178839300013</t>
  </si>
  <si>
    <t>Krautwurst, H; Berti, M; Encinas, MV; Frey, PA; Cardemil, E</t>
  </si>
  <si>
    <t>Reaction of wild-type, C365S, and C458S Saccharomyces cerevisiae phosphoenolpyruvate carboxykinases with fluorescent lodoacetamide derivatives</t>
  </si>
  <si>
    <t>The reactivities of Cys365 and Cys458 of ATP-dependent Saccharomyces cerevisiae phosphoenolpyruvate (PEP) carboxykinase against a range of sulfhydryl reagents have been investigated. The effect of pH on the second order reaction constants of N-(1-pyrenyl)maleimide with mutant C458S and C365S PEP carboxykinases allowed the determination of pK(a) values of 9.4 and 9,1 for Cys365 and Cys458, respectively, The analysis of the inactivation rates of C458S and C365S mutant enzymes by several sulfhydryl reagents of different hydrophobicity showed that the microenvironment of these residues is rather polar, Anisotropy measurements and acrylamide quenching experiments carried out with N-(iodoacetyl)-N'-(5-sulfo-1-naphthyl)et enediamine-labeled mutant enzymes indicated a higher rotational freedom and solvent exposure for the probe linked to Cys458 than to Cys365. These findings point to differences in the protein microenvironments around Cys365 and Cys458 in S. cerevisiae PEP carboxykinase. A comparison of the results obtained with published data for GTP-dependent PEP carboxykinases, suggest significant differences for the protein region around the reactive cysteinyl residues of these enzymes. (C) 1996 Academic Press, Inc.</t>
  </si>
  <si>
    <t>10.1006/abbi.1996.0100</t>
  </si>
  <si>
    <t>WOS:A1996TY71600016</t>
  </si>
  <si>
    <t>PONCE, J; ZELADA, G; GAUTIER, JL</t>
  </si>
  <si>
    <t>STRUCTURAL AND PHYSICOCHEMICAL CHARACTERIZATION OF NICKEL-ALUMINUM MANGANITES</t>
  </si>
  <si>
    <t>WOS:A1990DZ69900003</t>
  </si>
  <si>
    <t>STABILITY OF SINGULAR HORSESHOES</t>
  </si>
  <si>
    <t>10.1016/0040-9383(86)90048-0</t>
  </si>
  <si>
    <t>WOS:A1986C791500006</t>
  </si>
  <si>
    <t>Huerta, M; Cornejo, F; Hofflinger, H; Illanes, A; Vera, C; Guerrero, C</t>
  </si>
  <si>
    <t>Huerta, Macarena; Cornejo, Fabian; Hofflinger, Helen; Illanes, Andres; Vera, Carlos; Guerrero, Cecilia</t>
  </si>
  <si>
    <t>Reaction conditions for the isomerization and epimerization of lactose with a mutant cellobiose 2-epimerase</t>
  </si>
  <si>
    <t>A sound alternative to the chemical synthesis of lactulose is the direct isomerization of lactose using cellobiose 2epimerase as catalyst. In this reaction, epilactose, a potential prebiotic, is synthesized along with lactulose. A new mutant cellobiose 2-epimerase from Caldicellulosiruptor saccharolyticus (CsCE H349N) was characterized kinetically and evaluated in the reaction of lactose conversion into lactulose and epilactose. Temperature, pH, initial lactose concentration and enzyme/substrate ratio (E/S) were evaluated as operational variables. The operational response parameters lactulose and epilactose yield and productivity, and lactulose selectivity were significantly affected by the E/S, being possible to drive the reaction into the formation of epilactose or lactulose. Lactulose yield of 0.677 +/- 0.0121 g/g with only 0.095 +/- 0.003 g/g of epilactose yield was obtained, which is one of the highest lactulose yield reported without the addition of complexing agents, like boric acid, which are hard to remove from the product stream. If the objective is pure epilactose production, this can be achieved at low E/S ratios, where epimerization is privileged over isomerization, in which case a maximum epilactose yield of 0.256 +/- 0.0048 g/g was obtained with no lactulose or other unwanted products being formed.</t>
  </si>
  <si>
    <t>10.1016/j.lwt.2025.117380</t>
  </si>
  <si>
    <t>WOS:001411376800001</t>
  </si>
  <si>
    <t>Muñoz, V; Ayala, A; Vargas, C; Vivanco, E; Elorrieta, F; Maddaleno, M</t>
  </si>
  <si>
    <t>Munoz, Valentina; Ayala, Andres; Vargas, Claudio; Vivanco, Erika; Elorrieta, Felipe; Maddaleno, Matilde</t>
  </si>
  <si>
    <t>Tuberculosis Profile in Chile: Effect of Migration, Overcrowding and Income on Tuberculosis and Its Spatial Distribution</t>
  </si>
  <si>
    <t>Aim: To analyze tuberculosis (TB) incidence, demographic profiles, and associated risk factors in migrant and national populations, in order to understand the impact of migration, overcrowding, and socioeconomic factors on TB prevalence and care-seeking behaviors. Material and Methods: Data from various communes within the Metropolitan Region and other parts of the national territory were analyzed to assess TB incidence, demographic characteristics, and care-seeking behaviors among migrant and national populations. Results: TB disproportionately affects males in both migrant and national populations. Migrants exhibit a younger demographic profile, higher proportion of HIV coinfection. Migration and overcrowding positively influence the Risk of Morbidity from TB (RME) in specific communes, whereas socioeconomic income negatively impacts the RME, being the most relevant explanatory factor. Conclusions: TB remains a significant public health challenge influenced by migration, overcrowding, and socio-economic disparities. Tailored interventions focusing on high-risk groups and specific geographic areas are essential for effective control strategies. Future research should explore the impact of the COVID-19 pandemic on TB dynamics and associated socio-health factors.</t>
  </si>
  <si>
    <t>Elorrieta, Felipe/AAX-2057-2020</t>
  </si>
  <si>
    <t>10.4067/s0034-9887202400070</t>
  </si>
  <si>
    <t>WOS:001358098900001</t>
  </si>
  <si>
    <t>Castro, SA; Rojas, G; Jaksic, FM</t>
  </si>
  <si>
    <t>Castro, Sergio A.; Rojas, Gloria; Jaksic, Fabian M.</t>
  </si>
  <si>
    <t>Vascular flora of Punta Arenas city: comparative analysis of composition, life forms, and biogeographic origins</t>
  </si>
  <si>
    <t>The composition of the vascular flora in Punta Arenas city, found in the city's public spaces, was studied. The species were identified and recorded in a database, which was supplemented with information on taxonomic classification, growth habit, Raunkiaer's life form, origin status (native or exotic), and original continent-level distribution. These data were compared with studies conducted in five other cities in central Chile, together with an analysis of compositional similarity with these cities, by using the additive complement of Simpson's index (1- beta(sim)). In Punta Arenas, 119 species were identified, showing a higher proportion of Gymnosperms compared to central Chilean cities. The most represented families were Asteraceae (16 species), Fabaceae (14), Rosaceae (14), Poaceae (12), and Pinaceae (10), which together accounted for 55% of the floristic richness. The compositional similarity between Punta Arenas and the other central Chilean cities ranged from 0.187 to 0.315, showing lower similarity than expected by chance (Montecarlo randomization test; P&lt;0.05). The primary origin distribution of Punta Arenas' vascular flora was European, unlike central Chilean cities where it was Asian. Finally, the proportion of exotic species (91.6%) and the number of exotic species per native species (16 exotics/native) were the highest documented for cities in Chile and higher than in other 114 cities worldwide. These results indicate that Punta Arenas' urban flora differs from the flora in central Chilean cities, not only in taxonomic composition but also in growth habit, biogeographical origin, and high level of exoticism. These differences are likely due to the city's territorial isolation and extreme southern location (53 degrees S), leading to a unique urban flora configuration.</t>
  </si>
  <si>
    <t>Jaksic, Fabian/G-1705-2014</t>
  </si>
  <si>
    <t>JUN 20</t>
  </si>
  <si>
    <t>10.1186/s40693-024-00128-6</t>
  </si>
  <si>
    <t>WOS:001335966300001</t>
  </si>
  <si>
    <t>Troncoso, N; Cancela, H; Piñeyro, P; Quezada, F; Vásquez, OC</t>
  </si>
  <si>
    <t>Troncoso, Nelson; Cancela, Hector; Pineyro, Pedro; Quezada, Franco; Vasquez, oscar C.</t>
  </si>
  <si>
    <t>The product-mold-machine manufacturing problem: Complexity, MILP models and constructive heuristics</t>
  </si>
  <si>
    <t>This study addresses the product-mold-machine manufacturing problem, a problem intrinsic to the fabrication processes in industries such as tires, plastics, ceramics, and glass. Each product possesses distinct shape and mechanical attributes, resulting from processing its corresponding mold on a specific machine. Uniquely, machines in this problem can handle multiple molds concurrently, implying that their processing time is dictated by the longest mold processing time within the set being used. The goal is to devise a production strategy that reduces the overall periods required to satisfy each product's demand. This has to be achieved under constraints like limited availability of machines and molds, changeover times, and incompatibility constraints. We establish the problem's ./k/P-complete nature in the strong sense. Further, we introduce two mixed -integer linear programming (MILP) models and two polynomial -time constructive heuristics. These heuristics offer upper bounds for the optimal makespan and present easily implementable feasible solutions. Our numerical tests, conducted on real -world data, evaluate the efficacy of different solution strategies, specifically those using the preliminary insights from our heuristics to guide the mathematical formulations. The outcomes strongly advocate for leveraging these feasible solutions as starting points when solving the MILP models. Additionally, the notable efficiency and solution quality of our heuristics spotlight them as potent alternatives, especially in settings where traditional optimization tools might be absent.</t>
  </si>
  <si>
    <t>Cancela, Hector/ACD-5880-2022</t>
  </si>
  <si>
    <t>Quezada, Franco/0000-0001-5763-5582; Vasquez, Oscar C./0000-0002-1393-4692</t>
  </si>
  <si>
    <t>10.1016/j.cie.2024.109937</t>
  </si>
  <si>
    <t>WOS:001202322400001</t>
  </si>
  <si>
    <t>De Arruda, RN; Figueiredo, K; Vasco, DA; Haddad, A; Najjar, MK</t>
  </si>
  <si>
    <t>De Arruda, Roberto Nonato; Figueiredo, Karoline; Vasco, Diego A.; Haddad, Assed; Najjar, Mohammad K.</t>
  </si>
  <si>
    <t>Cost-benefit analysis of solar energy integration in buildings: a case study of affordable housing in Brazil</t>
  </si>
  <si>
    <t>FRONTIERS IN BUILT ENVIRONMENT</t>
  </si>
  <si>
    <t>Introduction: The construction sector plays a pivotal role in global natural resource consumption, underscoring the urgency of promoting energy efficiency in buildings. With the escalating demand for renewable energy, solar power has gained significant traction. This study focuses on conducting a comprehensive cost-benefit analysis of solar energy integration in residential buildings.Methods: The approach involves a novel comparison between photovoltaic panels and Solar Heating Systems (SHS) based on both environmental and financial considerations. To evaluate the practical implications, a case study was undertaken on an affordable housing complex in Brazil. Three distinct models were simulated for analysis: Model 1, featuring a grid-connected photovoltaic project with zero energy balance; Model 2, incorporating a grid-connected photovoltaic project with two solar panels generating 340 W each; and Model 3, integrating an SHS.Results: The findings reveal the technical and economic feasibility of all proposed models. Model 1 stands out with superior performance in terms of estimated energy generation, energy savings, and annual reduction of CO2 emissions. On the other hand, Model 3 excels in the financial analysis, indicating its viability from a cost perspective.Discussion: This research contributes to informed decision-making processes regarding the utilization of photovoltaic panels and SHS, thereby fostering energy efficiency and sustainability in buildings. The nuanced comparison of environmental and financial aspects provides valuable insights for stakeholders in the construction and renewable energy sectors. The identified strengths and trade-offs of each model enable a more holistic understanding of the implications of solar energy integration in residential buildings.</t>
  </si>
  <si>
    <t>Figueiredo, Karoline/AAN-8552-2020; NAJJAR, MOHAMMAD/X-8305-2019; Vasco, Diego/AAA-4480-2020</t>
  </si>
  <si>
    <t>2297-3362</t>
  </si>
  <si>
    <t>DEC 20</t>
  </si>
  <si>
    <t>10.3389/fbuil.2023.1255845</t>
  </si>
  <si>
    <t>WOS:001134734000001</t>
  </si>
  <si>
    <t>Velasquez, E; López-de-Dicastillo, C; Tapia, A; Garrido, L; Catalán, L; Valenzuelaa, X; Guardaa, A; Galottoa, M</t>
  </si>
  <si>
    <t>Velasquez, Eliezer; Lopez-de-Dicastillo, Carol; Tapia, Andrea; Garrido, Luan; Catalan, Luciano; Valenzuelaa, Ximena; Guardaa, Abel; Galottoa, Maria</t>
  </si>
  <si>
    <t>Repetitive mechanical recycling of post-consumer high impact polystyrene from yogurt cups: A pilot-scale performance assessment at different reprocessing cycles</t>
  </si>
  <si>
    <t>RESOURCES CONSERVATION AND RECYCLING</t>
  </si>
  <si>
    <t>International legislation requests to increase recycling rates of plastic waste towards a circular economy. Nowadays, high impact polystyrene from yogurt cups is not recycled on a commercial scale and research gaps need to be addressed. In this research, mechanical recycling of post-consumer yogurt cups was carried out at a pilot scale. The variation of the physical-mechanical properties and overall migration of the post-consumer plastic to food simulants as a function of re-extrusion cycles were evaluated to test its suitability for the manufacture of new yogurt packaging. The performance of the post-consumer plastic was highly deteriorated when the recycling cycles advanced. Among the most important consequences of reprocessing is that the impact strength and rigidity were significantly reduced. Besides, the overall migration measured by total immersion of post-consumer plastic into food simulants exceeded the limit established by the European legislation to be in contact with food and drastically increased with repetitive recycling.</t>
  </si>
  <si>
    <t>Lopez-de-Dicastillo, Carol/0000-0003-0067-9765; VELASQUEZ, ELIEZER/0000-0001-8858-8926</t>
  </si>
  <si>
    <t>0921-3449</t>
  </si>
  <si>
    <t>1879-0658</t>
  </si>
  <si>
    <t>10.1016/j.resconrec.2023.107368</t>
  </si>
  <si>
    <t>WOS:001143230700001</t>
  </si>
  <si>
    <t>da Mata, AMM; de Moura, BF; Martins, MF; Palma, FHS; Ramos, R</t>
  </si>
  <si>
    <t>Malafaia da Mata, Adriana Machado; de Moura, Bruno Furtado; Martins, Marcio Ferreira; Sepulveda Palma, Francisco Hernan; Ramos, Rogerio</t>
  </si>
  <si>
    <t>Signal-to-noise ratio variance impact on the image reconstruction of electrical resistance tomography in solutions with high background conductivity</t>
  </si>
  <si>
    <t>REVIEW OF SCIENTIFIC INSTRUMENTS</t>
  </si>
  <si>
    <t>Electrical Resistance Tomography (ERT) has the potentialities of non-intrusive techniques and high temporal resolution which are essential characteristics for multiphase flow measurements. However, high background conductivities, such as saline water in oil extraction, impose a limitation in ERT image reconstruction. Focusing on the operational limits of an ERT tomography system operating in different conductivity backgrounds from 0.010 to 4.584 S/m, the impact on the image reconstruction was assessed via signal-to-noise variance. The signal-to-noise ratio (SNR) variance had a strong correlation (p-value = 5.40 x 10(-15)) with the image reconstruction quality at the threshold of 30 dB, reaching a correlation value of r = -0.92 in the range of 0.010-0.246 S/m. Regarding the position error of the phantom, p-value = 1.30 x 10(-5) and r = -0.66 were attained. The global results revealed that the correlation of the mean of the SNR (p-value = 5 x 10(-4) and r = 0.55) was kept unaltered through the whole conductivity range, showing that such a statistical index can induce bias in establishing the operational limits of the hardware. Published under an exclusive license by AIP Publishing.</t>
  </si>
  <si>
    <t>Sepúlveda, Francesca/AAW-8092-2021; de Moura, Bruno/AAT-7554-2021; Ferreia Martins, Marcio/T-5321-2017</t>
  </si>
  <si>
    <t>Sepulveda Palma, Francisco Hernan/0000-0002-1930-3859; Ferreia Martins, Marcio/0000-0002-3023-222X; da Mata, Adriana/0000-0002-9076-456X; de Moura, Bruno Furtado/0000-0003-1912-3732; Ramos, Rogerio/0000-0003-4493-2435</t>
  </si>
  <si>
    <t>0034-6748</t>
  </si>
  <si>
    <t>1089-7623</t>
  </si>
  <si>
    <t>10.1063/5.0088296</t>
  </si>
  <si>
    <t>WOS:000851171900002</t>
  </si>
  <si>
    <t>Zanoni, MVB; Irikura, K; Perini, JAL; Bessegato, GG; Sandoval, MA; Salazar, R</t>
  </si>
  <si>
    <t>Boldrin Zanoni, Maria Valnice; Irikura, Kallyni; Lima Perini, Joao Angelo; Bessegato, Guilherme G.; Sandoval, Miguel A.; Salazar, Ricardo</t>
  </si>
  <si>
    <t>Recent achievements in photoelectrocatalytic degradation of pesticides</t>
  </si>
  <si>
    <t>This review summarizes recent advances in photo-electrocatalysis of pesticides, involving fundamentals, the preparation of photoanodes, and their application in the degradation of pesticides from distinct types of water. The effect of the chemical nature of the photoanodes to enhance the electrolysis and photolysis processes is discussed in this work. The use of different semiconductors for the degradation of pesticides was also described under different experimental conditions, all of them still at the laboratory level and under synthetic experimental conditions, which serve as the basis for real application in the short term. Outlooks and perspectives are provided and discussed. (C) 2022 Elsevier B.V. All rights reserved.</t>
  </si>
  <si>
    <t>Bessegato, Guilherme/B-7636-2014; Salazar, Ricardo/L-7870-2013; Sandoval, Miguel A/JCF-1838-2023; Irikura, Kallyni/H-1243-2014; ZANONI, MARIA VALNICE/ABH-3301-2020; boldrin, maria valnice/D-4251-2013; Lima Perini, Joao Angelo/I-6166-2018</t>
  </si>
  <si>
    <t>boldrin, maria valnice/0000-0002-2296-1393; Irikura, Kallyni/0000-0001-6247-9270; Salazar-Gonzalez, Ricardo/0000-0003-2180-6022; Lima Perini, Joao Angelo/0000-0001-6788-4283</t>
  </si>
  <si>
    <t>10.1016/j.coelec.2022.101020</t>
  </si>
  <si>
    <t>WOS:000891313300001</t>
  </si>
  <si>
    <t>Villegas, C; Torres, A; Bruna, J; Bustos, MI; Díaz-Barrera, A; Romero, J; Rojas, A; Guarda, A</t>
  </si>
  <si>
    <t>Villegas, Carolina; Torres, Alejandra; Bruna, Julio; Bustos, Maria Ignacia; Diaz-Barrera, Alvaro; Romero, Julio; Rojas, Adrian; Guarda, Abel</t>
  </si>
  <si>
    <t>Obtaining Active Polylactide (PLA) and Polyhydroxybutyrate (PHB) Blends Based Bionanocomposites Modified with Graphene Oxide and Supercritical Carbon Dioxide (scCO2)-Assisted Cinnamaldehyde: Effect on Thermal-Mechanical, Disintegration and Mass Transport Properties</t>
  </si>
  <si>
    <t>Bionanocomposites based on Polylactide (PLA) and Polyhydroxybutyrate (PHB) blends were successfully obtained through a combined extrusion and impregnation process using supercritical CO2 (scCO(2)). Graphene oxide (GO) and cinnamaldehyde (Ci) were incorporated into the blends as nano-reinforcement and an active compound, respectively, separately, and simultaneously. From the results, cinnamaldehyde quantification values varied between 5.7% and 6.1% (w/w). When GO and Ci were incorporated, elongation percentage increased up to 16%, and, therefore, the mechanical properties were improved, with respect to neat PLA. The results indicated that the Ci diffusion through the blends and bionanocomposites was influenced by the nano-reinforcing incorporation. The disintegration capacity of the developed materials decreased with the incorporation of GO and PHB, up to 14 and 23 days of testing, respectively, without compromising the biodegradability characteristics of the final material.</t>
  </si>
  <si>
    <t>Romero, Julio/I-6705-2013; Rojas, Adrián/ISB-5770-2023; Díaz, Alvaro/A-2456-2011; bruna, julio/AAM-6867-2021</t>
  </si>
  <si>
    <t>Rojas, Adrian/0000-0001-9253-1295; Bustos, Maria Ignacia C./0000-0002-7382-1956</t>
  </si>
  <si>
    <t>10.3390/polym13223968</t>
  </si>
  <si>
    <t>WOS:000723345700001</t>
  </si>
  <si>
    <t>Barraza, R; Sepúlveda, JM; Venegas, J; Monardes, V; Derpich, I</t>
  </si>
  <si>
    <t>Dzitac, I; Filip, FG; Manolescu, MJ; Dzitac, S; Kacprzyk, J; Oros, H</t>
  </si>
  <si>
    <t>Barraza, Rodrigo; Miguel Sepulveda, Juan; Venegas, Juan; Monardes, Vinka; derpich, IVan</t>
  </si>
  <si>
    <t>A Model for Solving Optimal Location of Hubs: A Case Study for Recovery of Tailings Dams</t>
  </si>
  <si>
    <t>INTELLIGENT METHODS IN COMPUTING, COMMUNICATIONS AND CONTROL</t>
  </si>
  <si>
    <t>8th International Conference on Computers Communications and Control (ICCCC)</t>
  </si>
  <si>
    <t>MAY 11-15, 2020</t>
  </si>
  <si>
    <t>In this paper a method for optimal location of multi-hubs in a complex network with a large number of nodes is presented. The method is applied to the design of a logistics network composed of many tailings dams and mineral processing plants and combines two data mining techniques, K-Medoids and k-Means, with the multi-criteria decision making model PROMETHEE for the prioritization of nodes to be included into the clusters, based on certain technical and economic decision variables (such as the content of recoverable metals and the costs of transportation). The proposed method contributes to solve a large scale mathematical problem difficult to handle due to the number of variables and criteria. A case study for the recovery of abandoned deposits of mining waste is presented. The case study demonstrates the feasibility and usefulness of the proposed solution and lays the groundwork for further research and other applications of machine learning techniques for big data in support of sustainable production and a circular economy.</t>
  </si>
  <si>
    <t>derpich, ivan/T-1160-2019; Monardes, Vinka/IQV-2211-2023</t>
  </si>
  <si>
    <t>Barraza, Rodrigo/0000-0002-8777-2083; Venegas Gutierrez, Juan Francisco/0000-0002-2501-1326; Derpich, Ivan/0000-0001-9759-7285; Monardes, Vinka/0000-0002-4434-0301; Sepulveda, Juan M./0000-0003-3755-0981</t>
  </si>
  <si>
    <t>978-3-030-53651-0</t>
  </si>
  <si>
    <t>10.1007/978-3-030-53651-0_26</t>
  </si>
  <si>
    <t>WOS:000621675100026</t>
  </si>
  <si>
    <t>Laguna, L; Manickam, I; Arancibia, C; Tárrega, A</t>
  </si>
  <si>
    <t>Laguna, L.; Manickam, I; Arancibia, C.; Tarrega, A.</t>
  </si>
  <si>
    <t>Viscosity decay of hydrocolloids under oral conditions</t>
  </si>
  <si>
    <t>The aim of this study was to understand the contribution of hydrocolloids to oral structure breakdown of starchbased systems in relation to mouthfeel sensations. For this, carrot purees were prepared using corn starch and a different second thickener (lambda-carrageenan, carboxymethylcellulose (CMC), xanthan gum, or an extra amount of starch). The viscosity decay of purees under in vitro oral conditions was measured (starch pasting cell adapted to a rheometer) when shearing at a constant shear rate in the presence of artificial saliva. Sensory properties of purees were described using the Flash Profile technique by a group of 13 panellists. Oral viscosity decay of systems was modelled using a second order structural kinetic equation that included three parameters: initial viscosity, rate of breakdown, and viscosity at equilibrium. Although they had the same initial viscosity, the structural breakdown of the purees in oral conditions varied, depending on the second thickener used. The structure of purees containing xanthan and lambda-carrageenan were more resistant under oral conditions exhibiting a slow and smaller breakdown. In contrast, purees containing only starch showed a rapid and large decay because of the complete structure breakdown by amylase. For puree containing CMC, there was also a rapid decrease, but smaller than starch, indicating that part of the structure remained after digestion. Texture sensations freely described by assessors varied according to two main sensory dimensions, that were clearly related to the structural breakdown parameters. As expected, the dimension of thickness (from watery and liquid to thick and viscous) separated base purees from thickened purees and was related to the initial viscosity. The smoothness dimension (from rough and lumpy to the smooth and creamy) was related to the viscosity at equilibrium indicating that after the oral digestion, the characteristics of the remaining structure can explain differences in complex attributes of semisolid systems such as smoothness and creaminess.</t>
  </si>
  <si>
    <t>Arancibia, Carla/AAN-2290-2020; Tarrega, Amparo/F-6334-2016</t>
  </si>
  <si>
    <t>Laguna, Laura/0000-0001-8551-1886; Tarrega, Amparo/0000-0003-3338-2204</t>
  </si>
  <si>
    <t>10.1016/j.foodres.2020.109300</t>
  </si>
  <si>
    <t>WOS:000564552500027</t>
  </si>
  <si>
    <t>Breevaart, K; Bohle, SL; Pletzer, JL; Medina, FM</t>
  </si>
  <si>
    <t>Breevaart, Kimberley; Lopez Bohle, Sergio; Pletzer, Jan Luca; Munoz Medina, Felipe</t>
  </si>
  <si>
    <t>Voice and silence as immediate consequences of job insecurity</t>
  </si>
  <si>
    <t>CAREER DEVELOPMENT INTERNATIONAL</t>
  </si>
  <si>
    <t>Purpose The purpose of this paper is to examine the weekly effects of job insecurity on employee voice and silence. Specifically, the authors argue that because employment fulfils important needs, employees' needs are less fulfilled when they feel that their job is at risk (i.e. high job insecurity). Consequently, the authors argue that employees engage in less voice and more silence because when employees' needs are not fulfilled, they are less committed to the organization and/or protect their personal resources. Design/methodology/approach The authors tested their hypotheses in a five-week long diary study among 97 employees. Findings The authors found that employees reported lower need fulfilment in those weeks and the week after job insecurity was higher, which, in turn, decreased employee voice and increased employee silence in those weeks and the week after. Originality/value The authors studied short-term effects of job insecurity on both employee voice and silence, and examined need fulfilment as an underlying mechanism to explain the effects of job insecurity.</t>
  </si>
  <si>
    <t>Breevaart, Kimberley/ABA-8906-2020; Medina, Felipe/AAN-4304-2021; Bohle, Sergio/P-7698-2014; Pletzer, Jan/I-5632-2019</t>
  </si>
  <si>
    <t>Lopez Bohle, Sergio/0000-0002-6202-4089; Pletzer, Jan Luca/0000-0002-8313-4447; Munoz Medina, Felipe/0000-0002-0425-2067</t>
  </si>
  <si>
    <t>1362-0436</t>
  </si>
  <si>
    <t>1758-6003</t>
  </si>
  <si>
    <t>MAY 4</t>
  </si>
  <si>
    <t>10.1108/CDI-09-2018-0226</t>
  </si>
  <si>
    <t>JAN 2020</t>
  </si>
  <si>
    <t>WOS:000511425900001</t>
  </si>
  <si>
    <t>Verga, AD; Elías, RG</t>
  </si>
  <si>
    <t>Verga, Alberto D.; Gabriel Elias, Ricardo</t>
  </si>
  <si>
    <t>Thermal state entanglement entropy on a quantum graph</t>
  </si>
  <si>
    <t>A particle jumps between the nodes of a graph interacting with local spins. We show that the entanglement entropy of the particle with the spin network is related to the length of the minimum cycle basis. The structure of the thermal state is reminiscent of the string net of spin liquids.</t>
  </si>
  <si>
    <t>Elias, Ricardo/F-2608-2012</t>
  </si>
  <si>
    <t>Verga, Alberto/0000-0002-7825-3353</t>
  </si>
  <si>
    <t>2470-0045</t>
  </si>
  <si>
    <t>2470-0053</t>
  </si>
  <si>
    <t>DEC 26</t>
  </si>
  <si>
    <t>10.1103/PhysRevE.100.062137</t>
  </si>
  <si>
    <t>WOS:000504639600004</t>
  </si>
  <si>
    <t>Cuevas, JG; Quiroz, M; Dörner, J</t>
  </si>
  <si>
    <t>Cuevas, Jaime G.; Quiroz, Madelaine; Dorner, Jose</t>
  </si>
  <si>
    <t>Leaching of Base Cations from Dairy Slurry Applied to an Agricultural Volcanic Ash Soil</t>
  </si>
  <si>
    <t>Studies regarding leaching in soils have focused on the main nutrients and trace metals released. There is a lack of knowledge regarding base cations' behavior when applied to volcanic-ash soils as dairy slurry. Our objective was to study the movement of elements through a limed pasture's soil using the in situ technique of suction lysimeters, installed at 50-cm depths. Moreover, we used soil moisture sensors to track the movement of the soil solution up to the sampling depth. Calcium and magnesium water samples showed no significant differences in concentrations between the control and fertilized treatments, while sodium concentrations were clearly higher in the fertilized plots. Calcium and sodium exports were highest in the fertilized plots. We concluded that although lime application is recommended for mitigating aluminum toxicity and high phosphorus adsorption in acidic soils, in this case, it produced high Ca2+ losses that compounded those attributable to the fertigation of dairy slurry. It also induced Na+ losses in deeper soil zones when slurry was applied at doses higher than the pasture requirements and at inadequate seasons. Therefore, adequate management practices are needed to balance the beneficial effects of liming with dairy slurry applications.</t>
  </si>
  <si>
    <t>Dörner, José/A-8589-2015; Quiroz, Madelaine/ACG-9162-2022</t>
  </si>
  <si>
    <t>10.1007/s42729-018-0005-5</t>
  </si>
  <si>
    <t>WOS:000471078200005</t>
  </si>
  <si>
    <t>Kaufmann, U; Quoirin, HR</t>
  </si>
  <si>
    <t>Kaufmann, Uriel; Ramos Quoirin, Humberto</t>
  </si>
  <si>
    <t>POSITIVE SOLUTIONS OF INDEFINITE SEMIPOSITONE PROBLEMS VIA SUB-SUPER SOLUTIONS</t>
  </si>
  <si>
    <t>DIFFERENTIAL AND INTEGRAL EQUATIONS</t>
  </si>
  <si>
    <t>Let Omega subset of R-N, N &gt;= 1, be a smooth bounded domain, and let rn : Omega -&gt; R be a possibly sign-changing function. We investigate the existence of positive solutions for the semipositone problem { - Delta u = lambda m(x) (f (u) - k) in Omega, u = 0 on partial derivative Omega, where lambda, k &gt; 0 and f is either sublinear at infinity with f(0) = 0, or f has a singularity at 0. We prove the existence of a positive solution for certain ranges of lambda provided that the negative part of m is suitably small. Our main tool is the sub-supersolutions method, combined with some rescaling properties.</t>
  </si>
  <si>
    <t>Kaufmann, Uriel/AAH-8635-2020</t>
  </si>
  <si>
    <t>Ramos Quoirin, Humberto/0000-0001-6252-2515</t>
  </si>
  <si>
    <t>0893-4983</t>
  </si>
  <si>
    <t>7-8</t>
  </si>
  <si>
    <t>WOS:000430759100001</t>
  </si>
  <si>
    <t>Martner, GD</t>
  </si>
  <si>
    <t>Daniel Martner, Gonzalo</t>
  </si>
  <si>
    <t>Global Inequalities and Policies for Income Inequality Reduction: the Case of Chile, 1990-2015</t>
  </si>
  <si>
    <t>Income inequality within countries has increased on a global scale. Chile is one of the most unequal countries in terms of disposable household income in Latin America. This inequality, measured by the Gini and Palma indexes, has decreased since 1990 in a trend that is more attributable to the narrowing of the market income gap rather than to a greater redistributive capacity of the tax and transfer system.</t>
  </si>
  <si>
    <t>WOS:000455562300002</t>
  </si>
  <si>
    <t>Villalobos-Cid, M; Dorn, M; Inostroza-Ponta, M</t>
  </si>
  <si>
    <t>Villalobos-Cid, Manuel; Dorn, Marcio; Inostroza-Ponta, Mario</t>
  </si>
  <si>
    <t>Performance comparison of multi-objective local search strategies to infer phylogenetic trees</t>
  </si>
  <si>
    <t>2018 IEEE CONGRESS ON EVOLUTIONARY COMPUTATION (CEC)</t>
  </si>
  <si>
    <t>IEEE Congress on Evolutionary Computation</t>
  </si>
  <si>
    <t>IEEE Congress on Evolutionary Computation (IEEE CEC) as part of the IEEE World Congress on Computational Intelligence (IEEE WCCI)</t>
  </si>
  <si>
    <t>JUL 08-13, 2018</t>
  </si>
  <si>
    <t>Rio de Janeiro, BRAZIL</t>
  </si>
  <si>
    <t>IEEE,IEEE Computat Intelligence Soc</t>
  </si>
  <si>
    <t>The phylogenetic inference aims to estimate the evolutionary relationships among different species, which are commonly represented as a phylogenetic tree. The phylogenetic inference has been modelled in bioinformatics as an optimisation problem, using different criteria to define the optimal tree between the possible topologies. In order to reduce the bias associated to the dependency of a specific criterion, different multi-objective optimisation strategies have been proposed. Recent approaches which involves indicator-based evolutionary and memetic algorithms have included multi-objective local search strategies. However, the performance of the application of local search strategies over these evolutionary approaches has not been studied. In this work, we evaluate the performance of three different multi-objective local search strategies, adapted to the phylogenetic inference problem by using likelihood and parsimony criteria: (1) Pareto local search, (2) Simulated annealing, and (3) Hypervolume-based local search. We tested their use as individual strategy and also as part of two hybrid evolutionary approaches. Experimental results showed that the use of memetic algorithms which involves low probabilities of the local search application have a better performance according to multi-objective quality metrics compared to the other alternatives of application. These results allow proposing new configurations for the most recent multi-objective algorithms, in order to improve the quality of solutions in terms of dominance.</t>
  </si>
  <si>
    <t>Villalobos-Cid, Manuel/AFK-0866-2022; Dorn, Marcio/D-3696-2009</t>
  </si>
  <si>
    <t>Villalobos-Cid, Manuel/0000-0002-1145-2016; Dorn, Marcio/0000-0001-8534-3480; Inostroza-Ponta, Mario/0000-0003-1295-8972</t>
  </si>
  <si>
    <t>978-1-5090-6017-7</t>
  </si>
  <si>
    <t>10.1109/CEC.2018.8477666</t>
  </si>
  <si>
    <t>WOS:000451175500340</t>
  </si>
  <si>
    <t>Reuquen, P; Guajardo-Correa, E; Oróstica, ML; Curotto, C; Parada-Bustamante, A; Cardenas, H; Orihuela, PA</t>
  </si>
  <si>
    <t>Reuquen, Patricia; Guajardo-Correa, Emanuel; Orostica, Maria L.; Curotto, Constanza; Parada-Bustamante, Alexis; Cardenas, Hugo; Orihuela, Pedro A.</t>
  </si>
  <si>
    <t>Prolactin gene expression in the pituitary of rats subjected to vaginocervical stimulation requires Erk-1/2 signaling</t>
  </si>
  <si>
    <t>REPRODUCTIVE BIOLOGY</t>
  </si>
  <si>
    <t>Vaginocervical stimulation (VCS) induces twice-daily prolactin (PRL) surges resulting in pseudopregnancy in the rat. Furthermore, activation of the extracellular signal-regulated kinase-1/2 (Erk-1/2) is involved in the effect of estradiol (E-2) on the Prl gene expression in pituitary cells. Herein, we investigated whether Erk-1/2 signaling is involved in the control of Prl expression in the pituitary of VCS rats and whether VCS regulates the effect of E-2 on Erk-1/2 and Prl in the pituitary. Estrous rats were assigned as control or VCS groups and 0, 6, 12 or 24 h later the levels and localization of phosphorylated Erk-1/2 (p-Erk-1/2) were analyzed in the pituitary. The effect of an Erk-1/2 inhibitor PD98059 on the Prl level in the pituitary of control or VCS rats was also analyzed. Other control or VCS rats were treated with E-2 and the level of p-Erk-1/2 and Prl were measured in the pituitary. In control rats, p-Erk-1/2 decreased at 6 and 12 h and increased at 24 h while Erk-1/2 was phosphorylated at all time points in VCS rats. p-Erk-1/2 was localized only in the anterior pituitary. PD98059 decreased Prl level in VCS, but not in control rats. Estradiol decreased Erk-1/2 phosphorylation although did not change Prl level in the pituitary of control or VCS rats. Theie findings show that prolonged activation of Erk-1/2 is necessary to induce Prl expression in the pituitary of VCS rats; however, VCS does not influence the role of E-2 on the activation of Erk-1/2 and Prl expression the pituitary.</t>
  </si>
  <si>
    <t>Parada-Bustamante, Alexis/I-1127-2013; Guajardo, Emanuel/LKL-0134-2024</t>
  </si>
  <si>
    <t>Guajardo-Correa, Emanuel/0000-0002-6091-6745</t>
  </si>
  <si>
    <t>1642-431X</t>
  </si>
  <si>
    <t>10.1016/j.repbio.2017.10.001</t>
  </si>
  <si>
    <t>WOS:000429509800009</t>
  </si>
  <si>
    <t>Rivas, LLS; Trujillo-Godoy, O; Alvarado-Pastenes, M</t>
  </si>
  <si>
    <t>Lay-Son Rivas, L.; Trujillo-Godoy, O.; Alvarado-Pastenes, M.</t>
  </si>
  <si>
    <t>Delayed-onset encephalopathy caused by carbon monoxide poisoning: Resolution in a patient treated with citicoline</t>
  </si>
  <si>
    <t>NEUROLOGIA</t>
  </si>
  <si>
    <t>0213-4853</t>
  </si>
  <si>
    <t>1578-1968</t>
  </si>
  <si>
    <t>10.1016/j.nrl.2013.09.003</t>
  </si>
  <si>
    <t>WOS:000360872700011</t>
  </si>
  <si>
    <t>González, T; Salazar, R; Marco, JF; Gutiérrez, C; Ureta-Zañartu, MS</t>
  </si>
  <si>
    <t>Gonzalez, Thais; Salazar, Ricardo; Marco, Jose F.; Gutierrez, C.; Soledad Ureta-Zanartu, M.</t>
  </si>
  <si>
    <t>ELECTROOXIDATION OF 2,4,6-TRICHLOROPHENOL ON GLASSY CARBON ELECTRODES MODIFIED WITH COMPOSITE Ni(OH)2-Co(OH)2 FILMS</t>
  </si>
  <si>
    <t>Glassy carbon electrodes coated with a film of electrodeposited cobalt and nickel hydroxides were prepared in order to determine its activity to the 2,4,6-trichlorophenol (TCP) oxidation. The modified electrodes were characterized by cyclic voltammetry (CV), electrochemical impedance spectroscopy (EIS), X-ray photoelectron spectroscopy and Scan Electron Microscopy (SEM) with Energy Dispersive X-ray Spectroscopy (EDS). The results indicate that both hydroxides are homogeneously distributed in the electrode surface. From the viewpoint of electrochemical oxidation of TCP, the presence of cobalt and nickel hydroxides on the electrode surface (i) promotes a more complete oxidation of TCP and (ii) decreases the fouling of the electrode surface in comparison with GC and GC modified with Ni or Co separately.</t>
  </si>
  <si>
    <t>Salazar, Ricardo/L-7870-2013; Ureta-Zañartu, Maria/G-5239-2019; Marco, JF/N-3176-2014</t>
  </si>
  <si>
    <t>Salazar-Gonzalez, Ricardo/0000-0003-2180-6022; Marco, JF/0000-0002-5147-1449</t>
  </si>
  <si>
    <t>10.4067/S0717-97072013000400031</t>
  </si>
  <si>
    <t>WOS:000331238800027</t>
  </si>
  <si>
    <t>Paolino, P; Aguilar Sandoval, FA; Bellon, L</t>
  </si>
  <si>
    <t>Paolino, Pierdomenico; Aguilar Sandoval, Felipe A.; Bellon, Ludovic</t>
  </si>
  <si>
    <t>Quadrature phase interferometer for high resolution force spectroscopy</t>
  </si>
  <si>
    <t>In this article, we present a deflection measurement setup for Atomic Force Microscopy (AFM). It is based on a quadrature phase differential interferometer: we measure the optical path difference between a laser beam reflecting above the cantilever tip and a reference beam reflecting on the static base of the sensor. A design with very low environmental susceptibility and another allowing calibrated measurements on a wide spectral range are described. Both enable a very high resolution (down to 2.5 x 10(-15) m/root Hz), illustrated by thermal noise measurements on AFM cantilevers. They present an excellent long-term stability and a constant sensitivity independent of the optical phase of the interferometer. A quick review shows that our precision is equaling or out-performing the best results reported in the literature, but for a much larger deflection range, up to a few mu m. (C) 2013 AIP Publishing LLC.</t>
  </si>
  <si>
    <t>Aguilar Sandoval, Felipe/G-7545-2015; Bellon, Ludovic/B-5213-2008</t>
  </si>
  <si>
    <t>Aguilar Sandoval, Felipe/0000-0001-5146-7856; Bellon, Ludovic/0000-0002-2499-8106</t>
  </si>
  <si>
    <t>10.1063/1.4819743</t>
  </si>
  <si>
    <t>WOS:000325402000044</t>
  </si>
  <si>
    <t>Pedagadi, S; Orwell, J; Velastin, S; Boghossian, B</t>
  </si>
  <si>
    <t>Pedagadi, Sateesh; Orwell, James; Velastin, Sergio; Boghossian, Boghos</t>
  </si>
  <si>
    <t>Local Fisher Discriminant Analysis for Pedestrian Re-identification</t>
  </si>
  <si>
    <t>2013 IEEE CONFERENCE ON COMPUTER VISION AND PATTERN RECOGNITION (CVPR)</t>
  </si>
  <si>
    <t>IEEE Conference on Computer Vision and Pattern Recognition</t>
  </si>
  <si>
    <t>26th IEEE Conference on Computer Vision and Pattern Recognition (CVPR)</t>
  </si>
  <si>
    <t>JUN 23-28, 2013</t>
  </si>
  <si>
    <t>Portland, OR</t>
  </si>
  <si>
    <t>IEEE,IEEE Comp Soc</t>
  </si>
  <si>
    <t>Metric learning methods, for person re-identification, estimate a scaling for distances in a vector space that is optimized for picking out observations of the same individual. This paper presents a novel approach to the pedestrian re-identification problem that uses metric learning to improve the state-of-the-art performance on standard public datasets. Very high dimensional features are extracted from the source color image. A first processing stage performs unsupervised PCA dimensionality reduction, constrained to maintain the redundancy in color-space representation. A second stage further reduces the dimensionality, using a Local Fisher Discriminant Analysis defined by a training set. A regularization step is introduced to avoid singular matrices during this stage. The experiments conducted on three publicly available datasets confirm that the proposed method outperforms the state-of-the-art performance, including all other known metric learning methods. Furthermore, the method is an effective way to process observations comprising multiple shots, and is non-iterative: the computation times are relatively modest. Finally, a novel statistic is derived to characterize the Match Characteristic: the normalized entropy reduction can be used to define the 'Proportion of Uncertainty Removed' (PUR). This measure is invariant to test set size and provides an intuitive indication of performance.</t>
  </si>
  <si>
    <t>VELASTIN, SERGIO ALEJANDRO/0000-0001-6775-7137</t>
  </si>
  <si>
    <t>1063-6919</t>
  </si>
  <si>
    <t>978-0-7695-4989-7</t>
  </si>
  <si>
    <t>10.1109/CVPR.2013.426</t>
  </si>
  <si>
    <t>WOS:000331094303050</t>
  </si>
  <si>
    <t>Keyantuo, Valentin; Lizama, Carlos</t>
  </si>
  <si>
    <t>On a connection between powers of operators and fractional Cauchy problems</t>
  </si>
  <si>
    <t>JOURNAL OF EVOLUTION EQUATIONS</t>
  </si>
  <si>
    <t>Many phenomena in mathematical physics and in the theory of stochastic processes are recently described through fractional evolution equations. We investigate a general framework for connections between ordinary non-homogeneous equations in Banach spaces and fractional Cauchy problems. When the underlying operator generates a strongly continuous semigroup, it is known, using a subordination argument, that the fractional evolution equation is well posed. In this case, we provide an explicit form of the solution involving special functions, one example being the Airy function.</t>
  </si>
  <si>
    <t>1424-3199</t>
  </si>
  <si>
    <t>1424-3202</t>
  </si>
  <si>
    <t>10.1007/s00028-011-0131-1</t>
  </si>
  <si>
    <t>WOS:000304403200001</t>
  </si>
  <si>
    <t>Almodovar, I; Ramírez-Rodríguez, O; Barriga, A; Rezende, MC; Araya-Maturana, R</t>
  </si>
  <si>
    <t>Almodovar, Iriux; Ramirez-Rodriguez, Oney; Barriga, Andres; Caroli Rezende, Marcos; Araya-Maturana, Ramiro</t>
  </si>
  <si>
    <t>Electrospray ionization mass spectrometric fragmentation of hydroquinone derivatives (vol 25, pg 370, 2011)</t>
  </si>
  <si>
    <t>RAPID COMMUNICATIONS IN MASS SPECTROMETRY</t>
  </si>
  <si>
    <t>Araya-Maturana, Ramiro/N-8747-2015; Caroli, Marcos/H-3570-2019</t>
  </si>
  <si>
    <t>0951-4198</t>
  </si>
  <si>
    <t>1097-0231</t>
  </si>
  <si>
    <t>MAR 30</t>
  </si>
  <si>
    <t>10.1002/rcm.4929</t>
  </si>
  <si>
    <t>WOS:000287596300019</t>
  </si>
  <si>
    <t>Salazar, R; Navarrete-Encina, PA; Squella, JA; Barrientos, C; Pardo-Jiménez, V; Núñez-Vergara, LJ</t>
  </si>
  <si>
    <t>Salazar, Ricardo; Navarrete-Encina, P. A.; Squella, J. A.; Barrientos, C.; Pardo-Jimenez, V.; Nunez-Vergara, Luis J.</t>
  </si>
  <si>
    <t>Study on the oxidation of C4-phenolic-1,4-dihydropyridines and its reactivity towards superoxide radical anion in dimethylsulfoxide</t>
  </si>
  <si>
    <t>Electrochemical characterization on glassy carbon electrode (GCE) and reactivity with superoxide radical anion in aprotic medium of three new synthesized C4-phenolic-1, 4-dihydropyridines is reported. Voltammetry, coulometry, controlled-potential electrolysis (CPE), UV-vis spectroscopy, H-1 NMR techniques were employed for the characterization of title compounds. The oxidation mechanism involves initially an oxidation process on the phenol moiety with the formation of the corresponding quinone followed by a second one affecting the dihydropyridine ring to give the pyridine derivative. Both processes appeared irreversible in character. Cyclic voltammetry was used to generate O-2(center dot-) by reduction on GCE of molecular oxygen in DMSO. The reactivity of DHPs towards O-2(center dot-) was directly measured by the anodic current decay of the radical in the presence of increasing concentration of tested 1,4-dihydropyridines and compared with the reaction of the reference antioxidant, Trolox. The linear correlations obtained between the anodic current of O-2(center dot-) and compound concentrations in the range between 0.01 mM and 1.00 mM allowed the determination of both the DHP antioxidant index (Al) and the concentrations needed to consume 50% of O-2(center dot-). Synthesized C4-phenolic 1,4-dihydropyridines exhibited significant scavenging capacity towards superoxide radical anion higher than Trolox and tested commercial 1,4-dihydropyridines. (C) 2010 Elsevier Ltd. All rights reserved.</t>
  </si>
  <si>
    <t>Salazar, Ricardo/L-7870-2013; Barrientos, Claudio/L-5382-2019; Squella, Juan Arturo/A-5093-2009</t>
  </si>
  <si>
    <t>Barrientos, Claudio/0000-0002-1478-2782; Salazar-Gonzalez, Ricardo/0000-0003-2180-6022; Squella, Juan Arturo/0000-0003-0362-4399</t>
  </si>
  <si>
    <t>DEC 30</t>
  </si>
  <si>
    <t>10.1016/j.electacta.2010.09.063</t>
  </si>
  <si>
    <t>WOS:000285177900030</t>
  </si>
  <si>
    <t>Villarroel, M; Baeza, P; Gil-Llambías, FJ</t>
  </si>
  <si>
    <t>Villarroel, M.; Baeza, P.; Gil-Llambias, F. J.</t>
  </si>
  <si>
    <t>EFFECT OF LIQUID SPATIAL VELOCITY ON MD [MD = Mn, Fe, Co, Ni, Cu AND Zn]//Mo SYNERGISM IN THE HYDRODESULPHURIZATION REACTION</t>
  </si>
  <si>
    <t>A study is made of Mn//Mo, Fe//Mo, Co//Mo, Ni//Mo, Cu//Mo or Zn//Mo stacked beds systems, separated by g-Al2O3, in the gas-oil hydrodesulphurization reaction, under experimental conditions similar to those industry. The synergism between these beds is clearly detected, and occurs in the absence of mixed phases. The results show that the promotion effect of the pairs in stacked beds, caused by the spillover hydrogen increases when the liquid spatial velocity decreases.</t>
  </si>
  <si>
    <t>Baeza Chandia, Patricio/0000-0003-1613-2860</t>
  </si>
  <si>
    <t>0717-9324</t>
  </si>
  <si>
    <t>10.4067/S0717-97072010000400012</t>
  </si>
  <si>
    <t>WOS:000288584300015</t>
  </si>
  <si>
    <t>Bernal, R; Melo, F; Pullarkat, PA</t>
  </si>
  <si>
    <t>Bernal, Roberto; Melo, Francisco; Pullarkat, Pramod A.</t>
  </si>
  <si>
    <t>Drag Force as a Tool to Test the Active Mechanical Response of PC12 Neurites</t>
  </si>
  <si>
    <t>BIOPHYSICAL JOURNAL</t>
  </si>
  <si>
    <t>We investigate the mechanical response of PC12 neurites subjected to a drag force imposed by a laminar flow perpendicular to the neurite axis The curvature of the catenary shape acquired by an initially straight neurite under the action of the drag force provides information on both elongation and tension of the neurite This method allows us to measure the rest tension and viscoelastic parameters of PC12 neurites and active behavior of neurites Measurement of oscillations in the strain rate of neurites at constant flow rate provides insight on the response of molecular motors and additional support for the presence of a negative strain-rate sensitivity region in the global mechanical response of PC12 neurites</t>
  </si>
  <si>
    <t>PullarKat, Pramod/J-8789-2012; Melo, Francisco/M-3923-2014; Bernal, Roberto/E-5275-2011</t>
  </si>
  <si>
    <t>Bernal, Roberto/0000-0002-4295-270X; Melo, Francisco Esteban/0000-0001-6818-5476</t>
  </si>
  <si>
    <t>0006-3495</t>
  </si>
  <si>
    <t>FEB 17</t>
  </si>
  <si>
    <t>10.1016/j.bpj.2009.10.024</t>
  </si>
  <si>
    <t>WOS:000275348200003</t>
  </si>
  <si>
    <t>Villagran, M; Muena, JP; Costamagna, J; Zagal, J; Lappin, AG; Ferraudi, G</t>
  </si>
  <si>
    <t>Villagran, M.; Muena, J. P.; Costamagna, J.; Zagal, J.; Lappin, A. G.; Ferraudi, G.</t>
  </si>
  <si>
    <t>Oligomerization of the Cu(II) and Ni(II) tetraazaannulene complexes: A pulse radiolysis study of the associated reaction mechanism</t>
  </si>
  <si>
    <t>The oligomerization of [Cu-II(H-x(tmdnTAA))](x+) (x = 0, 1, 2 and (tmdnTAA))(2) is 2,4,9,11-tetramethyl-dinaphto[14]-2,4,6,9,11,13-hexaeneN(4)) was initiated in homogeneous solution via the reaction of this Cu(II) complex with pulse radiolytically generated N-3(center dot) radicals. The reaction produces Cu(III) intermediates which are rapidly converted to Cu(II) ligand-radical species. In contrast to the mechanism proposed for the electrochemical oligomerization, where the local concentration of radicals is probably high, the reaction kinetics in homogeneous solution is propagated by a process where the Cu(II) ligand-radical precursors react with [Cu-II(H-x(tmdnTAA))](x+). (c) 2008 Elsevier B.V. All rights reserved.</t>
  </si>
  <si>
    <t>zagal, jose/L-9648-2014</t>
  </si>
  <si>
    <t>1873-3255</t>
  </si>
  <si>
    <t>10.1016/j.ica.2008.09.051</t>
  </si>
  <si>
    <t>WOS:000265467300011</t>
  </si>
  <si>
    <t>Morales, EH; McKibben, MA; Henriquez, HR</t>
  </si>
  <si>
    <t>Morales, Eduardo Hernandez; McKibben, Mark A.; Henriquez, Hernan R.</t>
  </si>
  <si>
    <t>Existence results for partial neutral functional differential equations with state-dependent delay</t>
  </si>
  <si>
    <t>MATHEMATICAL AND COMPUTER MODELLING</t>
  </si>
  <si>
    <t>In this paper we study the existence of mild solutions for a class of first order abstract partial neutral differential equations with state-dependent delay. (C) 2008 Elsevier Ltd. All rights reserved.</t>
  </si>
  <si>
    <t>Hernández, Eduardo/N-4531-2013</t>
  </si>
  <si>
    <t>Hernandez, Eduardo/0000-0002-4279-8570</t>
  </si>
  <si>
    <t>0895-7177</t>
  </si>
  <si>
    <t>1872-9479</t>
  </si>
  <si>
    <t>10.1016/j.mcm.2008.07.011</t>
  </si>
  <si>
    <t>WOS:000263151100038</t>
  </si>
  <si>
    <t>Berríos, C; Ureta-Zañartu, MS; Gutiérrez, C</t>
  </si>
  <si>
    <t>Berrios, C.; Ureta-Zanartu, M. S.; Gutierrez, C.</t>
  </si>
  <si>
    <t>Impedance study of electropolymerized films of polyNi(II)-macrocycles</t>
  </si>
  <si>
    <t>Glassy carbon electrodes modified by electropolymerization of two water-soluble compounds, Ni(II)tetraminophthalocyanine (NiTAPc) and Ni(II)tetrasulphophenylporphyrin (NiTSPP), and of two water-insoluble compounds, Ni(II)tetraaminophthalocyanine (NiTAPc) and Ni(II)tetraaminophenylporphyrin (NiTAPP), have been studied by impedance measurements. While in the tetrasulpho films the Ni(II)/Ni(III) process was operative, the tetraamino films required activation by repetitive potential cycling before the peaks of this process appeared in the CV, and even then the charge was a fraction of that shown by the tetrasulpho films. The Nyquist plots of all these films shown in the potential range of the Ni(II)/Ni(III) process the semicircle typical of a charge transfer, the charge-transfer resistance decreasing very much with increasing potential. The uncompensated resistance of the GC electrode was barely affected by the films, showing that they were very porous. The impedance at low frequencies of the thick polyNiTSPP film, the thin polyNiTSPc film, and also the activated polyNiTAPc film fitted the Warburg model, the diffusing species being probably the hydroxyl ions involved in the process. (c) 2007 Elsevier Ltd. All rights reserved.</t>
  </si>
  <si>
    <t>10.1016/j.electacta.2007.07.064</t>
  </si>
  <si>
    <t>WOS:000251480900070</t>
  </si>
  <si>
    <t>Vera, JR; Derpich, I</t>
  </si>
  <si>
    <t>Incorporating condition measures in the context of combinatorial optimization</t>
  </si>
  <si>
    <t>SIAM JOURNAL ON OPTIMIZATION</t>
  </si>
  <si>
    <t>Integer programming algorithms have some kind of exponential complexity in the worst case. However, it is also observed that data instances of similar sizes might have very different practical complexity when solved by computer algorithms. This paper considers an alternative complexity analysis of some integer programming algorithms, which is based on measures of intrinsic difficulty. The work extends to the setup of integer programming some notions of condition measures which have been developed for convex optimization. We present bounds on the so-called lattice width of polyhedra and address the impact on the complexity of integer programming algorithms like Lenstra's algorithm as well as branch and bound algorithms. The condition measures introduced here reflect shape and spatial orientation factors which are not fully captured by the traditional combinatorial analysis.</t>
  </si>
  <si>
    <t>derpich, ivan/T-1160-2019; VERA, JORGE/D-2631-2014</t>
  </si>
  <si>
    <t>Derpich, Ivan/0000-0001-9759-7285</t>
  </si>
  <si>
    <t>1052-6234</t>
  </si>
  <si>
    <t>10.1137/040609264</t>
  </si>
  <si>
    <t>WOS:000237146200002</t>
  </si>
  <si>
    <t>Navarro, P; Vargas, C; Alguacil, FJ</t>
  </si>
  <si>
    <t>Acid leaching of scheelite concentrates</t>
  </si>
  <si>
    <t>The acid leaching in hydrochloric media of a tungsten concentrate (scheelite, CaWO4) was studied. Of the above-mentioned, an insoluble solid (H2WO4) was obtained which were treated with an alkaline solution of sodium hydroxide, achieving the complete solubilization of the tungsten as wolframate ion (WO4-2). The transformed fraction of tungsten increases with the temperature, as well as with a finer grain. A maximum dissolution of 88.5% (400 g/l HCl, 363 K and 20 mu m of particle size) was achieved for a 3 h process, of the disolution process was interpreted by the recessive core model with formation of a layer of solid product for the whole range of variation of the parameters in study. The activation energy value was found to be 28.0 kJ/mol.</t>
  </si>
  <si>
    <t>1988-4222</t>
  </si>
  <si>
    <t>WOS:000230941000004</t>
  </si>
  <si>
    <t>Cruchaga, MA; Celentano, DJ; Lewis, RW</t>
  </si>
  <si>
    <t>Modeling fluid-solid thermomechanical interactions in casting processes</t>
  </si>
  <si>
    <t>An integrated formulation for the analysis of casting processes is presented in this work. This model involves the description of the evolution and the coupled interactions of the flow, thermal and mechanical fields occurring during the liquid-solid transformation of the solidifying metal The corresponding discretized formulation is solved in the context of a fixed-mesh finite element method Numerical results applying this methodology in two cylindrical casting specimens are first presented to assess the influence of different phenomena occurring during the process. Moreover; these simulations are compared with available experimental data.</t>
  </si>
  <si>
    <t>10.1108/09615530410513791</t>
  </si>
  <si>
    <t>WOS:000223932500003</t>
  </si>
  <si>
    <t>Nonlinear holomorphic supersyrnmetry on Riemann surfaces</t>
  </si>
  <si>
    <t>We investigate the nonlinear holomorphic supersymmetry for quantum-mechanical systems on Riemann surfaces subjected to an external magnetic field. The realization is shown to be possible only for Riemann surfaces with constant curvature metrics. The cases of the sphere and Lobachevski plane are elaborated in detail. The partial algebraization of the spectrum of the corresponding Hamiltonians is proved by the reduction to one-dimensional quasi-exactly solvable sl(2, R) families. It is found that these families possess the duality transformations, which form a discrete group of symmetries of the corresponding 1D potentials and partially relate the spectra of different 2D systems. The algebraic structure of the systems on the sphere and hyperbolic plane is explored in the context of the Onsager algebra associated with the nonlinear holomorphic supersymmetry. Inspired by this analysis, a general algebraic method for obtaining the covariant form of integrals of motion of the quantum systems in external fields is proposed. (C) 2002 Elsevier Science B.V. All rights reserved.</t>
  </si>
  <si>
    <t>PII S0550-3213(02)00580-1</t>
  </si>
  <si>
    <t>10.1016/S0550-3213(02)00580-1</t>
  </si>
  <si>
    <t>WOS:000178340100005</t>
  </si>
  <si>
    <t>Alguacil, FJ; Navarro, P</t>
  </si>
  <si>
    <t>Non-dispersive solvent extraction of Cu(II) by LIX 973N from ammoniacal/ammonium carbonate aqueous solutions</t>
  </si>
  <si>
    <t>The non-dispersive solvent extraction (NDSX) of copper from aqueous ammoniacal/ammonium carbonate medium with LIX 973N using a microporous hydrophobic polypropylene hollow fiber contactor is reported. The influence of aqueous pH, ammonium carbonate concentration, copper concentration, extractant concentration, organic phase volume on relative concentration decrease of copper was investigated as a function of time. These experimental variables barely influenced the decrease in the relative concentration, whereas the module configuration (counter or co-current) influences copper extraction. The relative concentration can be well described as an exponential function of time. Copper stripping is accomplished using sulphuric acid solution. (C) 2002 Elsevier Science B.V. All rights reserved.</t>
  </si>
  <si>
    <t>PII S0304-386X(02)00093-2</t>
  </si>
  <si>
    <t>10.1016/S0304-386X(02)00093-2</t>
  </si>
  <si>
    <t>WOS:000177708100010</t>
  </si>
  <si>
    <t>Plyushchay, MS</t>
  </si>
  <si>
    <t>Free conical dynamics: Charge-monopole as a particle with spin, anyon and nonlinear fermion-monopole supersymmetry</t>
  </si>
  <si>
    <t>NUCLEAR PHYSICS B-PROCEEDINGS SUPPLEMENTS</t>
  </si>
  <si>
    <t>International Conference on Supersymmetry and Quantum Field Theory</t>
  </si>
  <si>
    <t>JUL 25-29, 2000</t>
  </si>
  <si>
    <t>KHARKOV, UKRAINE</t>
  </si>
  <si>
    <t>Kharkov Inst Phys &amp; Technol</t>
  </si>
  <si>
    <t>We discuss the origin of the effectively free dynamics of the charge in the magnetic monopole field to apply it for finding the alternative treatment of the charge-monopole as a particle with spin, for tracing out the relation of the charge-monopole to the free relativistic anyon and for clarifying the nature of the non-standard nonlinear supersymmetry of the fermion-monopole system.</t>
  </si>
  <si>
    <t>0920-5632</t>
  </si>
  <si>
    <t>10.1016/S0920-5632(01)01563-8</t>
  </si>
  <si>
    <t>WOS:000171279400035</t>
  </si>
  <si>
    <t>Vargas, P; Altbir, D</t>
  </si>
  <si>
    <t>Dipolar effects in multilayers with interface roughness</t>
  </si>
  <si>
    <t>We present calculations of the dipolar contribution of magnetic coupling between two slabs with rough interfaces. In absence of roughness the dipolar coupling between two perfectly flat infinite planes vanishes but in the presence of topographical inhomogenities the magnetostatic coupling arising from surface magnetic dipoles created by roughness may originate a non-negligible coupling. We developed an analytical model that lead us to consider different interfaces topologies and plane sizes. We show that, depending on the considered roughness and dimensions of the planes, the magnetostatic coupling gives rise to ferromagnetic or antiferromagnetic coupling. We also analyze non-in-plane magnetic configurations and find under suitable conditions that two planes can magnetically couple with one of them pointing its magnetizations oat of plane.</t>
  </si>
  <si>
    <t>vargas, patricio/0000-0001-9235-9747; Altbir, Dora/0000-0002-2945-4909</t>
  </si>
  <si>
    <t>10.1103/PhysRevB.62.6337</t>
  </si>
  <si>
    <t>WOS:000089304400038</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</si>
</sst>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2" width="8.0"/>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ht="12.75" customHeight="1">
      <c r="A2" s="1" t="s">
        <v>72</v>
      </c>
      <c r="B2" s="1" t="s">
        <v>73</v>
      </c>
      <c r="C2" s="1" t="s">
        <v>74</v>
      </c>
      <c r="D2" s="1" t="s">
        <v>74</v>
      </c>
      <c r="E2" s="1" t="s">
        <v>74</v>
      </c>
      <c r="F2" s="1" t="s">
        <v>75</v>
      </c>
      <c r="G2" s="1" t="s">
        <v>74</v>
      </c>
      <c r="H2" s="1" t="s">
        <v>74</v>
      </c>
      <c r="I2" s="1" t="s">
        <v>76</v>
      </c>
      <c r="J2" s="1" t="s">
        <v>77</v>
      </c>
      <c r="K2" s="1" t="s">
        <v>74</v>
      </c>
      <c r="L2" s="1" t="s">
        <v>74</v>
      </c>
      <c r="M2" s="1" t="s">
        <v>74</v>
      </c>
      <c r="N2" s="1" t="s">
        <v>74</v>
      </c>
      <c r="O2" s="1" t="s">
        <v>74</v>
      </c>
      <c r="P2" s="1" t="s">
        <v>74</v>
      </c>
      <c r="Q2" s="1" t="s">
        <v>74</v>
      </c>
      <c r="R2" s="1" t="s">
        <v>74</v>
      </c>
      <c r="S2" s="1" t="s">
        <v>74</v>
      </c>
      <c r="T2" s="1" t="s">
        <v>74</v>
      </c>
      <c r="U2" s="1" t="s">
        <v>74</v>
      </c>
      <c r="V2" s="1" t="s">
        <v>78</v>
      </c>
      <c r="W2" s="1" t="s">
        <v>74</v>
      </c>
      <c r="X2" s="1" t="s">
        <v>74</v>
      </c>
      <c r="Y2" s="1" t="s">
        <v>74</v>
      </c>
      <c r="Z2" s="1" t="s">
        <v>74</v>
      </c>
      <c r="AA2" s="1" t="s">
        <v>79</v>
      </c>
      <c r="AB2" s="1" t="s">
        <v>80</v>
      </c>
      <c r="AC2" s="1" t="s">
        <v>74</v>
      </c>
      <c r="AD2" s="1" t="s">
        <v>74</v>
      </c>
      <c r="AE2" s="1" t="s">
        <v>74</v>
      </c>
      <c r="AF2" s="1" t="s">
        <v>74</v>
      </c>
      <c r="AG2" s="1" t="s">
        <v>74</v>
      </c>
      <c r="AH2" s="1" t="s">
        <v>74</v>
      </c>
      <c r="AI2" s="1" t="s">
        <v>74</v>
      </c>
      <c r="AJ2" s="1" t="s">
        <v>74</v>
      </c>
      <c r="AK2" s="1" t="s">
        <v>74</v>
      </c>
      <c r="AL2" s="1" t="s">
        <v>74</v>
      </c>
      <c r="AM2" s="1" t="s">
        <v>74</v>
      </c>
      <c r="AN2" s="1" t="s">
        <v>74</v>
      </c>
      <c r="AO2" s="1" t="s">
        <v>81</v>
      </c>
      <c r="AP2" s="1" t="s">
        <v>82</v>
      </c>
      <c r="AQ2" s="1" t="s">
        <v>74</v>
      </c>
      <c r="AR2" s="1" t="s">
        <v>74</v>
      </c>
      <c r="AS2" s="1" t="s">
        <v>74</v>
      </c>
      <c r="AT2" s="1" t="s">
        <v>83</v>
      </c>
      <c r="AU2" s="1">
        <v>2015.0</v>
      </c>
      <c r="AV2" s="1">
        <v>38.0</v>
      </c>
      <c r="AW2" s="1">
        <v>11.0</v>
      </c>
      <c r="AX2" s="1" t="s">
        <v>74</v>
      </c>
      <c r="AY2" s="1" t="s">
        <v>74</v>
      </c>
      <c r="AZ2" s="1" t="s">
        <v>74</v>
      </c>
      <c r="BA2" s="1" t="s">
        <v>74</v>
      </c>
      <c r="BB2" s="1">
        <v>2250.0</v>
      </c>
      <c r="BC2" s="1">
        <v>2271.0</v>
      </c>
      <c r="BD2" s="1" t="s">
        <v>74</v>
      </c>
      <c r="BE2" s="1" t="s">
        <v>84</v>
      </c>
      <c r="BF2" s="2" t="str">
        <f>HYPERLINK("http://dx.doi.org/10.1002/mma.3219","http://dx.doi.org/10.1002/mma.3219")</f>
        <v>http://dx.doi.org/10.1002/mma.3219</v>
      </c>
      <c r="BG2" s="1" t="s">
        <v>74</v>
      </c>
      <c r="BH2" s="1" t="s">
        <v>74</v>
      </c>
      <c r="BI2" s="1" t="s">
        <v>74</v>
      </c>
      <c r="BJ2" s="1" t="s">
        <v>74</v>
      </c>
      <c r="BK2" s="1" t="s">
        <v>74</v>
      </c>
      <c r="BL2" s="1" t="s">
        <v>74</v>
      </c>
      <c r="BM2" s="1" t="s">
        <v>74</v>
      </c>
      <c r="BN2" s="1" t="s">
        <v>74</v>
      </c>
      <c r="BO2" s="1" t="s">
        <v>74</v>
      </c>
      <c r="BP2" s="1" t="s">
        <v>74</v>
      </c>
      <c r="BQ2" s="1" t="s">
        <v>74</v>
      </c>
      <c r="BR2" s="1" t="s">
        <v>74</v>
      </c>
      <c r="BS2" s="1" t="s">
        <v>85</v>
      </c>
      <c r="BT2" s="1" t="str">
        <f>HYPERLINK("https%3A%2F%2Fwww.webofscience.com%2Fwos%2Fwoscc%2Ffull-record%2FWOS:000356817700013","View Full Record in Web of Science")</f>
        <v>View Full Record in Web of Science</v>
      </c>
    </row>
    <row r="3" ht="12.75" customHeight="1">
      <c r="A3" s="1" t="s">
        <v>86</v>
      </c>
      <c r="B3" s="1" t="s">
        <v>87</v>
      </c>
      <c r="C3" s="1" t="s">
        <v>88</v>
      </c>
      <c r="D3" s="1" t="s">
        <v>74</v>
      </c>
      <c r="E3" s="1" t="s">
        <v>74</v>
      </c>
      <c r="F3" s="1" t="s">
        <v>89</v>
      </c>
      <c r="G3" s="1" t="s">
        <v>88</v>
      </c>
      <c r="H3" s="1" t="s">
        <v>74</v>
      </c>
      <c r="I3" s="1" t="s">
        <v>90</v>
      </c>
      <c r="J3" s="1" t="s">
        <v>91</v>
      </c>
      <c r="K3" s="1" t="s">
        <v>74</v>
      </c>
      <c r="L3" s="1" t="s">
        <v>74</v>
      </c>
      <c r="M3" s="1" t="s">
        <v>74</v>
      </c>
      <c r="N3" s="1" t="s">
        <v>74</v>
      </c>
      <c r="O3" s="1" t="s">
        <v>74</v>
      </c>
      <c r="P3" s="1" t="s">
        <v>74</v>
      </c>
      <c r="Q3" s="1" t="s">
        <v>74</v>
      </c>
      <c r="R3" s="1" t="s">
        <v>74</v>
      </c>
      <c r="S3" s="1" t="s">
        <v>74</v>
      </c>
      <c r="T3" s="1" t="s">
        <v>74</v>
      </c>
      <c r="U3" s="1" t="s">
        <v>74</v>
      </c>
      <c r="V3" s="1" t="s">
        <v>74</v>
      </c>
      <c r="W3" s="1" t="s">
        <v>74</v>
      </c>
      <c r="X3" s="1" t="s">
        <v>74</v>
      </c>
      <c r="Y3" s="1" t="s">
        <v>74</v>
      </c>
      <c r="Z3" s="1" t="s">
        <v>74</v>
      </c>
      <c r="AA3" s="1" t="s">
        <v>74</v>
      </c>
      <c r="AB3" s="1" t="s">
        <v>74</v>
      </c>
      <c r="AC3" s="1" t="s">
        <v>74</v>
      </c>
      <c r="AD3" s="1" t="s">
        <v>74</v>
      </c>
      <c r="AE3" s="1" t="s">
        <v>74</v>
      </c>
      <c r="AF3" s="1" t="s">
        <v>74</v>
      </c>
      <c r="AG3" s="1" t="s">
        <v>74</v>
      </c>
      <c r="AH3" s="1" t="s">
        <v>74</v>
      </c>
      <c r="AI3" s="1" t="s">
        <v>74</v>
      </c>
      <c r="AJ3" s="1" t="s">
        <v>74</v>
      </c>
      <c r="AK3" s="1" t="s">
        <v>74</v>
      </c>
      <c r="AL3" s="1" t="s">
        <v>74</v>
      </c>
      <c r="AM3" s="1" t="s">
        <v>74</v>
      </c>
      <c r="AN3" s="1" t="s">
        <v>74</v>
      </c>
      <c r="AO3" s="1" t="s">
        <v>74</v>
      </c>
      <c r="AP3" s="1" t="s">
        <v>74</v>
      </c>
      <c r="AQ3" s="1" t="s">
        <v>92</v>
      </c>
      <c r="AR3" s="1" t="s">
        <v>74</v>
      </c>
      <c r="AS3" s="1" t="s">
        <v>74</v>
      </c>
      <c r="AT3" s="1" t="s">
        <v>74</v>
      </c>
      <c r="AU3" s="1">
        <v>2015.0</v>
      </c>
      <c r="AV3" s="1" t="s">
        <v>74</v>
      </c>
      <c r="AW3" s="1" t="s">
        <v>74</v>
      </c>
      <c r="AX3" s="1" t="s">
        <v>74</v>
      </c>
      <c r="AY3" s="1" t="s">
        <v>74</v>
      </c>
      <c r="AZ3" s="1" t="s">
        <v>74</v>
      </c>
      <c r="BA3" s="1" t="s">
        <v>74</v>
      </c>
      <c r="BB3" s="1">
        <v>117.0</v>
      </c>
      <c r="BC3" s="1">
        <v>122.0</v>
      </c>
      <c r="BD3" s="1" t="s">
        <v>74</v>
      </c>
      <c r="BE3" s="1" t="s">
        <v>74</v>
      </c>
      <c r="BF3" s="1" t="s">
        <v>74</v>
      </c>
      <c r="BG3" s="1" t="s">
        <v>74</v>
      </c>
      <c r="BH3" s="1" t="s">
        <v>74</v>
      </c>
      <c r="BI3" s="1" t="s">
        <v>74</v>
      </c>
      <c r="BJ3" s="1" t="s">
        <v>74</v>
      </c>
      <c r="BK3" s="1" t="s">
        <v>74</v>
      </c>
      <c r="BL3" s="1" t="s">
        <v>74</v>
      </c>
      <c r="BM3" s="1" t="s">
        <v>74</v>
      </c>
      <c r="BN3" s="1" t="s">
        <v>74</v>
      </c>
      <c r="BO3" s="1" t="s">
        <v>74</v>
      </c>
      <c r="BP3" s="1" t="s">
        <v>74</v>
      </c>
      <c r="BQ3" s="1" t="s">
        <v>74</v>
      </c>
      <c r="BR3" s="1" t="s">
        <v>74</v>
      </c>
      <c r="BS3" s="1" t="s">
        <v>93</v>
      </c>
      <c r="BT3" s="1" t="str">
        <f>HYPERLINK("https%3A%2F%2Fwww.webofscience.com%2Fwos%2Fwoscc%2Ffull-record%2FWOS:000541676300010","View Full Record in Web of Science")</f>
        <v>View Full Record in Web of Science</v>
      </c>
    </row>
    <row r="4" ht="12.75" customHeight="1">
      <c r="A4" s="1" t="s">
        <v>72</v>
      </c>
      <c r="B4" s="1" t="s">
        <v>94</v>
      </c>
      <c r="C4" s="1" t="s">
        <v>74</v>
      </c>
      <c r="D4" s="1" t="s">
        <v>74</v>
      </c>
      <c r="E4" s="1" t="s">
        <v>74</v>
      </c>
      <c r="F4" s="1" t="s">
        <v>95</v>
      </c>
      <c r="G4" s="1" t="s">
        <v>74</v>
      </c>
      <c r="H4" s="1" t="s">
        <v>74</v>
      </c>
      <c r="I4" s="1" t="s">
        <v>96</v>
      </c>
      <c r="J4" s="1" t="s">
        <v>97</v>
      </c>
      <c r="K4" s="1" t="s">
        <v>74</v>
      </c>
      <c r="L4" s="1" t="s">
        <v>74</v>
      </c>
      <c r="M4" s="1" t="s">
        <v>74</v>
      </c>
      <c r="N4" s="1" t="s">
        <v>74</v>
      </c>
      <c r="O4" s="1" t="s">
        <v>74</v>
      </c>
      <c r="P4" s="1" t="s">
        <v>74</v>
      </c>
      <c r="Q4" s="1" t="s">
        <v>74</v>
      </c>
      <c r="R4" s="1" t="s">
        <v>74</v>
      </c>
      <c r="S4" s="1" t="s">
        <v>74</v>
      </c>
      <c r="T4" s="1" t="s">
        <v>74</v>
      </c>
      <c r="U4" s="1" t="s">
        <v>74</v>
      </c>
      <c r="V4" s="1" t="s">
        <v>98</v>
      </c>
      <c r="W4" s="1" t="s">
        <v>74</v>
      </c>
      <c r="X4" s="1" t="s">
        <v>74</v>
      </c>
      <c r="Y4" s="1" t="s">
        <v>74</v>
      </c>
      <c r="Z4" s="1" t="s">
        <v>74</v>
      </c>
      <c r="AA4" s="1" t="s">
        <v>99</v>
      </c>
      <c r="AB4" s="1" t="s">
        <v>100</v>
      </c>
      <c r="AC4" s="1" t="s">
        <v>74</v>
      </c>
      <c r="AD4" s="1" t="s">
        <v>74</v>
      </c>
      <c r="AE4" s="1" t="s">
        <v>74</v>
      </c>
      <c r="AF4" s="1" t="s">
        <v>74</v>
      </c>
      <c r="AG4" s="1" t="s">
        <v>74</v>
      </c>
      <c r="AH4" s="1" t="s">
        <v>74</v>
      </c>
      <c r="AI4" s="1" t="s">
        <v>74</v>
      </c>
      <c r="AJ4" s="1" t="s">
        <v>74</v>
      </c>
      <c r="AK4" s="1" t="s">
        <v>74</v>
      </c>
      <c r="AL4" s="1" t="s">
        <v>74</v>
      </c>
      <c r="AM4" s="1" t="s">
        <v>74</v>
      </c>
      <c r="AN4" s="1" t="s">
        <v>74</v>
      </c>
      <c r="AO4" s="1" t="s">
        <v>101</v>
      </c>
      <c r="AP4" s="1" t="s">
        <v>102</v>
      </c>
      <c r="AQ4" s="1" t="s">
        <v>74</v>
      </c>
      <c r="AR4" s="1" t="s">
        <v>74</v>
      </c>
      <c r="AS4" s="1" t="s">
        <v>74</v>
      </c>
      <c r="AT4" s="1" t="s">
        <v>74</v>
      </c>
      <c r="AU4" s="1">
        <v>2015.0</v>
      </c>
      <c r="AV4" s="1">
        <v>2015.0</v>
      </c>
      <c r="AW4" s="1" t="s">
        <v>74</v>
      </c>
      <c r="AX4" s="1" t="s">
        <v>74</v>
      </c>
      <c r="AY4" s="1" t="s">
        <v>74</v>
      </c>
      <c r="AZ4" s="1" t="s">
        <v>74</v>
      </c>
      <c r="BA4" s="1" t="s">
        <v>74</v>
      </c>
      <c r="BB4" s="1" t="s">
        <v>74</v>
      </c>
      <c r="BC4" s="1" t="s">
        <v>74</v>
      </c>
      <c r="BD4" s="1">
        <v>797953.0</v>
      </c>
      <c r="BE4" s="1" t="s">
        <v>103</v>
      </c>
      <c r="BF4" s="2" t="str">
        <f>HYPERLINK("http://dx.doi.org/10.1155/2015/797953","http://dx.doi.org/10.1155/2015/797953")</f>
        <v>http://dx.doi.org/10.1155/2015/797953</v>
      </c>
      <c r="BG4" s="1" t="s">
        <v>74</v>
      </c>
      <c r="BH4" s="1" t="s">
        <v>74</v>
      </c>
      <c r="BI4" s="1" t="s">
        <v>74</v>
      </c>
      <c r="BJ4" s="1" t="s">
        <v>74</v>
      </c>
      <c r="BK4" s="1" t="s">
        <v>74</v>
      </c>
      <c r="BL4" s="1" t="s">
        <v>74</v>
      </c>
      <c r="BM4" s="1" t="s">
        <v>74</v>
      </c>
      <c r="BN4" s="1" t="s">
        <v>74</v>
      </c>
      <c r="BO4" s="1" t="s">
        <v>74</v>
      </c>
      <c r="BP4" s="1" t="s">
        <v>74</v>
      </c>
      <c r="BQ4" s="1" t="s">
        <v>74</v>
      </c>
      <c r="BR4" s="1" t="s">
        <v>74</v>
      </c>
      <c r="BS4" s="1" t="s">
        <v>104</v>
      </c>
      <c r="BT4" s="1" t="str">
        <f>HYPERLINK("https%3A%2F%2Fwww.webofscience.com%2Fwos%2Fwoscc%2Ffull-record%2FWOS:000362783100001","View Full Record in Web of Science")</f>
        <v>View Full Record in Web of Science</v>
      </c>
    </row>
    <row r="5" ht="12.75" customHeight="1">
      <c r="A5" s="1" t="s">
        <v>72</v>
      </c>
      <c r="B5" s="1" t="s">
        <v>105</v>
      </c>
      <c r="C5" s="1" t="s">
        <v>74</v>
      </c>
      <c r="D5" s="1" t="s">
        <v>74</v>
      </c>
      <c r="E5" s="1" t="s">
        <v>74</v>
      </c>
      <c r="F5" s="1" t="s">
        <v>106</v>
      </c>
      <c r="G5" s="1" t="s">
        <v>74</v>
      </c>
      <c r="H5" s="1" t="s">
        <v>74</v>
      </c>
      <c r="I5" s="1" t="s">
        <v>107</v>
      </c>
      <c r="J5" s="1" t="s">
        <v>108</v>
      </c>
      <c r="K5" s="1" t="s">
        <v>74</v>
      </c>
      <c r="L5" s="1" t="s">
        <v>74</v>
      </c>
      <c r="M5" s="1" t="s">
        <v>74</v>
      </c>
      <c r="N5" s="1" t="s">
        <v>74</v>
      </c>
      <c r="O5" s="1" t="s">
        <v>74</v>
      </c>
      <c r="P5" s="1" t="s">
        <v>74</v>
      </c>
      <c r="Q5" s="1" t="s">
        <v>74</v>
      </c>
      <c r="R5" s="1" t="s">
        <v>74</v>
      </c>
      <c r="S5" s="1" t="s">
        <v>74</v>
      </c>
      <c r="T5" s="1" t="s">
        <v>74</v>
      </c>
      <c r="U5" s="1" t="s">
        <v>74</v>
      </c>
      <c r="V5" s="1" t="s">
        <v>109</v>
      </c>
      <c r="W5" s="1" t="s">
        <v>74</v>
      </c>
      <c r="X5" s="1" t="s">
        <v>74</v>
      </c>
      <c r="Y5" s="1" t="s">
        <v>74</v>
      </c>
      <c r="Z5" s="1" t="s">
        <v>74</v>
      </c>
      <c r="AA5" s="1" t="s">
        <v>74</v>
      </c>
      <c r="AB5" s="1" t="s">
        <v>74</v>
      </c>
      <c r="AC5" s="1" t="s">
        <v>74</v>
      </c>
      <c r="AD5" s="1" t="s">
        <v>74</v>
      </c>
      <c r="AE5" s="1" t="s">
        <v>74</v>
      </c>
      <c r="AF5" s="1" t="s">
        <v>74</v>
      </c>
      <c r="AG5" s="1" t="s">
        <v>74</v>
      </c>
      <c r="AH5" s="1" t="s">
        <v>74</v>
      </c>
      <c r="AI5" s="1" t="s">
        <v>74</v>
      </c>
      <c r="AJ5" s="1" t="s">
        <v>74</v>
      </c>
      <c r="AK5" s="1" t="s">
        <v>74</v>
      </c>
      <c r="AL5" s="1" t="s">
        <v>74</v>
      </c>
      <c r="AM5" s="1" t="s">
        <v>74</v>
      </c>
      <c r="AN5" s="1" t="s">
        <v>74</v>
      </c>
      <c r="AO5" s="1" t="s">
        <v>110</v>
      </c>
      <c r="AP5" s="1" t="s">
        <v>111</v>
      </c>
      <c r="AQ5" s="1" t="s">
        <v>74</v>
      </c>
      <c r="AR5" s="1" t="s">
        <v>74</v>
      </c>
      <c r="AS5" s="1" t="s">
        <v>74</v>
      </c>
      <c r="AT5" s="1" t="s">
        <v>112</v>
      </c>
      <c r="AU5" s="1">
        <v>2014.0</v>
      </c>
      <c r="AV5" s="1">
        <v>42.0</v>
      </c>
      <c r="AW5" s="1">
        <v>8.0</v>
      </c>
      <c r="AX5" s="1" t="s">
        <v>74</v>
      </c>
      <c r="AY5" s="1" t="s">
        <v>74</v>
      </c>
      <c r="AZ5" s="1" t="s">
        <v>74</v>
      </c>
      <c r="BA5" s="1" t="s">
        <v>74</v>
      </c>
      <c r="BB5" s="1">
        <v>997.0</v>
      </c>
      <c r="BC5" s="1">
        <v>1014.0</v>
      </c>
      <c r="BD5" s="1" t="s">
        <v>74</v>
      </c>
      <c r="BE5" s="1" t="s">
        <v>113</v>
      </c>
      <c r="BF5" s="2" t="str">
        <f>HYPERLINK("http://dx.doi.org/10.1002/jcop.21667","http://dx.doi.org/10.1002/jcop.21667")</f>
        <v>http://dx.doi.org/10.1002/jcop.21667</v>
      </c>
      <c r="BG5" s="1" t="s">
        <v>74</v>
      </c>
      <c r="BH5" s="1" t="s">
        <v>74</v>
      </c>
      <c r="BI5" s="1" t="s">
        <v>74</v>
      </c>
      <c r="BJ5" s="1" t="s">
        <v>74</v>
      </c>
      <c r="BK5" s="1" t="s">
        <v>74</v>
      </c>
      <c r="BL5" s="1" t="s">
        <v>74</v>
      </c>
      <c r="BM5" s="1" t="s">
        <v>74</v>
      </c>
      <c r="BN5" s="1" t="s">
        <v>74</v>
      </c>
      <c r="BO5" s="1" t="s">
        <v>74</v>
      </c>
      <c r="BP5" s="1" t="s">
        <v>74</v>
      </c>
      <c r="BQ5" s="1" t="s">
        <v>74</v>
      </c>
      <c r="BR5" s="1" t="s">
        <v>74</v>
      </c>
      <c r="BS5" s="1" t="s">
        <v>114</v>
      </c>
      <c r="BT5" s="1" t="str">
        <f>HYPERLINK("https%3A%2F%2Fwww.webofscience.com%2Fwos%2Fwoscc%2Ffull-record%2FWOS:000343875800008","View Full Record in Web of Science")</f>
        <v>View Full Record in Web of Science</v>
      </c>
    </row>
    <row r="6" ht="12.75" customHeight="1">
      <c r="A6" s="1" t="s">
        <v>72</v>
      </c>
      <c r="B6" s="1" t="s">
        <v>115</v>
      </c>
      <c r="C6" s="1" t="s">
        <v>74</v>
      </c>
      <c r="D6" s="1" t="s">
        <v>74</v>
      </c>
      <c r="E6" s="1" t="s">
        <v>74</v>
      </c>
      <c r="F6" s="1" t="s">
        <v>116</v>
      </c>
      <c r="G6" s="1" t="s">
        <v>74</v>
      </c>
      <c r="H6" s="1" t="s">
        <v>74</v>
      </c>
      <c r="I6" s="1" t="s">
        <v>117</v>
      </c>
      <c r="J6" s="1" t="s">
        <v>118</v>
      </c>
      <c r="K6" s="1" t="s">
        <v>74</v>
      </c>
      <c r="L6" s="1" t="s">
        <v>74</v>
      </c>
      <c r="M6" s="1" t="s">
        <v>74</v>
      </c>
      <c r="N6" s="1" t="s">
        <v>74</v>
      </c>
      <c r="O6" s="1" t="s">
        <v>74</v>
      </c>
      <c r="P6" s="1" t="s">
        <v>74</v>
      </c>
      <c r="Q6" s="1" t="s">
        <v>74</v>
      </c>
      <c r="R6" s="1" t="s">
        <v>74</v>
      </c>
      <c r="S6" s="1" t="s">
        <v>74</v>
      </c>
      <c r="T6" s="1" t="s">
        <v>74</v>
      </c>
      <c r="U6" s="1" t="s">
        <v>74</v>
      </c>
      <c r="V6" s="1" t="s">
        <v>119</v>
      </c>
      <c r="W6" s="1" t="s">
        <v>74</v>
      </c>
      <c r="X6" s="1" t="s">
        <v>74</v>
      </c>
      <c r="Y6" s="1" t="s">
        <v>74</v>
      </c>
      <c r="Z6" s="1" t="s">
        <v>74</v>
      </c>
      <c r="AA6" s="1" t="s">
        <v>74</v>
      </c>
      <c r="AB6" s="1" t="s">
        <v>74</v>
      </c>
      <c r="AC6" s="1" t="s">
        <v>74</v>
      </c>
      <c r="AD6" s="1" t="s">
        <v>74</v>
      </c>
      <c r="AE6" s="1" t="s">
        <v>74</v>
      </c>
      <c r="AF6" s="1" t="s">
        <v>74</v>
      </c>
      <c r="AG6" s="1" t="s">
        <v>74</v>
      </c>
      <c r="AH6" s="1" t="s">
        <v>74</v>
      </c>
      <c r="AI6" s="1" t="s">
        <v>74</v>
      </c>
      <c r="AJ6" s="1" t="s">
        <v>74</v>
      </c>
      <c r="AK6" s="1" t="s">
        <v>74</v>
      </c>
      <c r="AL6" s="1" t="s">
        <v>74</v>
      </c>
      <c r="AM6" s="1" t="s">
        <v>74</v>
      </c>
      <c r="AN6" s="1" t="s">
        <v>74</v>
      </c>
      <c r="AO6" s="1" t="s">
        <v>120</v>
      </c>
      <c r="AP6" s="1" t="s">
        <v>121</v>
      </c>
      <c r="AQ6" s="1" t="s">
        <v>74</v>
      </c>
      <c r="AR6" s="1" t="s">
        <v>74</v>
      </c>
      <c r="AS6" s="1" t="s">
        <v>74</v>
      </c>
      <c r="AT6" s="1" t="s">
        <v>122</v>
      </c>
      <c r="AU6" s="1">
        <v>2014.0</v>
      </c>
      <c r="AV6" s="1">
        <v>9.0</v>
      </c>
      <c r="AW6" s="1">
        <v>4.0</v>
      </c>
      <c r="AX6" s="1" t="s">
        <v>74</v>
      </c>
      <c r="AY6" s="1" t="s">
        <v>74</v>
      </c>
      <c r="AZ6" s="1" t="s">
        <v>74</v>
      </c>
      <c r="BA6" s="1" t="s">
        <v>74</v>
      </c>
      <c r="BB6" s="1">
        <v>397.0</v>
      </c>
      <c r="BC6" s="1">
        <v>407.0</v>
      </c>
      <c r="BD6" s="1" t="s">
        <v>74</v>
      </c>
      <c r="BE6" s="1" t="s">
        <v>123</v>
      </c>
      <c r="BF6" s="2" t="str">
        <f>HYPERLINK("http://dx.doi.org/10.15837/ijccc.2014.4.559","http://dx.doi.org/10.15837/ijccc.2014.4.559")</f>
        <v>http://dx.doi.org/10.15837/ijccc.2014.4.559</v>
      </c>
      <c r="BG6" s="1" t="s">
        <v>74</v>
      </c>
      <c r="BH6" s="1" t="s">
        <v>74</v>
      </c>
      <c r="BI6" s="1" t="s">
        <v>74</v>
      </c>
      <c r="BJ6" s="1" t="s">
        <v>74</v>
      </c>
      <c r="BK6" s="1" t="s">
        <v>74</v>
      </c>
      <c r="BL6" s="1" t="s">
        <v>74</v>
      </c>
      <c r="BM6" s="1" t="s">
        <v>74</v>
      </c>
      <c r="BN6" s="1" t="s">
        <v>74</v>
      </c>
      <c r="BO6" s="1" t="s">
        <v>74</v>
      </c>
      <c r="BP6" s="1" t="s">
        <v>74</v>
      </c>
      <c r="BQ6" s="1" t="s">
        <v>74</v>
      </c>
      <c r="BR6" s="1" t="s">
        <v>74</v>
      </c>
      <c r="BS6" s="1" t="s">
        <v>124</v>
      </c>
      <c r="BT6" s="1" t="str">
        <f>HYPERLINK("https%3A%2F%2Fwww.webofscience.com%2Fwos%2Fwoscc%2Ffull-record%2FWOS:000337771000002","View Full Record in Web of Science")</f>
        <v>View Full Record in Web of Science</v>
      </c>
    </row>
    <row r="7" ht="12.75" customHeight="1">
      <c r="A7" s="1" t="s">
        <v>72</v>
      </c>
      <c r="B7" s="1" t="s">
        <v>125</v>
      </c>
      <c r="C7" s="1" t="s">
        <v>74</v>
      </c>
      <c r="D7" s="1" t="s">
        <v>74</v>
      </c>
      <c r="E7" s="1" t="s">
        <v>74</v>
      </c>
      <c r="F7" s="1" t="s">
        <v>126</v>
      </c>
      <c r="G7" s="1" t="s">
        <v>74</v>
      </c>
      <c r="H7" s="1" t="s">
        <v>74</v>
      </c>
      <c r="I7" s="1" t="s">
        <v>127</v>
      </c>
      <c r="J7" s="1" t="s">
        <v>128</v>
      </c>
      <c r="K7" s="1" t="s">
        <v>74</v>
      </c>
      <c r="L7" s="1" t="s">
        <v>74</v>
      </c>
      <c r="M7" s="1" t="s">
        <v>74</v>
      </c>
      <c r="N7" s="1" t="s">
        <v>74</v>
      </c>
      <c r="O7" s="1" t="s">
        <v>74</v>
      </c>
      <c r="P7" s="1" t="s">
        <v>74</v>
      </c>
      <c r="Q7" s="1" t="s">
        <v>74</v>
      </c>
      <c r="R7" s="1" t="s">
        <v>74</v>
      </c>
      <c r="S7" s="1" t="s">
        <v>74</v>
      </c>
      <c r="T7" s="1" t="s">
        <v>74</v>
      </c>
      <c r="U7" s="1" t="s">
        <v>74</v>
      </c>
      <c r="V7" s="1" t="s">
        <v>129</v>
      </c>
      <c r="W7" s="1" t="s">
        <v>74</v>
      </c>
      <c r="X7" s="1" t="s">
        <v>74</v>
      </c>
      <c r="Y7" s="1" t="s">
        <v>74</v>
      </c>
      <c r="Z7" s="1" t="s">
        <v>74</v>
      </c>
      <c r="AA7" s="1" t="s">
        <v>130</v>
      </c>
      <c r="AB7" s="1" t="s">
        <v>131</v>
      </c>
      <c r="AC7" s="1" t="s">
        <v>74</v>
      </c>
      <c r="AD7" s="1" t="s">
        <v>74</v>
      </c>
      <c r="AE7" s="1" t="s">
        <v>74</v>
      </c>
      <c r="AF7" s="1" t="s">
        <v>74</v>
      </c>
      <c r="AG7" s="1" t="s">
        <v>74</v>
      </c>
      <c r="AH7" s="1" t="s">
        <v>74</v>
      </c>
      <c r="AI7" s="1" t="s">
        <v>74</v>
      </c>
      <c r="AJ7" s="1" t="s">
        <v>74</v>
      </c>
      <c r="AK7" s="1" t="s">
        <v>74</v>
      </c>
      <c r="AL7" s="1" t="s">
        <v>74</v>
      </c>
      <c r="AM7" s="1" t="s">
        <v>74</v>
      </c>
      <c r="AN7" s="1" t="s">
        <v>74</v>
      </c>
      <c r="AO7" s="1" t="s">
        <v>132</v>
      </c>
      <c r="AP7" s="1" t="s">
        <v>133</v>
      </c>
      <c r="AQ7" s="1" t="s">
        <v>74</v>
      </c>
      <c r="AR7" s="1" t="s">
        <v>74</v>
      </c>
      <c r="AS7" s="1" t="s">
        <v>74</v>
      </c>
      <c r="AT7" s="1" t="s">
        <v>83</v>
      </c>
      <c r="AU7" s="1">
        <v>2014.0</v>
      </c>
      <c r="AV7" s="1">
        <v>735.0</v>
      </c>
      <c r="AW7" s="1" t="s">
        <v>74</v>
      </c>
      <c r="AX7" s="1" t="s">
        <v>74</v>
      </c>
      <c r="AY7" s="1" t="s">
        <v>74</v>
      </c>
      <c r="AZ7" s="1" t="s">
        <v>74</v>
      </c>
      <c r="BA7" s="1" t="s">
        <v>74</v>
      </c>
      <c r="BB7" s="1">
        <v>173.0</v>
      </c>
      <c r="BC7" s="1">
        <v>175.0</v>
      </c>
      <c r="BD7" s="1" t="s">
        <v>74</v>
      </c>
      <c r="BE7" s="1" t="s">
        <v>134</v>
      </c>
      <c r="BF7" s="2" t="str">
        <f>HYPERLINK("http://dx.doi.org/10.1016/j.physletb.2014.06.034","http://dx.doi.org/10.1016/j.physletb.2014.06.034")</f>
        <v>http://dx.doi.org/10.1016/j.physletb.2014.06.034</v>
      </c>
      <c r="BG7" s="1" t="s">
        <v>74</v>
      </c>
      <c r="BH7" s="1" t="s">
        <v>74</v>
      </c>
      <c r="BI7" s="1" t="s">
        <v>74</v>
      </c>
      <c r="BJ7" s="1" t="s">
        <v>74</v>
      </c>
      <c r="BK7" s="1" t="s">
        <v>74</v>
      </c>
      <c r="BL7" s="1" t="s">
        <v>74</v>
      </c>
      <c r="BM7" s="1" t="s">
        <v>74</v>
      </c>
      <c r="BN7" s="1" t="s">
        <v>74</v>
      </c>
      <c r="BO7" s="1" t="s">
        <v>74</v>
      </c>
      <c r="BP7" s="1" t="s">
        <v>74</v>
      </c>
      <c r="BQ7" s="1" t="s">
        <v>74</v>
      </c>
      <c r="BR7" s="1" t="s">
        <v>74</v>
      </c>
      <c r="BS7" s="1" t="s">
        <v>135</v>
      </c>
      <c r="BT7" s="1" t="str">
        <f>HYPERLINK("https%3A%2F%2Fwww.webofscience.com%2Fwos%2Fwoscc%2Ffull-record%2FWOS:000340048900030","View Full Record in Web of Science")</f>
        <v>View Full Record in Web of Science</v>
      </c>
    </row>
    <row r="8" ht="12.75" customHeight="1">
      <c r="A8" s="1" t="s">
        <v>72</v>
      </c>
      <c r="B8" s="1" t="s">
        <v>136</v>
      </c>
      <c r="C8" s="1" t="s">
        <v>74</v>
      </c>
      <c r="D8" s="1" t="s">
        <v>74</v>
      </c>
      <c r="E8" s="1" t="s">
        <v>74</v>
      </c>
      <c r="F8" s="1" t="s">
        <v>137</v>
      </c>
      <c r="G8" s="1" t="s">
        <v>74</v>
      </c>
      <c r="H8" s="1" t="s">
        <v>74</v>
      </c>
      <c r="I8" s="1" t="s">
        <v>138</v>
      </c>
      <c r="J8" s="1" t="s">
        <v>139</v>
      </c>
      <c r="K8" s="1" t="s">
        <v>74</v>
      </c>
      <c r="L8" s="1" t="s">
        <v>74</v>
      </c>
      <c r="M8" s="1" t="s">
        <v>74</v>
      </c>
      <c r="N8" s="1" t="s">
        <v>74</v>
      </c>
      <c r="O8" s="1" t="s">
        <v>74</v>
      </c>
      <c r="P8" s="1" t="s">
        <v>74</v>
      </c>
      <c r="Q8" s="1" t="s">
        <v>74</v>
      </c>
      <c r="R8" s="1" t="s">
        <v>74</v>
      </c>
      <c r="S8" s="1" t="s">
        <v>74</v>
      </c>
      <c r="T8" s="1" t="s">
        <v>74</v>
      </c>
      <c r="U8" s="1" t="s">
        <v>74</v>
      </c>
      <c r="V8" s="1" t="s">
        <v>140</v>
      </c>
      <c r="W8" s="1" t="s">
        <v>74</v>
      </c>
      <c r="X8" s="1" t="s">
        <v>74</v>
      </c>
      <c r="Y8" s="1" t="s">
        <v>74</v>
      </c>
      <c r="Z8" s="1" t="s">
        <v>74</v>
      </c>
      <c r="AA8" s="1" t="s">
        <v>141</v>
      </c>
      <c r="AB8" s="1" t="s">
        <v>142</v>
      </c>
      <c r="AC8" s="1" t="s">
        <v>74</v>
      </c>
      <c r="AD8" s="1" t="s">
        <v>74</v>
      </c>
      <c r="AE8" s="1" t="s">
        <v>74</v>
      </c>
      <c r="AF8" s="1" t="s">
        <v>74</v>
      </c>
      <c r="AG8" s="1" t="s">
        <v>74</v>
      </c>
      <c r="AH8" s="1" t="s">
        <v>74</v>
      </c>
      <c r="AI8" s="1" t="s">
        <v>74</v>
      </c>
      <c r="AJ8" s="1" t="s">
        <v>74</v>
      </c>
      <c r="AK8" s="1" t="s">
        <v>74</v>
      </c>
      <c r="AL8" s="1" t="s">
        <v>74</v>
      </c>
      <c r="AM8" s="1" t="s">
        <v>74</v>
      </c>
      <c r="AN8" s="1" t="s">
        <v>74</v>
      </c>
      <c r="AO8" s="1" t="s">
        <v>143</v>
      </c>
      <c r="AP8" s="1" t="s">
        <v>74</v>
      </c>
      <c r="AQ8" s="1" t="s">
        <v>74</v>
      </c>
      <c r="AR8" s="1" t="s">
        <v>74</v>
      </c>
      <c r="AS8" s="1" t="s">
        <v>74</v>
      </c>
      <c r="AT8" s="1" t="s">
        <v>144</v>
      </c>
      <c r="AU8" s="1">
        <v>2014.0</v>
      </c>
      <c r="AV8" s="1">
        <v>12.0</v>
      </c>
      <c r="AW8" s="1">
        <v>2.0</v>
      </c>
      <c r="AX8" s="1" t="s">
        <v>74</v>
      </c>
      <c r="AY8" s="1" t="s">
        <v>74</v>
      </c>
      <c r="AZ8" s="1" t="s">
        <v>74</v>
      </c>
      <c r="BA8" s="1" t="s">
        <v>74</v>
      </c>
      <c r="BB8" s="1">
        <v>98.0</v>
      </c>
      <c r="BC8" s="1">
        <v>106.0</v>
      </c>
      <c r="BD8" s="1" t="s">
        <v>74</v>
      </c>
      <c r="BE8" s="1" t="s">
        <v>145</v>
      </c>
      <c r="BF8" s="2" t="str">
        <f>HYPERLINK("http://dx.doi.org/10.1109/TLA.2014.6749524","http://dx.doi.org/10.1109/TLA.2014.6749524")</f>
        <v>http://dx.doi.org/10.1109/TLA.2014.6749524</v>
      </c>
      <c r="BG8" s="1" t="s">
        <v>74</v>
      </c>
      <c r="BH8" s="1" t="s">
        <v>74</v>
      </c>
      <c r="BI8" s="1" t="s">
        <v>74</v>
      </c>
      <c r="BJ8" s="1" t="s">
        <v>74</v>
      </c>
      <c r="BK8" s="1" t="s">
        <v>74</v>
      </c>
      <c r="BL8" s="1" t="s">
        <v>74</v>
      </c>
      <c r="BM8" s="1" t="s">
        <v>74</v>
      </c>
      <c r="BN8" s="1" t="s">
        <v>74</v>
      </c>
      <c r="BO8" s="1" t="s">
        <v>74</v>
      </c>
      <c r="BP8" s="1" t="s">
        <v>74</v>
      </c>
      <c r="BQ8" s="1" t="s">
        <v>74</v>
      </c>
      <c r="BR8" s="1" t="s">
        <v>74</v>
      </c>
      <c r="BS8" s="1" t="s">
        <v>146</v>
      </c>
      <c r="BT8" s="1" t="str">
        <f>HYPERLINK("https%3A%2F%2Fwww.webofscience.com%2Fwos%2Fwoscc%2Ffull-record%2FWOS:000332341500005","View Full Record in Web of Science")</f>
        <v>View Full Record in Web of Science</v>
      </c>
    </row>
    <row r="9" ht="12.75" customHeight="1">
      <c r="A9" s="1" t="s">
        <v>147</v>
      </c>
      <c r="B9" s="1" t="s">
        <v>148</v>
      </c>
      <c r="C9" s="1" t="s">
        <v>74</v>
      </c>
      <c r="D9" s="1" t="s">
        <v>149</v>
      </c>
      <c r="E9" s="1" t="s">
        <v>74</v>
      </c>
      <c r="F9" s="1" t="s">
        <v>150</v>
      </c>
      <c r="G9" s="1" t="s">
        <v>74</v>
      </c>
      <c r="H9" s="1" t="s">
        <v>74</v>
      </c>
      <c r="I9" s="1" t="s">
        <v>151</v>
      </c>
      <c r="J9" s="1" t="s">
        <v>152</v>
      </c>
      <c r="K9" s="1" t="s">
        <v>74</v>
      </c>
      <c r="L9" s="1" t="s">
        <v>74</v>
      </c>
      <c r="M9" s="1" t="s">
        <v>74</v>
      </c>
      <c r="N9" s="1" t="s">
        <v>74</v>
      </c>
      <c r="O9" s="1" t="s">
        <v>153</v>
      </c>
      <c r="P9" s="1" t="s">
        <v>154</v>
      </c>
      <c r="Q9" s="1" t="s">
        <v>155</v>
      </c>
      <c r="R9" s="1" t="s">
        <v>156</v>
      </c>
      <c r="S9" s="1" t="s">
        <v>74</v>
      </c>
      <c r="T9" s="1" t="s">
        <v>74</v>
      </c>
      <c r="U9" s="1" t="s">
        <v>74</v>
      </c>
      <c r="V9" s="1" t="s">
        <v>157</v>
      </c>
      <c r="W9" s="1" t="s">
        <v>74</v>
      </c>
      <c r="X9" s="1" t="s">
        <v>74</v>
      </c>
      <c r="Y9" s="1" t="s">
        <v>74</v>
      </c>
      <c r="Z9" s="1" t="s">
        <v>74</v>
      </c>
      <c r="AA9" s="1" t="s">
        <v>74</v>
      </c>
      <c r="AB9" s="1" t="s">
        <v>74</v>
      </c>
      <c r="AC9" s="1" t="s">
        <v>74</v>
      </c>
      <c r="AD9" s="1" t="s">
        <v>74</v>
      </c>
      <c r="AE9" s="1" t="s">
        <v>74</v>
      </c>
      <c r="AF9" s="1" t="s">
        <v>74</v>
      </c>
      <c r="AG9" s="1" t="s">
        <v>74</v>
      </c>
      <c r="AH9" s="1" t="s">
        <v>74</v>
      </c>
      <c r="AI9" s="1" t="s">
        <v>74</v>
      </c>
      <c r="AJ9" s="1" t="s">
        <v>74</v>
      </c>
      <c r="AK9" s="1" t="s">
        <v>74</v>
      </c>
      <c r="AL9" s="1" t="s">
        <v>74</v>
      </c>
      <c r="AM9" s="1" t="s">
        <v>74</v>
      </c>
      <c r="AN9" s="1" t="s">
        <v>74</v>
      </c>
      <c r="AO9" s="1" t="s">
        <v>74</v>
      </c>
      <c r="AP9" s="1" t="s">
        <v>74</v>
      </c>
      <c r="AQ9" s="1" t="s">
        <v>158</v>
      </c>
      <c r="AR9" s="1" t="s">
        <v>74</v>
      </c>
      <c r="AS9" s="1" t="s">
        <v>74</v>
      </c>
      <c r="AT9" s="1" t="s">
        <v>74</v>
      </c>
      <c r="AU9" s="1">
        <v>2013.0</v>
      </c>
      <c r="AV9" s="1" t="s">
        <v>74</v>
      </c>
      <c r="AW9" s="1" t="s">
        <v>74</v>
      </c>
      <c r="AX9" s="1" t="s">
        <v>74</v>
      </c>
      <c r="AY9" s="1" t="s">
        <v>74</v>
      </c>
      <c r="AZ9" s="1" t="s">
        <v>74</v>
      </c>
      <c r="BA9" s="1" t="s">
        <v>74</v>
      </c>
      <c r="BB9" s="1" t="s">
        <v>74</v>
      </c>
      <c r="BC9" s="1" t="s">
        <v>74</v>
      </c>
      <c r="BD9" s="1" t="s">
        <v>74</v>
      </c>
      <c r="BE9" s="1" t="s">
        <v>74</v>
      </c>
      <c r="BF9" s="1" t="s">
        <v>74</v>
      </c>
      <c r="BG9" s="1" t="s">
        <v>74</v>
      </c>
      <c r="BH9" s="1" t="s">
        <v>74</v>
      </c>
      <c r="BI9" s="1" t="s">
        <v>74</v>
      </c>
      <c r="BJ9" s="1" t="s">
        <v>74</v>
      </c>
      <c r="BK9" s="1" t="s">
        <v>74</v>
      </c>
      <c r="BL9" s="1" t="s">
        <v>74</v>
      </c>
      <c r="BM9" s="1" t="s">
        <v>74</v>
      </c>
      <c r="BN9" s="1" t="s">
        <v>74</v>
      </c>
      <c r="BO9" s="1" t="s">
        <v>74</v>
      </c>
      <c r="BP9" s="1" t="s">
        <v>74</v>
      </c>
      <c r="BQ9" s="1" t="s">
        <v>74</v>
      </c>
      <c r="BR9" s="1" t="s">
        <v>74</v>
      </c>
      <c r="BS9" s="1" t="s">
        <v>159</v>
      </c>
      <c r="BT9" s="1" t="str">
        <f>HYPERLINK("https%3A%2F%2Fwww.webofscience.com%2Fwos%2Fwoscc%2Ffull-record%2FWOS:000351821600067","View Full Record in Web of Science")</f>
        <v>View Full Record in Web of Science</v>
      </c>
    </row>
    <row r="10" ht="12.75" customHeight="1">
      <c r="A10" s="1" t="s">
        <v>72</v>
      </c>
      <c r="B10" s="1" t="s">
        <v>160</v>
      </c>
      <c r="C10" s="1" t="s">
        <v>74</v>
      </c>
      <c r="D10" s="1" t="s">
        <v>74</v>
      </c>
      <c r="E10" s="1" t="s">
        <v>74</v>
      </c>
      <c r="F10" s="1" t="s">
        <v>161</v>
      </c>
      <c r="G10" s="1" t="s">
        <v>74</v>
      </c>
      <c r="H10" s="1" t="s">
        <v>74</v>
      </c>
      <c r="I10" s="1" t="s">
        <v>162</v>
      </c>
      <c r="J10" s="1" t="s">
        <v>163</v>
      </c>
      <c r="K10" s="1" t="s">
        <v>74</v>
      </c>
      <c r="L10" s="1" t="s">
        <v>74</v>
      </c>
      <c r="M10" s="1" t="s">
        <v>74</v>
      </c>
      <c r="N10" s="1" t="s">
        <v>74</v>
      </c>
      <c r="O10" s="1" t="s">
        <v>74</v>
      </c>
      <c r="P10" s="1" t="s">
        <v>74</v>
      </c>
      <c r="Q10" s="1" t="s">
        <v>74</v>
      </c>
      <c r="R10" s="1" t="s">
        <v>74</v>
      </c>
      <c r="S10" s="1" t="s">
        <v>74</v>
      </c>
      <c r="T10" s="1" t="s">
        <v>74</v>
      </c>
      <c r="U10" s="1" t="s">
        <v>74</v>
      </c>
      <c r="V10" s="1" t="s">
        <v>164</v>
      </c>
      <c r="W10" s="1" t="s">
        <v>74</v>
      </c>
      <c r="X10" s="1" t="s">
        <v>74</v>
      </c>
      <c r="Y10" s="1" t="s">
        <v>74</v>
      </c>
      <c r="Z10" s="1" t="s">
        <v>74</v>
      </c>
      <c r="AA10" s="1" t="s">
        <v>165</v>
      </c>
      <c r="AB10" s="1" t="s">
        <v>166</v>
      </c>
      <c r="AC10" s="1" t="s">
        <v>74</v>
      </c>
      <c r="AD10" s="1" t="s">
        <v>74</v>
      </c>
      <c r="AE10" s="1" t="s">
        <v>74</v>
      </c>
      <c r="AF10" s="1" t="s">
        <v>74</v>
      </c>
      <c r="AG10" s="1" t="s">
        <v>74</v>
      </c>
      <c r="AH10" s="1" t="s">
        <v>74</v>
      </c>
      <c r="AI10" s="1" t="s">
        <v>74</v>
      </c>
      <c r="AJ10" s="1" t="s">
        <v>74</v>
      </c>
      <c r="AK10" s="1" t="s">
        <v>74</v>
      </c>
      <c r="AL10" s="1" t="s">
        <v>74</v>
      </c>
      <c r="AM10" s="1" t="s">
        <v>74</v>
      </c>
      <c r="AN10" s="1" t="s">
        <v>74</v>
      </c>
      <c r="AO10" s="1" t="s">
        <v>167</v>
      </c>
      <c r="AP10" s="1" t="s">
        <v>168</v>
      </c>
      <c r="AQ10" s="1" t="s">
        <v>74</v>
      </c>
      <c r="AR10" s="1" t="s">
        <v>74</v>
      </c>
      <c r="AS10" s="1" t="s">
        <v>74</v>
      </c>
      <c r="AT10" s="1" t="s">
        <v>74</v>
      </c>
      <c r="AU10" s="1">
        <v>2013.0</v>
      </c>
      <c r="AV10" s="1" t="s">
        <v>74</v>
      </c>
      <c r="AW10" s="1">
        <v>2352.0</v>
      </c>
      <c r="AX10" s="1" t="s">
        <v>74</v>
      </c>
      <c r="AY10" s="1" t="s">
        <v>74</v>
      </c>
      <c r="AZ10" s="1" t="s">
        <v>74</v>
      </c>
      <c r="BA10" s="1" t="s">
        <v>74</v>
      </c>
      <c r="BB10" s="1">
        <v>84.0</v>
      </c>
      <c r="BC10" s="1">
        <v>93.0</v>
      </c>
      <c r="BD10" s="1" t="s">
        <v>74</v>
      </c>
      <c r="BE10" s="1" t="s">
        <v>169</v>
      </c>
      <c r="BF10" s="2" t="str">
        <f>HYPERLINK("http://dx.doi.org/10.3141/2352-10","http://dx.doi.org/10.3141/2352-10")</f>
        <v>http://dx.doi.org/10.3141/2352-10</v>
      </c>
      <c r="BG10" s="1" t="s">
        <v>74</v>
      </c>
      <c r="BH10" s="1" t="s">
        <v>74</v>
      </c>
      <c r="BI10" s="1" t="s">
        <v>74</v>
      </c>
      <c r="BJ10" s="1" t="s">
        <v>74</v>
      </c>
      <c r="BK10" s="1" t="s">
        <v>74</v>
      </c>
      <c r="BL10" s="1" t="s">
        <v>74</v>
      </c>
      <c r="BM10" s="1" t="s">
        <v>74</v>
      </c>
      <c r="BN10" s="1" t="s">
        <v>74</v>
      </c>
      <c r="BO10" s="1" t="s">
        <v>74</v>
      </c>
      <c r="BP10" s="1" t="s">
        <v>74</v>
      </c>
      <c r="BQ10" s="1" t="s">
        <v>74</v>
      </c>
      <c r="BR10" s="1" t="s">
        <v>74</v>
      </c>
      <c r="BS10" s="1" t="s">
        <v>170</v>
      </c>
      <c r="BT10" s="1" t="str">
        <f>HYPERLINK("https%3A%2F%2Fwww.webofscience.com%2Fwos%2Fwoscc%2Ffull-record%2FWOS:000334567100010","View Full Record in Web of Science")</f>
        <v>View Full Record in Web of Science</v>
      </c>
    </row>
    <row r="11" ht="12.75" customHeight="1">
      <c r="A11" s="1" t="s">
        <v>72</v>
      </c>
      <c r="B11" s="1" t="s">
        <v>171</v>
      </c>
      <c r="C11" s="1" t="s">
        <v>74</v>
      </c>
      <c r="D11" s="1" t="s">
        <v>74</v>
      </c>
      <c r="E11" s="1" t="s">
        <v>74</v>
      </c>
      <c r="F11" s="1" t="s">
        <v>172</v>
      </c>
      <c r="G11" s="1" t="s">
        <v>74</v>
      </c>
      <c r="H11" s="1" t="s">
        <v>74</v>
      </c>
      <c r="I11" s="1" t="s">
        <v>173</v>
      </c>
      <c r="J11" s="1" t="s">
        <v>174</v>
      </c>
      <c r="K11" s="1" t="s">
        <v>74</v>
      </c>
      <c r="L11" s="1" t="s">
        <v>74</v>
      </c>
      <c r="M11" s="1" t="s">
        <v>74</v>
      </c>
      <c r="N11" s="1" t="s">
        <v>74</v>
      </c>
      <c r="O11" s="1" t="s">
        <v>74</v>
      </c>
      <c r="P11" s="1" t="s">
        <v>74</v>
      </c>
      <c r="Q11" s="1" t="s">
        <v>74</v>
      </c>
      <c r="R11" s="1" t="s">
        <v>74</v>
      </c>
      <c r="S11" s="1" t="s">
        <v>74</v>
      </c>
      <c r="T11" s="1" t="s">
        <v>74</v>
      </c>
      <c r="U11" s="1" t="s">
        <v>74</v>
      </c>
      <c r="V11" s="1" t="s">
        <v>175</v>
      </c>
      <c r="W11" s="1" t="s">
        <v>74</v>
      </c>
      <c r="X11" s="1" t="s">
        <v>74</v>
      </c>
      <c r="Y11" s="1" t="s">
        <v>74</v>
      </c>
      <c r="Z11" s="1" t="s">
        <v>74</v>
      </c>
      <c r="AA11" s="1" t="s">
        <v>176</v>
      </c>
      <c r="AB11" s="1" t="s">
        <v>177</v>
      </c>
      <c r="AC11" s="1" t="s">
        <v>74</v>
      </c>
      <c r="AD11" s="1" t="s">
        <v>74</v>
      </c>
      <c r="AE11" s="1" t="s">
        <v>74</v>
      </c>
      <c r="AF11" s="1" t="s">
        <v>74</v>
      </c>
      <c r="AG11" s="1" t="s">
        <v>74</v>
      </c>
      <c r="AH11" s="1" t="s">
        <v>74</v>
      </c>
      <c r="AI11" s="1" t="s">
        <v>74</v>
      </c>
      <c r="AJ11" s="1" t="s">
        <v>74</v>
      </c>
      <c r="AK11" s="1" t="s">
        <v>74</v>
      </c>
      <c r="AL11" s="1" t="s">
        <v>74</v>
      </c>
      <c r="AM11" s="1" t="s">
        <v>74</v>
      </c>
      <c r="AN11" s="1" t="s">
        <v>74</v>
      </c>
      <c r="AO11" s="1" t="s">
        <v>178</v>
      </c>
      <c r="AP11" s="1" t="s">
        <v>74</v>
      </c>
      <c r="AQ11" s="1" t="s">
        <v>74</v>
      </c>
      <c r="AR11" s="1" t="s">
        <v>74</v>
      </c>
      <c r="AS11" s="1" t="s">
        <v>74</v>
      </c>
      <c r="AT11" s="1" t="s">
        <v>179</v>
      </c>
      <c r="AU11" s="1">
        <v>2013.0</v>
      </c>
      <c r="AV11" s="1">
        <v>12.0</v>
      </c>
      <c r="AW11" s="1">
        <v>1.0</v>
      </c>
      <c r="AX11" s="1" t="s">
        <v>74</v>
      </c>
      <c r="AY11" s="1" t="s">
        <v>74</v>
      </c>
      <c r="AZ11" s="1" t="s">
        <v>74</v>
      </c>
      <c r="BA11" s="1" t="s">
        <v>74</v>
      </c>
      <c r="BB11" s="1">
        <v>221.0</v>
      </c>
      <c r="BC11" s="1">
        <v>233.0</v>
      </c>
      <c r="BD11" s="1" t="s">
        <v>74</v>
      </c>
      <c r="BE11" s="1" t="s">
        <v>74</v>
      </c>
      <c r="BF11" s="1" t="s">
        <v>74</v>
      </c>
      <c r="BG11" s="1" t="s">
        <v>74</v>
      </c>
      <c r="BH11" s="1" t="s">
        <v>74</v>
      </c>
      <c r="BI11" s="1" t="s">
        <v>74</v>
      </c>
      <c r="BJ11" s="1" t="s">
        <v>74</v>
      </c>
      <c r="BK11" s="1" t="s">
        <v>74</v>
      </c>
      <c r="BL11" s="1" t="s">
        <v>74</v>
      </c>
      <c r="BM11" s="1" t="s">
        <v>74</v>
      </c>
      <c r="BN11" s="1" t="s">
        <v>74</v>
      </c>
      <c r="BO11" s="1" t="s">
        <v>74</v>
      </c>
      <c r="BP11" s="1" t="s">
        <v>74</v>
      </c>
      <c r="BQ11" s="1" t="s">
        <v>74</v>
      </c>
      <c r="BR11" s="1" t="s">
        <v>74</v>
      </c>
      <c r="BS11" s="1" t="s">
        <v>180</v>
      </c>
      <c r="BT11" s="1" t="str">
        <f>HYPERLINK("https%3A%2F%2Fwww.webofscience.com%2Fwos%2Fwoscc%2Ffull-record%2FWOS:000319508500020","View Full Record in Web of Science")</f>
        <v>View Full Record in Web of Science</v>
      </c>
    </row>
    <row r="12" ht="12.75" customHeight="1">
      <c r="A12" s="1" t="s">
        <v>72</v>
      </c>
      <c r="B12" s="1" t="s">
        <v>181</v>
      </c>
      <c r="C12" s="1" t="s">
        <v>74</v>
      </c>
      <c r="D12" s="1" t="s">
        <v>74</v>
      </c>
      <c r="E12" s="1" t="s">
        <v>74</v>
      </c>
      <c r="F12" s="1" t="s">
        <v>182</v>
      </c>
      <c r="G12" s="1" t="s">
        <v>74</v>
      </c>
      <c r="H12" s="1" t="s">
        <v>74</v>
      </c>
      <c r="I12" s="1" t="s">
        <v>183</v>
      </c>
      <c r="J12" s="1" t="s">
        <v>184</v>
      </c>
      <c r="K12" s="1" t="s">
        <v>74</v>
      </c>
      <c r="L12" s="1" t="s">
        <v>74</v>
      </c>
      <c r="M12" s="1" t="s">
        <v>74</v>
      </c>
      <c r="N12" s="1" t="s">
        <v>74</v>
      </c>
      <c r="O12" s="1" t="s">
        <v>74</v>
      </c>
      <c r="P12" s="1" t="s">
        <v>74</v>
      </c>
      <c r="Q12" s="1" t="s">
        <v>74</v>
      </c>
      <c r="R12" s="1" t="s">
        <v>74</v>
      </c>
      <c r="S12" s="1" t="s">
        <v>74</v>
      </c>
      <c r="T12" s="1" t="s">
        <v>74</v>
      </c>
      <c r="U12" s="1" t="s">
        <v>74</v>
      </c>
      <c r="V12" s="1" t="s">
        <v>185</v>
      </c>
      <c r="W12" s="1" t="s">
        <v>74</v>
      </c>
      <c r="X12" s="1" t="s">
        <v>74</v>
      </c>
      <c r="Y12" s="1" t="s">
        <v>74</v>
      </c>
      <c r="Z12" s="1" t="s">
        <v>74</v>
      </c>
      <c r="AA12" s="1" t="s">
        <v>186</v>
      </c>
      <c r="AB12" s="1" t="s">
        <v>74</v>
      </c>
      <c r="AC12" s="1" t="s">
        <v>74</v>
      </c>
      <c r="AD12" s="1" t="s">
        <v>74</v>
      </c>
      <c r="AE12" s="1" t="s">
        <v>74</v>
      </c>
      <c r="AF12" s="1" t="s">
        <v>74</v>
      </c>
      <c r="AG12" s="1" t="s">
        <v>74</v>
      </c>
      <c r="AH12" s="1" t="s">
        <v>74</v>
      </c>
      <c r="AI12" s="1" t="s">
        <v>74</v>
      </c>
      <c r="AJ12" s="1" t="s">
        <v>74</v>
      </c>
      <c r="AK12" s="1" t="s">
        <v>74</v>
      </c>
      <c r="AL12" s="1" t="s">
        <v>74</v>
      </c>
      <c r="AM12" s="1" t="s">
        <v>74</v>
      </c>
      <c r="AN12" s="1" t="s">
        <v>74</v>
      </c>
      <c r="AO12" s="1" t="s">
        <v>187</v>
      </c>
      <c r="AP12" s="1" t="s">
        <v>188</v>
      </c>
      <c r="AQ12" s="1" t="s">
        <v>74</v>
      </c>
      <c r="AR12" s="1" t="s">
        <v>74</v>
      </c>
      <c r="AS12" s="1" t="s">
        <v>74</v>
      </c>
      <c r="AT12" s="1" t="s">
        <v>144</v>
      </c>
      <c r="AU12" s="1">
        <v>2012.0</v>
      </c>
      <c r="AV12" s="1">
        <v>53.0</v>
      </c>
      <c r="AW12" s="1" t="s">
        <v>74</v>
      </c>
      <c r="AX12" s="1" t="s">
        <v>74</v>
      </c>
      <c r="AY12" s="1" t="s">
        <v>74</v>
      </c>
      <c r="AZ12" s="1" t="s">
        <v>74</v>
      </c>
      <c r="BA12" s="1" t="s">
        <v>74</v>
      </c>
      <c r="BB12" s="1">
        <v>8.0</v>
      </c>
      <c r="BC12" s="1">
        <v>17.0</v>
      </c>
      <c r="BD12" s="1" t="s">
        <v>74</v>
      </c>
      <c r="BE12" s="1" t="s">
        <v>189</v>
      </c>
      <c r="BF12" s="2" t="str">
        <f>HYPERLINK("http://dx.doi.org/10.1016/j.ijthermalsci.2011.10.020","http://dx.doi.org/10.1016/j.ijthermalsci.2011.10.020")</f>
        <v>http://dx.doi.org/10.1016/j.ijthermalsci.2011.10.020</v>
      </c>
      <c r="BG12" s="1" t="s">
        <v>74</v>
      </c>
      <c r="BH12" s="1" t="s">
        <v>74</v>
      </c>
      <c r="BI12" s="1" t="s">
        <v>74</v>
      </c>
      <c r="BJ12" s="1" t="s">
        <v>74</v>
      </c>
      <c r="BK12" s="1" t="s">
        <v>74</v>
      </c>
      <c r="BL12" s="1" t="s">
        <v>74</v>
      </c>
      <c r="BM12" s="1" t="s">
        <v>74</v>
      </c>
      <c r="BN12" s="1" t="s">
        <v>74</v>
      </c>
      <c r="BO12" s="1" t="s">
        <v>74</v>
      </c>
      <c r="BP12" s="1" t="s">
        <v>74</v>
      </c>
      <c r="BQ12" s="1" t="s">
        <v>74</v>
      </c>
      <c r="BR12" s="1" t="s">
        <v>74</v>
      </c>
      <c r="BS12" s="1" t="s">
        <v>190</v>
      </c>
      <c r="BT12" s="1" t="str">
        <f>HYPERLINK("https%3A%2F%2Fwww.webofscience.com%2Fwos%2Fwoscc%2Ffull-record%2FWOS:000300271600002","View Full Record in Web of Science")</f>
        <v>View Full Record in Web of Science</v>
      </c>
    </row>
    <row r="13" ht="12.75" customHeight="1">
      <c r="A13" s="1" t="s">
        <v>72</v>
      </c>
      <c r="B13" s="1" t="s">
        <v>191</v>
      </c>
      <c r="C13" s="1" t="s">
        <v>74</v>
      </c>
      <c r="D13" s="1" t="s">
        <v>74</v>
      </c>
      <c r="E13" s="1" t="s">
        <v>74</v>
      </c>
      <c r="F13" s="1" t="s">
        <v>192</v>
      </c>
      <c r="G13" s="1" t="s">
        <v>74</v>
      </c>
      <c r="H13" s="1" t="s">
        <v>74</v>
      </c>
      <c r="I13" s="1" t="s">
        <v>193</v>
      </c>
      <c r="J13" s="1" t="s">
        <v>194</v>
      </c>
      <c r="K13" s="1" t="s">
        <v>74</v>
      </c>
      <c r="L13" s="1" t="s">
        <v>74</v>
      </c>
      <c r="M13" s="1" t="s">
        <v>74</v>
      </c>
      <c r="N13" s="1" t="s">
        <v>74</v>
      </c>
      <c r="O13" s="1" t="s">
        <v>74</v>
      </c>
      <c r="P13" s="1" t="s">
        <v>74</v>
      </c>
      <c r="Q13" s="1" t="s">
        <v>74</v>
      </c>
      <c r="R13" s="1" t="s">
        <v>74</v>
      </c>
      <c r="S13" s="1" t="s">
        <v>74</v>
      </c>
      <c r="T13" s="1" t="s">
        <v>74</v>
      </c>
      <c r="U13" s="1" t="s">
        <v>74</v>
      </c>
      <c r="V13" s="1" t="s">
        <v>195</v>
      </c>
      <c r="W13" s="1" t="s">
        <v>74</v>
      </c>
      <c r="X13" s="1" t="s">
        <v>74</v>
      </c>
      <c r="Y13" s="1" t="s">
        <v>74</v>
      </c>
      <c r="Z13" s="1" t="s">
        <v>74</v>
      </c>
      <c r="AA13" s="1" t="s">
        <v>196</v>
      </c>
      <c r="AB13" s="1" t="s">
        <v>197</v>
      </c>
      <c r="AC13" s="1" t="s">
        <v>74</v>
      </c>
      <c r="AD13" s="1" t="s">
        <v>74</v>
      </c>
      <c r="AE13" s="1" t="s">
        <v>74</v>
      </c>
      <c r="AF13" s="1" t="s">
        <v>74</v>
      </c>
      <c r="AG13" s="1" t="s">
        <v>74</v>
      </c>
      <c r="AH13" s="1" t="s">
        <v>74</v>
      </c>
      <c r="AI13" s="1" t="s">
        <v>74</v>
      </c>
      <c r="AJ13" s="1" t="s">
        <v>74</v>
      </c>
      <c r="AK13" s="1" t="s">
        <v>74</v>
      </c>
      <c r="AL13" s="1" t="s">
        <v>74</v>
      </c>
      <c r="AM13" s="1" t="s">
        <v>74</v>
      </c>
      <c r="AN13" s="1" t="s">
        <v>74</v>
      </c>
      <c r="AO13" s="1" t="s">
        <v>198</v>
      </c>
      <c r="AP13" s="1" t="s">
        <v>199</v>
      </c>
      <c r="AQ13" s="1" t="s">
        <v>74</v>
      </c>
      <c r="AR13" s="1" t="s">
        <v>74</v>
      </c>
      <c r="AS13" s="1" t="s">
        <v>74</v>
      </c>
      <c r="AT13" s="1" t="s">
        <v>74</v>
      </c>
      <c r="AU13" s="1">
        <v>2012.0</v>
      </c>
      <c r="AV13" s="1">
        <v>91.0</v>
      </c>
      <c r="AW13" s="1">
        <v>5.0</v>
      </c>
      <c r="AX13" s="1" t="s">
        <v>74</v>
      </c>
      <c r="AY13" s="1" t="s">
        <v>74</v>
      </c>
      <c r="AZ13" s="1" t="s">
        <v>74</v>
      </c>
      <c r="BA13" s="1" t="s">
        <v>74</v>
      </c>
      <c r="BB13" s="1">
        <v>937.0</v>
      </c>
      <c r="BC13" s="1">
        <v>946.0</v>
      </c>
      <c r="BD13" s="1" t="s">
        <v>74</v>
      </c>
      <c r="BE13" s="1" t="s">
        <v>200</v>
      </c>
      <c r="BF13" s="2" t="str">
        <f>HYPERLINK("http://dx.doi.org/10.1080/00036811.2011.556625","http://dx.doi.org/10.1080/00036811.2011.556625")</f>
        <v>http://dx.doi.org/10.1080/00036811.2011.556625</v>
      </c>
      <c r="BG13" s="1" t="s">
        <v>74</v>
      </c>
      <c r="BH13" s="1" t="s">
        <v>74</v>
      </c>
      <c r="BI13" s="1" t="s">
        <v>74</v>
      </c>
      <c r="BJ13" s="1" t="s">
        <v>74</v>
      </c>
      <c r="BK13" s="1" t="s">
        <v>74</v>
      </c>
      <c r="BL13" s="1" t="s">
        <v>74</v>
      </c>
      <c r="BM13" s="1" t="s">
        <v>74</v>
      </c>
      <c r="BN13" s="1" t="s">
        <v>74</v>
      </c>
      <c r="BO13" s="1" t="s">
        <v>74</v>
      </c>
      <c r="BP13" s="1" t="s">
        <v>74</v>
      </c>
      <c r="BQ13" s="1" t="s">
        <v>74</v>
      </c>
      <c r="BR13" s="1" t="s">
        <v>74</v>
      </c>
      <c r="BS13" s="1" t="s">
        <v>201</v>
      </c>
      <c r="BT13" s="1" t="str">
        <f>HYPERLINK("https%3A%2F%2Fwww.webofscience.com%2Fwos%2Fwoscc%2Ffull-record%2FWOS:000304275000006","View Full Record in Web of Science")</f>
        <v>View Full Record in Web of Science</v>
      </c>
    </row>
    <row r="14" ht="12.75" customHeight="1">
      <c r="A14" s="1" t="s">
        <v>72</v>
      </c>
      <c r="B14" s="1" t="s">
        <v>202</v>
      </c>
      <c r="C14" s="1" t="s">
        <v>74</v>
      </c>
      <c r="D14" s="1" t="s">
        <v>74</v>
      </c>
      <c r="E14" s="1" t="s">
        <v>74</v>
      </c>
      <c r="F14" s="1" t="s">
        <v>203</v>
      </c>
      <c r="G14" s="1" t="s">
        <v>74</v>
      </c>
      <c r="H14" s="1" t="s">
        <v>74</v>
      </c>
      <c r="I14" s="1" t="s">
        <v>204</v>
      </c>
      <c r="J14" s="1" t="s">
        <v>205</v>
      </c>
      <c r="K14" s="1" t="s">
        <v>74</v>
      </c>
      <c r="L14" s="1" t="s">
        <v>74</v>
      </c>
      <c r="M14" s="1" t="s">
        <v>74</v>
      </c>
      <c r="N14" s="1" t="s">
        <v>74</v>
      </c>
      <c r="O14" s="1" t="s">
        <v>74</v>
      </c>
      <c r="P14" s="1" t="s">
        <v>74</v>
      </c>
      <c r="Q14" s="1" t="s">
        <v>74</v>
      </c>
      <c r="R14" s="1" t="s">
        <v>74</v>
      </c>
      <c r="S14" s="1" t="s">
        <v>74</v>
      </c>
      <c r="T14" s="1" t="s">
        <v>74</v>
      </c>
      <c r="U14" s="1" t="s">
        <v>74</v>
      </c>
      <c r="V14" s="1" t="s">
        <v>206</v>
      </c>
      <c r="W14" s="1" t="s">
        <v>74</v>
      </c>
      <c r="X14" s="1" t="s">
        <v>74</v>
      </c>
      <c r="Y14" s="1" t="s">
        <v>74</v>
      </c>
      <c r="Z14" s="1" t="s">
        <v>74</v>
      </c>
      <c r="AA14" s="1" t="s">
        <v>207</v>
      </c>
      <c r="AB14" s="1" t="s">
        <v>208</v>
      </c>
      <c r="AC14" s="1" t="s">
        <v>74</v>
      </c>
      <c r="AD14" s="1" t="s">
        <v>74</v>
      </c>
      <c r="AE14" s="1" t="s">
        <v>74</v>
      </c>
      <c r="AF14" s="1" t="s">
        <v>74</v>
      </c>
      <c r="AG14" s="1" t="s">
        <v>74</v>
      </c>
      <c r="AH14" s="1" t="s">
        <v>74</v>
      </c>
      <c r="AI14" s="1" t="s">
        <v>74</v>
      </c>
      <c r="AJ14" s="1" t="s">
        <v>74</v>
      </c>
      <c r="AK14" s="1" t="s">
        <v>74</v>
      </c>
      <c r="AL14" s="1" t="s">
        <v>74</v>
      </c>
      <c r="AM14" s="1" t="s">
        <v>74</v>
      </c>
      <c r="AN14" s="1" t="s">
        <v>74</v>
      </c>
      <c r="AO14" s="1" t="s">
        <v>209</v>
      </c>
      <c r="AP14" s="1" t="s">
        <v>210</v>
      </c>
      <c r="AQ14" s="1" t="s">
        <v>74</v>
      </c>
      <c r="AR14" s="1" t="s">
        <v>74</v>
      </c>
      <c r="AS14" s="1" t="s">
        <v>74</v>
      </c>
      <c r="AT14" s="1" t="s">
        <v>211</v>
      </c>
      <c r="AU14" s="1">
        <v>2010.0</v>
      </c>
      <c r="AV14" s="1">
        <v>36.0</v>
      </c>
      <c r="AW14" s="1">
        <v>4.0</v>
      </c>
      <c r="AX14" s="1" t="s">
        <v>74</v>
      </c>
      <c r="AY14" s="1" t="s">
        <v>74</v>
      </c>
      <c r="AZ14" s="1" t="s">
        <v>74</v>
      </c>
      <c r="BA14" s="1" t="s">
        <v>74</v>
      </c>
      <c r="BB14" s="1">
        <v>402.0</v>
      </c>
      <c r="BC14" s="1">
        <v>409.0</v>
      </c>
      <c r="BD14" s="1" t="s">
        <v>74</v>
      </c>
      <c r="BE14" s="1" t="s">
        <v>212</v>
      </c>
      <c r="BF14" s="2" t="str">
        <f>HYPERLINK("http://dx.doi.org/10.1590/S1806-37132010000400003","http://dx.doi.org/10.1590/S1806-37132010000400003")</f>
        <v>http://dx.doi.org/10.1590/S1806-37132010000400003</v>
      </c>
      <c r="BG14" s="1" t="s">
        <v>74</v>
      </c>
      <c r="BH14" s="1" t="s">
        <v>74</v>
      </c>
      <c r="BI14" s="1" t="s">
        <v>74</v>
      </c>
      <c r="BJ14" s="1" t="s">
        <v>74</v>
      </c>
      <c r="BK14" s="1" t="s">
        <v>74</v>
      </c>
      <c r="BL14" s="1" t="s">
        <v>74</v>
      </c>
      <c r="BM14" s="1" t="s">
        <v>74</v>
      </c>
      <c r="BN14" s="1">
        <v>2.0835585E7</v>
      </c>
      <c r="BO14" s="1" t="s">
        <v>74</v>
      </c>
      <c r="BP14" s="1" t="s">
        <v>74</v>
      </c>
      <c r="BQ14" s="1" t="s">
        <v>74</v>
      </c>
      <c r="BR14" s="1" t="s">
        <v>74</v>
      </c>
      <c r="BS14" s="1" t="s">
        <v>213</v>
      </c>
      <c r="BT14" s="1" t="str">
        <f>HYPERLINK("https%3A%2F%2Fwww.webofscience.com%2Fwos%2Fwoscc%2Ffull-record%2FWOS:000281227400003","View Full Record in Web of Science")</f>
        <v>View Full Record in Web of Science</v>
      </c>
    </row>
    <row r="15" ht="12.75" customHeight="1">
      <c r="A15" s="1" t="s">
        <v>72</v>
      </c>
      <c r="B15" s="1" t="s">
        <v>214</v>
      </c>
      <c r="C15" s="1" t="s">
        <v>74</v>
      </c>
      <c r="D15" s="1" t="s">
        <v>74</v>
      </c>
      <c r="E15" s="1" t="s">
        <v>74</v>
      </c>
      <c r="F15" s="1" t="s">
        <v>215</v>
      </c>
      <c r="G15" s="1" t="s">
        <v>74</v>
      </c>
      <c r="H15" s="1" t="s">
        <v>74</v>
      </c>
      <c r="I15" s="1" t="s">
        <v>216</v>
      </c>
      <c r="J15" s="1" t="s">
        <v>217</v>
      </c>
      <c r="K15" s="1" t="s">
        <v>74</v>
      </c>
      <c r="L15" s="1" t="s">
        <v>74</v>
      </c>
      <c r="M15" s="1" t="s">
        <v>74</v>
      </c>
      <c r="N15" s="1" t="s">
        <v>74</v>
      </c>
      <c r="O15" s="1" t="s">
        <v>74</v>
      </c>
      <c r="P15" s="1" t="s">
        <v>74</v>
      </c>
      <c r="Q15" s="1" t="s">
        <v>74</v>
      </c>
      <c r="R15" s="1" t="s">
        <v>74</v>
      </c>
      <c r="S15" s="1" t="s">
        <v>74</v>
      </c>
      <c r="T15" s="1" t="s">
        <v>74</v>
      </c>
      <c r="U15" s="1" t="s">
        <v>74</v>
      </c>
      <c r="V15" s="1" t="s">
        <v>218</v>
      </c>
      <c r="W15" s="1" t="s">
        <v>74</v>
      </c>
      <c r="X15" s="1" t="s">
        <v>74</v>
      </c>
      <c r="Y15" s="1" t="s">
        <v>74</v>
      </c>
      <c r="Z15" s="1" t="s">
        <v>74</v>
      </c>
      <c r="AA15" s="1" t="s">
        <v>219</v>
      </c>
      <c r="AB15" s="1" t="s">
        <v>74</v>
      </c>
      <c r="AC15" s="1" t="s">
        <v>74</v>
      </c>
      <c r="AD15" s="1" t="s">
        <v>74</v>
      </c>
      <c r="AE15" s="1" t="s">
        <v>74</v>
      </c>
      <c r="AF15" s="1" t="s">
        <v>74</v>
      </c>
      <c r="AG15" s="1" t="s">
        <v>74</v>
      </c>
      <c r="AH15" s="1" t="s">
        <v>74</v>
      </c>
      <c r="AI15" s="1" t="s">
        <v>74</v>
      </c>
      <c r="AJ15" s="1" t="s">
        <v>74</v>
      </c>
      <c r="AK15" s="1" t="s">
        <v>74</v>
      </c>
      <c r="AL15" s="1" t="s">
        <v>74</v>
      </c>
      <c r="AM15" s="1" t="s">
        <v>74</v>
      </c>
      <c r="AN15" s="1" t="s">
        <v>74</v>
      </c>
      <c r="AO15" s="1" t="s">
        <v>220</v>
      </c>
      <c r="AP15" s="1" t="s">
        <v>74</v>
      </c>
      <c r="AQ15" s="1" t="s">
        <v>74</v>
      </c>
      <c r="AR15" s="1" t="s">
        <v>74</v>
      </c>
      <c r="AS15" s="1" t="s">
        <v>74</v>
      </c>
      <c r="AT15" s="1" t="s">
        <v>221</v>
      </c>
      <c r="AU15" s="1">
        <v>2010.0</v>
      </c>
      <c r="AV15" s="1">
        <v>15.0</v>
      </c>
      <c r="AW15" s="1" t="s">
        <v>222</v>
      </c>
      <c r="AX15" s="1" t="s">
        <v>74</v>
      </c>
      <c r="AY15" s="1" t="s">
        <v>74</v>
      </c>
      <c r="AZ15" s="1" t="s">
        <v>74</v>
      </c>
      <c r="BA15" s="1" t="s">
        <v>74</v>
      </c>
      <c r="BB15" s="1">
        <v>401.0</v>
      </c>
      <c r="BC15" s="1">
        <v>436.0</v>
      </c>
      <c r="BD15" s="1" t="s">
        <v>74</v>
      </c>
      <c r="BE15" s="1" t="s">
        <v>74</v>
      </c>
      <c r="BF15" s="1" t="s">
        <v>74</v>
      </c>
      <c r="BG15" s="1" t="s">
        <v>74</v>
      </c>
      <c r="BH15" s="1" t="s">
        <v>74</v>
      </c>
      <c r="BI15" s="1" t="s">
        <v>74</v>
      </c>
      <c r="BJ15" s="1" t="s">
        <v>74</v>
      </c>
      <c r="BK15" s="1" t="s">
        <v>74</v>
      </c>
      <c r="BL15" s="1" t="s">
        <v>74</v>
      </c>
      <c r="BM15" s="1" t="s">
        <v>74</v>
      </c>
      <c r="BN15" s="1" t="s">
        <v>74</v>
      </c>
      <c r="BO15" s="1" t="s">
        <v>74</v>
      </c>
      <c r="BP15" s="1" t="s">
        <v>74</v>
      </c>
      <c r="BQ15" s="1" t="s">
        <v>74</v>
      </c>
      <c r="BR15" s="1" t="s">
        <v>74</v>
      </c>
      <c r="BS15" s="1" t="s">
        <v>223</v>
      </c>
      <c r="BT15" s="1" t="str">
        <f>HYPERLINK("https%3A%2F%2Fwww.webofscience.com%2Fwos%2Fwoscc%2Ffull-record%2FWOS:000276265500001","View Full Record in Web of Science")</f>
        <v>View Full Record in Web of Science</v>
      </c>
    </row>
    <row r="16" ht="12.75" customHeight="1">
      <c r="A16" s="1" t="s">
        <v>72</v>
      </c>
      <c r="B16" s="1" t="s">
        <v>224</v>
      </c>
      <c r="C16" s="1" t="s">
        <v>74</v>
      </c>
      <c r="D16" s="1" t="s">
        <v>74</v>
      </c>
      <c r="E16" s="1" t="s">
        <v>74</v>
      </c>
      <c r="F16" s="1" t="s">
        <v>225</v>
      </c>
      <c r="G16" s="1" t="s">
        <v>74</v>
      </c>
      <c r="H16" s="1" t="s">
        <v>74</v>
      </c>
      <c r="I16" s="1" t="s">
        <v>226</v>
      </c>
      <c r="J16" s="1" t="s">
        <v>227</v>
      </c>
      <c r="K16" s="1" t="s">
        <v>74</v>
      </c>
      <c r="L16" s="1" t="s">
        <v>74</v>
      </c>
      <c r="M16" s="1" t="s">
        <v>74</v>
      </c>
      <c r="N16" s="1" t="s">
        <v>74</v>
      </c>
      <c r="O16" s="1" t="s">
        <v>74</v>
      </c>
      <c r="P16" s="1" t="s">
        <v>74</v>
      </c>
      <c r="Q16" s="1" t="s">
        <v>74</v>
      </c>
      <c r="R16" s="1" t="s">
        <v>74</v>
      </c>
      <c r="S16" s="1" t="s">
        <v>74</v>
      </c>
      <c r="T16" s="1" t="s">
        <v>74</v>
      </c>
      <c r="U16" s="1" t="s">
        <v>74</v>
      </c>
      <c r="V16" s="1" t="s">
        <v>228</v>
      </c>
      <c r="W16" s="1" t="s">
        <v>74</v>
      </c>
      <c r="X16" s="1" t="s">
        <v>74</v>
      </c>
      <c r="Y16" s="1" t="s">
        <v>74</v>
      </c>
      <c r="Z16" s="1" t="s">
        <v>74</v>
      </c>
      <c r="AA16" s="1" t="s">
        <v>229</v>
      </c>
      <c r="AB16" s="1" t="s">
        <v>230</v>
      </c>
      <c r="AC16" s="1" t="s">
        <v>74</v>
      </c>
      <c r="AD16" s="1" t="s">
        <v>74</v>
      </c>
      <c r="AE16" s="1" t="s">
        <v>74</v>
      </c>
      <c r="AF16" s="1" t="s">
        <v>74</v>
      </c>
      <c r="AG16" s="1" t="s">
        <v>74</v>
      </c>
      <c r="AH16" s="1" t="s">
        <v>74</v>
      </c>
      <c r="AI16" s="1" t="s">
        <v>74</v>
      </c>
      <c r="AJ16" s="1" t="s">
        <v>74</v>
      </c>
      <c r="AK16" s="1" t="s">
        <v>74</v>
      </c>
      <c r="AL16" s="1" t="s">
        <v>74</v>
      </c>
      <c r="AM16" s="1" t="s">
        <v>74</v>
      </c>
      <c r="AN16" s="1" t="s">
        <v>74</v>
      </c>
      <c r="AO16" s="1" t="s">
        <v>231</v>
      </c>
      <c r="AP16" s="1" t="s">
        <v>74</v>
      </c>
      <c r="AQ16" s="1" t="s">
        <v>74</v>
      </c>
      <c r="AR16" s="1" t="s">
        <v>74</v>
      </c>
      <c r="AS16" s="1" t="s">
        <v>74</v>
      </c>
      <c r="AT16" s="1" t="s">
        <v>144</v>
      </c>
      <c r="AU16" s="1">
        <v>2010.0</v>
      </c>
      <c r="AV16" s="1">
        <v>19.0</v>
      </c>
      <c r="AW16" s="1">
        <v>1.0</v>
      </c>
      <c r="AX16" s="1" t="s">
        <v>74</v>
      </c>
      <c r="AY16" s="1" t="s">
        <v>74</v>
      </c>
      <c r="AZ16" s="1" t="s">
        <v>74</v>
      </c>
      <c r="BA16" s="1" t="s">
        <v>74</v>
      </c>
      <c r="BB16" s="1">
        <v>67.0</v>
      </c>
      <c r="BC16" s="1">
        <v>78.0</v>
      </c>
      <c r="BD16" s="1" t="s">
        <v>74</v>
      </c>
      <c r="BE16" s="1" t="s">
        <v>74</v>
      </c>
      <c r="BF16" s="1" t="s">
        <v>74</v>
      </c>
      <c r="BG16" s="1" t="s">
        <v>74</v>
      </c>
      <c r="BH16" s="1" t="s">
        <v>74</v>
      </c>
      <c r="BI16" s="1" t="s">
        <v>74</v>
      </c>
      <c r="BJ16" s="1" t="s">
        <v>74</v>
      </c>
      <c r="BK16" s="1" t="s">
        <v>74</v>
      </c>
      <c r="BL16" s="1" t="s">
        <v>74</v>
      </c>
      <c r="BM16" s="1" t="s">
        <v>74</v>
      </c>
      <c r="BN16" s="1" t="s">
        <v>74</v>
      </c>
      <c r="BO16" s="1" t="s">
        <v>74</v>
      </c>
      <c r="BP16" s="1" t="s">
        <v>74</v>
      </c>
      <c r="BQ16" s="1" t="s">
        <v>74</v>
      </c>
      <c r="BR16" s="1" t="s">
        <v>74</v>
      </c>
      <c r="BS16" s="1" t="s">
        <v>232</v>
      </c>
      <c r="BT16" s="1" t="str">
        <f>HYPERLINK("https%3A%2F%2Fwww.webofscience.com%2Fwos%2Fwoscc%2Ffull-record%2FWOS:000276058500007","View Full Record in Web of Science")</f>
        <v>View Full Record in Web of Science</v>
      </c>
    </row>
    <row r="17" ht="12.75" customHeight="1">
      <c r="A17" s="1" t="s">
        <v>72</v>
      </c>
      <c r="B17" s="1" t="s">
        <v>233</v>
      </c>
      <c r="C17" s="1" t="s">
        <v>74</v>
      </c>
      <c r="D17" s="1" t="s">
        <v>74</v>
      </c>
      <c r="E17" s="1" t="s">
        <v>74</v>
      </c>
      <c r="F17" s="1" t="s">
        <v>234</v>
      </c>
      <c r="G17" s="1" t="s">
        <v>74</v>
      </c>
      <c r="H17" s="1" t="s">
        <v>74</v>
      </c>
      <c r="I17" s="1" t="s">
        <v>235</v>
      </c>
      <c r="J17" s="1" t="s">
        <v>236</v>
      </c>
      <c r="K17" s="1" t="s">
        <v>74</v>
      </c>
      <c r="L17" s="1" t="s">
        <v>74</v>
      </c>
      <c r="M17" s="1" t="s">
        <v>74</v>
      </c>
      <c r="N17" s="1" t="s">
        <v>74</v>
      </c>
      <c r="O17" s="1" t="s">
        <v>74</v>
      </c>
      <c r="P17" s="1" t="s">
        <v>74</v>
      </c>
      <c r="Q17" s="1" t="s">
        <v>74</v>
      </c>
      <c r="R17" s="1" t="s">
        <v>74</v>
      </c>
      <c r="S17" s="1" t="s">
        <v>74</v>
      </c>
      <c r="T17" s="1" t="s">
        <v>74</v>
      </c>
      <c r="U17" s="1" t="s">
        <v>74</v>
      </c>
      <c r="V17" s="1" t="s">
        <v>237</v>
      </c>
      <c r="W17" s="1" t="s">
        <v>74</v>
      </c>
      <c r="X17" s="1" t="s">
        <v>74</v>
      </c>
      <c r="Y17" s="1" t="s">
        <v>74</v>
      </c>
      <c r="Z17" s="1" t="s">
        <v>74</v>
      </c>
      <c r="AA17" s="1" t="s">
        <v>74</v>
      </c>
      <c r="AB17" s="1" t="s">
        <v>238</v>
      </c>
      <c r="AC17" s="1" t="s">
        <v>74</v>
      </c>
      <c r="AD17" s="1" t="s">
        <v>74</v>
      </c>
      <c r="AE17" s="1" t="s">
        <v>74</v>
      </c>
      <c r="AF17" s="1" t="s">
        <v>74</v>
      </c>
      <c r="AG17" s="1" t="s">
        <v>74</v>
      </c>
      <c r="AH17" s="1" t="s">
        <v>74</v>
      </c>
      <c r="AI17" s="1" t="s">
        <v>74</v>
      </c>
      <c r="AJ17" s="1" t="s">
        <v>74</v>
      </c>
      <c r="AK17" s="1" t="s">
        <v>74</v>
      </c>
      <c r="AL17" s="1" t="s">
        <v>74</v>
      </c>
      <c r="AM17" s="1" t="s">
        <v>74</v>
      </c>
      <c r="AN17" s="1" t="s">
        <v>74</v>
      </c>
      <c r="AO17" s="1" t="s">
        <v>239</v>
      </c>
      <c r="AP17" s="1" t="s">
        <v>74</v>
      </c>
      <c r="AQ17" s="1" t="s">
        <v>74</v>
      </c>
      <c r="AR17" s="1" t="s">
        <v>74</v>
      </c>
      <c r="AS17" s="1" t="s">
        <v>74</v>
      </c>
      <c r="AT17" s="1" t="s">
        <v>240</v>
      </c>
      <c r="AU17" s="1">
        <v>2010.0</v>
      </c>
      <c r="AV17" s="1">
        <v>43.0</v>
      </c>
      <c r="AW17" s="1">
        <v>1.0</v>
      </c>
      <c r="AX17" s="1" t="s">
        <v>74</v>
      </c>
      <c r="AY17" s="1" t="s">
        <v>74</v>
      </c>
      <c r="AZ17" s="1" t="s">
        <v>74</v>
      </c>
      <c r="BA17" s="1" t="s">
        <v>74</v>
      </c>
      <c r="BB17" s="1">
        <v>5.0</v>
      </c>
      <c r="BC17" s="1">
        <v>40.0</v>
      </c>
      <c r="BD17" s="1" t="s">
        <v>74</v>
      </c>
      <c r="BE17" s="1" t="s">
        <v>74</v>
      </c>
      <c r="BF17" s="1" t="s">
        <v>74</v>
      </c>
      <c r="BG17" s="1" t="s">
        <v>74</v>
      </c>
      <c r="BH17" s="1" t="s">
        <v>74</v>
      </c>
      <c r="BI17" s="1" t="s">
        <v>74</v>
      </c>
      <c r="BJ17" s="1" t="s">
        <v>74</v>
      </c>
      <c r="BK17" s="1" t="s">
        <v>74</v>
      </c>
      <c r="BL17" s="1" t="s">
        <v>74</v>
      </c>
      <c r="BM17" s="1" t="s">
        <v>74</v>
      </c>
      <c r="BN17" s="1" t="s">
        <v>74</v>
      </c>
      <c r="BO17" s="1" t="s">
        <v>74</v>
      </c>
      <c r="BP17" s="1" t="s">
        <v>74</v>
      </c>
      <c r="BQ17" s="1" t="s">
        <v>74</v>
      </c>
      <c r="BR17" s="1" t="s">
        <v>74</v>
      </c>
      <c r="BS17" s="1" t="s">
        <v>241</v>
      </c>
      <c r="BT17" s="1" t="str">
        <f>HYPERLINK("https%3A%2F%2Fwww.webofscience.com%2Fwos%2Fwoscc%2Ffull-record%2FWOS:000280172200001","View Full Record in Web of Science")</f>
        <v>View Full Record in Web of Science</v>
      </c>
    </row>
    <row r="18" ht="12.75" customHeight="1">
      <c r="A18" s="1" t="s">
        <v>72</v>
      </c>
      <c r="B18" s="1" t="s">
        <v>242</v>
      </c>
      <c r="C18" s="1" t="s">
        <v>74</v>
      </c>
      <c r="D18" s="1" t="s">
        <v>74</v>
      </c>
      <c r="E18" s="1" t="s">
        <v>74</v>
      </c>
      <c r="F18" s="1" t="s">
        <v>243</v>
      </c>
      <c r="G18" s="1" t="s">
        <v>74</v>
      </c>
      <c r="H18" s="1" t="s">
        <v>74</v>
      </c>
      <c r="I18" s="1" t="s">
        <v>244</v>
      </c>
      <c r="J18" s="1" t="s">
        <v>245</v>
      </c>
      <c r="K18" s="1" t="s">
        <v>74</v>
      </c>
      <c r="L18" s="1" t="s">
        <v>74</v>
      </c>
      <c r="M18" s="1" t="s">
        <v>74</v>
      </c>
      <c r="N18" s="1" t="s">
        <v>74</v>
      </c>
      <c r="O18" s="1" t="s">
        <v>74</v>
      </c>
      <c r="P18" s="1" t="s">
        <v>74</v>
      </c>
      <c r="Q18" s="1" t="s">
        <v>74</v>
      </c>
      <c r="R18" s="1" t="s">
        <v>74</v>
      </c>
      <c r="S18" s="1" t="s">
        <v>74</v>
      </c>
      <c r="T18" s="1" t="s">
        <v>74</v>
      </c>
      <c r="U18" s="1" t="s">
        <v>74</v>
      </c>
      <c r="V18" s="1" t="s">
        <v>246</v>
      </c>
      <c r="W18" s="1" t="s">
        <v>74</v>
      </c>
      <c r="X18" s="1" t="s">
        <v>74</v>
      </c>
      <c r="Y18" s="1" t="s">
        <v>74</v>
      </c>
      <c r="Z18" s="1" t="s">
        <v>74</v>
      </c>
      <c r="AA18" s="1" t="s">
        <v>247</v>
      </c>
      <c r="AB18" s="1" t="s">
        <v>248</v>
      </c>
      <c r="AC18" s="1" t="s">
        <v>74</v>
      </c>
      <c r="AD18" s="1" t="s">
        <v>74</v>
      </c>
      <c r="AE18" s="1" t="s">
        <v>74</v>
      </c>
      <c r="AF18" s="1" t="s">
        <v>74</v>
      </c>
      <c r="AG18" s="1" t="s">
        <v>74</v>
      </c>
      <c r="AH18" s="1" t="s">
        <v>74</v>
      </c>
      <c r="AI18" s="1" t="s">
        <v>74</v>
      </c>
      <c r="AJ18" s="1" t="s">
        <v>74</v>
      </c>
      <c r="AK18" s="1" t="s">
        <v>74</v>
      </c>
      <c r="AL18" s="1" t="s">
        <v>74</v>
      </c>
      <c r="AM18" s="1" t="s">
        <v>74</v>
      </c>
      <c r="AN18" s="1" t="s">
        <v>74</v>
      </c>
      <c r="AO18" s="1" t="s">
        <v>249</v>
      </c>
      <c r="AP18" s="1" t="s">
        <v>74</v>
      </c>
      <c r="AQ18" s="1" t="s">
        <v>74</v>
      </c>
      <c r="AR18" s="1" t="s">
        <v>74</v>
      </c>
      <c r="AS18" s="1" t="s">
        <v>74</v>
      </c>
      <c r="AT18" s="1" t="s">
        <v>74</v>
      </c>
      <c r="AU18" s="1">
        <v>2008.0</v>
      </c>
      <c r="AV18" s="1">
        <v>31.0</v>
      </c>
      <c r="AW18" s="1">
        <v>1.0</v>
      </c>
      <c r="AX18" s="1" t="s">
        <v>74</v>
      </c>
      <c r="AY18" s="1" t="s">
        <v>74</v>
      </c>
      <c r="AZ18" s="1" t="s">
        <v>74</v>
      </c>
      <c r="BA18" s="1" t="s">
        <v>74</v>
      </c>
      <c r="BB18" s="1">
        <v>47.0</v>
      </c>
      <c r="BC18" s="1">
        <v>53.0</v>
      </c>
      <c r="BD18" s="1" t="s">
        <v>74</v>
      </c>
      <c r="BE18" s="1" t="s">
        <v>74</v>
      </c>
      <c r="BF18" s="1" t="s">
        <v>74</v>
      </c>
      <c r="BG18" s="1" t="s">
        <v>74</v>
      </c>
      <c r="BH18" s="1" t="s">
        <v>74</v>
      </c>
      <c r="BI18" s="1" t="s">
        <v>74</v>
      </c>
      <c r="BJ18" s="1" t="s">
        <v>74</v>
      </c>
      <c r="BK18" s="1" t="s">
        <v>74</v>
      </c>
      <c r="BL18" s="1" t="s">
        <v>74</v>
      </c>
      <c r="BM18" s="1" t="s">
        <v>74</v>
      </c>
      <c r="BN18" s="1" t="s">
        <v>74</v>
      </c>
      <c r="BO18" s="1" t="s">
        <v>74</v>
      </c>
      <c r="BP18" s="1" t="s">
        <v>74</v>
      </c>
      <c r="BQ18" s="1" t="s">
        <v>74</v>
      </c>
      <c r="BR18" s="1" t="s">
        <v>74</v>
      </c>
      <c r="BS18" s="1" t="s">
        <v>250</v>
      </c>
      <c r="BT18" s="1" t="str">
        <f>HYPERLINK("https%3A%2F%2Fwww.webofscience.com%2Fwos%2Fwoscc%2Ffull-record%2FWOS:000257994200006","View Full Record in Web of Science")</f>
        <v>View Full Record in Web of Science</v>
      </c>
    </row>
    <row r="19" ht="12.75" customHeight="1">
      <c r="A19" s="1" t="s">
        <v>147</v>
      </c>
      <c r="B19" s="1" t="s">
        <v>251</v>
      </c>
      <c r="C19" s="1" t="s">
        <v>74</v>
      </c>
      <c r="D19" s="1" t="s">
        <v>252</v>
      </c>
      <c r="E19" s="1" t="s">
        <v>74</v>
      </c>
      <c r="F19" s="1" t="s">
        <v>253</v>
      </c>
      <c r="G19" s="1" t="s">
        <v>74</v>
      </c>
      <c r="H19" s="1" t="s">
        <v>74</v>
      </c>
      <c r="I19" s="1" t="s">
        <v>254</v>
      </c>
      <c r="J19" s="1" t="s">
        <v>255</v>
      </c>
      <c r="K19" s="1" t="s">
        <v>74</v>
      </c>
      <c r="L19" s="1" t="s">
        <v>74</v>
      </c>
      <c r="M19" s="1" t="s">
        <v>74</v>
      </c>
      <c r="N19" s="1" t="s">
        <v>74</v>
      </c>
      <c r="O19" s="1" t="s">
        <v>256</v>
      </c>
      <c r="P19" s="1" t="s">
        <v>257</v>
      </c>
      <c r="Q19" s="1" t="s">
        <v>258</v>
      </c>
      <c r="R19" s="1" t="s">
        <v>259</v>
      </c>
      <c r="S19" s="1" t="s">
        <v>260</v>
      </c>
      <c r="T19" s="1" t="s">
        <v>74</v>
      </c>
      <c r="U19" s="1" t="s">
        <v>74</v>
      </c>
      <c r="V19" s="1" t="s">
        <v>261</v>
      </c>
      <c r="W19" s="1" t="s">
        <v>74</v>
      </c>
      <c r="X19" s="1" t="s">
        <v>74</v>
      </c>
      <c r="Y19" s="1" t="s">
        <v>74</v>
      </c>
      <c r="Z19" s="1" t="s">
        <v>74</v>
      </c>
      <c r="AA19" s="1" t="s">
        <v>262</v>
      </c>
      <c r="AB19" s="1" t="s">
        <v>263</v>
      </c>
      <c r="AC19" s="1" t="s">
        <v>74</v>
      </c>
      <c r="AD19" s="1" t="s">
        <v>74</v>
      </c>
      <c r="AE19" s="1" t="s">
        <v>74</v>
      </c>
      <c r="AF19" s="1" t="s">
        <v>74</v>
      </c>
      <c r="AG19" s="1" t="s">
        <v>74</v>
      </c>
      <c r="AH19" s="1" t="s">
        <v>74</v>
      </c>
      <c r="AI19" s="1" t="s">
        <v>74</v>
      </c>
      <c r="AJ19" s="1" t="s">
        <v>74</v>
      </c>
      <c r="AK19" s="1" t="s">
        <v>74</v>
      </c>
      <c r="AL19" s="1" t="s">
        <v>74</v>
      </c>
      <c r="AM19" s="1" t="s">
        <v>74</v>
      </c>
      <c r="AN19" s="1" t="s">
        <v>74</v>
      </c>
      <c r="AO19" s="1" t="s">
        <v>74</v>
      </c>
      <c r="AP19" s="1" t="s">
        <v>74</v>
      </c>
      <c r="AQ19" s="1" t="s">
        <v>264</v>
      </c>
      <c r="AR19" s="1" t="s">
        <v>74</v>
      </c>
      <c r="AS19" s="1" t="s">
        <v>74</v>
      </c>
      <c r="AT19" s="1" t="s">
        <v>74</v>
      </c>
      <c r="AU19" s="1">
        <v>2008.0</v>
      </c>
      <c r="AV19" s="1" t="s">
        <v>74</v>
      </c>
      <c r="AW19" s="1" t="s">
        <v>74</v>
      </c>
      <c r="AX19" s="1" t="s">
        <v>74</v>
      </c>
      <c r="AY19" s="1" t="s">
        <v>74</v>
      </c>
      <c r="AZ19" s="1" t="s">
        <v>74</v>
      </c>
      <c r="BA19" s="1" t="s">
        <v>74</v>
      </c>
      <c r="BB19" s="1">
        <v>373.0</v>
      </c>
      <c r="BC19" s="1" t="s">
        <v>265</v>
      </c>
      <c r="BD19" s="1" t="s">
        <v>74</v>
      </c>
      <c r="BE19" s="1" t="s">
        <v>266</v>
      </c>
      <c r="BF19" s="2" t="str">
        <f>HYPERLINK("http://dx.doi.org/10.1109/CSNDSP.2008.4610789","http://dx.doi.org/10.1109/CSNDSP.2008.4610789")</f>
        <v>http://dx.doi.org/10.1109/CSNDSP.2008.4610789</v>
      </c>
      <c r="BG19" s="1" t="s">
        <v>74</v>
      </c>
      <c r="BH19" s="1" t="s">
        <v>74</v>
      </c>
      <c r="BI19" s="1" t="s">
        <v>74</v>
      </c>
      <c r="BJ19" s="1" t="s">
        <v>74</v>
      </c>
      <c r="BK19" s="1" t="s">
        <v>74</v>
      </c>
      <c r="BL19" s="1" t="s">
        <v>74</v>
      </c>
      <c r="BM19" s="1" t="s">
        <v>74</v>
      </c>
      <c r="BN19" s="1" t="s">
        <v>74</v>
      </c>
      <c r="BO19" s="1" t="s">
        <v>74</v>
      </c>
      <c r="BP19" s="1" t="s">
        <v>74</v>
      </c>
      <c r="BQ19" s="1" t="s">
        <v>74</v>
      </c>
      <c r="BR19" s="1" t="s">
        <v>74</v>
      </c>
      <c r="BS19" s="1" t="s">
        <v>267</v>
      </c>
      <c r="BT19" s="1" t="str">
        <f>HYPERLINK("https%3A%2F%2Fwww.webofscience.com%2Fwos%2Fwoscc%2Ffull-record%2FWOS:000259386600081","View Full Record in Web of Science")</f>
        <v>View Full Record in Web of Science</v>
      </c>
    </row>
    <row r="20" ht="12.75" customHeight="1">
      <c r="A20" s="1" t="s">
        <v>72</v>
      </c>
      <c r="B20" s="1" t="s">
        <v>268</v>
      </c>
      <c r="C20" s="1" t="s">
        <v>74</v>
      </c>
      <c r="D20" s="1" t="s">
        <v>74</v>
      </c>
      <c r="E20" s="1" t="s">
        <v>74</v>
      </c>
      <c r="F20" s="1" t="s">
        <v>269</v>
      </c>
      <c r="G20" s="1" t="s">
        <v>74</v>
      </c>
      <c r="H20" s="1" t="s">
        <v>74</v>
      </c>
      <c r="I20" s="1" t="s">
        <v>270</v>
      </c>
      <c r="J20" s="1" t="s">
        <v>271</v>
      </c>
      <c r="K20" s="1" t="s">
        <v>74</v>
      </c>
      <c r="L20" s="1" t="s">
        <v>74</v>
      </c>
      <c r="M20" s="1" t="s">
        <v>74</v>
      </c>
      <c r="N20" s="1" t="s">
        <v>74</v>
      </c>
      <c r="O20" s="1" t="s">
        <v>74</v>
      </c>
      <c r="P20" s="1" t="s">
        <v>74</v>
      </c>
      <c r="Q20" s="1" t="s">
        <v>74</v>
      </c>
      <c r="R20" s="1" t="s">
        <v>74</v>
      </c>
      <c r="S20" s="1" t="s">
        <v>74</v>
      </c>
      <c r="T20" s="1" t="s">
        <v>74</v>
      </c>
      <c r="U20" s="1" t="s">
        <v>74</v>
      </c>
      <c r="V20" s="1" t="s">
        <v>272</v>
      </c>
      <c r="W20" s="1" t="s">
        <v>74</v>
      </c>
      <c r="X20" s="1" t="s">
        <v>74</v>
      </c>
      <c r="Y20" s="1" t="s">
        <v>74</v>
      </c>
      <c r="Z20" s="1" t="s">
        <v>74</v>
      </c>
      <c r="AA20" s="1" t="s">
        <v>273</v>
      </c>
      <c r="AB20" s="1" t="s">
        <v>274</v>
      </c>
      <c r="AC20" s="1" t="s">
        <v>74</v>
      </c>
      <c r="AD20" s="1" t="s">
        <v>74</v>
      </c>
      <c r="AE20" s="1" t="s">
        <v>74</v>
      </c>
      <c r="AF20" s="1" t="s">
        <v>74</v>
      </c>
      <c r="AG20" s="1" t="s">
        <v>74</v>
      </c>
      <c r="AH20" s="1" t="s">
        <v>74</v>
      </c>
      <c r="AI20" s="1" t="s">
        <v>74</v>
      </c>
      <c r="AJ20" s="1" t="s">
        <v>74</v>
      </c>
      <c r="AK20" s="1" t="s">
        <v>74</v>
      </c>
      <c r="AL20" s="1" t="s">
        <v>74</v>
      </c>
      <c r="AM20" s="1" t="s">
        <v>74</v>
      </c>
      <c r="AN20" s="1" t="s">
        <v>74</v>
      </c>
      <c r="AO20" s="1" t="s">
        <v>275</v>
      </c>
      <c r="AP20" s="1" t="s">
        <v>276</v>
      </c>
      <c r="AQ20" s="1" t="s">
        <v>74</v>
      </c>
      <c r="AR20" s="1" t="s">
        <v>74</v>
      </c>
      <c r="AS20" s="1" t="s">
        <v>74</v>
      </c>
      <c r="AT20" s="1" t="s">
        <v>277</v>
      </c>
      <c r="AU20" s="1">
        <v>2007.0</v>
      </c>
      <c r="AV20" s="1">
        <v>141.0</v>
      </c>
      <c r="AW20" s="1">
        <v>1.0</v>
      </c>
      <c r="AX20" s="1" t="s">
        <v>74</v>
      </c>
      <c r="AY20" s="1" t="s">
        <v>74</v>
      </c>
      <c r="AZ20" s="1" t="s">
        <v>74</v>
      </c>
      <c r="BA20" s="1" t="s">
        <v>74</v>
      </c>
      <c r="BB20" s="1">
        <v>17.0</v>
      </c>
      <c r="BC20" s="1">
        <v>24.0</v>
      </c>
      <c r="BD20" s="1" t="s">
        <v>74</v>
      </c>
      <c r="BE20" s="1" t="s">
        <v>278</v>
      </c>
      <c r="BF20" s="2" t="str">
        <f>HYPERLINK("http://dx.doi.org/10.3200/JRLP.141.1.17-24","http://dx.doi.org/10.3200/JRLP.141.1.17-24")</f>
        <v>http://dx.doi.org/10.3200/JRLP.141.1.17-24</v>
      </c>
      <c r="BG20" s="1" t="s">
        <v>74</v>
      </c>
      <c r="BH20" s="1" t="s">
        <v>74</v>
      </c>
      <c r="BI20" s="1" t="s">
        <v>74</v>
      </c>
      <c r="BJ20" s="1" t="s">
        <v>74</v>
      </c>
      <c r="BK20" s="1" t="s">
        <v>74</v>
      </c>
      <c r="BL20" s="1" t="s">
        <v>74</v>
      </c>
      <c r="BM20" s="1" t="s">
        <v>74</v>
      </c>
      <c r="BN20" s="1">
        <v>1.7312683E7</v>
      </c>
      <c r="BO20" s="1" t="s">
        <v>74</v>
      </c>
      <c r="BP20" s="1" t="s">
        <v>74</v>
      </c>
      <c r="BQ20" s="1" t="s">
        <v>74</v>
      </c>
      <c r="BR20" s="1" t="s">
        <v>74</v>
      </c>
      <c r="BS20" s="1" t="s">
        <v>279</v>
      </c>
      <c r="BT20" s="1" t="str">
        <f>HYPERLINK("https%3A%2F%2Fwww.webofscience.com%2Fwos%2Fwoscc%2Ffull-record%2FWOS:000244048800002","View Full Record in Web of Science")</f>
        <v>View Full Record in Web of Science</v>
      </c>
    </row>
    <row r="21" ht="12.75" customHeight="1">
      <c r="A21" s="1" t="s">
        <v>72</v>
      </c>
      <c r="B21" s="1" t="s">
        <v>280</v>
      </c>
      <c r="C21" s="1" t="s">
        <v>74</v>
      </c>
      <c r="D21" s="1" t="s">
        <v>74</v>
      </c>
      <c r="E21" s="1" t="s">
        <v>74</v>
      </c>
      <c r="F21" s="1" t="s">
        <v>281</v>
      </c>
      <c r="G21" s="1" t="s">
        <v>74</v>
      </c>
      <c r="H21" s="1" t="s">
        <v>74</v>
      </c>
      <c r="I21" s="1" t="s">
        <v>282</v>
      </c>
      <c r="J21" s="1" t="s">
        <v>283</v>
      </c>
      <c r="K21" s="1" t="s">
        <v>74</v>
      </c>
      <c r="L21" s="1" t="s">
        <v>74</v>
      </c>
      <c r="M21" s="1" t="s">
        <v>74</v>
      </c>
      <c r="N21" s="1" t="s">
        <v>74</v>
      </c>
      <c r="O21" s="1" t="s">
        <v>74</v>
      </c>
      <c r="P21" s="1" t="s">
        <v>74</v>
      </c>
      <c r="Q21" s="1" t="s">
        <v>74</v>
      </c>
      <c r="R21" s="1" t="s">
        <v>74</v>
      </c>
      <c r="S21" s="1" t="s">
        <v>74</v>
      </c>
      <c r="T21" s="1" t="s">
        <v>74</v>
      </c>
      <c r="U21" s="1" t="s">
        <v>74</v>
      </c>
      <c r="V21" s="1" t="s">
        <v>284</v>
      </c>
      <c r="W21" s="1" t="s">
        <v>74</v>
      </c>
      <c r="X21" s="1" t="s">
        <v>74</v>
      </c>
      <c r="Y21" s="1" t="s">
        <v>74</v>
      </c>
      <c r="Z21" s="1" t="s">
        <v>74</v>
      </c>
      <c r="AA21" s="1" t="s">
        <v>285</v>
      </c>
      <c r="AB21" s="1" t="s">
        <v>286</v>
      </c>
      <c r="AC21" s="1" t="s">
        <v>74</v>
      </c>
      <c r="AD21" s="1" t="s">
        <v>74</v>
      </c>
      <c r="AE21" s="1" t="s">
        <v>74</v>
      </c>
      <c r="AF21" s="1" t="s">
        <v>74</v>
      </c>
      <c r="AG21" s="1" t="s">
        <v>74</v>
      </c>
      <c r="AH21" s="1" t="s">
        <v>74</v>
      </c>
      <c r="AI21" s="1" t="s">
        <v>74</v>
      </c>
      <c r="AJ21" s="1" t="s">
        <v>74</v>
      </c>
      <c r="AK21" s="1" t="s">
        <v>74</v>
      </c>
      <c r="AL21" s="1" t="s">
        <v>74</v>
      </c>
      <c r="AM21" s="1" t="s">
        <v>74</v>
      </c>
      <c r="AN21" s="1" t="s">
        <v>74</v>
      </c>
      <c r="AO21" s="1" t="s">
        <v>287</v>
      </c>
      <c r="AP21" s="1" t="s">
        <v>288</v>
      </c>
      <c r="AQ21" s="1" t="s">
        <v>74</v>
      </c>
      <c r="AR21" s="1" t="s">
        <v>74</v>
      </c>
      <c r="AS21" s="1" t="s">
        <v>74</v>
      </c>
      <c r="AT21" s="1" t="s">
        <v>289</v>
      </c>
      <c r="AU21" s="1">
        <v>2006.0</v>
      </c>
      <c r="AV21" s="1">
        <v>88.0</v>
      </c>
      <c r="AW21" s="1">
        <v>6.0</v>
      </c>
      <c r="AX21" s="1" t="s">
        <v>74</v>
      </c>
      <c r="AY21" s="1" t="s">
        <v>74</v>
      </c>
      <c r="AZ21" s="1" t="s">
        <v>74</v>
      </c>
      <c r="BA21" s="1" t="s">
        <v>74</v>
      </c>
      <c r="BB21" s="1">
        <v>663.0</v>
      </c>
      <c r="BC21" s="1">
        <v>672.0</v>
      </c>
      <c r="BD21" s="1" t="s">
        <v>74</v>
      </c>
      <c r="BE21" s="1" t="s">
        <v>290</v>
      </c>
      <c r="BF21" s="2" t="str">
        <f>HYPERLINK("http://dx.doi.org/10.1016/j.biochi.2005.12.002","http://dx.doi.org/10.1016/j.biochi.2005.12.002")</f>
        <v>http://dx.doi.org/10.1016/j.biochi.2005.12.002</v>
      </c>
      <c r="BG21" s="1" t="s">
        <v>74</v>
      </c>
      <c r="BH21" s="1" t="s">
        <v>74</v>
      </c>
      <c r="BI21" s="1" t="s">
        <v>74</v>
      </c>
      <c r="BJ21" s="1" t="s">
        <v>74</v>
      </c>
      <c r="BK21" s="1" t="s">
        <v>74</v>
      </c>
      <c r="BL21" s="1" t="s">
        <v>74</v>
      </c>
      <c r="BM21" s="1" t="s">
        <v>74</v>
      </c>
      <c r="BN21" s="1">
        <v>1.6469427E7</v>
      </c>
      <c r="BO21" s="1" t="s">
        <v>74</v>
      </c>
      <c r="BP21" s="1" t="s">
        <v>74</v>
      </c>
      <c r="BQ21" s="1" t="s">
        <v>74</v>
      </c>
      <c r="BR21" s="1" t="s">
        <v>74</v>
      </c>
      <c r="BS21" s="1" t="s">
        <v>291</v>
      </c>
      <c r="BT21" s="1" t="str">
        <f>HYPERLINK("https%3A%2F%2Fwww.webofscience.com%2Fwos%2Fwoscc%2Ffull-record%2FWOS:000239617600011","View Full Record in Web of Science")</f>
        <v>View Full Record in Web of Science</v>
      </c>
    </row>
    <row r="22" ht="12.75" customHeight="1">
      <c r="A22" s="1" t="s">
        <v>72</v>
      </c>
      <c r="B22" s="1" t="s">
        <v>292</v>
      </c>
      <c r="C22" s="1" t="s">
        <v>74</v>
      </c>
      <c r="D22" s="1" t="s">
        <v>74</v>
      </c>
      <c r="E22" s="1" t="s">
        <v>74</v>
      </c>
      <c r="F22" s="1" t="s">
        <v>292</v>
      </c>
      <c r="G22" s="1" t="s">
        <v>74</v>
      </c>
      <c r="H22" s="1" t="s">
        <v>74</v>
      </c>
      <c r="I22" s="1" t="s">
        <v>293</v>
      </c>
      <c r="J22" s="1" t="s">
        <v>294</v>
      </c>
      <c r="K22" s="1" t="s">
        <v>74</v>
      </c>
      <c r="L22" s="1" t="s">
        <v>74</v>
      </c>
      <c r="M22" s="1" t="s">
        <v>74</v>
      </c>
      <c r="N22" s="1" t="s">
        <v>74</v>
      </c>
      <c r="O22" s="1" t="s">
        <v>74</v>
      </c>
      <c r="P22" s="1" t="s">
        <v>74</v>
      </c>
      <c r="Q22" s="1" t="s">
        <v>74</v>
      </c>
      <c r="R22" s="1" t="s">
        <v>74</v>
      </c>
      <c r="S22" s="1" t="s">
        <v>74</v>
      </c>
      <c r="T22" s="1" t="s">
        <v>74</v>
      </c>
      <c r="U22" s="1" t="s">
        <v>74</v>
      </c>
      <c r="V22" s="1" t="s">
        <v>295</v>
      </c>
      <c r="W22" s="1" t="s">
        <v>74</v>
      </c>
      <c r="X22" s="1" t="s">
        <v>74</v>
      </c>
      <c r="Y22" s="1" t="s">
        <v>74</v>
      </c>
      <c r="Z22" s="1" t="s">
        <v>74</v>
      </c>
      <c r="AA22" s="1" t="s">
        <v>74</v>
      </c>
      <c r="AB22" s="1" t="s">
        <v>74</v>
      </c>
      <c r="AC22" s="1" t="s">
        <v>74</v>
      </c>
      <c r="AD22" s="1" t="s">
        <v>74</v>
      </c>
      <c r="AE22" s="1" t="s">
        <v>74</v>
      </c>
      <c r="AF22" s="1" t="s">
        <v>74</v>
      </c>
      <c r="AG22" s="1" t="s">
        <v>74</v>
      </c>
      <c r="AH22" s="1" t="s">
        <v>74</v>
      </c>
      <c r="AI22" s="1" t="s">
        <v>74</v>
      </c>
      <c r="AJ22" s="1" t="s">
        <v>74</v>
      </c>
      <c r="AK22" s="1" t="s">
        <v>74</v>
      </c>
      <c r="AL22" s="1" t="s">
        <v>74</v>
      </c>
      <c r="AM22" s="1" t="s">
        <v>74</v>
      </c>
      <c r="AN22" s="1" t="s">
        <v>74</v>
      </c>
      <c r="AO22" s="1" t="s">
        <v>296</v>
      </c>
      <c r="AP22" s="1" t="s">
        <v>297</v>
      </c>
      <c r="AQ22" s="1" t="s">
        <v>74</v>
      </c>
      <c r="AR22" s="1" t="s">
        <v>74</v>
      </c>
      <c r="AS22" s="1" t="s">
        <v>74</v>
      </c>
      <c r="AT22" s="1" t="s">
        <v>122</v>
      </c>
      <c r="AU22" s="1">
        <v>2005.0</v>
      </c>
      <c r="AV22" s="1">
        <v>52.0</v>
      </c>
      <c r="AW22" s="1">
        <v>4.0</v>
      </c>
      <c r="AX22" s="1" t="s">
        <v>74</v>
      </c>
      <c r="AY22" s="1" t="s">
        <v>74</v>
      </c>
      <c r="AZ22" s="1" t="s">
        <v>74</v>
      </c>
      <c r="BA22" s="1" t="s">
        <v>74</v>
      </c>
      <c r="BB22" s="1">
        <v>505.0</v>
      </c>
      <c r="BC22" s="1">
        <v>525.0</v>
      </c>
      <c r="BD22" s="1" t="s">
        <v>74</v>
      </c>
      <c r="BE22" s="1" t="s">
        <v>298</v>
      </c>
      <c r="BF22" s="2" t="str">
        <f>HYPERLINK("http://dx.doi.org/10.1007/s00020-002-1266-9","http://dx.doi.org/10.1007/s00020-002-1266-9")</f>
        <v>http://dx.doi.org/10.1007/s00020-002-1266-9</v>
      </c>
      <c r="BG22" s="1" t="s">
        <v>74</v>
      </c>
      <c r="BH22" s="1" t="s">
        <v>74</v>
      </c>
      <c r="BI22" s="1" t="s">
        <v>74</v>
      </c>
      <c r="BJ22" s="1" t="s">
        <v>74</v>
      </c>
      <c r="BK22" s="1" t="s">
        <v>74</v>
      </c>
      <c r="BL22" s="1" t="s">
        <v>74</v>
      </c>
      <c r="BM22" s="1" t="s">
        <v>74</v>
      </c>
      <c r="BN22" s="1" t="s">
        <v>74</v>
      </c>
      <c r="BO22" s="1" t="s">
        <v>74</v>
      </c>
      <c r="BP22" s="1" t="s">
        <v>74</v>
      </c>
      <c r="BQ22" s="1" t="s">
        <v>74</v>
      </c>
      <c r="BR22" s="1" t="s">
        <v>74</v>
      </c>
      <c r="BS22" s="1" t="s">
        <v>299</v>
      </c>
      <c r="BT22" s="1" t="str">
        <f>HYPERLINK("https%3A%2F%2Fwww.webofscience.com%2Fwos%2Fwoscc%2Ffull-record%2FWOS:000231771200005","View Full Record in Web of Science")</f>
        <v>View Full Record in Web of Science</v>
      </c>
    </row>
    <row r="23" ht="12.75" customHeight="1">
      <c r="A23" s="1" t="s">
        <v>72</v>
      </c>
      <c r="B23" s="1" t="s">
        <v>300</v>
      </c>
      <c r="C23" s="1" t="s">
        <v>74</v>
      </c>
      <c r="D23" s="1" t="s">
        <v>74</v>
      </c>
      <c r="E23" s="1" t="s">
        <v>74</v>
      </c>
      <c r="F23" s="1" t="s">
        <v>300</v>
      </c>
      <c r="G23" s="1" t="s">
        <v>74</v>
      </c>
      <c r="H23" s="1" t="s">
        <v>74</v>
      </c>
      <c r="I23" s="1" t="s">
        <v>301</v>
      </c>
      <c r="J23" s="1" t="s">
        <v>302</v>
      </c>
      <c r="K23" s="1" t="s">
        <v>74</v>
      </c>
      <c r="L23" s="1" t="s">
        <v>74</v>
      </c>
      <c r="M23" s="1" t="s">
        <v>74</v>
      </c>
      <c r="N23" s="1" t="s">
        <v>74</v>
      </c>
      <c r="O23" s="1" t="s">
        <v>74</v>
      </c>
      <c r="P23" s="1" t="s">
        <v>74</v>
      </c>
      <c r="Q23" s="1" t="s">
        <v>74</v>
      </c>
      <c r="R23" s="1" t="s">
        <v>74</v>
      </c>
      <c r="S23" s="1" t="s">
        <v>74</v>
      </c>
      <c r="T23" s="1" t="s">
        <v>74</v>
      </c>
      <c r="U23" s="1" t="s">
        <v>74</v>
      </c>
      <c r="V23" s="1" t="s">
        <v>303</v>
      </c>
      <c r="W23" s="1" t="s">
        <v>74</v>
      </c>
      <c r="X23" s="1" t="s">
        <v>74</v>
      </c>
      <c r="Y23" s="1" t="s">
        <v>74</v>
      </c>
      <c r="Z23" s="1" t="s">
        <v>74</v>
      </c>
      <c r="AA23" s="1" t="s">
        <v>304</v>
      </c>
      <c r="AB23" s="1" t="s">
        <v>305</v>
      </c>
      <c r="AC23" s="1" t="s">
        <v>74</v>
      </c>
      <c r="AD23" s="1" t="s">
        <v>74</v>
      </c>
      <c r="AE23" s="1" t="s">
        <v>74</v>
      </c>
      <c r="AF23" s="1" t="s">
        <v>74</v>
      </c>
      <c r="AG23" s="1" t="s">
        <v>74</v>
      </c>
      <c r="AH23" s="1" t="s">
        <v>74</v>
      </c>
      <c r="AI23" s="1" t="s">
        <v>74</v>
      </c>
      <c r="AJ23" s="1" t="s">
        <v>74</v>
      </c>
      <c r="AK23" s="1" t="s">
        <v>74</v>
      </c>
      <c r="AL23" s="1" t="s">
        <v>74</v>
      </c>
      <c r="AM23" s="1" t="s">
        <v>74</v>
      </c>
      <c r="AN23" s="1" t="s">
        <v>74</v>
      </c>
      <c r="AO23" s="1" t="s">
        <v>306</v>
      </c>
      <c r="AP23" s="1" t="s">
        <v>74</v>
      </c>
      <c r="AQ23" s="1" t="s">
        <v>74</v>
      </c>
      <c r="AR23" s="1" t="s">
        <v>74</v>
      </c>
      <c r="AS23" s="1" t="s">
        <v>74</v>
      </c>
      <c r="AT23" s="1" t="s">
        <v>307</v>
      </c>
      <c r="AU23" s="1">
        <v>2001.0</v>
      </c>
      <c r="AV23" s="1">
        <v>165.0</v>
      </c>
      <c r="AW23" s="1" t="s">
        <v>308</v>
      </c>
      <c r="AX23" s="1" t="s">
        <v>74</v>
      </c>
      <c r="AY23" s="1" t="s">
        <v>74</v>
      </c>
      <c r="AZ23" s="1" t="s">
        <v>74</v>
      </c>
      <c r="BA23" s="1" t="s">
        <v>74</v>
      </c>
      <c r="BB23" s="1">
        <v>169.0</v>
      </c>
      <c r="BC23" s="1">
        <v>175.0</v>
      </c>
      <c r="BD23" s="1" t="s">
        <v>74</v>
      </c>
      <c r="BE23" s="1" t="s">
        <v>309</v>
      </c>
      <c r="BF23" s="2" t="str">
        <f>HYPERLINK("http://dx.doi.org/10.1016/S1381-1169(00)00411-8","http://dx.doi.org/10.1016/S1381-1169(00)00411-8")</f>
        <v>http://dx.doi.org/10.1016/S1381-1169(00)00411-8</v>
      </c>
      <c r="BG23" s="1" t="s">
        <v>74</v>
      </c>
      <c r="BH23" s="1" t="s">
        <v>74</v>
      </c>
      <c r="BI23" s="1" t="s">
        <v>74</v>
      </c>
      <c r="BJ23" s="1" t="s">
        <v>74</v>
      </c>
      <c r="BK23" s="1" t="s">
        <v>74</v>
      </c>
      <c r="BL23" s="1" t="s">
        <v>74</v>
      </c>
      <c r="BM23" s="1" t="s">
        <v>74</v>
      </c>
      <c r="BN23" s="1" t="s">
        <v>74</v>
      </c>
      <c r="BO23" s="1" t="s">
        <v>74</v>
      </c>
      <c r="BP23" s="1" t="s">
        <v>74</v>
      </c>
      <c r="BQ23" s="1" t="s">
        <v>74</v>
      </c>
      <c r="BR23" s="1" t="s">
        <v>74</v>
      </c>
      <c r="BS23" s="1" t="s">
        <v>310</v>
      </c>
      <c r="BT23" s="1" t="str">
        <f>HYPERLINK("https%3A%2F%2Fwww.webofscience.com%2Fwos%2Fwoscc%2Ffull-record%2FWOS:000166375300022","View Full Record in Web of Science")</f>
        <v>View Full Record in Web of Science</v>
      </c>
    </row>
    <row r="24" ht="12.75" customHeight="1">
      <c r="A24" s="1" t="s">
        <v>72</v>
      </c>
      <c r="B24" s="1" t="s">
        <v>311</v>
      </c>
      <c r="C24" s="1" t="s">
        <v>74</v>
      </c>
      <c r="D24" s="1" t="s">
        <v>74</v>
      </c>
      <c r="E24" s="1" t="s">
        <v>74</v>
      </c>
      <c r="F24" s="1" t="s">
        <v>311</v>
      </c>
      <c r="G24" s="1" t="s">
        <v>74</v>
      </c>
      <c r="H24" s="1" t="s">
        <v>74</v>
      </c>
      <c r="I24" s="1" t="s">
        <v>312</v>
      </c>
      <c r="J24" s="1" t="s">
        <v>313</v>
      </c>
      <c r="K24" s="1" t="s">
        <v>74</v>
      </c>
      <c r="L24" s="1" t="s">
        <v>74</v>
      </c>
      <c r="M24" s="1" t="s">
        <v>74</v>
      </c>
      <c r="N24" s="1" t="s">
        <v>74</v>
      </c>
      <c r="O24" s="1" t="s">
        <v>74</v>
      </c>
      <c r="P24" s="1" t="s">
        <v>74</v>
      </c>
      <c r="Q24" s="1" t="s">
        <v>74</v>
      </c>
      <c r="R24" s="1" t="s">
        <v>74</v>
      </c>
      <c r="S24" s="1" t="s">
        <v>74</v>
      </c>
      <c r="T24" s="1" t="s">
        <v>74</v>
      </c>
      <c r="U24" s="1" t="s">
        <v>74</v>
      </c>
      <c r="V24" s="1" t="s">
        <v>314</v>
      </c>
      <c r="W24" s="1" t="s">
        <v>74</v>
      </c>
      <c r="X24" s="1" t="s">
        <v>74</v>
      </c>
      <c r="Y24" s="1" t="s">
        <v>74</v>
      </c>
      <c r="Z24" s="1" t="s">
        <v>74</v>
      </c>
      <c r="AA24" s="1" t="s">
        <v>315</v>
      </c>
      <c r="AB24" s="1" t="s">
        <v>316</v>
      </c>
      <c r="AC24" s="1" t="s">
        <v>74</v>
      </c>
      <c r="AD24" s="1" t="s">
        <v>74</v>
      </c>
      <c r="AE24" s="1" t="s">
        <v>74</v>
      </c>
      <c r="AF24" s="1" t="s">
        <v>74</v>
      </c>
      <c r="AG24" s="1" t="s">
        <v>74</v>
      </c>
      <c r="AH24" s="1" t="s">
        <v>74</v>
      </c>
      <c r="AI24" s="1" t="s">
        <v>74</v>
      </c>
      <c r="AJ24" s="1" t="s">
        <v>74</v>
      </c>
      <c r="AK24" s="1" t="s">
        <v>74</v>
      </c>
      <c r="AL24" s="1" t="s">
        <v>74</v>
      </c>
      <c r="AM24" s="1" t="s">
        <v>74</v>
      </c>
      <c r="AN24" s="1" t="s">
        <v>74</v>
      </c>
      <c r="AO24" s="1" t="s">
        <v>317</v>
      </c>
      <c r="AP24" s="1" t="s">
        <v>74</v>
      </c>
      <c r="AQ24" s="1" t="s">
        <v>74</v>
      </c>
      <c r="AR24" s="1" t="s">
        <v>74</v>
      </c>
      <c r="AS24" s="1" t="s">
        <v>74</v>
      </c>
      <c r="AT24" s="1" t="s">
        <v>122</v>
      </c>
      <c r="AU24" s="1">
        <v>2000.0</v>
      </c>
      <c r="AV24" s="1">
        <v>12.0</v>
      </c>
      <c r="AW24" s="1">
        <v>3.0</v>
      </c>
      <c r="AX24" s="1" t="s">
        <v>74</v>
      </c>
      <c r="AY24" s="1" t="s">
        <v>74</v>
      </c>
      <c r="AZ24" s="1" t="s">
        <v>74</v>
      </c>
      <c r="BA24" s="1" t="s">
        <v>74</v>
      </c>
      <c r="BB24" s="1">
        <v>466.0</v>
      </c>
      <c r="BC24" s="1">
        <v>470.0</v>
      </c>
      <c r="BD24" s="1" t="s">
        <v>74</v>
      </c>
      <c r="BE24" s="1" t="s">
        <v>74</v>
      </c>
      <c r="BF24" s="1" t="s">
        <v>74</v>
      </c>
      <c r="BG24" s="1" t="s">
        <v>74</v>
      </c>
      <c r="BH24" s="1" t="s">
        <v>74</v>
      </c>
      <c r="BI24" s="1" t="s">
        <v>74</v>
      </c>
      <c r="BJ24" s="1" t="s">
        <v>74</v>
      </c>
      <c r="BK24" s="1" t="s">
        <v>74</v>
      </c>
      <c r="BL24" s="1" t="s">
        <v>74</v>
      </c>
      <c r="BM24" s="1" t="s">
        <v>74</v>
      </c>
      <c r="BN24" s="1" t="s">
        <v>74</v>
      </c>
      <c r="BO24" s="1" t="s">
        <v>74</v>
      </c>
      <c r="BP24" s="1" t="s">
        <v>74</v>
      </c>
      <c r="BQ24" s="1" t="s">
        <v>74</v>
      </c>
      <c r="BR24" s="1" t="s">
        <v>74</v>
      </c>
      <c r="BS24" s="1" t="s">
        <v>318</v>
      </c>
      <c r="BT24" s="1" t="str">
        <f>HYPERLINK("https%3A%2F%2Fwww.webofscience.com%2Fwos%2Fwoscc%2Ffull-record%2FWOS:000088499600021","View Full Record in Web of Science")</f>
        <v>View Full Record in Web of Science</v>
      </c>
    </row>
    <row r="25" ht="12.75" customHeight="1">
      <c r="A25" s="1" t="s">
        <v>72</v>
      </c>
      <c r="B25" s="1" t="s">
        <v>319</v>
      </c>
      <c r="C25" s="1" t="s">
        <v>74</v>
      </c>
      <c r="D25" s="1" t="s">
        <v>74</v>
      </c>
      <c r="E25" s="1" t="s">
        <v>74</v>
      </c>
      <c r="F25" s="1" t="s">
        <v>319</v>
      </c>
      <c r="G25" s="1" t="s">
        <v>74</v>
      </c>
      <c r="H25" s="1" t="s">
        <v>74</v>
      </c>
      <c r="I25" s="1" t="s">
        <v>320</v>
      </c>
      <c r="J25" s="1" t="s">
        <v>321</v>
      </c>
      <c r="K25" s="1" t="s">
        <v>74</v>
      </c>
      <c r="L25" s="1" t="s">
        <v>74</v>
      </c>
      <c r="M25" s="1" t="s">
        <v>74</v>
      </c>
      <c r="N25" s="1" t="s">
        <v>74</v>
      </c>
      <c r="O25" s="1" t="s">
        <v>74</v>
      </c>
      <c r="P25" s="1" t="s">
        <v>74</v>
      </c>
      <c r="Q25" s="1" t="s">
        <v>74</v>
      </c>
      <c r="R25" s="1" t="s">
        <v>74</v>
      </c>
      <c r="S25" s="1" t="s">
        <v>74</v>
      </c>
      <c r="T25" s="1" t="s">
        <v>74</v>
      </c>
      <c r="U25" s="1" t="s">
        <v>74</v>
      </c>
      <c r="V25" s="1" t="s">
        <v>322</v>
      </c>
      <c r="W25" s="1" t="s">
        <v>74</v>
      </c>
      <c r="X25" s="1" t="s">
        <v>74</v>
      </c>
      <c r="Y25" s="1" t="s">
        <v>74</v>
      </c>
      <c r="Z25" s="1" t="s">
        <v>74</v>
      </c>
      <c r="AA25" s="1" t="s">
        <v>323</v>
      </c>
      <c r="AB25" s="1" t="s">
        <v>324</v>
      </c>
      <c r="AC25" s="1" t="s">
        <v>74</v>
      </c>
      <c r="AD25" s="1" t="s">
        <v>74</v>
      </c>
      <c r="AE25" s="1" t="s">
        <v>74</v>
      </c>
      <c r="AF25" s="1" t="s">
        <v>74</v>
      </c>
      <c r="AG25" s="1" t="s">
        <v>74</v>
      </c>
      <c r="AH25" s="1" t="s">
        <v>74</v>
      </c>
      <c r="AI25" s="1" t="s">
        <v>74</v>
      </c>
      <c r="AJ25" s="1" t="s">
        <v>74</v>
      </c>
      <c r="AK25" s="1" t="s">
        <v>74</v>
      </c>
      <c r="AL25" s="1" t="s">
        <v>74</v>
      </c>
      <c r="AM25" s="1" t="s">
        <v>74</v>
      </c>
      <c r="AN25" s="1" t="s">
        <v>74</v>
      </c>
      <c r="AO25" s="1" t="s">
        <v>325</v>
      </c>
      <c r="AP25" s="1" t="s">
        <v>74</v>
      </c>
      <c r="AQ25" s="1" t="s">
        <v>74</v>
      </c>
      <c r="AR25" s="1" t="s">
        <v>74</v>
      </c>
      <c r="AS25" s="1" t="s">
        <v>74</v>
      </c>
      <c r="AT25" s="1" t="s">
        <v>112</v>
      </c>
      <c r="AU25" s="1">
        <v>1999.0</v>
      </c>
      <c r="AV25" s="1">
        <v>35.0</v>
      </c>
      <c r="AW25" s="1" t="s">
        <v>326</v>
      </c>
      <c r="AX25" s="1" t="s">
        <v>74</v>
      </c>
      <c r="AY25" s="1" t="s">
        <v>74</v>
      </c>
      <c r="AZ25" s="1" t="s">
        <v>74</v>
      </c>
      <c r="BA25" s="1" t="s">
        <v>74</v>
      </c>
      <c r="BB25" s="1">
        <v>327.0</v>
      </c>
      <c r="BC25" s="1">
        <v>333.0</v>
      </c>
      <c r="BD25" s="1" t="s">
        <v>74</v>
      </c>
      <c r="BE25" s="1" t="s">
        <v>327</v>
      </c>
      <c r="BF25" s="2" t="str">
        <f>HYPERLINK("http://dx.doi.org/10.1016/S0032-9592(99)00075-8","http://dx.doi.org/10.1016/S0032-9592(99)00075-8")</f>
        <v>http://dx.doi.org/10.1016/S0032-9592(99)00075-8</v>
      </c>
      <c r="BG25" s="1" t="s">
        <v>74</v>
      </c>
      <c r="BH25" s="1" t="s">
        <v>74</v>
      </c>
      <c r="BI25" s="1" t="s">
        <v>74</v>
      </c>
      <c r="BJ25" s="1" t="s">
        <v>74</v>
      </c>
      <c r="BK25" s="1" t="s">
        <v>74</v>
      </c>
      <c r="BL25" s="1" t="s">
        <v>74</v>
      </c>
      <c r="BM25" s="1" t="s">
        <v>74</v>
      </c>
      <c r="BN25" s="1" t="s">
        <v>74</v>
      </c>
      <c r="BO25" s="1" t="s">
        <v>74</v>
      </c>
      <c r="BP25" s="1" t="s">
        <v>74</v>
      </c>
      <c r="BQ25" s="1" t="s">
        <v>74</v>
      </c>
      <c r="BR25" s="1" t="s">
        <v>74</v>
      </c>
      <c r="BS25" s="1" t="s">
        <v>328</v>
      </c>
      <c r="BT25" s="1" t="str">
        <f>HYPERLINK("https%3A%2F%2Fwww.webofscience.com%2Fwos%2Fwoscc%2Ffull-record%2FWOS:000083653200014","View Full Record in Web of Science")</f>
        <v>View Full Record in Web of Science</v>
      </c>
    </row>
    <row r="26" ht="12.75" customHeight="1">
      <c r="A26" s="1" t="s">
        <v>72</v>
      </c>
      <c r="B26" s="1" t="s">
        <v>329</v>
      </c>
      <c r="C26" s="1" t="s">
        <v>74</v>
      </c>
      <c r="D26" s="1" t="s">
        <v>74</v>
      </c>
      <c r="E26" s="1" t="s">
        <v>74</v>
      </c>
      <c r="F26" s="1" t="s">
        <v>329</v>
      </c>
      <c r="G26" s="1" t="s">
        <v>74</v>
      </c>
      <c r="H26" s="1" t="s">
        <v>74</v>
      </c>
      <c r="I26" s="1" t="s">
        <v>330</v>
      </c>
      <c r="J26" s="1" t="s">
        <v>331</v>
      </c>
      <c r="K26" s="1" t="s">
        <v>74</v>
      </c>
      <c r="L26" s="1" t="s">
        <v>74</v>
      </c>
      <c r="M26" s="1" t="s">
        <v>74</v>
      </c>
      <c r="N26" s="1" t="s">
        <v>74</v>
      </c>
      <c r="O26" s="1" t="s">
        <v>332</v>
      </c>
      <c r="P26" s="1" t="s">
        <v>333</v>
      </c>
      <c r="Q26" s="1" t="s">
        <v>334</v>
      </c>
      <c r="R26" s="1" t="s">
        <v>335</v>
      </c>
      <c r="S26" s="1" t="s">
        <v>74</v>
      </c>
      <c r="T26" s="1" t="s">
        <v>74</v>
      </c>
      <c r="U26" s="1" t="s">
        <v>74</v>
      </c>
      <c r="V26" s="1" t="s">
        <v>336</v>
      </c>
      <c r="W26" s="1" t="s">
        <v>74</v>
      </c>
      <c r="X26" s="1" t="s">
        <v>74</v>
      </c>
      <c r="Y26" s="1" t="s">
        <v>74</v>
      </c>
      <c r="Z26" s="1" t="s">
        <v>74</v>
      </c>
      <c r="AA26" s="1" t="s">
        <v>337</v>
      </c>
      <c r="AB26" s="1" t="s">
        <v>74</v>
      </c>
      <c r="AC26" s="1" t="s">
        <v>74</v>
      </c>
      <c r="AD26" s="1" t="s">
        <v>74</v>
      </c>
      <c r="AE26" s="1" t="s">
        <v>74</v>
      </c>
      <c r="AF26" s="1" t="s">
        <v>74</v>
      </c>
      <c r="AG26" s="1" t="s">
        <v>74</v>
      </c>
      <c r="AH26" s="1" t="s">
        <v>74</v>
      </c>
      <c r="AI26" s="1" t="s">
        <v>74</v>
      </c>
      <c r="AJ26" s="1" t="s">
        <v>74</v>
      </c>
      <c r="AK26" s="1" t="s">
        <v>74</v>
      </c>
      <c r="AL26" s="1" t="s">
        <v>74</v>
      </c>
      <c r="AM26" s="1" t="s">
        <v>74</v>
      </c>
      <c r="AN26" s="1" t="s">
        <v>74</v>
      </c>
      <c r="AO26" s="1" t="s">
        <v>338</v>
      </c>
      <c r="AP26" s="1" t="s">
        <v>74</v>
      </c>
      <c r="AQ26" s="1" t="s">
        <v>74</v>
      </c>
      <c r="AR26" s="1" t="s">
        <v>74</v>
      </c>
      <c r="AS26" s="1" t="s">
        <v>74</v>
      </c>
      <c r="AT26" s="1" t="s">
        <v>289</v>
      </c>
      <c r="AU26" s="1">
        <v>1999.0</v>
      </c>
      <c r="AV26" s="1">
        <v>31.0</v>
      </c>
      <c r="AW26" s="1">
        <v>3.0</v>
      </c>
      <c r="AX26" s="1" t="s">
        <v>74</v>
      </c>
      <c r="AY26" s="1" t="s">
        <v>74</v>
      </c>
      <c r="AZ26" s="1" t="s">
        <v>74</v>
      </c>
      <c r="BA26" s="1" t="s">
        <v>74</v>
      </c>
      <c r="BB26" s="1">
        <v>291.0</v>
      </c>
      <c r="BC26" s="1">
        <v>300.0</v>
      </c>
      <c r="BD26" s="1" t="s">
        <v>74</v>
      </c>
      <c r="BE26" s="1" t="s">
        <v>339</v>
      </c>
      <c r="BF26" s="2" t="str">
        <f>HYPERLINK("http://dx.doi.org/10.1054/tice.1999.0041","http://dx.doi.org/10.1054/tice.1999.0041")</f>
        <v>http://dx.doi.org/10.1054/tice.1999.0041</v>
      </c>
      <c r="BG26" s="1" t="s">
        <v>74</v>
      </c>
      <c r="BH26" s="1" t="s">
        <v>74</v>
      </c>
      <c r="BI26" s="1" t="s">
        <v>74</v>
      </c>
      <c r="BJ26" s="1" t="s">
        <v>74</v>
      </c>
      <c r="BK26" s="1" t="s">
        <v>74</v>
      </c>
      <c r="BL26" s="1" t="s">
        <v>74</v>
      </c>
      <c r="BM26" s="1" t="s">
        <v>74</v>
      </c>
      <c r="BN26" s="1">
        <v>1.0481301E7</v>
      </c>
      <c r="BO26" s="1" t="s">
        <v>74</v>
      </c>
      <c r="BP26" s="1" t="s">
        <v>74</v>
      </c>
      <c r="BQ26" s="1" t="s">
        <v>74</v>
      </c>
      <c r="BR26" s="1" t="s">
        <v>74</v>
      </c>
      <c r="BS26" s="1" t="s">
        <v>340</v>
      </c>
      <c r="BT26" s="1" t="str">
        <f>HYPERLINK("https%3A%2F%2Fwww.webofscience.com%2Fwos%2Fwoscc%2Ffull-record%2FWOS:000082021600007","View Full Record in Web of Science")</f>
        <v>View Full Record in Web of Science</v>
      </c>
    </row>
    <row r="27" ht="12.75" customHeight="1">
      <c r="A27" s="1" t="s">
        <v>341</v>
      </c>
      <c r="B27" s="1" t="s">
        <v>342</v>
      </c>
      <c r="C27" s="1" t="s">
        <v>74</v>
      </c>
      <c r="D27" s="1" t="s">
        <v>343</v>
      </c>
      <c r="E27" s="1" t="s">
        <v>74</v>
      </c>
      <c r="F27" s="1" t="s">
        <v>342</v>
      </c>
      <c r="G27" s="1" t="s">
        <v>74</v>
      </c>
      <c r="H27" s="1" t="s">
        <v>74</v>
      </c>
      <c r="I27" s="1" t="s">
        <v>344</v>
      </c>
      <c r="J27" s="1" t="s">
        <v>345</v>
      </c>
      <c r="K27" s="1" t="s">
        <v>346</v>
      </c>
      <c r="L27" s="1" t="s">
        <v>74</v>
      </c>
      <c r="M27" s="1" t="s">
        <v>74</v>
      </c>
      <c r="N27" s="1" t="s">
        <v>74</v>
      </c>
      <c r="O27" s="1" t="s">
        <v>347</v>
      </c>
      <c r="P27" s="1" t="s">
        <v>348</v>
      </c>
      <c r="Q27" s="1" t="s">
        <v>334</v>
      </c>
      <c r="R27" s="1" t="s">
        <v>349</v>
      </c>
      <c r="S27" s="1" t="s">
        <v>74</v>
      </c>
      <c r="T27" s="1" t="s">
        <v>74</v>
      </c>
      <c r="U27" s="1" t="s">
        <v>74</v>
      </c>
      <c r="V27" s="1" t="s">
        <v>350</v>
      </c>
      <c r="W27" s="1" t="s">
        <v>74</v>
      </c>
      <c r="X27" s="1" t="s">
        <v>74</v>
      </c>
      <c r="Y27" s="1" t="s">
        <v>74</v>
      </c>
      <c r="Z27" s="1" t="s">
        <v>74</v>
      </c>
      <c r="AA27" s="1" t="s">
        <v>351</v>
      </c>
      <c r="AB27" s="1" t="s">
        <v>352</v>
      </c>
      <c r="AC27" s="1" t="s">
        <v>74</v>
      </c>
      <c r="AD27" s="1" t="s">
        <v>74</v>
      </c>
      <c r="AE27" s="1" t="s">
        <v>74</v>
      </c>
      <c r="AF27" s="1" t="s">
        <v>74</v>
      </c>
      <c r="AG27" s="1" t="s">
        <v>74</v>
      </c>
      <c r="AH27" s="1" t="s">
        <v>74</v>
      </c>
      <c r="AI27" s="1" t="s">
        <v>74</v>
      </c>
      <c r="AJ27" s="1" t="s">
        <v>74</v>
      </c>
      <c r="AK27" s="1" t="s">
        <v>74</v>
      </c>
      <c r="AL27" s="1" t="s">
        <v>74</v>
      </c>
      <c r="AM27" s="1" t="s">
        <v>74</v>
      </c>
      <c r="AN27" s="1" t="s">
        <v>74</v>
      </c>
      <c r="AO27" s="1" t="s">
        <v>353</v>
      </c>
      <c r="AP27" s="1" t="s">
        <v>74</v>
      </c>
      <c r="AQ27" s="1" t="s">
        <v>354</v>
      </c>
      <c r="AR27" s="1" t="s">
        <v>74</v>
      </c>
      <c r="AS27" s="1" t="s">
        <v>74</v>
      </c>
      <c r="AT27" s="1" t="s">
        <v>74</v>
      </c>
      <c r="AU27" s="1">
        <v>1999.0</v>
      </c>
      <c r="AV27" s="1" t="s">
        <v>355</v>
      </c>
      <c r="AW27" s="1" t="s">
        <v>74</v>
      </c>
      <c r="AX27" s="1" t="s">
        <v>74</v>
      </c>
      <c r="AY27" s="1" t="s">
        <v>74</v>
      </c>
      <c r="AZ27" s="1" t="s">
        <v>74</v>
      </c>
      <c r="BA27" s="1" t="s">
        <v>74</v>
      </c>
      <c r="BB27" s="1">
        <v>171.0</v>
      </c>
      <c r="BC27" s="1">
        <v>177.0</v>
      </c>
      <c r="BD27" s="1" t="s">
        <v>74</v>
      </c>
      <c r="BE27" s="1" t="s">
        <v>356</v>
      </c>
      <c r="BF27" s="2" t="str">
        <f>HYPERLINK("http://dx.doi.org/10.4028/www.scientific.net/MSF.299-300.171","http://dx.doi.org/10.4028/www.scientific.net/MSF.299-300.171")</f>
        <v>http://dx.doi.org/10.4028/www.scientific.net/MSF.299-300.171</v>
      </c>
      <c r="BG27" s="1" t="s">
        <v>74</v>
      </c>
      <c r="BH27" s="1" t="s">
        <v>74</v>
      </c>
      <c r="BI27" s="1" t="s">
        <v>74</v>
      </c>
      <c r="BJ27" s="1" t="s">
        <v>74</v>
      </c>
      <c r="BK27" s="1" t="s">
        <v>74</v>
      </c>
      <c r="BL27" s="1" t="s">
        <v>74</v>
      </c>
      <c r="BM27" s="1" t="s">
        <v>74</v>
      </c>
      <c r="BN27" s="1" t="s">
        <v>74</v>
      </c>
      <c r="BO27" s="1" t="s">
        <v>74</v>
      </c>
      <c r="BP27" s="1" t="s">
        <v>74</v>
      </c>
      <c r="BQ27" s="1" t="s">
        <v>74</v>
      </c>
      <c r="BR27" s="1" t="s">
        <v>74</v>
      </c>
      <c r="BS27" s="1" t="s">
        <v>357</v>
      </c>
      <c r="BT27" s="1" t="str">
        <f>HYPERLINK("https%3A%2F%2Fwww.webofscience.com%2Fwos%2Fwoscc%2Ffull-record%2FWOS:000079831600023","View Full Record in Web of Science")</f>
        <v>View Full Record in Web of Science</v>
      </c>
    </row>
    <row r="28" ht="12.75" customHeight="1">
      <c r="A28" s="1" t="s">
        <v>72</v>
      </c>
      <c r="B28" s="1" t="s">
        <v>358</v>
      </c>
      <c r="C28" s="1" t="s">
        <v>74</v>
      </c>
      <c r="D28" s="1" t="s">
        <v>74</v>
      </c>
      <c r="E28" s="1" t="s">
        <v>74</v>
      </c>
      <c r="F28" s="1" t="s">
        <v>358</v>
      </c>
      <c r="G28" s="1" t="s">
        <v>74</v>
      </c>
      <c r="H28" s="1" t="s">
        <v>74</v>
      </c>
      <c r="I28" s="1" t="s">
        <v>359</v>
      </c>
      <c r="J28" s="1" t="s">
        <v>360</v>
      </c>
      <c r="K28" s="1" t="s">
        <v>74</v>
      </c>
      <c r="L28" s="1" t="s">
        <v>74</v>
      </c>
      <c r="M28" s="1" t="s">
        <v>74</v>
      </c>
      <c r="N28" s="1" t="s">
        <v>74</v>
      </c>
      <c r="O28" s="1" t="s">
        <v>74</v>
      </c>
      <c r="P28" s="1" t="s">
        <v>74</v>
      </c>
      <c r="Q28" s="1" t="s">
        <v>74</v>
      </c>
      <c r="R28" s="1" t="s">
        <v>74</v>
      </c>
      <c r="S28" s="1" t="s">
        <v>74</v>
      </c>
      <c r="T28" s="1" t="s">
        <v>74</v>
      </c>
      <c r="U28" s="1" t="s">
        <v>74</v>
      </c>
      <c r="V28" s="1" t="s">
        <v>361</v>
      </c>
      <c r="W28" s="1" t="s">
        <v>74</v>
      </c>
      <c r="X28" s="1" t="s">
        <v>74</v>
      </c>
      <c r="Y28" s="1" t="s">
        <v>74</v>
      </c>
      <c r="Z28" s="1" t="s">
        <v>74</v>
      </c>
      <c r="AA28" s="1" t="s">
        <v>74</v>
      </c>
      <c r="AB28" s="1" t="s">
        <v>74</v>
      </c>
      <c r="AC28" s="1" t="s">
        <v>74</v>
      </c>
      <c r="AD28" s="1" t="s">
        <v>74</v>
      </c>
      <c r="AE28" s="1" t="s">
        <v>74</v>
      </c>
      <c r="AF28" s="1" t="s">
        <v>74</v>
      </c>
      <c r="AG28" s="1" t="s">
        <v>74</v>
      </c>
      <c r="AH28" s="1" t="s">
        <v>74</v>
      </c>
      <c r="AI28" s="1" t="s">
        <v>74</v>
      </c>
      <c r="AJ28" s="1" t="s">
        <v>74</v>
      </c>
      <c r="AK28" s="1" t="s">
        <v>74</v>
      </c>
      <c r="AL28" s="1" t="s">
        <v>74</v>
      </c>
      <c r="AM28" s="1" t="s">
        <v>74</v>
      </c>
      <c r="AN28" s="1" t="s">
        <v>74</v>
      </c>
      <c r="AO28" s="1" t="s">
        <v>362</v>
      </c>
      <c r="AP28" s="1" t="s">
        <v>74</v>
      </c>
      <c r="AQ28" s="1" t="s">
        <v>74</v>
      </c>
      <c r="AR28" s="1" t="s">
        <v>74</v>
      </c>
      <c r="AS28" s="1" t="s">
        <v>74</v>
      </c>
      <c r="AT28" s="1" t="s">
        <v>363</v>
      </c>
      <c r="AU28" s="1">
        <v>1998.0</v>
      </c>
      <c r="AV28" s="1">
        <v>126.0</v>
      </c>
      <c r="AW28" s="1">
        <v>10.0</v>
      </c>
      <c r="AX28" s="1" t="s">
        <v>74</v>
      </c>
      <c r="AY28" s="1" t="s">
        <v>74</v>
      </c>
      <c r="AZ28" s="1" t="s">
        <v>74</v>
      </c>
      <c r="BA28" s="1" t="s">
        <v>74</v>
      </c>
      <c r="BB28" s="1">
        <v>1165.0</v>
      </c>
      <c r="BC28" s="1">
        <v>1172.0</v>
      </c>
      <c r="BD28" s="1" t="s">
        <v>74</v>
      </c>
      <c r="BE28" s="1" t="s">
        <v>74</v>
      </c>
      <c r="BF28" s="1" t="s">
        <v>74</v>
      </c>
      <c r="BG28" s="1" t="s">
        <v>74</v>
      </c>
      <c r="BH28" s="1" t="s">
        <v>74</v>
      </c>
      <c r="BI28" s="1" t="s">
        <v>74</v>
      </c>
      <c r="BJ28" s="1" t="s">
        <v>74</v>
      </c>
      <c r="BK28" s="1" t="s">
        <v>74</v>
      </c>
      <c r="BL28" s="1" t="s">
        <v>74</v>
      </c>
      <c r="BM28" s="1" t="s">
        <v>74</v>
      </c>
      <c r="BN28" s="1">
        <v>1.0030087E7</v>
      </c>
      <c r="BO28" s="1" t="s">
        <v>74</v>
      </c>
      <c r="BP28" s="1" t="s">
        <v>74</v>
      </c>
      <c r="BQ28" s="1" t="s">
        <v>74</v>
      </c>
      <c r="BR28" s="1" t="s">
        <v>74</v>
      </c>
      <c r="BS28" s="1" t="s">
        <v>364</v>
      </c>
      <c r="BT28" s="1" t="str">
        <f>HYPERLINK("https%3A%2F%2Fwww.webofscience.com%2Fwos%2Fwoscc%2Ffull-record%2FWOS:000077387700004","View Full Record in Web of Science")</f>
        <v>View Full Record in Web of Science</v>
      </c>
    </row>
    <row r="29" ht="12.75" customHeight="1">
      <c r="A29" s="1" t="s">
        <v>72</v>
      </c>
      <c r="B29" s="1" t="s">
        <v>365</v>
      </c>
      <c r="C29" s="1" t="s">
        <v>74</v>
      </c>
      <c r="D29" s="1" t="s">
        <v>74</v>
      </c>
      <c r="E29" s="1" t="s">
        <v>74</v>
      </c>
      <c r="F29" s="1" t="s">
        <v>365</v>
      </c>
      <c r="G29" s="1" t="s">
        <v>74</v>
      </c>
      <c r="H29" s="1" t="s">
        <v>74</v>
      </c>
      <c r="I29" s="1" t="s">
        <v>366</v>
      </c>
      <c r="J29" s="1" t="s">
        <v>367</v>
      </c>
      <c r="K29" s="1" t="s">
        <v>74</v>
      </c>
      <c r="L29" s="1" t="s">
        <v>74</v>
      </c>
      <c r="M29" s="1" t="s">
        <v>74</v>
      </c>
      <c r="N29" s="1" t="s">
        <v>74</v>
      </c>
      <c r="O29" s="1" t="s">
        <v>74</v>
      </c>
      <c r="P29" s="1" t="s">
        <v>74</v>
      </c>
      <c r="Q29" s="1" t="s">
        <v>74</v>
      </c>
      <c r="R29" s="1" t="s">
        <v>74</v>
      </c>
      <c r="S29" s="1" t="s">
        <v>74</v>
      </c>
      <c r="T29" s="1" t="s">
        <v>74</v>
      </c>
      <c r="U29" s="1" t="s">
        <v>74</v>
      </c>
      <c r="V29" s="1" t="s">
        <v>368</v>
      </c>
      <c r="W29" s="1" t="s">
        <v>74</v>
      </c>
      <c r="X29" s="1" t="s">
        <v>74</v>
      </c>
      <c r="Y29" s="1" t="s">
        <v>74</v>
      </c>
      <c r="Z29" s="1" t="s">
        <v>74</v>
      </c>
      <c r="AA29" s="1" t="s">
        <v>74</v>
      </c>
      <c r="AB29" s="1" t="s">
        <v>208</v>
      </c>
      <c r="AC29" s="1" t="s">
        <v>74</v>
      </c>
      <c r="AD29" s="1" t="s">
        <v>74</v>
      </c>
      <c r="AE29" s="1" t="s">
        <v>74</v>
      </c>
      <c r="AF29" s="1" t="s">
        <v>74</v>
      </c>
      <c r="AG29" s="1" t="s">
        <v>74</v>
      </c>
      <c r="AH29" s="1" t="s">
        <v>74</v>
      </c>
      <c r="AI29" s="1" t="s">
        <v>74</v>
      </c>
      <c r="AJ29" s="1" t="s">
        <v>74</v>
      </c>
      <c r="AK29" s="1" t="s">
        <v>74</v>
      </c>
      <c r="AL29" s="1" t="s">
        <v>74</v>
      </c>
      <c r="AM29" s="1" t="s">
        <v>74</v>
      </c>
      <c r="AN29" s="1" t="s">
        <v>74</v>
      </c>
      <c r="AO29" s="1" t="s">
        <v>369</v>
      </c>
      <c r="AP29" s="1" t="s">
        <v>74</v>
      </c>
      <c r="AQ29" s="1" t="s">
        <v>74</v>
      </c>
      <c r="AR29" s="1" t="s">
        <v>74</v>
      </c>
      <c r="AS29" s="1" t="s">
        <v>74</v>
      </c>
      <c r="AT29" s="1" t="s">
        <v>370</v>
      </c>
      <c r="AU29" s="1">
        <v>1997.0</v>
      </c>
      <c r="AV29" s="1">
        <v>10.0</v>
      </c>
      <c r="AW29" s="1">
        <v>4.0</v>
      </c>
      <c r="AX29" s="1" t="s">
        <v>74</v>
      </c>
      <c r="AY29" s="1" t="s">
        <v>74</v>
      </c>
      <c r="AZ29" s="1" t="s">
        <v>74</v>
      </c>
      <c r="BA29" s="1" t="s">
        <v>74</v>
      </c>
      <c r="BB29" s="1">
        <v>331.0</v>
      </c>
      <c r="BC29" s="1">
        <v>340.0</v>
      </c>
      <c r="BD29" s="1" t="s">
        <v>74</v>
      </c>
      <c r="BE29" s="1" t="s">
        <v>371</v>
      </c>
      <c r="BF29" s="2" t="str">
        <f>HYPERLINK("http://dx.doi.org/10.1089/jam.1997.10.331","http://dx.doi.org/10.1089/jam.1997.10.331")</f>
        <v>http://dx.doi.org/10.1089/jam.1997.10.331</v>
      </c>
      <c r="BG29" s="1" t="s">
        <v>74</v>
      </c>
      <c r="BH29" s="1" t="s">
        <v>74</v>
      </c>
      <c r="BI29" s="1" t="s">
        <v>74</v>
      </c>
      <c r="BJ29" s="1" t="s">
        <v>74</v>
      </c>
      <c r="BK29" s="1" t="s">
        <v>74</v>
      </c>
      <c r="BL29" s="1" t="s">
        <v>74</v>
      </c>
      <c r="BM29" s="1" t="s">
        <v>74</v>
      </c>
      <c r="BN29" s="1" t="s">
        <v>74</v>
      </c>
      <c r="BO29" s="1" t="s">
        <v>74</v>
      </c>
      <c r="BP29" s="1" t="s">
        <v>74</v>
      </c>
      <c r="BQ29" s="1" t="s">
        <v>74</v>
      </c>
      <c r="BR29" s="1" t="s">
        <v>74</v>
      </c>
      <c r="BS29" s="1" t="s">
        <v>372</v>
      </c>
      <c r="BT29" s="1" t="str">
        <f>HYPERLINK("https%3A%2F%2Fwww.webofscience.com%2Fwos%2Fwoscc%2Ffull-record%2FWOS:000071044800004","View Full Record in Web of Science")</f>
        <v>View Full Record in Web of Science</v>
      </c>
    </row>
    <row r="30" ht="12.75" customHeight="1">
      <c r="A30" s="1" t="s">
        <v>72</v>
      </c>
      <c r="B30" s="1" t="s">
        <v>373</v>
      </c>
      <c r="C30" s="1" t="s">
        <v>74</v>
      </c>
      <c r="D30" s="1" t="s">
        <v>74</v>
      </c>
      <c r="E30" s="1" t="s">
        <v>74</v>
      </c>
      <c r="F30" s="1" t="s">
        <v>373</v>
      </c>
      <c r="G30" s="1" t="s">
        <v>74</v>
      </c>
      <c r="H30" s="1" t="s">
        <v>74</v>
      </c>
      <c r="I30" s="1" t="s">
        <v>374</v>
      </c>
      <c r="J30" s="1" t="s">
        <v>375</v>
      </c>
      <c r="K30" s="1" t="s">
        <v>74</v>
      </c>
      <c r="L30" s="1" t="s">
        <v>74</v>
      </c>
      <c r="M30" s="1" t="s">
        <v>74</v>
      </c>
      <c r="N30" s="1" t="s">
        <v>74</v>
      </c>
      <c r="O30" s="1" t="s">
        <v>74</v>
      </c>
      <c r="P30" s="1" t="s">
        <v>74</v>
      </c>
      <c r="Q30" s="1" t="s">
        <v>74</v>
      </c>
      <c r="R30" s="1" t="s">
        <v>74</v>
      </c>
      <c r="S30" s="1" t="s">
        <v>74</v>
      </c>
      <c r="T30" s="1" t="s">
        <v>74</v>
      </c>
      <c r="U30" s="1" t="s">
        <v>74</v>
      </c>
      <c r="V30" s="1" t="s">
        <v>376</v>
      </c>
      <c r="W30" s="1" t="s">
        <v>74</v>
      </c>
      <c r="X30" s="1" t="s">
        <v>74</v>
      </c>
      <c r="Y30" s="1" t="s">
        <v>74</v>
      </c>
      <c r="Z30" s="1" t="s">
        <v>74</v>
      </c>
      <c r="AA30" s="1" t="s">
        <v>377</v>
      </c>
      <c r="AB30" s="1" t="s">
        <v>74</v>
      </c>
      <c r="AC30" s="1" t="s">
        <v>74</v>
      </c>
      <c r="AD30" s="1" t="s">
        <v>74</v>
      </c>
      <c r="AE30" s="1" t="s">
        <v>74</v>
      </c>
      <c r="AF30" s="1" t="s">
        <v>74</v>
      </c>
      <c r="AG30" s="1" t="s">
        <v>74</v>
      </c>
      <c r="AH30" s="1" t="s">
        <v>74</v>
      </c>
      <c r="AI30" s="1" t="s">
        <v>74</v>
      </c>
      <c r="AJ30" s="1" t="s">
        <v>74</v>
      </c>
      <c r="AK30" s="1" t="s">
        <v>74</v>
      </c>
      <c r="AL30" s="1" t="s">
        <v>74</v>
      </c>
      <c r="AM30" s="1" t="s">
        <v>74</v>
      </c>
      <c r="AN30" s="1" t="s">
        <v>74</v>
      </c>
      <c r="AO30" s="1" t="s">
        <v>378</v>
      </c>
      <c r="AP30" s="1" t="s">
        <v>74</v>
      </c>
      <c r="AQ30" s="1" t="s">
        <v>74</v>
      </c>
      <c r="AR30" s="1" t="s">
        <v>74</v>
      </c>
      <c r="AS30" s="1" t="s">
        <v>74</v>
      </c>
      <c r="AT30" s="1" t="s">
        <v>379</v>
      </c>
      <c r="AU30" s="1">
        <v>1996.0</v>
      </c>
      <c r="AV30" s="1">
        <v>37.0</v>
      </c>
      <c r="AW30" s="1">
        <v>3.0</v>
      </c>
      <c r="AX30" s="1" t="s">
        <v>74</v>
      </c>
      <c r="AY30" s="1" t="s">
        <v>74</v>
      </c>
      <c r="AZ30" s="1" t="s">
        <v>74</v>
      </c>
      <c r="BA30" s="1" t="s">
        <v>74</v>
      </c>
      <c r="BB30" s="1">
        <v>345.0</v>
      </c>
      <c r="BC30" s="1">
        <v>351.0</v>
      </c>
      <c r="BD30" s="1" t="s">
        <v>74</v>
      </c>
      <c r="BE30" s="1" t="s">
        <v>380</v>
      </c>
      <c r="BF30" s="2" t="str">
        <f>HYPERLINK("http://dx.doi.org/10.1007/BF00318067","http://dx.doi.org/10.1007/BF00318067")</f>
        <v>http://dx.doi.org/10.1007/BF00318067</v>
      </c>
      <c r="BG30" s="1" t="s">
        <v>74</v>
      </c>
      <c r="BH30" s="1" t="s">
        <v>74</v>
      </c>
      <c r="BI30" s="1" t="s">
        <v>74</v>
      </c>
      <c r="BJ30" s="1" t="s">
        <v>74</v>
      </c>
      <c r="BK30" s="1" t="s">
        <v>74</v>
      </c>
      <c r="BL30" s="1" t="s">
        <v>74</v>
      </c>
      <c r="BM30" s="1" t="s">
        <v>74</v>
      </c>
      <c r="BN30" s="1" t="s">
        <v>74</v>
      </c>
      <c r="BO30" s="1" t="s">
        <v>74</v>
      </c>
      <c r="BP30" s="1" t="s">
        <v>74</v>
      </c>
      <c r="BQ30" s="1" t="s">
        <v>74</v>
      </c>
      <c r="BR30" s="1" t="s">
        <v>74</v>
      </c>
      <c r="BS30" s="1" t="s">
        <v>381</v>
      </c>
      <c r="BT30" s="1" t="str">
        <f>HYPERLINK("https%3A%2F%2Fwww.webofscience.com%2Fwos%2Fwoscc%2Ffull-record%2FWOS:A1996VC91300010","View Full Record in Web of Science")</f>
        <v>View Full Record in Web of Science</v>
      </c>
    </row>
    <row r="31" ht="12.75" customHeight="1">
      <c r="A31" s="1" t="s">
        <v>72</v>
      </c>
      <c r="B31" s="1" t="s">
        <v>382</v>
      </c>
      <c r="C31" s="1" t="s">
        <v>74</v>
      </c>
      <c r="D31" s="1" t="s">
        <v>74</v>
      </c>
      <c r="E31" s="1" t="s">
        <v>74</v>
      </c>
      <c r="F31" s="1" t="s">
        <v>382</v>
      </c>
      <c r="G31" s="1" t="s">
        <v>74</v>
      </c>
      <c r="H31" s="1" t="s">
        <v>74</v>
      </c>
      <c r="I31" s="1" t="s">
        <v>383</v>
      </c>
      <c r="J31" s="1" t="s">
        <v>384</v>
      </c>
      <c r="K31" s="1" t="s">
        <v>74</v>
      </c>
      <c r="L31" s="1" t="s">
        <v>74</v>
      </c>
      <c r="M31" s="1" t="s">
        <v>74</v>
      </c>
      <c r="N31" s="1" t="s">
        <v>74</v>
      </c>
      <c r="O31" s="1" t="s">
        <v>74</v>
      </c>
      <c r="P31" s="1" t="s">
        <v>74</v>
      </c>
      <c r="Q31" s="1" t="s">
        <v>74</v>
      </c>
      <c r="R31" s="1" t="s">
        <v>74</v>
      </c>
      <c r="S31" s="1" t="s">
        <v>74</v>
      </c>
      <c r="T31" s="1" t="s">
        <v>74</v>
      </c>
      <c r="U31" s="1" t="s">
        <v>74</v>
      </c>
      <c r="V31" s="1" t="s">
        <v>385</v>
      </c>
      <c r="W31" s="1" t="s">
        <v>74</v>
      </c>
      <c r="X31" s="1" t="s">
        <v>74</v>
      </c>
      <c r="Y31" s="1" t="s">
        <v>74</v>
      </c>
      <c r="Z31" s="1" t="s">
        <v>74</v>
      </c>
      <c r="AA31" s="1" t="s">
        <v>386</v>
      </c>
      <c r="AB31" s="1" t="s">
        <v>387</v>
      </c>
      <c r="AC31" s="1" t="s">
        <v>74</v>
      </c>
      <c r="AD31" s="1" t="s">
        <v>74</v>
      </c>
      <c r="AE31" s="1" t="s">
        <v>74</v>
      </c>
      <c r="AF31" s="1" t="s">
        <v>74</v>
      </c>
      <c r="AG31" s="1" t="s">
        <v>74</v>
      </c>
      <c r="AH31" s="1" t="s">
        <v>74</v>
      </c>
      <c r="AI31" s="1" t="s">
        <v>74</v>
      </c>
      <c r="AJ31" s="1" t="s">
        <v>74</v>
      </c>
      <c r="AK31" s="1" t="s">
        <v>74</v>
      </c>
      <c r="AL31" s="1" t="s">
        <v>74</v>
      </c>
      <c r="AM31" s="1" t="s">
        <v>74</v>
      </c>
      <c r="AN31" s="1" t="s">
        <v>74</v>
      </c>
      <c r="AO31" s="1" t="s">
        <v>388</v>
      </c>
      <c r="AP31" s="1" t="s">
        <v>74</v>
      </c>
      <c r="AQ31" s="1" t="s">
        <v>74</v>
      </c>
      <c r="AR31" s="1" t="s">
        <v>74</v>
      </c>
      <c r="AS31" s="1" t="s">
        <v>74</v>
      </c>
      <c r="AT31" s="1" t="s">
        <v>389</v>
      </c>
      <c r="AU31" s="1">
        <v>1994.0</v>
      </c>
      <c r="AV31" s="1">
        <v>83.0</v>
      </c>
      <c r="AW31" s="1">
        <v>2.0</v>
      </c>
      <c r="AX31" s="1" t="s">
        <v>74</v>
      </c>
      <c r="AY31" s="1" t="s">
        <v>74</v>
      </c>
      <c r="AZ31" s="1" t="s">
        <v>74</v>
      </c>
      <c r="BA31" s="1" t="s">
        <v>74</v>
      </c>
      <c r="BB31" s="1">
        <v>188.0</v>
      </c>
      <c r="BC31" s="1">
        <v>191.0</v>
      </c>
      <c r="BD31" s="1" t="s">
        <v>74</v>
      </c>
      <c r="BE31" s="1" t="s">
        <v>390</v>
      </c>
      <c r="BF31" s="2" t="str">
        <f>HYPERLINK("http://dx.doi.org/10.1111/j.1651-2227.1994.tb13048.x","http://dx.doi.org/10.1111/j.1651-2227.1994.tb13048.x")</f>
        <v>http://dx.doi.org/10.1111/j.1651-2227.1994.tb13048.x</v>
      </c>
      <c r="BG31" s="1" t="s">
        <v>74</v>
      </c>
      <c r="BH31" s="1" t="s">
        <v>74</v>
      </c>
      <c r="BI31" s="1" t="s">
        <v>74</v>
      </c>
      <c r="BJ31" s="1" t="s">
        <v>74</v>
      </c>
      <c r="BK31" s="1" t="s">
        <v>74</v>
      </c>
      <c r="BL31" s="1" t="s">
        <v>74</v>
      </c>
      <c r="BM31" s="1" t="s">
        <v>74</v>
      </c>
      <c r="BN31" s="1">
        <v>8193500.0</v>
      </c>
      <c r="BO31" s="1" t="s">
        <v>74</v>
      </c>
      <c r="BP31" s="1" t="s">
        <v>74</v>
      </c>
      <c r="BQ31" s="1" t="s">
        <v>74</v>
      </c>
      <c r="BR31" s="1" t="s">
        <v>74</v>
      </c>
      <c r="BS31" s="1" t="s">
        <v>391</v>
      </c>
      <c r="BT31" s="1" t="str">
        <f>HYPERLINK("https%3A%2F%2Fwww.webofscience.com%2Fwos%2Fwoscc%2Ffull-record%2FWOS:A1994NB06600016","View Full Record in Web of Science")</f>
        <v>View Full Record in Web of Science</v>
      </c>
    </row>
    <row r="32" ht="12.75" customHeight="1">
      <c r="A32" s="1" t="s">
        <v>72</v>
      </c>
      <c r="B32" s="1" t="s">
        <v>392</v>
      </c>
      <c r="C32" s="1" t="s">
        <v>74</v>
      </c>
      <c r="D32" s="1" t="s">
        <v>74</v>
      </c>
      <c r="E32" s="1" t="s">
        <v>74</v>
      </c>
      <c r="F32" s="1" t="s">
        <v>392</v>
      </c>
      <c r="G32" s="1" t="s">
        <v>74</v>
      </c>
      <c r="H32" s="1" t="s">
        <v>74</v>
      </c>
      <c r="I32" s="1" t="s">
        <v>393</v>
      </c>
      <c r="J32" s="1" t="s">
        <v>394</v>
      </c>
      <c r="K32" s="1" t="s">
        <v>74</v>
      </c>
      <c r="L32" s="1" t="s">
        <v>74</v>
      </c>
      <c r="M32" s="1" t="s">
        <v>74</v>
      </c>
      <c r="N32" s="1" t="s">
        <v>74</v>
      </c>
      <c r="O32" s="1" t="s">
        <v>74</v>
      </c>
      <c r="P32" s="1" t="s">
        <v>74</v>
      </c>
      <c r="Q32" s="1" t="s">
        <v>74</v>
      </c>
      <c r="R32" s="1" t="s">
        <v>74</v>
      </c>
      <c r="S32" s="1" t="s">
        <v>74</v>
      </c>
      <c r="T32" s="1" t="s">
        <v>74</v>
      </c>
      <c r="U32" s="1" t="s">
        <v>74</v>
      </c>
      <c r="V32" s="1" t="s">
        <v>395</v>
      </c>
      <c r="W32" s="1" t="s">
        <v>74</v>
      </c>
      <c r="X32" s="1" t="s">
        <v>74</v>
      </c>
      <c r="Y32" s="1" t="s">
        <v>74</v>
      </c>
      <c r="Z32" s="1" t="s">
        <v>74</v>
      </c>
      <c r="AA32" s="1" t="s">
        <v>74</v>
      </c>
      <c r="AB32" s="1" t="s">
        <v>74</v>
      </c>
      <c r="AC32" s="1" t="s">
        <v>74</v>
      </c>
      <c r="AD32" s="1" t="s">
        <v>74</v>
      </c>
      <c r="AE32" s="1" t="s">
        <v>74</v>
      </c>
      <c r="AF32" s="1" t="s">
        <v>74</v>
      </c>
      <c r="AG32" s="1" t="s">
        <v>74</v>
      </c>
      <c r="AH32" s="1" t="s">
        <v>74</v>
      </c>
      <c r="AI32" s="1" t="s">
        <v>74</v>
      </c>
      <c r="AJ32" s="1" t="s">
        <v>74</v>
      </c>
      <c r="AK32" s="1" t="s">
        <v>74</v>
      </c>
      <c r="AL32" s="1" t="s">
        <v>74</v>
      </c>
      <c r="AM32" s="1" t="s">
        <v>74</v>
      </c>
      <c r="AN32" s="1" t="s">
        <v>74</v>
      </c>
      <c r="AO32" s="1" t="s">
        <v>396</v>
      </c>
      <c r="AP32" s="1" t="s">
        <v>74</v>
      </c>
      <c r="AQ32" s="1" t="s">
        <v>74</v>
      </c>
      <c r="AR32" s="1" t="s">
        <v>74</v>
      </c>
      <c r="AS32" s="1" t="s">
        <v>74</v>
      </c>
      <c r="AT32" s="1" t="s">
        <v>277</v>
      </c>
      <c r="AU32" s="1">
        <v>1993.0</v>
      </c>
      <c r="AV32" s="1">
        <v>36.0</v>
      </c>
      <c r="AW32" s="1">
        <v>1.0</v>
      </c>
      <c r="AX32" s="1" t="s">
        <v>74</v>
      </c>
      <c r="AY32" s="1" t="s">
        <v>74</v>
      </c>
      <c r="AZ32" s="1" t="s">
        <v>74</v>
      </c>
      <c r="BA32" s="1" t="s">
        <v>74</v>
      </c>
      <c r="BB32" s="1">
        <v>47.0</v>
      </c>
      <c r="BC32" s="1">
        <v>51.0</v>
      </c>
      <c r="BD32" s="1" t="s">
        <v>74</v>
      </c>
      <c r="BE32" s="1" t="s">
        <v>397</v>
      </c>
      <c r="BF32" s="2" t="str">
        <f>HYPERLINK("http://dx.doi.org/10.1515/botm.1993.36.1.47","http://dx.doi.org/10.1515/botm.1993.36.1.47")</f>
        <v>http://dx.doi.org/10.1515/botm.1993.36.1.47</v>
      </c>
      <c r="BG32" s="1" t="s">
        <v>74</v>
      </c>
      <c r="BH32" s="1" t="s">
        <v>74</v>
      </c>
      <c r="BI32" s="1" t="s">
        <v>74</v>
      </c>
      <c r="BJ32" s="1" t="s">
        <v>74</v>
      </c>
      <c r="BK32" s="1" t="s">
        <v>74</v>
      </c>
      <c r="BL32" s="1" t="s">
        <v>74</v>
      </c>
      <c r="BM32" s="1" t="s">
        <v>74</v>
      </c>
      <c r="BN32" s="1" t="s">
        <v>74</v>
      </c>
      <c r="BO32" s="1" t="s">
        <v>74</v>
      </c>
      <c r="BP32" s="1" t="s">
        <v>74</v>
      </c>
      <c r="BQ32" s="1" t="s">
        <v>74</v>
      </c>
      <c r="BR32" s="1" t="s">
        <v>74</v>
      </c>
      <c r="BS32" s="1" t="s">
        <v>398</v>
      </c>
      <c r="BT32" s="1" t="str">
        <f>HYPERLINK("https%3A%2F%2Fwww.webofscience.com%2Fwos%2Fwoscc%2Ffull-record%2FWOS:A1993KW91500008","View Full Record in Web of Science")</f>
        <v>View Full Record in Web of Science</v>
      </c>
    </row>
    <row r="33" ht="12.75" customHeight="1">
      <c r="A33" s="1" t="s">
        <v>72</v>
      </c>
      <c r="B33" s="1" t="s">
        <v>399</v>
      </c>
      <c r="C33" s="1" t="s">
        <v>74</v>
      </c>
      <c r="D33" s="1" t="s">
        <v>74</v>
      </c>
      <c r="E33" s="1" t="s">
        <v>74</v>
      </c>
      <c r="F33" s="1" t="s">
        <v>399</v>
      </c>
      <c r="G33" s="1" t="s">
        <v>74</v>
      </c>
      <c r="H33" s="1" t="s">
        <v>74</v>
      </c>
      <c r="I33" s="1" t="s">
        <v>400</v>
      </c>
      <c r="J33" s="1" t="s">
        <v>401</v>
      </c>
      <c r="K33" s="1" t="s">
        <v>74</v>
      </c>
      <c r="L33" s="1" t="s">
        <v>74</v>
      </c>
      <c r="M33" s="1" t="s">
        <v>74</v>
      </c>
      <c r="N33" s="1" t="s">
        <v>74</v>
      </c>
      <c r="O33" s="1" t="s">
        <v>74</v>
      </c>
      <c r="P33" s="1" t="s">
        <v>74</v>
      </c>
      <c r="Q33" s="1" t="s">
        <v>74</v>
      </c>
      <c r="R33" s="1" t="s">
        <v>74</v>
      </c>
      <c r="S33" s="1" t="s">
        <v>74</v>
      </c>
      <c r="T33" s="1" t="s">
        <v>74</v>
      </c>
      <c r="U33" s="1" t="s">
        <v>74</v>
      </c>
      <c r="V33" s="1" t="s">
        <v>74</v>
      </c>
      <c r="W33" s="1" t="s">
        <v>74</v>
      </c>
      <c r="X33" s="1" t="s">
        <v>74</v>
      </c>
      <c r="Y33" s="1" t="s">
        <v>74</v>
      </c>
      <c r="Z33" s="1" t="s">
        <v>74</v>
      </c>
      <c r="AA33" s="1" t="s">
        <v>402</v>
      </c>
      <c r="AB33" s="1" t="s">
        <v>403</v>
      </c>
      <c r="AC33" s="1" t="s">
        <v>74</v>
      </c>
      <c r="AD33" s="1" t="s">
        <v>74</v>
      </c>
      <c r="AE33" s="1" t="s">
        <v>74</v>
      </c>
      <c r="AF33" s="1" t="s">
        <v>74</v>
      </c>
      <c r="AG33" s="1" t="s">
        <v>74</v>
      </c>
      <c r="AH33" s="1" t="s">
        <v>74</v>
      </c>
      <c r="AI33" s="1" t="s">
        <v>74</v>
      </c>
      <c r="AJ33" s="1" t="s">
        <v>74</v>
      </c>
      <c r="AK33" s="1" t="s">
        <v>74</v>
      </c>
      <c r="AL33" s="1" t="s">
        <v>74</v>
      </c>
      <c r="AM33" s="1" t="s">
        <v>74</v>
      </c>
      <c r="AN33" s="1" t="s">
        <v>74</v>
      </c>
      <c r="AO33" s="1" t="s">
        <v>404</v>
      </c>
      <c r="AP33" s="1" t="s">
        <v>74</v>
      </c>
      <c r="AQ33" s="1" t="s">
        <v>74</v>
      </c>
      <c r="AR33" s="1" t="s">
        <v>74</v>
      </c>
      <c r="AS33" s="1" t="s">
        <v>74</v>
      </c>
      <c r="AT33" s="1" t="s">
        <v>221</v>
      </c>
      <c r="AU33" s="1">
        <v>1989.0</v>
      </c>
      <c r="AV33" s="1">
        <v>5.0</v>
      </c>
      <c r="AW33" s="1">
        <v>3.0</v>
      </c>
      <c r="AX33" s="1" t="s">
        <v>74</v>
      </c>
      <c r="AY33" s="1" t="s">
        <v>74</v>
      </c>
      <c r="AZ33" s="1" t="s">
        <v>74</v>
      </c>
      <c r="BA33" s="1" t="s">
        <v>74</v>
      </c>
      <c r="BB33" s="1">
        <v>753.0</v>
      </c>
      <c r="BC33" s="1">
        <v>757.0</v>
      </c>
      <c r="BD33" s="1" t="s">
        <v>74</v>
      </c>
      <c r="BE33" s="1" t="s">
        <v>405</v>
      </c>
      <c r="BF33" s="2" t="str">
        <f>HYPERLINK("http://dx.doi.org/10.1021/la00087a031","http://dx.doi.org/10.1021/la00087a031")</f>
        <v>http://dx.doi.org/10.1021/la00087a031</v>
      </c>
      <c r="BG33" s="1" t="s">
        <v>74</v>
      </c>
      <c r="BH33" s="1" t="s">
        <v>74</v>
      </c>
      <c r="BI33" s="1" t="s">
        <v>74</v>
      </c>
      <c r="BJ33" s="1" t="s">
        <v>74</v>
      </c>
      <c r="BK33" s="1" t="s">
        <v>74</v>
      </c>
      <c r="BL33" s="1" t="s">
        <v>74</v>
      </c>
      <c r="BM33" s="1" t="s">
        <v>74</v>
      </c>
      <c r="BN33" s="1" t="s">
        <v>74</v>
      </c>
      <c r="BO33" s="1" t="s">
        <v>74</v>
      </c>
      <c r="BP33" s="1" t="s">
        <v>74</v>
      </c>
      <c r="BQ33" s="1" t="s">
        <v>74</v>
      </c>
      <c r="BR33" s="1" t="s">
        <v>74</v>
      </c>
      <c r="BS33" s="1" t="s">
        <v>406</v>
      </c>
      <c r="BT33" s="1" t="str">
        <f>HYPERLINK("https%3A%2F%2Fwww.webofscience.com%2Fwos%2Fwoscc%2Ffull-record%2FWOS:A1989U745300032","View Full Record in Web of Science")</f>
        <v>View Full Record in Web of Science</v>
      </c>
    </row>
    <row r="34" ht="12.75" customHeight="1">
      <c r="A34" s="1" t="s">
        <v>72</v>
      </c>
      <c r="B34" s="1" t="s">
        <v>407</v>
      </c>
      <c r="C34" s="1" t="s">
        <v>74</v>
      </c>
      <c r="D34" s="1" t="s">
        <v>74</v>
      </c>
      <c r="E34" s="1" t="s">
        <v>74</v>
      </c>
      <c r="F34" s="1" t="s">
        <v>407</v>
      </c>
      <c r="G34" s="1" t="s">
        <v>74</v>
      </c>
      <c r="H34" s="1" t="s">
        <v>74</v>
      </c>
      <c r="I34" s="1" t="s">
        <v>408</v>
      </c>
      <c r="J34" s="1" t="s">
        <v>77</v>
      </c>
      <c r="K34" s="1" t="s">
        <v>74</v>
      </c>
      <c r="L34" s="1" t="s">
        <v>74</v>
      </c>
      <c r="M34" s="1" t="s">
        <v>74</v>
      </c>
      <c r="N34" s="1" t="s">
        <v>74</v>
      </c>
      <c r="O34" s="1" t="s">
        <v>74</v>
      </c>
      <c r="P34" s="1" t="s">
        <v>74</v>
      </c>
      <c r="Q34" s="1" t="s">
        <v>74</v>
      </c>
      <c r="R34" s="1" t="s">
        <v>74</v>
      </c>
      <c r="S34" s="1" t="s">
        <v>74</v>
      </c>
      <c r="T34" s="1" t="s">
        <v>74</v>
      </c>
      <c r="U34" s="1" t="s">
        <v>74</v>
      </c>
      <c r="V34" s="1" t="s">
        <v>74</v>
      </c>
      <c r="W34" s="1" t="s">
        <v>74</v>
      </c>
      <c r="X34" s="1" t="s">
        <v>74</v>
      </c>
      <c r="Y34" s="1" t="s">
        <v>74</v>
      </c>
      <c r="Z34" s="1" t="s">
        <v>74</v>
      </c>
      <c r="AA34" s="1" t="s">
        <v>74</v>
      </c>
      <c r="AB34" s="1" t="s">
        <v>74</v>
      </c>
      <c r="AC34" s="1" t="s">
        <v>74</v>
      </c>
      <c r="AD34" s="1" t="s">
        <v>74</v>
      </c>
      <c r="AE34" s="1" t="s">
        <v>74</v>
      </c>
      <c r="AF34" s="1" t="s">
        <v>74</v>
      </c>
      <c r="AG34" s="1" t="s">
        <v>74</v>
      </c>
      <c r="AH34" s="1" t="s">
        <v>74</v>
      </c>
      <c r="AI34" s="1" t="s">
        <v>74</v>
      </c>
      <c r="AJ34" s="1" t="s">
        <v>74</v>
      </c>
      <c r="AK34" s="1" t="s">
        <v>74</v>
      </c>
      <c r="AL34" s="1" t="s">
        <v>74</v>
      </c>
      <c r="AM34" s="1" t="s">
        <v>74</v>
      </c>
      <c r="AN34" s="1" t="s">
        <v>74</v>
      </c>
      <c r="AO34" s="1" t="s">
        <v>81</v>
      </c>
      <c r="AP34" s="1" t="s">
        <v>74</v>
      </c>
      <c r="AQ34" s="1" t="s">
        <v>74</v>
      </c>
      <c r="AR34" s="1" t="s">
        <v>74</v>
      </c>
      <c r="AS34" s="1" t="s">
        <v>74</v>
      </c>
      <c r="AT34" s="1" t="s">
        <v>379</v>
      </c>
      <c r="AU34" s="1">
        <v>1988.0</v>
      </c>
      <c r="AV34" s="1">
        <v>10.0</v>
      </c>
      <c r="AW34" s="1">
        <v>4.0</v>
      </c>
      <c r="AX34" s="1" t="s">
        <v>74</v>
      </c>
      <c r="AY34" s="1" t="s">
        <v>74</v>
      </c>
      <c r="AZ34" s="1" t="s">
        <v>74</v>
      </c>
      <c r="BA34" s="1" t="s">
        <v>74</v>
      </c>
      <c r="BB34" s="1">
        <v>407.0</v>
      </c>
      <c r="BC34" s="1">
        <v>425.0</v>
      </c>
      <c r="BD34" s="1" t="s">
        <v>74</v>
      </c>
      <c r="BE34" s="1" t="s">
        <v>409</v>
      </c>
      <c r="BF34" s="2" t="str">
        <f>HYPERLINK("http://dx.doi.org/10.1002/mma.1670100406","http://dx.doi.org/10.1002/mma.1670100406")</f>
        <v>http://dx.doi.org/10.1002/mma.1670100406</v>
      </c>
      <c r="BG34" s="1" t="s">
        <v>74</v>
      </c>
      <c r="BH34" s="1" t="s">
        <v>74</v>
      </c>
      <c r="BI34" s="1" t="s">
        <v>74</v>
      </c>
      <c r="BJ34" s="1" t="s">
        <v>74</v>
      </c>
      <c r="BK34" s="1" t="s">
        <v>74</v>
      </c>
      <c r="BL34" s="1" t="s">
        <v>74</v>
      </c>
      <c r="BM34" s="1" t="s">
        <v>74</v>
      </c>
      <c r="BN34" s="1" t="s">
        <v>74</v>
      </c>
      <c r="BO34" s="1" t="s">
        <v>74</v>
      </c>
      <c r="BP34" s="1" t="s">
        <v>74</v>
      </c>
      <c r="BQ34" s="1" t="s">
        <v>74</v>
      </c>
      <c r="BR34" s="1" t="s">
        <v>74</v>
      </c>
      <c r="BS34" s="1" t="s">
        <v>410</v>
      </c>
      <c r="BT34" s="1" t="str">
        <f>HYPERLINK("https%3A%2F%2Fwww.webofscience.com%2Fwos%2Fwoscc%2Ffull-record%2FWOS:A1988P898900005","View Full Record in Web of Science")</f>
        <v>View Full Record in Web of Science</v>
      </c>
    </row>
    <row r="35" ht="12.75" customHeight="1">
      <c r="A35" s="1" t="s">
        <v>72</v>
      </c>
      <c r="B35" s="1" t="s">
        <v>411</v>
      </c>
      <c r="C35" s="1" t="s">
        <v>74</v>
      </c>
      <c r="D35" s="1" t="s">
        <v>74</v>
      </c>
      <c r="E35" s="1" t="s">
        <v>74</v>
      </c>
      <c r="F35" s="1" t="s">
        <v>411</v>
      </c>
      <c r="G35" s="1" t="s">
        <v>74</v>
      </c>
      <c r="H35" s="1" t="s">
        <v>74</v>
      </c>
      <c r="I35" s="1" t="s">
        <v>412</v>
      </c>
      <c r="J35" s="1" t="s">
        <v>413</v>
      </c>
      <c r="K35" s="1" t="s">
        <v>74</v>
      </c>
      <c r="L35" s="1" t="s">
        <v>74</v>
      </c>
      <c r="M35" s="1" t="s">
        <v>74</v>
      </c>
      <c r="N35" s="1" t="s">
        <v>74</v>
      </c>
      <c r="O35" s="1" t="s">
        <v>74</v>
      </c>
      <c r="P35" s="1" t="s">
        <v>74</v>
      </c>
      <c r="Q35" s="1" t="s">
        <v>74</v>
      </c>
      <c r="R35" s="1" t="s">
        <v>74</v>
      </c>
      <c r="S35" s="1" t="s">
        <v>74</v>
      </c>
      <c r="T35" s="1" t="s">
        <v>74</v>
      </c>
      <c r="U35" s="1" t="s">
        <v>74</v>
      </c>
      <c r="V35" s="1" t="s">
        <v>74</v>
      </c>
      <c r="W35" s="1" t="s">
        <v>74</v>
      </c>
      <c r="X35" s="1" t="s">
        <v>74</v>
      </c>
      <c r="Y35" s="1" t="s">
        <v>74</v>
      </c>
      <c r="Z35" s="1" t="s">
        <v>74</v>
      </c>
      <c r="AA35" s="1" t="s">
        <v>74</v>
      </c>
      <c r="AB35" s="1" t="s">
        <v>74</v>
      </c>
      <c r="AC35" s="1" t="s">
        <v>74</v>
      </c>
      <c r="AD35" s="1" t="s">
        <v>74</v>
      </c>
      <c r="AE35" s="1" t="s">
        <v>74</v>
      </c>
      <c r="AF35" s="1" t="s">
        <v>74</v>
      </c>
      <c r="AG35" s="1" t="s">
        <v>74</v>
      </c>
      <c r="AH35" s="1" t="s">
        <v>74</v>
      </c>
      <c r="AI35" s="1" t="s">
        <v>74</v>
      </c>
      <c r="AJ35" s="1" t="s">
        <v>74</v>
      </c>
      <c r="AK35" s="1" t="s">
        <v>74</v>
      </c>
      <c r="AL35" s="1" t="s">
        <v>74</v>
      </c>
      <c r="AM35" s="1" t="s">
        <v>74</v>
      </c>
      <c r="AN35" s="1" t="s">
        <v>74</v>
      </c>
      <c r="AO35" s="1" t="s">
        <v>414</v>
      </c>
      <c r="AP35" s="1" t="s">
        <v>74</v>
      </c>
      <c r="AQ35" s="1" t="s">
        <v>74</v>
      </c>
      <c r="AR35" s="1" t="s">
        <v>74</v>
      </c>
      <c r="AS35" s="1" t="s">
        <v>74</v>
      </c>
      <c r="AT35" s="1" t="s">
        <v>415</v>
      </c>
      <c r="AU35" s="1">
        <v>1987.0</v>
      </c>
      <c r="AV35" s="1">
        <v>32.0</v>
      </c>
      <c r="AW35" s="1">
        <v>4.0</v>
      </c>
      <c r="AX35" s="1" t="s">
        <v>74</v>
      </c>
      <c r="AY35" s="1" t="s">
        <v>74</v>
      </c>
      <c r="AZ35" s="1" t="s">
        <v>74</v>
      </c>
      <c r="BA35" s="1" t="s">
        <v>74</v>
      </c>
      <c r="BB35" s="1">
        <v>199.0</v>
      </c>
      <c r="BC35" s="1">
        <v>213.0</v>
      </c>
      <c r="BD35" s="1" t="s">
        <v>74</v>
      </c>
      <c r="BE35" s="1" t="s">
        <v>74</v>
      </c>
      <c r="BF35" s="1" t="s">
        <v>74</v>
      </c>
      <c r="BG35" s="1" t="s">
        <v>74</v>
      </c>
      <c r="BH35" s="1" t="s">
        <v>74</v>
      </c>
      <c r="BI35" s="1" t="s">
        <v>74</v>
      </c>
      <c r="BJ35" s="1" t="s">
        <v>74</v>
      </c>
      <c r="BK35" s="1" t="s">
        <v>74</v>
      </c>
      <c r="BL35" s="1" t="s">
        <v>74</v>
      </c>
      <c r="BM35" s="1" t="s">
        <v>74</v>
      </c>
      <c r="BN35" s="1" t="s">
        <v>74</v>
      </c>
      <c r="BO35" s="1" t="s">
        <v>74</v>
      </c>
      <c r="BP35" s="1" t="s">
        <v>74</v>
      </c>
      <c r="BQ35" s="1" t="s">
        <v>74</v>
      </c>
      <c r="BR35" s="1" t="s">
        <v>74</v>
      </c>
      <c r="BS35" s="1" t="s">
        <v>416</v>
      </c>
      <c r="BT35" s="1" t="str">
        <f>HYPERLINK("https%3A%2F%2Fwww.webofscience.com%2Fwos%2Fwoscc%2Ffull-record%2FWOS:A1987L154000005","View Full Record in Web of Science")</f>
        <v>View Full Record in Web of Science</v>
      </c>
    </row>
    <row r="36" ht="12.75" customHeight="1">
      <c r="A36" s="1" t="s">
        <v>72</v>
      </c>
      <c r="B36" s="1" t="s">
        <v>417</v>
      </c>
      <c r="C36" s="1" t="s">
        <v>74</v>
      </c>
      <c r="D36" s="1" t="s">
        <v>74</v>
      </c>
      <c r="E36" s="1" t="s">
        <v>74</v>
      </c>
      <c r="F36" s="1" t="s">
        <v>417</v>
      </c>
      <c r="G36" s="1" t="s">
        <v>74</v>
      </c>
      <c r="H36" s="1" t="s">
        <v>74</v>
      </c>
      <c r="I36" s="1" t="s">
        <v>418</v>
      </c>
      <c r="J36" s="1" t="s">
        <v>419</v>
      </c>
      <c r="K36" s="1" t="s">
        <v>74</v>
      </c>
      <c r="L36" s="1" t="s">
        <v>74</v>
      </c>
      <c r="M36" s="1" t="s">
        <v>74</v>
      </c>
      <c r="N36" s="1" t="s">
        <v>74</v>
      </c>
      <c r="O36" s="1" t="s">
        <v>74</v>
      </c>
      <c r="P36" s="1" t="s">
        <v>74</v>
      </c>
      <c r="Q36" s="1" t="s">
        <v>74</v>
      </c>
      <c r="R36" s="1" t="s">
        <v>74</v>
      </c>
      <c r="S36" s="1" t="s">
        <v>74</v>
      </c>
      <c r="T36" s="1" t="s">
        <v>74</v>
      </c>
      <c r="U36" s="1" t="s">
        <v>74</v>
      </c>
      <c r="V36" s="1" t="s">
        <v>74</v>
      </c>
      <c r="W36" s="1" t="s">
        <v>74</v>
      </c>
      <c r="X36" s="1" t="s">
        <v>74</v>
      </c>
      <c r="Y36" s="1" t="s">
        <v>74</v>
      </c>
      <c r="Z36" s="1" t="s">
        <v>74</v>
      </c>
      <c r="AA36" s="1" t="s">
        <v>74</v>
      </c>
      <c r="AB36" s="1" t="s">
        <v>74</v>
      </c>
      <c r="AC36" s="1" t="s">
        <v>74</v>
      </c>
      <c r="AD36" s="1" t="s">
        <v>74</v>
      </c>
      <c r="AE36" s="1" t="s">
        <v>74</v>
      </c>
      <c r="AF36" s="1" t="s">
        <v>74</v>
      </c>
      <c r="AG36" s="1" t="s">
        <v>74</v>
      </c>
      <c r="AH36" s="1" t="s">
        <v>74</v>
      </c>
      <c r="AI36" s="1" t="s">
        <v>74</v>
      </c>
      <c r="AJ36" s="1" t="s">
        <v>74</v>
      </c>
      <c r="AK36" s="1" t="s">
        <v>74</v>
      </c>
      <c r="AL36" s="1" t="s">
        <v>74</v>
      </c>
      <c r="AM36" s="1" t="s">
        <v>74</v>
      </c>
      <c r="AN36" s="1" t="s">
        <v>74</v>
      </c>
      <c r="AO36" s="1" t="s">
        <v>420</v>
      </c>
      <c r="AP36" s="1" t="s">
        <v>74</v>
      </c>
      <c r="AQ36" s="1" t="s">
        <v>74</v>
      </c>
      <c r="AR36" s="1" t="s">
        <v>74</v>
      </c>
      <c r="AS36" s="1" t="s">
        <v>74</v>
      </c>
      <c r="AT36" s="1" t="s">
        <v>421</v>
      </c>
      <c r="AU36" s="1">
        <v>1986.0</v>
      </c>
      <c r="AV36" s="1">
        <v>35.0</v>
      </c>
      <c r="AW36" s="1">
        <v>2.0</v>
      </c>
      <c r="AX36" s="1" t="s">
        <v>74</v>
      </c>
      <c r="AY36" s="1" t="s">
        <v>74</v>
      </c>
      <c r="AZ36" s="1" t="s">
        <v>74</v>
      </c>
      <c r="BA36" s="1" t="s">
        <v>74</v>
      </c>
      <c r="BB36" s="1">
        <v>161.0</v>
      </c>
      <c r="BC36" s="1">
        <v>167.0</v>
      </c>
      <c r="BD36" s="1" t="s">
        <v>74</v>
      </c>
      <c r="BE36" s="1" t="s">
        <v>422</v>
      </c>
      <c r="BF36" s="2" t="str">
        <f>HYPERLINK("http://dx.doi.org/10.1016/0304-5102(86)87021-3","http://dx.doi.org/10.1016/0304-5102(86)87021-3")</f>
        <v>http://dx.doi.org/10.1016/0304-5102(86)87021-3</v>
      </c>
      <c r="BG36" s="1" t="s">
        <v>74</v>
      </c>
      <c r="BH36" s="1" t="s">
        <v>74</v>
      </c>
      <c r="BI36" s="1" t="s">
        <v>74</v>
      </c>
      <c r="BJ36" s="1" t="s">
        <v>74</v>
      </c>
      <c r="BK36" s="1" t="s">
        <v>74</v>
      </c>
      <c r="BL36" s="1" t="s">
        <v>74</v>
      </c>
      <c r="BM36" s="1" t="s">
        <v>74</v>
      </c>
      <c r="BN36" s="1" t="s">
        <v>74</v>
      </c>
      <c r="BO36" s="1" t="s">
        <v>74</v>
      </c>
      <c r="BP36" s="1" t="s">
        <v>74</v>
      </c>
      <c r="BQ36" s="1" t="s">
        <v>74</v>
      </c>
      <c r="BR36" s="1" t="s">
        <v>74</v>
      </c>
      <c r="BS36" s="1" t="s">
        <v>423</v>
      </c>
      <c r="BT36" s="1" t="str">
        <f>HYPERLINK("https%3A%2F%2Fwww.webofscience.com%2Fwos%2Fwoscc%2Ffull-record%2FWOS:A1986C372600003","View Full Record in Web of Science")</f>
        <v>View Full Record in Web of Science</v>
      </c>
    </row>
    <row r="37" ht="12.75" customHeight="1">
      <c r="A37" s="1" t="s">
        <v>72</v>
      </c>
      <c r="B37" s="1" t="s">
        <v>424</v>
      </c>
      <c r="C37" s="1" t="s">
        <v>74</v>
      </c>
      <c r="D37" s="1" t="s">
        <v>74</v>
      </c>
      <c r="E37" s="1" t="s">
        <v>74</v>
      </c>
      <c r="F37" s="1" t="s">
        <v>424</v>
      </c>
      <c r="G37" s="1" t="s">
        <v>74</v>
      </c>
      <c r="H37" s="1" t="s">
        <v>74</v>
      </c>
      <c r="I37" s="1" t="s">
        <v>425</v>
      </c>
      <c r="J37" s="1" t="s">
        <v>426</v>
      </c>
      <c r="K37" s="1" t="s">
        <v>74</v>
      </c>
      <c r="L37" s="1" t="s">
        <v>74</v>
      </c>
      <c r="M37" s="1" t="s">
        <v>74</v>
      </c>
      <c r="N37" s="1" t="s">
        <v>74</v>
      </c>
      <c r="O37" s="1" t="s">
        <v>74</v>
      </c>
      <c r="P37" s="1" t="s">
        <v>74</v>
      </c>
      <c r="Q37" s="1" t="s">
        <v>74</v>
      </c>
      <c r="R37" s="1" t="s">
        <v>74</v>
      </c>
      <c r="S37" s="1" t="s">
        <v>74</v>
      </c>
      <c r="T37" s="1" t="s">
        <v>74</v>
      </c>
      <c r="U37" s="1" t="s">
        <v>74</v>
      </c>
      <c r="V37" s="1" t="s">
        <v>74</v>
      </c>
      <c r="W37" s="1" t="s">
        <v>74</v>
      </c>
      <c r="X37" s="1" t="s">
        <v>74</v>
      </c>
      <c r="Y37" s="1" t="s">
        <v>74</v>
      </c>
      <c r="Z37" s="1" t="s">
        <v>74</v>
      </c>
      <c r="AA37" s="1" t="s">
        <v>74</v>
      </c>
      <c r="AB37" s="1" t="s">
        <v>74</v>
      </c>
      <c r="AC37" s="1" t="s">
        <v>74</v>
      </c>
      <c r="AD37" s="1" t="s">
        <v>74</v>
      </c>
      <c r="AE37" s="1" t="s">
        <v>74</v>
      </c>
      <c r="AF37" s="1" t="s">
        <v>74</v>
      </c>
      <c r="AG37" s="1" t="s">
        <v>74</v>
      </c>
      <c r="AH37" s="1" t="s">
        <v>74</v>
      </c>
      <c r="AI37" s="1" t="s">
        <v>74</v>
      </c>
      <c r="AJ37" s="1" t="s">
        <v>74</v>
      </c>
      <c r="AK37" s="1" t="s">
        <v>74</v>
      </c>
      <c r="AL37" s="1" t="s">
        <v>74</v>
      </c>
      <c r="AM37" s="1" t="s">
        <v>74</v>
      </c>
      <c r="AN37" s="1" t="s">
        <v>74</v>
      </c>
      <c r="AO37" s="1" t="s">
        <v>427</v>
      </c>
      <c r="AP37" s="1" t="s">
        <v>74</v>
      </c>
      <c r="AQ37" s="1" t="s">
        <v>74</v>
      </c>
      <c r="AR37" s="1" t="s">
        <v>74</v>
      </c>
      <c r="AS37" s="1" t="s">
        <v>74</v>
      </c>
      <c r="AT37" s="1" t="s">
        <v>74</v>
      </c>
      <c r="AU37" s="1">
        <v>1985.0</v>
      </c>
      <c r="AV37" s="1">
        <v>23.0</v>
      </c>
      <c r="AW37" s="1" t="s">
        <v>74</v>
      </c>
      <c r="AX37" s="1" t="s">
        <v>74</v>
      </c>
      <c r="AY37" s="1" t="s">
        <v>74</v>
      </c>
      <c r="AZ37" s="1" t="s">
        <v>74</v>
      </c>
      <c r="BA37" s="1" t="s">
        <v>74</v>
      </c>
      <c r="BB37" s="1">
        <v>1.0</v>
      </c>
      <c r="BC37" s="1">
        <v>46.0</v>
      </c>
      <c r="BD37" s="1" t="s">
        <v>74</v>
      </c>
      <c r="BE37" s="1" t="s">
        <v>428</v>
      </c>
      <c r="BF37" s="2" t="str">
        <f>HYPERLINK("http://dx.doi.org/10.1002/9780470132548.ch1","http://dx.doi.org/10.1002/9780470132548.ch1")</f>
        <v>http://dx.doi.org/10.1002/9780470132548.ch1</v>
      </c>
      <c r="BG37" s="1" t="s">
        <v>74</v>
      </c>
      <c r="BH37" s="1" t="s">
        <v>74</v>
      </c>
      <c r="BI37" s="1" t="s">
        <v>74</v>
      </c>
      <c r="BJ37" s="1" t="s">
        <v>74</v>
      </c>
      <c r="BK37" s="1" t="s">
        <v>74</v>
      </c>
      <c r="BL37" s="1" t="s">
        <v>74</v>
      </c>
      <c r="BM37" s="1" t="s">
        <v>74</v>
      </c>
      <c r="BN37" s="1" t="s">
        <v>74</v>
      </c>
      <c r="BO37" s="1" t="s">
        <v>74</v>
      </c>
      <c r="BP37" s="1" t="s">
        <v>74</v>
      </c>
      <c r="BQ37" s="1" t="s">
        <v>74</v>
      </c>
      <c r="BR37" s="1" t="s">
        <v>74</v>
      </c>
      <c r="BS37" s="1" t="s">
        <v>429</v>
      </c>
      <c r="BT37" s="1" t="str">
        <f>HYPERLINK("https%3A%2F%2Fwww.webofscience.com%2Fwos%2Fwoscc%2Ffull-record%2FWOS:A1985AQF1500001","View Full Record in Web of Science")</f>
        <v>View Full Record in Web of Science</v>
      </c>
    </row>
    <row r="38" ht="12.75" customHeight="1">
      <c r="A38" s="1" t="s">
        <v>72</v>
      </c>
      <c r="B38" s="1" t="s">
        <v>430</v>
      </c>
      <c r="C38" s="1" t="s">
        <v>74</v>
      </c>
      <c r="D38" s="1" t="s">
        <v>74</v>
      </c>
      <c r="E38" s="1" t="s">
        <v>74</v>
      </c>
      <c r="F38" s="1" t="s">
        <v>430</v>
      </c>
      <c r="G38" s="1" t="s">
        <v>74</v>
      </c>
      <c r="H38" s="1" t="s">
        <v>74</v>
      </c>
      <c r="I38" s="1" t="s">
        <v>431</v>
      </c>
      <c r="J38" s="1" t="s">
        <v>432</v>
      </c>
      <c r="K38" s="1" t="s">
        <v>74</v>
      </c>
      <c r="L38" s="1" t="s">
        <v>74</v>
      </c>
      <c r="M38" s="1" t="s">
        <v>74</v>
      </c>
      <c r="N38" s="1" t="s">
        <v>74</v>
      </c>
      <c r="O38" s="1" t="s">
        <v>74</v>
      </c>
      <c r="P38" s="1" t="s">
        <v>74</v>
      </c>
      <c r="Q38" s="1" t="s">
        <v>74</v>
      </c>
      <c r="R38" s="1" t="s">
        <v>74</v>
      </c>
      <c r="S38" s="1" t="s">
        <v>74</v>
      </c>
      <c r="T38" s="1" t="s">
        <v>74</v>
      </c>
      <c r="U38" s="1" t="s">
        <v>74</v>
      </c>
      <c r="V38" s="1" t="s">
        <v>74</v>
      </c>
      <c r="W38" s="1" t="s">
        <v>74</v>
      </c>
      <c r="X38" s="1" t="s">
        <v>74</v>
      </c>
      <c r="Y38" s="1" t="s">
        <v>74</v>
      </c>
      <c r="Z38" s="1" t="s">
        <v>74</v>
      </c>
      <c r="AA38" s="1" t="s">
        <v>433</v>
      </c>
      <c r="AB38" s="1" t="s">
        <v>74</v>
      </c>
      <c r="AC38" s="1" t="s">
        <v>74</v>
      </c>
      <c r="AD38" s="1" t="s">
        <v>74</v>
      </c>
      <c r="AE38" s="1" t="s">
        <v>74</v>
      </c>
      <c r="AF38" s="1" t="s">
        <v>74</v>
      </c>
      <c r="AG38" s="1" t="s">
        <v>74</v>
      </c>
      <c r="AH38" s="1" t="s">
        <v>74</v>
      </c>
      <c r="AI38" s="1" t="s">
        <v>74</v>
      </c>
      <c r="AJ38" s="1" t="s">
        <v>74</v>
      </c>
      <c r="AK38" s="1" t="s">
        <v>74</v>
      </c>
      <c r="AL38" s="1" t="s">
        <v>74</v>
      </c>
      <c r="AM38" s="1" t="s">
        <v>74</v>
      </c>
      <c r="AN38" s="1" t="s">
        <v>74</v>
      </c>
      <c r="AO38" s="1" t="s">
        <v>434</v>
      </c>
      <c r="AP38" s="1" t="s">
        <v>74</v>
      </c>
      <c r="AQ38" s="1" t="s">
        <v>74</v>
      </c>
      <c r="AR38" s="1" t="s">
        <v>74</v>
      </c>
      <c r="AS38" s="1" t="s">
        <v>74</v>
      </c>
      <c r="AT38" s="1" t="s">
        <v>74</v>
      </c>
      <c r="AU38" s="1">
        <v>1982.0</v>
      </c>
      <c r="AV38" s="1">
        <v>45.0</v>
      </c>
      <c r="AW38" s="1">
        <v>5.0</v>
      </c>
      <c r="AX38" s="1" t="s">
        <v>74</v>
      </c>
      <c r="AY38" s="1" t="s">
        <v>74</v>
      </c>
      <c r="AZ38" s="1" t="s">
        <v>74</v>
      </c>
      <c r="BA38" s="1" t="s">
        <v>74</v>
      </c>
      <c r="BB38" s="1">
        <v>652.0</v>
      </c>
      <c r="BC38" s="1">
        <v>652.0</v>
      </c>
      <c r="BD38" s="1" t="s">
        <v>74</v>
      </c>
      <c r="BE38" s="1" t="s">
        <v>435</v>
      </c>
      <c r="BF38" s="2" t="str">
        <f>HYPERLINK("http://dx.doi.org/10.1021/np50023a028","http://dx.doi.org/10.1021/np50023a028")</f>
        <v>http://dx.doi.org/10.1021/np50023a028</v>
      </c>
      <c r="BG38" s="1" t="s">
        <v>74</v>
      </c>
      <c r="BH38" s="1" t="s">
        <v>74</v>
      </c>
      <c r="BI38" s="1" t="s">
        <v>74</v>
      </c>
      <c r="BJ38" s="1" t="s">
        <v>74</v>
      </c>
      <c r="BK38" s="1" t="s">
        <v>74</v>
      </c>
      <c r="BL38" s="1" t="s">
        <v>74</v>
      </c>
      <c r="BM38" s="1" t="s">
        <v>74</v>
      </c>
      <c r="BN38" s="1" t="s">
        <v>74</v>
      </c>
      <c r="BO38" s="1" t="s">
        <v>74</v>
      </c>
      <c r="BP38" s="1" t="s">
        <v>74</v>
      </c>
      <c r="BQ38" s="1" t="s">
        <v>74</v>
      </c>
      <c r="BR38" s="1" t="s">
        <v>74</v>
      </c>
      <c r="BS38" s="1" t="s">
        <v>436</v>
      </c>
      <c r="BT38" s="1" t="str">
        <f>HYPERLINK("https%3A%2F%2Fwww.webofscience.com%2Fwos%2Fwoscc%2Ffull-record%2FWOS:A1982PR49800028","View Full Record in Web of Science")</f>
        <v>View Full Record in Web of Science</v>
      </c>
    </row>
    <row r="39" ht="12.75" customHeight="1">
      <c r="A39" s="1" t="s">
        <v>72</v>
      </c>
      <c r="B39" s="1" t="s">
        <v>437</v>
      </c>
      <c r="C39" s="1" t="s">
        <v>74</v>
      </c>
      <c r="D39" s="1" t="s">
        <v>74</v>
      </c>
      <c r="E39" s="1" t="s">
        <v>74</v>
      </c>
      <c r="F39" s="1" t="s">
        <v>437</v>
      </c>
      <c r="G39" s="1" t="s">
        <v>74</v>
      </c>
      <c r="H39" s="1" t="s">
        <v>74</v>
      </c>
      <c r="I39" s="1" t="s">
        <v>438</v>
      </c>
      <c r="J39" s="1" t="s">
        <v>439</v>
      </c>
      <c r="K39" s="1" t="s">
        <v>74</v>
      </c>
      <c r="L39" s="1" t="s">
        <v>74</v>
      </c>
      <c r="M39" s="1" t="s">
        <v>74</v>
      </c>
      <c r="N39" s="1" t="s">
        <v>74</v>
      </c>
      <c r="O39" s="1" t="s">
        <v>74</v>
      </c>
      <c r="P39" s="1" t="s">
        <v>74</v>
      </c>
      <c r="Q39" s="1" t="s">
        <v>74</v>
      </c>
      <c r="R39" s="1" t="s">
        <v>74</v>
      </c>
      <c r="S39" s="1" t="s">
        <v>74</v>
      </c>
      <c r="T39" s="1" t="s">
        <v>74</v>
      </c>
      <c r="U39" s="1" t="s">
        <v>74</v>
      </c>
      <c r="V39" s="1" t="s">
        <v>440</v>
      </c>
      <c r="W39" s="1" t="s">
        <v>74</v>
      </c>
      <c r="X39" s="1" t="s">
        <v>74</v>
      </c>
      <c r="Y39" s="1" t="s">
        <v>74</v>
      </c>
      <c r="Z39" s="1" t="s">
        <v>74</v>
      </c>
      <c r="AA39" s="1" t="s">
        <v>441</v>
      </c>
      <c r="AB39" s="1" t="s">
        <v>442</v>
      </c>
      <c r="AC39" s="1" t="s">
        <v>74</v>
      </c>
      <c r="AD39" s="1" t="s">
        <v>74</v>
      </c>
      <c r="AE39" s="1" t="s">
        <v>74</v>
      </c>
      <c r="AF39" s="1" t="s">
        <v>74</v>
      </c>
      <c r="AG39" s="1" t="s">
        <v>74</v>
      </c>
      <c r="AH39" s="1" t="s">
        <v>74</v>
      </c>
      <c r="AI39" s="1" t="s">
        <v>74</v>
      </c>
      <c r="AJ39" s="1" t="s">
        <v>74</v>
      </c>
      <c r="AK39" s="1" t="s">
        <v>74</v>
      </c>
      <c r="AL39" s="1" t="s">
        <v>74</v>
      </c>
      <c r="AM39" s="1" t="s">
        <v>74</v>
      </c>
      <c r="AN39" s="1" t="s">
        <v>74</v>
      </c>
      <c r="AO39" s="1" t="s">
        <v>443</v>
      </c>
      <c r="AP39" s="1" t="s">
        <v>444</v>
      </c>
      <c r="AQ39" s="1" t="s">
        <v>74</v>
      </c>
      <c r="AR39" s="1" t="s">
        <v>74</v>
      </c>
      <c r="AS39" s="1" t="s">
        <v>74</v>
      </c>
      <c r="AT39" s="1" t="s">
        <v>74</v>
      </c>
      <c r="AU39" s="1">
        <v>1982.0</v>
      </c>
      <c r="AV39" s="1">
        <v>45.0</v>
      </c>
      <c r="AW39" s="1">
        <v>1.0</v>
      </c>
      <c r="AX39" s="1" t="s">
        <v>74</v>
      </c>
      <c r="AY39" s="1" t="s">
        <v>74</v>
      </c>
      <c r="AZ39" s="1" t="s">
        <v>74</v>
      </c>
      <c r="BA39" s="1" t="s">
        <v>74</v>
      </c>
      <c r="BB39" s="1">
        <v>51.0</v>
      </c>
      <c r="BC39" s="1">
        <v>52.0</v>
      </c>
      <c r="BD39" s="1" t="s">
        <v>74</v>
      </c>
      <c r="BE39" s="1" t="s">
        <v>445</v>
      </c>
      <c r="BF39" s="2" t="str">
        <f>HYPERLINK("http://dx.doi.org/10.1055/s-2007-971242","http://dx.doi.org/10.1055/s-2007-971242")</f>
        <v>http://dx.doi.org/10.1055/s-2007-971242</v>
      </c>
      <c r="BG39" s="1" t="s">
        <v>74</v>
      </c>
      <c r="BH39" s="1" t="s">
        <v>74</v>
      </c>
      <c r="BI39" s="1" t="s">
        <v>74</v>
      </c>
      <c r="BJ39" s="1" t="s">
        <v>74</v>
      </c>
      <c r="BK39" s="1" t="s">
        <v>74</v>
      </c>
      <c r="BL39" s="1" t="s">
        <v>74</v>
      </c>
      <c r="BM39" s="1" t="s">
        <v>74</v>
      </c>
      <c r="BN39" s="1">
        <v>1.7396781E7</v>
      </c>
      <c r="BO39" s="1" t="s">
        <v>74</v>
      </c>
      <c r="BP39" s="1" t="s">
        <v>74</v>
      </c>
      <c r="BQ39" s="1" t="s">
        <v>74</v>
      </c>
      <c r="BR39" s="1" t="s">
        <v>74</v>
      </c>
      <c r="BS39" s="1" t="s">
        <v>446</v>
      </c>
      <c r="BT39" s="1" t="str">
        <f>HYPERLINK("https%3A%2F%2Fwww.webofscience.com%2Fwos%2Fwoscc%2Ffull-record%2FWOS:A1982NR41300013","View Full Record in Web of Science")</f>
        <v>View Full Record in Web of Science</v>
      </c>
    </row>
    <row r="40" ht="12.75" customHeight="1">
      <c r="A40" s="1" t="s">
        <v>72</v>
      </c>
      <c r="B40" s="1" t="s">
        <v>447</v>
      </c>
      <c r="C40" s="1" t="s">
        <v>74</v>
      </c>
      <c r="D40" s="1" t="s">
        <v>74</v>
      </c>
      <c r="E40" s="1" t="s">
        <v>74</v>
      </c>
      <c r="F40" s="1" t="s">
        <v>448</v>
      </c>
      <c r="G40" s="1" t="s">
        <v>74</v>
      </c>
      <c r="H40" s="1" t="s">
        <v>74</v>
      </c>
      <c r="I40" s="1" t="s">
        <v>449</v>
      </c>
      <c r="J40" s="1" t="s">
        <v>450</v>
      </c>
      <c r="K40" s="1" t="s">
        <v>74</v>
      </c>
      <c r="L40" s="1" t="s">
        <v>74</v>
      </c>
      <c r="M40" s="1" t="s">
        <v>74</v>
      </c>
      <c r="N40" s="1" t="s">
        <v>74</v>
      </c>
      <c r="O40" s="1" t="s">
        <v>74</v>
      </c>
      <c r="P40" s="1" t="s">
        <v>74</v>
      </c>
      <c r="Q40" s="1" t="s">
        <v>74</v>
      </c>
      <c r="R40" s="1" t="s">
        <v>74</v>
      </c>
      <c r="S40" s="1" t="s">
        <v>74</v>
      </c>
      <c r="T40" s="1" t="s">
        <v>74</v>
      </c>
      <c r="U40" s="1" t="s">
        <v>74</v>
      </c>
      <c r="V40" s="1" t="s">
        <v>451</v>
      </c>
      <c r="W40" s="1" t="s">
        <v>74</v>
      </c>
      <c r="X40" s="1" t="s">
        <v>74</v>
      </c>
      <c r="Y40" s="1" t="s">
        <v>74</v>
      </c>
      <c r="Z40" s="1" t="s">
        <v>74</v>
      </c>
      <c r="AA40" s="1" t="s">
        <v>74</v>
      </c>
      <c r="AB40" s="1" t="s">
        <v>74</v>
      </c>
      <c r="AC40" s="1" t="s">
        <v>74</v>
      </c>
      <c r="AD40" s="1" t="s">
        <v>74</v>
      </c>
      <c r="AE40" s="1" t="s">
        <v>74</v>
      </c>
      <c r="AF40" s="1" t="s">
        <v>74</v>
      </c>
      <c r="AG40" s="1" t="s">
        <v>74</v>
      </c>
      <c r="AH40" s="1" t="s">
        <v>74</v>
      </c>
      <c r="AI40" s="1" t="s">
        <v>74</v>
      </c>
      <c r="AJ40" s="1" t="s">
        <v>74</v>
      </c>
      <c r="AK40" s="1" t="s">
        <v>74</v>
      </c>
      <c r="AL40" s="1" t="s">
        <v>74</v>
      </c>
      <c r="AM40" s="1" t="s">
        <v>74</v>
      </c>
      <c r="AN40" s="1" t="s">
        <v>74</v>
      </c>
      <c r="AO40" s="1" t="s">
        <v>452</v>
      </c>
      <c r="AP40" s="1" t="s">
        <v>453</v>
      </c>
      <c r="AQ40" s="1" t="s">
        <v>74</v>
      </c>
      <c r="AR40" s="1" t="s">
        <v>74</v>
      </c>
      <c r="AS40" s="1" t="s">
        <v>74</v>
      </c>
      <c r="AT40" s="1" t="s">
        <v>240</v>
      </c>
      <c r="AU40" s="1">
        <v>2025.0</v>
      </c>
      <c r="AV40" s="1">
        <v>27.0</v>
      </c>
      <c r="AW40" s="1">
        <v>1.0</v>
      </c>
      <c r="AX40" s="1" t="s">
        <v>74</v>
      </c>
      <c r="AY40" s="1" t="s">
        <v>74</v>
      </c>
      <c r="AZ40" s="1" t="s">
        <v>74</v>
      </c>
      <c r="BA40" s="1" t="s">
        <v>74</v>
      </c>
      <c r="BB40" s="1" t="s">
        <v>74</v>
      </c>
      <c r="BC40" s="1" t="s">
        <v>74</v>
      </c>
      <c r="BD40" s="1">
        <v>14762.0</v>
      </c>
      <c r="BE40" s="1" t="s">
        <v>454</v>
      </c>
      <c r="BF40" s="2" t="str">
        <f>HYPERLINK("http://dx.doi.org/10.12804/revistas.urosario.edu.co/sociojuridicos/a.14762","http://dx.doi.org/10.12804/revistas.urosario.edu.co/sociojuridicos/a.14762")</f>
        <v>http://dx.doi.org/10.12804/revistas.urosario.edu.co/sociojuridicos/a.14762</v>
      </c>
      <c r="BG40" s="1" t="s">
        <v>74</v>
      </c>
      <c r="BH40" s="1" t="s">
        <v>74</v>
      </c>
      <c r="BI40" s="1" t="s">
        <v>74</v>
      </c>
      <c r="BJ40" s="1" t="s">
        <v>74</v>
      </c>
      <c r="BK40" s="1" t="s">
        <v>74</v>
      </c>
      <c r="BL40" s="1" t="s">
        <v>74</v>
      </c>
      <c r="BM40" s="1" t="s">
        <v>74</v>
      </c>
      <c r="BN40" s="1" t="s">
        <v>74</v>
      </c>
      <c r="BO40" s="1" t="s">
        <v>74</v>
      </c>
      <c r="BP40" s="1" t="s">
        <v>74</v>
      </c>
      <c r="BQ40" s="1" t="s">
        <v>74</v>
      </c>
      <c r="BR40" s="1" t="s">
        <v>74</v>
      </c>
      <c r="BS40" s="1" t="s">
        <v>455</v>
      </c>
      <c r="BT40" s="1" t="str">
        <f>HYPERLINK("https%3A%2F%2Fwww.webofscience.com%2Fwos%2Fwoscc%2Ffull-record%2FWOS:001474177800002","View Full Record in Web of Science")</f>
        <v>View Full Record in Web of Science</v>
      </c>
    </row>
    <row r="41" ht="12.75" customHeight="1">
      <c r="A41" s="1" t="s">
        <v>72</v>
      </c>
      <c r="B41" s="1" t="s">
        <v>456</v>
      </c>
      <c r="C41" s="1" t="s">
        <v>74</v>
      </c>
      <c r="D41" s="1" t="s">
        <v>74</v>
      </c>
      <c r="E41" s="1" t="s">
        <v>74</v>
      </c>
      <c r="F41" s="1" t="s">
        <v>457</v>
      </c>
      <c r="G41" s="1" t="s">
        <v>74</v>
      </c>
      <c r="H41" s="1" t="s">
        <v>74</v>
      </c>
      <c r="I41" s="1" t="s">
        <v>458</v>
      </c>
      <c r="J41" s="1" t="s">
        <v>459</v>
      </c>
      <c r="K41" s="1" t="s">
        <v>74</v>
      </c>
      <c r="L41" s="1" t="s">
        <v>74</v>
      </c>
      <c r="M41" s="1" t="s">
        <v>74</v>
      </c>
      <c r="N41" s="1" t="s">
        <v>74</v>
      </c>
      <c r="O41" s="1" t="s">
        <v>74</v>
      </c>
      <c r="P41" s="1" t="s">
        <v>74</v>
      </c>
      <c r="Q41" s="1" t="s">
        <v>74</v>
      </c>
      <c r="R41" s="1" t="s">
        <v>74</v>
      </c>
      <c r="S41" s="1" t="s">
        <v>74</v>
      </c>
      <c r="T41" s="1" t="s">
        <v>74</v>
      </c>
      <c r="U41" s="1" t="s">
        <v>74</v>
      </c>
      <c r="V41" s="1" t="s">
        <v>460</v>
      </c>
      <c r="W41" s="1" t="s">
        <v>74</v>
      </c>
      <c r="X41" s="1" t="s">
        <v>74</v>
      </c>
      <c r="Y41" s="1" t="s">
        <v>74</v>
      </c>
      <c r="Z41" s="1" t="s">
        <v>74</v>
      </c>
      <c r="AA41" s="1" t="s">
        <v>461</v>
      </c>
      <c r="AB41" s="1" t="s">
        <v>462</v>
      </c>
      <c r="AC41" s="1" t="s">
        <v>74</v>
      </c>
      <c r="AD41" s="1" t="s">
        <v>74</v>
      </c>
      <c r="AE41" s="1" t="s">
        <v>74</v>
      </c>
      <c r="AF41" s="1" t="s">
        <v>74</v>
      </c>
      <c r="AG41" s="1" t="s">
        <v>74</v>
      </c>
      <c r="AH41" s="1" t="s">
        <v>74</v>
      </c>
      <c r="AI41" s="1" t="s">
        <v>74</v>
      </c>
      <c r="AJ41" s="1" t="s">
        <v>74</v>
      </c>
      <c r="AK41" s="1" t="s">
        <v>74</v>
      </c>
      <c r="AL41" s="1" t="s">
        <v>74</v>
      </c>
      <c r="AM41" s="1" t="s">
        <v>74</v>
      </c>
      <c r="AN41" s="1" t="s">
        <v>74</v>
      </c>
      <c r="AO41" s="1" t="s">
        <v>463</v>
      </c>
      <c r="AP41" s="1" t="s">
        <v>464</v>
      </c>
      <c r="AQ41" s="1" t="s">
        <v>74</v>
      </c>
      <c r="AR41" s="1" t="s">
        <v>74</v>
      </c>
      <c r="AS41" s="1" t="s">
        <v>74</v>
      </c>
      <c r="AT41" s="1" t="s">
        <v>465</v>
      </c>
      <c r="AU41" s="1">
        <v>2025.0</v>
      </c>
      <c r="AV41" s="1">
        <v>142.0</v>
      </c>
      <c r="AW41" s="1">
        <v>4.0</v>
      </c>
      <c r="AX41" s="1" t="s">
        <v>74</v>
      </c>
      <c r="AY41" s="1" t="s">
        <v>74</v>
      </c>
      <c r="AZ41" s="1" t="s">
        <v>74</v>
      </c>
      <c r="BA41" s="1" t="s">
        <v>74</v>
      </c>
      <c r="BB41" s="1" t="s">
        <v>74</v>
      </c>
      <c r="BC41" s="1" t="s">
        <v>74</v>
      </c>
      <c r="BD41" s="1" t="s">
        <v>74</v>
      </c>
      <c r="BE41" s="1" t="s">
        <v>466</v>
      </c>
      <c r="BF41" s="2" t="str">
        <f>HYPERLINK("http://dx.doi.org/10.1002/app.56406","http://dx.doi.org/10.1002/app.56406")</f>
        <v>http://dx.doi.org/10.1002/app.56406</v>
      </c>
      <c r="BG41" s="1" t="s">
        <v>74</v>
      </c>
      <c r="BH41" s="1" t="s">
        <v>467</v>
      </c>
      <c r="BI41" s="1" t="s">
        <v>74</v>
      </c>
      <c r="BJ41" s="1" t="s">
        <v>74</v>
      </c>
      <c r="BK41" s="1" t="s">
        <v>74</v>
      </c>
      <c r="BL41" s="1" t="s">
        <v>74</v>
      </c>
      <c r="BM41" s="1" t="s">
        <v>74</v>
      </c>
      <c r="BN41" s="1" t="s">
        <v>74</v>
      </c>
      <c r="BO41" s="1" t="s">
        <v>74</v>
      </c>
      <c r="BP41" s="1" t="s">
        <v>74</v>
      </c>
      <c r="BQ41" s="1" t="s">
        <v>74</v>
      </c>
      <c r="BR41" s="1" t="s">
        <v>74</v>
      </c>
      <c r="BS41" s="1" t="s">
        <v>468</v>
      </c>
      <c r="BT41" s="1" t="str">
        <f>HYPERLINK("https%3A%2F%2Fwww.webofscience.com%2Fwos%2Fwoscc%2Ffull-record%2FWOS:001358581800001","View Full Record in Web of Science")</f>
        <v>View Full Record in Web of Science</v>
      </c>
    </row>
    <row r="42" ht="12.75" customHeight="1">
      <c r="A42" s="1" t="s">
        <v>72</v>
      </c>
      <c r="B42" s="1" t="s">
        <v>469</v>
      </c>
      <c r="C42" s="1" t="s">
        <v>74</v>
      </c>
      <c r="D42" s="1" t="s">
        <v>74</v>
      </c>
      <c r="E42" s="1" t="s">
        <v>74</v>
      </c>
      <c r="F42" s="1" t="s">
        <v>470</v>
      </c>
      <c r="G42" s="1" t="s">
        <v>74</v>
      </c>
      <c r="H42" s="1" t="s">
        <v>74</v>
      </c>
      <c r="I42" s="1" t="s">
        <v>471</v>
      </c>
      <c r="J42" s="1" t="s">
        <v>472</v>
      </c>
      <c r="K42" s="1" t="s">
        <v>74</v>
      </c>
      <c r="L42" s="1" t="s">
        <v>74</v>
      </c>
      <c r="M42" s="1" t="s">
        <v>74</v>
      </c>
      <c r="N42" s="1" t="s">
        <v>74</v>
      </c>
      <c r="O42" s="1" t="s">
        <v>74</v>
      </c>
      <c r="P42" s="1" t="s">
        <v>74</v>
      </c>
      <c r="Q42" s="1" t="s">
        <v>74</v>
      </c>
      <c r="R42" s="1" t="s">
        <v>74</v>
      </c>
      <c r="S42" s="1" t="s">
        <v>74</v>
      </c>
      <c r="T42" s="1" t="s">
        <v>74</v>
      </c>
      <c r="U42" s="1" t="s">
        <v>74</v>
      </c>
      <c r="V42" s="1" t="s">
        <v>473</v>
      </c>
      <c r="W42" s="1" t="s">
        <v>74</v>
      </c>
      <c r="X42" s="1" t="s">
        <v>74</v>
      </c>
      <c r="Y42" s="1" t="s">
        <v>74</v>
      </c>
      <c r="Z42" s="1" t="s">
        <v>74</v>
      </c>
      <c r="AA42" s="1" t="s">
        <v>474</v>
      </c>
      <c r="AB42" s="1" t="s">
        <v>475</v>
      </c>
      <c r="AC42" s="1" t="s">
        <v>74</v>
      </c>
      <c r="AD42" s="1" t="s">
        <v>74</v>
      </c>
      <c r="AE42" s="1" t="s">
        <v>74</v>
      </c>
      <c r="AF42" s="1" t="s">
        <v>74</v>
      </c>
      <c r="AG42" s="1" t="s">
        <v>74</v>
      </c>
      <c r="AH42" s="1" t="s">
        <v>74</v>
      </c>
      <c r="AI42" s="1" t="s">
        <v>74</v>
      </c>
      <c r="AJ42" s="1" t="s">
        <v>74</v>
      </c>
      <c r="AK42" s="1" t="s">
        <v>74</v>
      </c>
      <c r="AL42" s="1" t="s">
        <v>74</v>
      </c>
      <c r="AM42" s="1" t="s">
        <v>74</v>
      </c>
      <c r="AN42" s="1" t="s">
        <v>74</v>
      </c>
      <c r="AO42" s="1" t="s">
        <v>476</v>
      </c>
      <c r="AP42" s="1" t="s">
        <v>477</v>
      </c>
      <c r="AQ42" s="1" t="s">
        <v>74</v>
      </c>
      <c r="AR42" s="1" t="s">
        <v>74</v>
      </c>
      <c r="AS42" s="1" t="s">
        <v>74</v>
      </c>
      <c r="AT42" s="1" t="s">
        <v>478</v>
      </c>
      <c r="AU42" s="1">
        <v>2024.0</v>
      </c>
      <c r="AV42" s="1">
        <v>350.0</v>
      </c>
      <c r="AW42" s="1" t="s">
        <v>74</v>
      </c>
      <c r="AX42" s="1" t="s">
        <v>74</v>
      </c>
      <c r="AY42" s="1" t="s">
        <v>74</v>
      </c>
      <c r="AZ42" s="1" t="s">
        <v>74</v>
      </c>
      <c r="BA42" s="1" t="s">
        <v>74</v>
      </c>
      <c r="BB42" s="1" t="s">
        <v>74</v>
      </c>
      <c r="BC42" s="1" t="s">
        <v>74</v>
      </c>
      <c r="BD42" s="1">
        <v>128010.0</v>
      </c>
      <c r="BE42" s="1" t="s">
        <v>479</v>
      </c>
      <c r="BF42" s="2" t="str">
        <f>HYPERLINK("http://dx.doi.org/10.1016/j.seppur.2024.128010","http://dx.doi.org/10.1016/j.seppur.2024.128010")</f>
        <v>http://dx.doi.org/10.1016/j.seppur.2024.128010</v>
      </c>
      <c r="BG42" s="1" t="s">
        <v>74</v>
      </c>
      <c r="BH42" s="1" t="s">
        <v>480</v>
      </c>
      <c r="BI42" s="1" t="s">
        <v>74</v>
      </c>
      <c r="BJ42" s="1" t="s">
        <v>74</v>
      </c>
      <c r="BK42" s="1" t="s">
        <v>74</v>
      </c>
      <c r="BL42" s="1" t="s">
        <v>74</v>
      </c>
      <c r="BM42" s="1" t="s">
        <v>74</v>
      </c>
      <c r="BN42" s="1" t="s">
        <v>74</v>
      </c>
      <c r="BO42" s="1" t="s">
        <v>74</v>
      </c>
      <c r="BP42" s="1" t="s">
        <v>74</v>
      </c>
      <c r="BQ42" s="1" t="s">
        <v>74</v>
      </c>
      <c r="BR42" s="1" t="s">
        <v>74</v>
      </c>
      <c r="BS42" s="1" t="s">
        <v>481</v>
      </c>
      <c r="BT42" s="1" t="str">
        <f>HYPERLINK("https%3A%2F%2Fwww.webofscience.com%2Fwos%2Fwoscc%2Ffull-record%2FWOS:001244178400001","View Full Record in Web of Science")</f>
        <v>View Full Record in Web of Science</v>
      </c>
    </row>
    <row r="43" ht="12.75" customHeight="1">
      <c r="A43" s="1" t="s">
        <v>72</v>
      </c>
      <c r="B43" s="1" t="s">
        <v>482</v>
      </c>
      <c r="C43" s="1" t="s">
        <v>74</v>
      </c>
      <c r="D43" s="1" t="s">
        <v>74</v>
      </c>
      <c r="E43" s="1" t="s">
        <v>74</v>
      </c>
      <c r="F43" s="1" t="s">
        <v>483</v>
      </c>
      <c r="G43" s="1" t="s">
        <v>74</v>
      </c>
      <c r="H43" s="1" t="s">
        <v>74</v>
      </c>
      <c r="I43" s="1" t="s">
        <v>484</v>
      </c>
      <c r="J43" s="1" t="s">
        <v>485</v>
      </c>
      <c r="K43" s="1" t="s">
        <v>74</v>
      </c>
      <c r="L43" s="1" t="s">
        <v>74</v>
      </c>
      <c r="M43" s="1" t="s">
        <v>74</v>
      </c>
      <c r="N43" s="1" t="s">
        <v>74</v>
      </c>
      <c r="O43" s="1" t="s">
        <v>74</v>
      </c>
      <c r="P43" s="1" t="s">
        <v>74</v>
      </c>
      <c r="Q43" s="1" t="s">
        <v>74</v>
      </c>
      <c r="R43" s="1" t="s">
        <v>74</v>
      </c>
      <c r="S43" s="1" t="s">
        <v>74</v>
      </c>
      <c r="T43" s="1" t="s">
        <v>74</v>
      </c>
      <c r="U43" s="1" t="s">
        <v>74</v>
      </c>
      <c r="V43" s="1" t="s">
        <v>486</v>
      </c>
      <c r="W43" s="1" t="s">
        <v>74</v>
      </c>
      <c r="X43" s="1" t="s">
        <v>74</v>
      </c>
      <c r="Y43" s="1" t="s">
        <v>74</v>
      </c>
      <c r="Z43" s="1" t="s">
        <v>74</v>
      </c>
      <c r="AA43" s="1" t="s">
        <v>487</v>
      </c>
      <c r="AB43" s="1" t="s">
        <v>74</v>
      </c>
      <c r="AC43" s="1" t="s">
        <v>74</v>
      </c>
      <c r="AD43" s="1" t="s">
        <v>74</v>
      </c>
      <c r="AE43" s="1" t="s">
        <v>74</v>
      </c>
      <c r="AF43" s="1" t="s">
        <v>74</v>
      </c>
      <c r="AG43" s="1" t="s">
        <v>74</v>
      </c>
      <c r="AH43" s="1" t="s">
        <v>74</v>
      </c>
      <c r="AI43" s="1" t="s">
        <v>74</v>
      </c>
      <c r="AJ43" s="1" t="s">
        <v>74</v>
      </c>
      <c r="AK43" s="1" t="s">
        <v>74</v>
      </c>
      <c r="AL43" s="1" t="s">
        <v>74</v>
      </c>
      <c r="AM43" s="1" t="s">
        <v>74</v>
      </c>
      <c r="AN43" s="1" t="s">
        <v>74</v>
      </c>
      <c r="AO43" s="1" t="s">
        <v>488</v>
      </c>
      <c r="AP43" s="1" t="s">
        <v>489</v>
      </c>
      <c r="AQ43" s="1" t="s">
        <v>74</v>
      </c>
      <c r="AR43" s="1" t="s">
        <v>74</v>
      </c>
      <c r="AS43" s="1" t="s">
        <v>74</v>
      </c>
      <c r="AT43" s="1" t="s">
        <v>490</v>
      </c>
      <c r="AU43" s="1">
        <v>2024.0</v>
      </c>
      <c r="AV43" s="1">
        <v>82.0</v>
      </c>
      <c r="AW43" s="1">
        <v>288.0</v>
      </c>
      <c r="AX43" s="1" t="s">
        <v>74</v>
      </c>
      <c r="AY43" s="1" t="s">
        <v>74</v>
      </c>
      <c r="AZ43" s="1" t="s">
        <v>74</v>
      </c>
      <c r="BA43" s="1" t="s">
        <v>74</v>
      </c>
      <c r="BB43" s="1" t="s">
        <v>74</v>
      </c>
      <c r="BC43" s="1" t="s">
        <v>74</v>
      </c>
      <c r="BD43" s="1" t="s">
        <v>74</v>
      </c>
      <c r="BE43" s="1" t="s">
        <v>491</v>
      </c>
      <c r="BF43" s="2" t="str">
        <f>HYPERLINK("http://dx.doi.org/10.22550/2174-0909.4042","http://dx.doi.org/10.22550/2174-0909.4042")</f>
        <v>http://dx.doi.org/10.22550/2174-0909.4042</v>
      </c>
      <c r="BG43" s="1" t="s">
        <v>74</v>
      </c>
      <c r="BH43" s="1" t="s">
        <v>74</v>
      </c>
      <c r="BI43" s="1" t="s">
        <v>74</v>
      </c>
      <c r="BJ43" s="1" t="s">
        <v>74</v>
      </c>
      <c r="BK43" s="1" t="s">
        <v>74</v>
      </c>
      <c r="BL43" s="1" t="s">
        <v>74</v>
      </c>
      <c r="BM43" s="1" t="s">
        <v>74</v>
      </c>
      <c r="BN43" s="1" t="s">
        <v>74</v>
      </c>
      <c r="BO43" s="1" t="s">
        <v>74</v>
      </c>
      <c r="BP43" s="1" t="s">
        <v>74</v>
      </c>
      <c r="BQ43" s="1" t="s">
        <v>74</v>
      </c>
      <c r="BR43" s="1" t="s">
        <v>74</v>
      </c>
      <c r="BS43" s="1" t="s">
        <v>492</v>
      </c>
      <c r="BT43" s="1" t="str">
        <f>HYPERLINK("https%3A%2F%2Fwww.webofscience.com%2Fwos%2Fwoscc%2Ffull-record%2FWOS:001241198900008","View Full Record in Web of Science")</f>
        <v>View Full Record in Web of Science</v>
      </c>
    </row>
    <row r="44" ht="12.75" customHeight="1">
      <c r="A44" s="1" t="s">
        <v>72</v>
      </c>
      <c r="B44" s="1" t="s">
        <v>493</v>
      </c>
      <c r="C44" s="1" t="s">
        <v>74</v>
      </c>
      <c r="D44" s="1" t="s">
        <v>74</v>
      </c>
      <c r="E44" s="1" t="s">
        <v>74</v>
      </c>
      <c r="F44" s="1" t="s">
        <v>494</v>
      </c>
      <c r="G44" s="1" t="s">
        <v>74</v>
      </c>
      <c r="H44" s="1" t="s">
        <v>74</v>
      </c>
      <c r="I44" s="1" t="s">
        <v>495</v>
      </c>
      <c r="J44" s="1" t="s">
        <v>496</v>
      </c>
      <c r="K44" s="1" t="s">
        <v>74</v>
      </c>
      <c r="L44" s="1" t="s">
        <v>74</v>
      </c>
      <c r="M44" s="1" t="s">
        <v>74</v>
      </c>
      <c r="N44" s="1" t="s">
        <v>74</v>
      </c>
      <c r="O44" s="1" t="s">
        <v>74</v>
      </c>
      <c r="P44" s="1" t="s">
        <v>74</v>
      </c>
      <c r="Q44" s="1" t="s">
        <v>74</v>
      </c>
      <c r="R44" s="1" t="s">
        <v>74</v>
      </c>
      <c r="S44" s="1" t="s">
        <v>74</v>
      </c>
      <c r="T44" s="1" t="s">
        <v>74</v>
      </c>
      <c r="U44" s="1" t="s">
        <v>74</v>
      </c>
      <c r="V44" s="1" t="s">
        <v>497</v>
      </c>
      <c r="W44" s="1" t="s">
        <v>74</v>
      </c>
      <c r="X44" s="1" t="s">
        <v>74</v>
      </c>
      <c r="Y44" s="1" t="s">
        <v>74</v>
      </c>
      <c r="Z44" s="1" t="s">
        <v>74</v>
      </c>
      <c r="AA44" s="1" t="s">
        <v>498</v>
      </c>
      <c r="AB44" s="1" t="s">
        <v>197</v>
      </c>
      <c r="AC44" s="1" t="s">
        <v>74</v>
      </c>
      <c r="AD44" s="1" t="s">
        <v>74</v>
      </c>
      <c r="AE44" s="1" t="s">
        <v>74</v>
      </c>
      <c r="AF44" s="1" t="s">
        <v>74</v>
      </c>
      <c r="AG44" s="1" t="s">
        <v>74</v>
      </c>
      <c r="AH44" s="1" t="s">
        <v>74</v>
      </c>
      <c r="AI44" s="1" t="s">
        <v>74</v>
      </c>
      <c r="AJ44" s="1" t="s">
        <v>74</v>
      </c>
      <c r="AK44" s="1" t="s">
        <v>74</v>
      </c>
      <c r="AL44" s="1" t="s">
        <v>74</v>
      </c>
      <c r="AM44" s="1" t="s">
        <v>74</v>
      </c>
      <c r="AN44" s="1" t="s">
        <v>74</v>
      </c>
      <c r="AO44" s="1" t="s">
        <v>499</v>
      </c>
      <c r="AP44" s="1" t="s">
        <v>500</v>
      </c>
      <c r="AQ44" s="1" t="s">
        <v>74</v>
      </c>
      <c r="AR44" s="1" t="s">
        <v>74</v>
      </c>
      <c r="AS44" s="1" t="s">
        <v>74</v>
      </c>
      <c r="AT44" s="1" t="s">
        <v>501</v>
      </c>
      <c r="AU44" s="1">
        <v>2024.0</v>
      </c>
      <c r="AV44" s="1">
        <v>389.0</v>
      </c>
      <c r="AW44" s="1" t="s">
        <v>74</v>
      </c>
      <c r="AX44" s="1" t="s">
        <v>74</v>
      </c>
      <c r="AY44" s="1" t="s">
        <v>74</v>
      </c>
      <c r="AZ44" s="1" t="s">
        <v>74</v>
      </c>
      <c r="BA44" s="1" t="s">
        <v>74</v>
      </c>
      <c r="BB44" s="1">
        <v>257.0</v>
      </c>
      <c r="BC44" s="1">
        <v>284.0</v>
      </c>
      <c r="BD44" s="1" t="s">
        <v>74</v>
      </c>
      <c r="BE44" s="1" t="s">
        <v>502</v>
      </c>
      <c r="BF44" s="2" t="str">
        <f>HYPERLINK("http://dx.doi.org/10.1016/j.jde.2024.01.021","http://dx.doi.org/10.1016/j.jde.2024.01.021")</f>
        <v>http://dx.doi.org/10.1016/j.jde.2024.01.021</v>
      </c>
      <c r="BG44" s="1" t="s">
        <v>74</v>
      </c>
      <c r="BH44" s="1" t="s">
        <v>503</v>
      </c>
      <c r="BI44" s="1" t="s">
        <v>74</v>
      </c>
      <c r="BJ44" s="1" t="s">
        <v>74</v>
      </c>
      <c r="BK44" s="1" t="s">
        <v>74</v>
      </c>
      <c r="BL44" s="1" t="s">
        <v>74</v>
      </c>
      <c r="BM44" s="1" t="s">
        <v>74</v>
      </c>
      <c r="BN44" s="1" t="s">
        <v>74</v>
      </c>
      <c r="BO44" s="1" t="s">
        <v>74</v>
      </c>
      <c r="BP44" s="1" t="s">
        <v>74</v>
      </c>
      <c r="BQ44" s="1" t="s">
        <v>74</v>
      </c>
      <c r="BR44" s="1" t="s">
        <v>74</v>
      </c>
      <c r="BS44" s="1" t="s">
        <v>504</v>
      </c>
      <c r="BT44" s="1" t="str">
        <f>HYPERLINK("https%3A%2F%2Fwww.webofscience.com%2Fwos%2Fwoscc%2Ffull-record%2FWOS:001174656600001","View Full Record in Web of Science")</f>
        <v>View Full Record in Web of Science</v>
      </c>
    </row>
    <row r="45" ht="12.75" customHeight="1">
      <c r="A45" s="1" t="s">
        <v>72</v>
      </c>
      <c r="B45" s="1" t="s">
        <v>505</v>
      </c>
      <c r="C45" s="1" t="s">
        <v>74</v>
      </c>
      <c r="D45" s="1" t="s">
        <v>74</v>
      </c>
      <c r="E45" s="1" t="s">
        <v>74</v>
      </c>
      <c r="F45" s="1" t="s">
        <v>506</v>
      </c>
      <c r="G45" s="1" t="s">
        <v>74</v>
      </c>
      <c r="H45" s="1" t="s">
        <v>74</v>
      </c>
      <c r="I45" s="1" t="s">
        <v>507</v>
      </c>
      <c r="J45" s="1" t="s">
        <v>508</v>
      </c>
      <c r="K45" s="1" t="s">
        <v>74</v>
      </c>
      <c r="L45" s="1" t="s">
        <v>74</v>
      </c>
      <c r="M45" s="1" t="s">
        <v>74</v>
      </c>
      <c r="N45" s="1" t="s">
        <v>74</v>
      </c>
      <c r="O45" s="1" t="s">
        <v>74</v>
      </c>
      <c r="P45" s="1" t="s">
        <v>74</v>
      </c>
      <c r="Q45" s="1" t="s">
        <v>74</v>
      </c>
      <c r="R45" s="1" t="s">
        <v>74</v>
      </c>
      <c r="S45" s="1" t="s">
        <v>74</v>
      </c>
      <c r="T45" s="1" t="s">
        <v>74</v>
      </c>
      <c r="U45" s="1" t="s">
        <v>74</v>
      </c>
      <c r="V45" s="1" t="s">
        <v>509</v>
      </c>
      <c r="W45" s="1" t="s">
        <v>74</v>
      </c>
      <c r="X45" s="1" t="s">
        <v>74</v>
      </c>
      <c r="Y45" s="1" t="s">
        <v>74</v>
      </c>
      <c r="Z45" s="1" t="s">
        <v>74</v>
      </c>
      <c r="AA45" s="1" t="s">
        <v>74</v>
      </c>
      <c r="AB45" s="1" t="s">
        <v>510</v>
      </c>
      <c r="AC45" s="1" t="s">
        <v>74</v>
      </c>
      <c r="AD45" s="1" t="s">
        <v>74</v>
      </c>
      <c r="AE45" s="1" t="s">
        <v>74</v>
      </c>
      <c r="AF45" s="1" t="s">
        <v>74</v>
      </c>
      <c r="AG45" s="1" t="s">
        <v>74</v>
      </c>
      <c r="AH45" s="1" t="s">
        <v>74</v>
      </c>
      <c r="AI45" s="1" t="s">
        <v>74</v>
      </c>
      <c r="AJ45" s="1" t="s">
        <v>74</v>
      </c>
      <c r="AK45" s="1" t="s">
        <v>74</v>
      </c>
      <c r="AL45" s="1" t="s">
        <v>74</v>
      </c>
      <c r="AM45" s="1" t="s">
        <v>74</v>
      </c>
      <c r="AN45" s="1" t="s">
        <v>74</v>
      </c>
      <c r="AO45" s="1" t="s">
        <v>74</v>
      </c>
      <c r="AP45" s="1" t="s">
        <v>511</v>
      </c>
      <c r="AQ45" s="1" t="s">
        <v>74</v>
      </c>
      <c r="AR45" s="1" t="s">
        <v>74</v>
      </c>
      <c r="AS45" s="1" t="s">
        <v>74</v>
      </c>
      <c r="AT45" s="1" t="s">
        <v>277</v>
      </c>
      <c r="AU45" s="1">
        <v>2024.0</v>
      </c>
      <c r="AV45" s="1">
        <v>14.0</v>
      </c>
      <c r="AW45" s="1">
        <v>1.0</v>
      </c>
      <c r="AX45" s="1" t="s">
        <v>74</v>
      </c>
      <c r="AY45" s="1" t="s">
        <v>74</v>
      </c>
      <c r="AZ45" s="1" t="s">
        <v>74</v>
      </c>
      <c r="BA45" s="1" t="s">
        <v>74</v>
      </c>
      <c r="BB45" s="1" t="s">
        <v>74</v>
      </c>
      <c r="BC45" s="1" t="s">
        <v>74</v>
      </c>
      <c r="BD45" s="1">
        <v>205.0</v>
      </c>
      <c r="BE45" s="1" t="s">
        <v>512</v>
      </c>
      <c r="BF45" s="2" t="str">
        <f>HYPERLINK("http://dx.doi.org/10.3390/app14010205","http://dx.doi.org/10.3390/app14010205")</f>
        <v>http://dx.doi.org/10.3390/app14010205</v>
      </c>
      <c r="BG45" s="1" t="s">
        <v>74</v>
      </c>
      <c r="BH45" s="1" t="s">
        <v>74</v>
      </c>
      <c r="BI45" s="1" t="s">
        <v>74</v>
      </c>
      <c r="BJ45" s="1" t="s">
        <v>74</v>
      </c>
      <c r="BK45" s="1" t="s">
        <v>74</v>
      </c>
      <c r="BL45" s="1" t="s">
        <v>74</v>
      </c>
      <c r="BM45" s="1" t="s">
        <v>74</v>
      </c>
      <c r="BN45" s="1" t="s">
        <v>74</v>
      </c>
      <c r="BO45" s="1" t="s">
        <v>74</v>
      </c>
      <c r="BP45" s="1" t="s">
        <v>74</v>
      </c>
      <c r="BQ45" s="1" t="s">
        <v>74</v>
      </c>
      <c r="BR45" s="1" t="s">
        <v>74</v>
      </c>
      <c r="BS45" s="1" t="s">
        <v>513</v>
      </c>
      <c r="BT45" s="1" t="str">
        <f>HYPERLINK("https%3A%2F%2Fwww.webofscience.com%2Fwos%2Fwoscc%2Ffull-record%2FWOS:001139218400001","View Full Record in Web of Science")</f>
        <v>View Full Record in Web of Science</v>
      </c>
    </row>
    <row r="46" ht="12.75" customHeight="1">
      <c r="A46" s="1" t="s">
        <v>72</v>
      </c>
      <c r="B46" s="1" t="s">
        <v>514</v>
      </c>
      <c r="C46" s="1" t="s">
        <v>74</v>
      </c>
      <c r="D46" s="1" t="s">
        <v>74</v>
      </c>
      <c r="E46" s="1" t="s">
        <v>74</v>
      </c>
      <c r="F46" s="1" t="s">
        <v>515</v>
      </c>
      <c r="G46" s="1" t="s">
        <v>74</v>
      </c>
      <c r="H46" s="1" t="s">
        <v>74</v>
      </c>
      <c r="I46" s="1" t="s">
        <v>516</v>
      </c>
      <c r="J46" s="1" t="s">
        <v>517</v>
      </c>
      <c r="K46" s="1" t="s">
        <v>74</v>
      </c>
      <c r="L46" s="1" t="s">
        <v>74</v>
      </c>
      <c r="M46" s="1" t="s">
        <v>74</v>
      </c>
      <c r="N46" s="1" t="s">
        <v>74</v>
      </c>
      <c r="O46" s="1" t="s">
        <v>74</v>
      </c>
      <c r="P46" s="1" t="s">
        <v>74</v>
      </c>
      <c r="Q46" s="1" t="s">
        <v>74</v>
      </c>
      <c r="R46" s="1" t="s">
        <v>74</v>
      </c>
      <c r="S46" s="1" t="s">
        <v>74</v>
      </c>
      <c r="T46" s="1" t="s">
        <v>74</v>
      </c>
      <c r="U46" s="1" t="s">
        <v>74</v>
      </c>
      <c r="V46" s="1" t="s">
        <v>518</v>
      </c>
      <c r="W46" s="1" t="s">
        <v>74</v>
      </c>
      <c r="X46" s="1" t="s">
        <v>74</v>
      </c>
      <c r="Y46" s="1" t="s">
        <v>74</v>
      </c>
      <c r="Z46" s="1" t="s">
        <v>74</v>
      </c>
      <c r="AA46" s="1" t="s">
        <v>519</v>
      </c>
      <c r="AB46" s="1" t="s">
        <v>520</v>
      </c>
      <c r="AC46" s="1" t="s">
        <v>74</v>
      </c>
      <c r="AD46" s="1" t="s">
        <v>74</v>
      </c>
      <c r="AE46" s="1" t="s">
        <v>74</v>
      </c>
      <c r="AF46" s="1" t="s">
        <v>74</v>
      </c>
      <c r="AG46" s="1" t="s">
        <v>74</v>
      </c>
      <c r="AH46" s="1" t="s">
        <v>74</v>
      </c>
      <c r="AI46" s="1" t="s">
        <v>74</v>
      </c>
      <c r="AJ46" s="1" t="s">
        <v>74</v>
      </c>
      <c r="AK46" s="1" t="s">
        <v>74</v>
      </c>
      <c r="AL46" s="1" t="s">
        <v>74</v>
      </c>
      <c r="AM46" s="1" t="s">
        <v>74</v>
      </c>
      <c r="AN46" s="1" t="s">
        <v>74</v>
      </c>
      <c r="AO46" s="1" t="s">
        <v>74</v>
      </c>
      <c r="AP46" s="1" t="s">
        <v>521</v>
      </c>
      <c r="AQ46" s="1" t="s">
        <v>74</v>
      </c>
      <c r="AR46" s="1" t="s">
        <v>74</v>
      </c>
      <c r="AS46" s="1" t="s">
        <v>74</v>
      </c>
      <c r="AT46" s="1" t="s">
        <v>277</v>
      </c>
      <c r="AU46" s="1">
        <v>2024.0</v>
      </c>
      <c r="AV46" s="1">
        <v>10.0</v>
      </c>
      <c r="AW46" s="1">
        <v>1.0</v>
      </c>
      <c r="AX46" s="1" t="s">
        <v>74</v>
      </c>
      <c r="AY46" s="1" t="s">
        <v>74</v>
      </c>
      <c r="AZ46" s="1" t="s">
        <v>74</v>
      </c>
      <c r="BA46" s="1" t="s">
        <v>74</v>
      </c>
      <c r="BB46" s="1" t="s">
        <v>74</v>
      </c>
      <c r="BC46" s="1" t="s">
        <v>74</v>
      </c>
      <c r="BD46" s="1">
        <v>1.0</v>
      </c>
      <c r="BE46" s="1" t="s">
        <v>522</v>
      </c>
      <c r="BF46" s="2" t="str">
        <f>HYPERLINK("http://dx.doi.org/10.3390/fermentation10010001","http://dx.doi.org/10.3390/fermentation10010001")</f>
        <v>http://dx.doi.org/10.3390/fermentation10010001</v>
      </c>
      <c r="BG46" s="1" t="s">
        <v>74</v>
      </c>
      <c r="BH46" s="1" t="s">
        <v>74</v>
      </c>
      <c r="BI46" s="1" t="s">
        <v>74</v>
      </c>
      <c r="BJ46" s="1" t="s">
        <v>74</v>
      </c>
      <c r="BK46" s="1" t="s">
        <v>74</v>
      </c>
      <c r="BL46" s="1" t="s">
        <v>74</v>
      </c>
      <c r="BM46" s="1" t="s">
        <v>74</v>
      </c>
      <c r="BN46" s="1" t="s">
        <v>74</v>
      </c>
      <c r="BO46" s="1" t="s">
        <v>74</v>
      </c>
      <c r="BP46" s="1" t="s">
        <v>74</v>
      </c>
      <c r="BQ46" s="1" t="s">
        <v>74</v>
      </c>
      <c r="BR46" s="1" t="s">
        <v>74</v>
      </c>
      <c r="BS46" s="1" t="s">
        <v>523</v>
      </c>
      <c r="BT46" s="1" t="str">
        <f>HYPERLINK("https%3A%2F%2Fwww.webofscience.com%2Fwos%2Fwoscc%2Ffull-record%2FWOS:001148842300001","View Full Record in Web of Science")</f>
        <v>View Full Record in Web of Science</v>
      </c>
    </row>
    <row r="47" ht="12.75" customHeight="1">
      <c r="A47" s="1" t="s">
        <v>72</v>
      </c>
      <c r="B47" s="1" t="s">
        <v>524</v>
      </c>
      <c r="C47" s="1" t="s">
        <v>74</v>
      </c>
      <c r="D47" s="1" t="s">
        <v>74</v>
      </c>
      <c r="E47" s="1" t="s">
        <v>74</v>
      </c>
      <c r="F47" s="1" t="s">
        <v>525</v>
      </c>
      <c r="G47" s="1" t="s">
        <v>74</v>
      </c>
      <c r="H47" s="1" t="s">
        <v>74</v>
      </c>
      <c r="I47" s="1" t="s">
        <v>526</v>
      </c>
      <c r="J47" s="1" t="s">
        <v>527</v>
      </c>
      <c r="K47" s="1" t="s">
        <v>74</v>
      </c>
      <c r="L47" s="1" t="s">
        <v>74</v>
      </c>
      <c r="M47" s="1" t="s">
        <v>74</v>
      </c>
      <c r="N47" s="1" t="s">
        <v>74</v>
      </c>
      <c r="O47" s="1" t="s">
        <v>74</v>
      </c>
      <c r="P47" s="1" t="s">
        <v>74</v>
      </c>
      <c r="Q47" s="1" t="s">
        <v>74</v>
      </c>
      <c r="R47" s="1" t="s">
        <v>74</v>
      </c>
      <c r="S47" s="1" t="s">
        <v>74</v>
      </c>
      <c r="T47" s="1" t="s">
        <v>74</v>
      </c>
      <c r="U47" s="1" t="s">
        <v>74</v>
      </c>
      <c r="V47" s="1" t="s">
        <v>528</v>
      </c>
      <c r="W47" s="1" t="s">
        <v>74</v>
      </c>
      <c r="X47" s="1" t="s">
        <v>74</v>
      </c>
      <c r="Y47" s="1" t="s">
        <v>74</v>
      </c>
      <c r="Z47" s="1" t="s">
        <v>74</v>
      </c>
      <c r="AA47" s="1" t="s">
        <v>529</v>
      </c>
      <c r="AB47" s="1" t="s">
        <v>530</v>
      </c>
      <c r="AC47" s="1" t="s">
        <v>74</v>
      </c>
      <c r="AD47" s="1" t="s">
        <v>74</v>
      </c>
      <c r="AE47" s="1" t="s">
        <v>74</v>
      </c>
      <c r="AF47" s="1" t="s">
        <v>74</v>
      </c>
      <c r="AG47" s="1" t="s">
        <v>74</v>
      </c>
      <c r="AH47" s="1" t="s">
        <v>74</v>
      </c>
      <c r="AI47" s="1" t="s">
        <v>74</v>
      </c>
      <c r="AJ47" s="1" t="s">
        <v>74</v>
      </c>
      <c r="AK47" s="1" t="s">
        <v>74</v>
      </c>
      <c r="AL47" s="1" t="s">
        <v>74</v>
      </c>
      <c r="AM47" s="1" t="s">
        <v>74</v>
      </c>
      <c r="AN47" s="1" t="s">
        <v>74</v>
      </c>
      <c r="AO47" s="1" t="s">
        <v>531</v>
      </c>
      <c r="AP47" s="1" t="s">
        <v>532</v>
      </c>
      <c r="AQ47" s="1" t="s">
        <v>74</v>
      </c>
      <c r="AR47" s="1" t="s">
        <v>74</v>
      </c>
      <c r="AS47" s="1" t="s">
        <v>74</v>
      </c>
      <c r="AT47" s="1" t="s">
        <v>533</v>
      </c>
      <c r="AU47" s="1">
        <v>2024.0</v>
      </c>
      <c r="AV47" s="1">
        <v>473.0</v>
      </c>
      <c r="AW47" s="1" t="s">
        <v>74</v>
      </c>
      <c r="AX47" s="1" t="s">
        <v>74</v>
      </c>
      <c r="AY47" s="1" t="s">
        <v>74</v>
      </c>
      <c r="AZ47" s="1" t="s">
        <v>74</v>
      </c>
      <c r="BA47" s="1" t="s">
        <v>74</v>
      </c>
      <c r="BB47" s="1" t="s">
        <v>74</v>
      </c>
      <c r="BC47" s="1" t="s">
        <v>74</v>
      </c>
      <c r="BD47" s="1">
        <v>143416.0</v>
      </c>
      <c r="BE47" s="1" t="s">
        <v>534</v>
      </c>
      <c r="BF47" s="2" t="str">
        <f>HYPERLINK("http://dx.doi.org/10.1016/j.electacta.2023.143416","http://dx.doi.org/10.1016/j.electacta.2023.143416")</f>
        <v>http://dx.doi.org/10.1016/j.electacta.2023.143416</v>
      </c>
      <c r="BG47" s="1" t="s">
        <v>74</v>
      </c>
      <c r="BH47" s="1" t="s">
        <v>535</v>
      </c>
      <c r="BI47" s="1" t="s">
        <v>74</v>
      </c>
      <c r="BJ47" s="1" t="s">
        <v>74</v>
      </c>
      <c r="BK47" s="1" t="s">
        <v>74</v>
      </c>
      <c r="BL47" s="1" t="s">
        <v>74</v>
      </c>
      <c r="BM47" s="1" t="s">
        <v>74</v>
      </c>
      <c r="BN47" s="1" t="s">
        <v>74</v>
      </c>
      <c r="BO47" s="1" t="s">
        <v>74</v>
      </c>
      <c r="BP47" s="1" t="s">
        <v>74</v>
      </c>
      <c r="BQ47" s="1" t="s">
        <v>74</v>
      </c>
      <c r="BR47" s="1" t="s">
        <v>74</v>
      </c>
      <c r="BS47" s="1" t="s">
        <v>536</v>
      </c>
      <c r="BT47" s="1" t="str">
        <f>HYPERLINK("https%3A%2F%2Fwww.webofscience.com%2Fwos%2Fwoscc%2Ffull-record%2FWOS:001112492500001","View Full Record in Web of Science")</f>
        <v>View Full Record in Web of Science</v>
      </c>
    </row>
    <row r="48" ht="12.75" customHeight="1">
      <c r="A48" s="1" t="s">
        <v>72</v>
      </c>
      <c r="B48" s="1" t="s">
        <v>537</v>
      </c>
      <c r="C48" s="1" t="s">
        <v>74</v>
      </c>
      <c r="D48" s="1" t="s">
        <v>74</v>
      </c>
      <c r="E48" s="1" t="s">
        <v>74</v>
      </c>
      <c r="F48" s="1" t="s">
        <v>538</v>
      </c>
      <c r="G48" s="1" t="s">
        <v>74</v>
      </c>
      <c r="H48" s="1" t="s">
        <v>74</v>
      </c>
      <c r="I48" s="1" t="s">
        <v>539</v>
      </c>
      <c r="J48" s="1" t="s">
        <v>540</v>
      </c>
      <c r="K48" s="1" t="s">
        <v>74</v>
      </c>
      <c r="L48" s="1" t="s">
        <v>74</v>
      </c>
      <c r="M48" s="1" t="s">
        <v>74</v>
      </c>
      <c r="N48" s="1" t="s">
        <v>74</v>
      </c>
      <c r="O48" s="1" t="s">
        <v>541</v>
      </c>
      <c r="P48" s="1" t="s">
        <v>542</v>
      </c>
      <c r="Q48" s="1" t="s">
        <v>543</v>
      </c>
      <c r="R48" s="1" t="s">
        <v>544</v>
      </c>
      <c r="S48" s="1" t="s">
        <v>74</v>
      </c>
      <c r="T48" s="1" t="s">
        <v>74</v>
      </c>
      <c r="U48" s="1" t="s">
        <v>74</v>
      </c>
      <c r="V48" s="1" t="s">
        <v>74</v>
      </c>
      <c r="W48" s="1" t="s">
        <v>74</v>
      </c>
      <c r="X48" s="1" t="s">
        <v>74</v>
      </c>
      <c r="Y48" s="1" t="s">
        <v>74</v>
      </c>
      <c r="Z48" s="1" t="s">
        <v>74</v>
      </c>
      <c r="AA48" s="1" t="s">
        <v>545</v>
      </c>
      <c r="AB48" s="1" t="s">
        <v>546</v>
      </c>
      <c r="AC48" s="1" t="s">
        <v>74</v>
      </c>
      <c r="AD48" s="1" t="s">
        <v>74</v>
      </c>
      <c r="AE48" s="1" t="s">
        <v>74</v>
      </c>
      <c r="AF48" s="1" t="s">
        <v>74</v>
      </c>
      <c r="AG48" s="1" t="s">
        <v>74</v>
      </c>
      <c r="AH48" s="1" t="s">
        <v>74</v>
      </c>
      <c r="AI48" s="1" t="s">
        <v>74</v>
      </c>
      <c r="AJ48" s="1" t="s">
        <v>74</v>
      </c>
      <c r="AK48" s="1" t="s">
        <v>74</v>
      </c>
      <c r="AL48" s="1" t="s">
        <v>74</v>
      </c>
      <c r="AM48" s="1" t="s">
        <v>74</v>
      </c>
      <c r="AN48" s="1" t="s">
        <v>74</v>
      </c>
      <c r="AO48" s="1" t="s">
        <v>547</v>
      </c>
      <c r="AP48" s="1" t="s">
        <v>548</v>
      </c>
      <c r="AQ48" s="1" t="s">
        <v>74</v>
      </c>
      <c r="AR48" s="1" t="s">
        <v>74</v>
      </c>
      <c r="AS48" s="1" t="s">
        <v>74</v>
      </c>
      <c r="AT48" s="1" t="s">
        <v>112</v>
      </c>
      <c r="AU48" s="1">
        <v>2023.0</v>
      </c>
      <c r="AV48" s="1">
        <v>148.0</v>
      </c>
      <c r="AW48" s="1" t="s">
        <v>74</v>
      </c>
      <c r="AX48" s="1" t="s">
        <v>74</v>
      </c>
      <c r="AY48" s="1" t="s">
        <v>74</v>
      </c>
      <c r="AZ48" s="1" t="s">
        <v>74</v>
      </c>
      <c r="BA48" s="1" t="s">
        <v>74</v>
      </c>
      <c r="BB48" s="1" t="s">
        <v>74</v>
      </c>
      <c r="BC48" s="1" t="s">
        <v>74</v>
      </c>
      <c r="BD48" s="1">
        <v>105017.0</v>
      </c>
      <c r="BE48" s="1" t="s">
        <v>74</v>
      </c>
      <c r="BF48" s="1" t="s">
        <v>74</v>
      </c>
      <c r="BG48" s="1" t="s">
        <v>74</v>
      </c>
      <c r="BH48" s="1" t="s">
        <v>74</v>
      </c>
      <c r="BI48" s="1" t="s">
        <v>74</v>
      </c>
      <c r="BJ48" s="1" t="s">
        <v>74</v>
      </c>
      <c r="BK48" s="1" t="s">
        <v>74</v>
      </c>
      <c r="BL48" s="1" t="s">
        <v>74</v>
      </c>
      <c r="BM48" s="1" t="s">
        <v>74</v>
      </c>
      <c r="BN48" s="1" t="s">
        <v>74</v>
      </c>
      <c r="BO48" s="1" t="s">
        <v>74</v>
      </c>
      <c r="BP48" s="1" t="s">
        <v>74</v>
      </c>
      <c r="BQ48" s="1" t="s">
        <v>74</v>
      </c>
      <c r="BR48" s="1" t="s">
        <v>74</v>
      </c>
      <c r="BS48" s="1" t="s">
        <v>549</v>
      </c>
      <c r="BT48" s="1" t="str">
        <f>HYPERLINK("https%3A%2F%2Fwww.webofscience.com%2Fwos%2Fwoscc%2Ffull-record%2FWOS:001058416200096","View Full Record in Web of Science")</f>
        <v>View Full Record in Web of Science</v>
      </c>
    </row>
    <row r="49" ht="12.75" customHeight="1">
      <c r="A49" s="1" t="s">
        <v>72</v>
      </c>
      <c r="B49" s="1" t="s">
        <v>550</v>
      </c>
      <c r="C49" s="1" t="s">
        <v>74</v>
      </c>
      <c r="D49" s="1" t="s">
        <v>74</v>
      </c>
      <c r="E49" s="1" t="s">
        <v>74</v>
      </c>
      <c r="F49" s="1" t="s">
        <v>551</v>
      </c>
      <c r="G49" s="1" t="s">
        <v>74</v>
      </c>
      <c r="H49" s="1" t="s">
        <v>74</v>
      </c>
      <c r="I49" s="1" t="s">
        <v>552</v>
      </c>
      <c r="J49" s="1" t="s">
        <v>553</v>
      </c>
      <c r="K49" s="1" t="s">
        <v>74</v>
      </c>
      <c r="L49" s="1" t="s">
        <v>74</v>
      </c>
      <c r="M49" s="1" t="s">
        <v>74</v>
      </c>
      <c r="N49" s="1" t="s">
        <v>74</v>
      </c>
      <c r="O49" s="1" t="s">
        <v>74</v>
      </c>
      <c r="P49" s="1" t="s">
        <v>74</v>
      </c>
      <c r="Q49" s="1" t="s">
        <v>74</v>
      </c>
      <c r="R49" s="1" t="s">
        <v>74</v>
      </c>
      <c r="S49" s="1" t="s">
        <v>74</v>
      </c>
      <c r="T49" s="1" t="s">
        <v>74</v>
      </c>
      <c r="U49" s="1" t="s">
        <v>74</v>
      </c>
      <c r="V49" s="1" t="s">
        <v>554</v>
      </c>
      <c r="W49" s="1" t="s">
        <v>74</v>
      </c>
      <c r="X49" s="1" t="s">
        <v>74</v>
      </c>
      <c r="Y49" s="1" t="s">
        <v>74</v>
      </c>
      <c r="Z49" s="1" t="s">
        <v>74</v>
      </c>
      <c r="AA49" s="1" t="s">
        <v>555</v>
      </c>
      <c r="AB49" s="1" t="s">
        <v>556</v>
      </c>
      <c r="AC49" s="1" t="s">
        <v>74</v>
      </c>
      <c r="AD49" s="1" t="s">
        <v>74</v>
      </c>
      <c r="AE49" s="1" t="s">
        <v>74</v>
      </c>
      <c r="AF49" s="1" t="s">
        <v>74</v>
      </c>
      <c r="AG49" s="1" t="s">
        <v>74</v>
      </c>
      <c r="AH49" s="1" t="s">
        <v>74</v>
      </c>
      <c r="AI49" s="1" t="s">
        <v>74</v>
      </c>
      <c r="AJ49" s="1" t="s">
        <v>74</v>
      </c>
      <c r="AK49" s="1" t="s">
        <v>74</v>
      </c>
      <c r="AL49" s="1" t="s">
        <v>74</v>
      </c>
      <c r="AM49" s="1" t="s">
        <v>74</v>
      </c>
      <c r="AN49" s="1" t="s">
        <v>74</v>
      </c>
      <c r="AO49" s="1" t="s">
        <v>74</v>
      </c>
      <c r="AP49" s="1" t="s">
        <v>557</v>
      </c>
      <c r="AQ49" s="1" t="s">
        <v>74</v>
      </c>
      <c r="AR49" s="1" t="s">
        <v>74</v>
      </c>
      <c r="AS49" s="1" t="s">
        <v>74</v>
      </c>
      <c r="AT49" s="1" t="s">
        <v>379</v>
      </c>
      <c r="AU49" s="1">
        <v>2023.0</v>
      </c>
      <c r="AV49" s="1">
        <v>15.0</v>
      </c>
      <c r="AW49" s="1">
        <v>18.0</v>
      </c>
      <c r="AX49" s="1" t="s">
        <v>74</v>
      </c>
      <c r="AY49" s="1" t="s">
        <v>74</v>
      </c>
      <c r="AZ49" s="1" t="s">
        <v>74</v>
      </c>
      <c r="BA49" s="1" t="s">
        <v>74</v>
      </c>
      <c r="BB49" s="1" t="s">
        <v>74</v>
      </c>
      <c r="BC49" s="1" t="s">
        <v>74</v>
      </c>
      <c r="BD49" s="1">
        <v>3774.0</v>
      </c>
      <c r="BE49" s="1" t="s">
        <v>558</v>
      </c>
      <c r="BF49" s="2" t="str">
        <f>HYPERLINK("http://dx.doi.org/10.3390/polym15183774","http://dx.doi.org/10.3390/polym15183774")</f>
        <v>http://dx.doi.org/10.3390/polym15183774</v>
      </c>
      <c r="BG49" s="1" t="s">
        <v>74</v>
      </c>
      <c r="BH49" s="1" t="s">
        <v>74</v>
      </c>
      <c r="BI49" s="1" t="s">
        <v>74</v>
      </c>
      <c r="BJ49" s="1" t="s">
        <v>74</v>
      </c>
      <c r="BK49" s="1" t="s">
        <v>74</v>
      </c>
      <c r="BL49" s="1" t="s">
        <v>74</v>
      </c>
      <c r="BM49" s="1" t="s">
        <v>74</v>
      </c>
      <c r="BN49" s="1">
        <v>3.7765628E7</v>
      </c>
      <c r="BO49" s="1" t="s">
        <v>74</v>
      </c>
      <c r="BP49" s="1" t="s">
        <v>74</v>
      </c>
      <c r="BQ49" s="1" t="s">
        <v>74</v>
      </c>
      <c r="BR49" s="1" t="s">
        <v>74</v>
      </c>
      <c r="BS49" s="1" t="s">
        <v>559</v>
      </c>
      <c r="BT49" s="1" t="str">
        <f>HYPERLINK("https%3A%2F%2Fwww.webofscience.com%2Fwos%2Fwoscc%2Ffull-record%2FWOS:001075543200001","View Full Record in Web of Science")</f>
        <v>View Full Record in Web of Science</v>
      </c>
    </row>
    <row r="50" ht="12.75" customHeight="1">
      <c r="A50" s="1" t="s">
        <v>72</v>
      </c>
      <c r="B50" s="1" t="s">
        <v>560</v>
      </c>
      <c r="C50" s="1" t="s">
        <v>74</v>
      </c>
      <c r="D50" s="1" t="s">
        <v>74</v>
      </c>
      <c r="E50" s="1" t="s">
        <v>74</v>
      </c>
      <c r="F50" s="1" t="s">
        <v>561</v>
      </c>
      <c r="G50" s="1" t="s">
        <v>74</v>
      </c>
      <c r="H50" s="1" t="s">
        <v>74</v>
      </c>
      <c r="I50" s="1" t="s">
        <v>562</v>
      </c>
      <c r="J50" s="1" t="s">
        <v>563</v>
      </c>
      <c r="K50" s="1" t="s">
        <v>74</v>
      </c>
      <c r="L50" s="1" t="s">
        <v>74</v>
      </c>
      <c r="M50" s="1" t="s">
        <v>74</v>
      </c>
      <c r="N50" s="1" t="s">
        <v>74</v>
      </c>
      <c r="O50" s="1" t="s">
        <v>74</v>
      </c>
      <c r="P50" s="1" t="s">
        <v>74</v>
      </c>
      <c r="Q50" s="1" t="s">
        <v>74</v>
      </c>
      <c r="R50" s="1" t="s">
        <v>74</v>
      </c>
      <c r="S50" s="1" t="s">
        <v>74</v>
      </c>
      <c r="T50" s="1" t="s">
        <v>74</v>
      </c>
      <c r="U50" s="1" t="s">
        <v>74</v>
      </c>
      <c r="V50" s="1" t="s">
        <v>564</v>
      </c>
      <c r="W50" s="1" t="s">
        <v>74</v>
      </c>
      <c r="X50" s="1" t="s">
        <v>74</v>
      </c>
      <c r="Y50" s="1" t="s">
        <v>74</v>
      </c>
      <c r="Z50" s="1" t="s">
        <v>74</v>
      </c>
      <c r="AA50" s="1" t="s">
        <v>565</v>
      </c>
      <c r="AB50" s="1" t="s">
        <v>566</v>
      </c>
      <c r="AC50" s="1" t="s">
        <v>74</v>
      </c>
      <c r="AD50" s="1" t="s">
        <v>74</v>
      </c>
      <c r="AE50" s="1" t="s">
        <v>74</v>
      </c>
      <c r="AF50" s="1" t="s">
        <v>74</v>
      </c>
      <c r="AG50" s="1" t="s">
        <v>74</v>
      </c>
      <c r="AH50" s="1" t="s">
        <v>74</v>
      </c>
      <c r="AI50" s="1" t="s">
        <v>74</v>
      </c>
      <c r="AJ50" s="1" t="s">
        <v>74</v>
      </c>
      <c r="AK50" s="1" t="s">
        <v>74</v>
      </c>
      <c r="AL50" s="1" t="s">
        <v>74</v>
      </c>
      <c r="AM50" s="1" t="s">
        <v>74</v>
      </c>
      <c r="AN50" s="1" t="s">
        <v>74</v>
      </c>
      <c r="AO50" s="1" t="s">
        <v>74</v>
      </c>
      <c r="AP50" s="1" t="s">
        <v>567</v>
      </c>
      <c r="AQ50" s="1" t="s">
        <v>74</v>
      </c>
      <c r="AR50" s="1" t="s">
        <v>74</v>
      </c>
      <c r="AS50" s="1" t="s">
        <v>74</v>
      </c>
      <c r="AT50" s="1" t="s">
        <v>568</v>
      </c>
      <c r="AU50" s="1">
        <v>2023.0</v>
      </c>
      <c r="AV50" s="1">
        <v>17.0</v>
      </c>
      <c r="AW50" s="1" t="s">
        <v>74</v>
      </c>
      <c r="AX50" s="1" t="s">
        <v>74</v>
      </c>
      <c r="AY50" s="1" t="s">
        <v>74</v>
      </c>
      <c r="AZ50" s="1" t="s">
        <v>74</v>
      </c>
      <c r="BA50" s="1" t="s">
        <v>74</v>
      </c>
      <c r="BB50" s="1" t="s">
        <v>74</v>
      </c>
      <c r="BC50" s="1" t="s">
        <v>74</v>
      </c>
      <c r="BD50" s="1">
        <v>1213410.0</v>
      </c>
      <c r="BE50" s="1" t="s">
        <v>569</v>
      </c>
      <c r="BF50" s="2" t="str">
        <f>HYPERLINK("http://dx.doi.org/10.3389/fnins.2023.1213410","http://dx.doi.org/10.3389/fnins.2023.1213410")</f>
        <v>http://dx.doi.org/10.3389/fnins.2023.1213410</v>
      </c>
      <c r="BG50" s="1" t="s">
        <v>74</v>
      </c>
      <c r="BH50" s="1" t="s">
        <v>74</v>
      </c>
      <c r="BI50" s="1" t="s">
        <v>74</v>
      </c>
      <c r="BJ50" s="1" t="s">
        <v>74</v>
      </c>
      <c r="BK50" s="1" t="s">
        <v>74</v>
      </c>
      <c r="BL50" s="1" t="s">
        <v>74</v>
      </c>
      <c r="BM50" s="1" t="s">
        <v>74</v>
      </c>
      <c r="BN50" s="1">
        <v>3.7599992E7</v>
      </c>
      <c r="BO50" s="1" t="s">
        <v>74</v>
      </c>
      <c r="BP50" s="1" t="s">
        <v>74</v>
      </c>
      <c r="BQ50" s="1" t="s">
        <v>74</v>
      </c>
      <c r="BR50" s="1" t="s">
        <v>74</v>
      </c>
      <c r="BS50" s="1" t="s">
        <v>570</v>
      </c>
      <c r="BT50" s="1" t="str">
        <f>HYPERLINK("https%3A%2F%2Fwww.webofscience.com%2Fwos%2Fwoscc%2Ffull-record%2FWOS:001048857000001","View Full Record in Web of Science")</f>
        <v>View Full Record in Web of Science</v>
      </c>
    </row>
    <row r="51" ht="12.75" customHeight="1">
      <c r="A51" s="1" t="s">
        <v>72</v>
      </c>
      <c r="B51" s="1" t="s">
        <v>571</v>
      </c>
      <c r="C51" s="1" t="s">
        <v>74</v>
      </c>
      <c r="D51" s="1" t="s">
        <v>74</v>
      </c>
      <c r="E51" s="1" t="s">
        <v>74</v>
      </c>
      <c r="F51" s="1" t="s">
        <v>572</v>
      </c>
      <c r="G51" s="1" t="s">
        <v>74</v>
      </c>
      <c r="H51" s="1" t="s">
        <v>74</v>
      </c>
      <c r="I51" s="1" t="s">
        <v>573</v>
      </c>
      <c r="J51" s="1" t="s">
        <v>574</v>
      </c>
      <c r="K51" s="1" t="s">
        <v>74</v>
      </c>
      <c r="L51" s="1" t="s">
        <v>74</v>
      </c>
      <c r="M51" s="1" t="s">
        <v>74</v>
      </c>
      <c r="N51" s="1" t="s">
        <v>74</v>
      </c>
      <c r="O51" s="1" t="s">
        <v>74</v>
      </c>
      <c r="P51" s="1" t="s">
        <v>74</v>
      </c>
      <c r="Q51" s="1" t="s">
        <v>74</v>
      </c>
      <c r="R51" s="1" t="s">
        <v>74</v>
      </c>
      <c r="S51" s="1" t="s">
        <v>74</v>
      </c>
      <c r="T51" s="1" t="s">
        <v>74</v>
      </c>
      <c r="U51" s="1" t="s">
        <v>74</v>
      </c>
      <c r="V51" s="1" t="s">
        <v>575</v>
      </c>
      <c r="W51" s="1" t="s">
        <v>74</v>
      </c>
      <c r="X51" s="1" t="s">
        <v>74</v>
      </c>
      <c r="Y51" s="1" t="s">
        <v>74</v>
      </c>
      <c r="Z51" s="1" t="s">
        <v>74</v>
      </c>
      <c r="AA51" s="1" t="s">
        <v>576</v>
      </c>
      <c r="AB51" s="1" t="s">
        <v>577</v>
      </c>
      <c r="AC51" s="1" t="s">
        <v>74</v>
      </c>
      <c r="AD51" s="1" t="s">
        <v>74</v>
      </c>
      <c r="AE51" s="1" t="s">
        <v>74</v>
      </c>
      <c r="AF51" s="1" t="s">
        <v>74</v>
      </c>
      <c r="AG51" s="1" t="s">
        <v>74</v>
      </c>
      <c r="AH51" s="1" t="s">
        <v>74</v>
      </c>
      <c r="AI51" s="1" t="s">
        <v>74</v>
      </c>
      <c r="AJ51" s="1" t="s">
        <v>74</v>
      </c>
      <c r="AK51" s="1" t="s">
        <v>74</v>
      </c>
      <c r="AL51" s="1" t="s">
        <v>74</v>
      </c>
      <c r="AM51" s="1" t="s">
        <v>74</v>
      </c>
      <c r="AN51" s="1" t="s">
        <v>74</v>
      </c>
      <c r="AO51" s="1" t="s">
        <v>578</v>
      </c>
      <c r="AP51" s="1" t="s">
        <v>579</v>
      </c>
      <c r="AQ51" s="1" t="s">
        <v>74</v>
      </c>
      <c r="AR51" s="1" t="s">
        <v>74</v>
      </c>
      <c r="AS51" s="1" t="s">
        <v>74</v>
      </c>
      <c r="AT51" s="1" t="s">
        <v>580</v>
      </c>
      <c r="AU51" s="1">
        <v>2023.0</v>
      </c>
      <c r="AV51" s="1">
        <v>217.0</v>
      </c>
      <c r="AW51" s="1" t="s">
        <v>74</v>
      </c>
      <c r="AX51" s="1" t="s">
        <v>74</v>
      </c>
      <c r="AY51" s="1" t="s">
        <v>74</v>
      </c>
      <c r="AZ51" s="1" t="s">
        <v>74</v>
      </c>
      <c r="BA51" s="1" t="s">
        <v>74</v>
      </c>
      <c r="BB51" s="1" t="s">
        <v>74</v>
      </c>
      <c r="BC51" s="1" t="s">
        <v>74</v>
      </c>
      <c r="BD51" s="1">
        <v>103908.0</v>
      </c>
      <c r="BE51" s="1" t="s">
        <v>581</v>
      </c>
      <c r="BF51" s="2" t="str">
        <f>HYPERLINK("http://dx.doi.org/10.1016/j.finel.2023.103908","http://dx.doi.org/10.1016/j.finel.2023.103908")</f>
        <v>http://dx.doi.org/10.1016/j.finel.2023.103908</v>
      </c>
      <c r="BG51" s="1" t="s">
        <v>74</v>
      </c>
      <c r="BH51" s="1" t="s">
        <v>582</v>
      </c>
      <c r="BI51" s="1" t="s">
        <v>74</v>
      </c>
      <c r="BJ51" s="1" t="s">
        <v>74</v>
      </c>
      <c r="BK51" s="1" t="s">
        <v>74</v>
      </c>
      <c r="BL51" s="1" t="s">
        <v>74</v>
      </c>
      <c r="BM51" s="1" t="s">
        <v>74</v>
      </c>
      <c r="BN51" s="1" t="s">
        <v>74</v>
      </c>
      <c r="BO51" s="1" t="s">
        <v>74</v>
      </c>
      <c r="BP51" s="1" t="s">
        <v>74</v>
      </c>
      <c r="BQ51" s="1" t="s">
        <v>74</v>
      </c>
      <c r="BR51" s="1" t="s">
        <v>74</v>
      </c>
      <c r="BS51" s="1" t="s">
        <v>583</v>
      </c>
      <c r="BT51" s="1" t="str">
        <f>HYPERLINK("https%3A%2F%2Fwww.webofscience.com%2Fwos%2Fwoscc%2Ffull-record%2FWOS:000925327700001","View Full Record in Web of Science")</f>
        <v>View Full Record in Web of Science</v>
      </c>
    </row>
    <row r="52" ht="12.75" customHeight="1">
      <c r="A52" s="1" t="s">
        <v>72</v>
      </c>
      <c r="B52" s="1" t="s">
        <v>584</v>
      </c>
      <c r="C52" s="1" t="s">
        <v>74</v>
      </c>
      <c r="D52" s="1" t="s">
        <v>74</v>
      </c>
      <c r="E52" s="1" t="s">
        <v>74</v>
      </c>
      <c r="F52" s="1" t="s">
        <v>585</v>
      </c>
      <c r="G52" s="1" t="s">
        <v>74</v>
      </c>
      <c r="H52" s="1" t="s">
        <v>74</v>
      </c>
      <c r="I52" s="1" t="s">
        <v>586</v>
      </c>
      <c r="J52" s="1" t="s">
        <v>587</v>
      </c>
      <c r="K52" s="1" t="s">
        <v>74</v>
      </c>
      <c r="L52" s="1" t="s">
        <v>74</v>
      </c>
      <c r="M52" s="1" t="s">
        <v>74</v>
      </c>
      <c r="N52" s="1" t="s">
        <v>74</v>
      </c>
      <c r="O52" s="1" t="s">
        <v>74</v>
      </c>
      <c r="P52" s="1" t="s">
        <v>74</v>
      </c>
      <c r="Q52" s="1" t="s">
        <v>74</v>
      </c>
      <c r="R52" s="1" t="s">
        <v>74</v>
      </c>
      <c r="S52" s="1" t="s">
        <v>74</v>
      </c>
      <c r="T52" s="1" t="s">
        <v>74</v>
      </c>
      <c r="U52" s="1" t="s">
        <v>74</v>
      </c>
      <c r="V52" s="1" t="s">
        <v>74</v>
      </c>
      <c r="W52" s="1" t="s">
        <v>74</v>
      </c>
      <c r="X52" s="1" t="s">
        <v>74</v>
      </c>
      <c r="Y52" s="1" t="s">
        <v>74</v>
      </c>
      <c r="Z52" s="1" t="s">
        <v>74</v>
      </c>
      <c r="AA52" s="1" t="s">
        <v>588</v>
      </c>
      <c r="AB52" s="1" t="s">
        <v>74</v>
      </c>
      <c r="AC52" s="1" t="s">
        <v>74</v>
      </c>
      <c r="AD52" s="1" t="s">
        <v>74</v>
      </c>
      <c r="AE52" s="1" t="s">
        <v>74</v>
      </c>
      <c r="AF52" s="1" t="s">
        <v>74</v>
      </c>
      <c r="AG52" s="1" t="s">
        <v>74</v>
      </c>
      <c r="AH52" s="1" t="s">
        <v>74</v>
      </c>
      <c r="AI52" s="1" t="s">
        <v>74</v>
      </c>
      <c r="AJ52" s="1" t="s">
        <v>74</v>
      </c>
      <c r="AK52" s="1" t="s">
        <v>74</v>
      </c>
      <c r="AL52" s="1" t="s">
        <v>74</v>
      </c>
      <c r="AM52" s="1" t="s">
        <v>74</v>
      </c>
      <c r="AN52" s="1" t="s">
        <v>74</v>
      </c>
      <c r="AO52" s="1" t="s">
        <v>589</v>
      </c>
      <c r="AP52" s="1" t="s">
        <v>74</v>
      </c>
      <c r="AQ52" s="1" t="s">
        <v>74</v>
      </c>
      <c r="AR52" s="1" t="s">
        <v>74</v>
      </c>
      <c r="AS52" s="1" t="s">
        <v>74</v>
      </c>
      <c r="AT52" s="1" t="s">
        <v>74</v>
      </c>
      <c r="AU52" s="1">
        <v>2023.0</v>
      </c>
      <c r="AV52" s="1">
        <v>15.0</v>
      </c>
      <c r="AW52" s="1">
        <v>40.0</v>
      </c>
      <c r="AX52" s="1" t="s">
        <v>74</v>
      </c>
      <c r="AY52" s="1" t="s">
        <v>74</v>
      </c>
      <c r="AZ52" s="1" t="s">
        <v>74</v>
      </c>
      <c r="BA52" s="1" t="s">
        <v>74</v>
      </c>
      <c r="BB52" s="1" t="s">
        <v>74</v>
      </c>
      <c r="BC52" s="1" t="s">
        <v>74</v>
      </c>
      <c r="BD52" s="1" t="s">
        <v>590</v>
      </c>
      <c r="BE52" s="1" t="s">
        <v>591</v>
      </c>
      <c r="BF52" s="2" t="str">
        <f>HYPERLINK("http://dx.doi.org/10.5965/2175180315402023e0301","http://dx.doi.org/10.5965/2175180315402023e0301")</f>
        <v>http://dx.doi.org/10.5965/2175180315402023e0301</v>
      </c>
      <c r="BG52" s="1" t="s">
        <v>74</v>
      </c>
      <c r="BH52" s="1" t="s">
        <v>74</v>
      </c>
      <c r="BI52" s="1" t="s">
        <v>74</v>
      </c>
      <c r="BJ52" s="1" t="s">
        <v>74</v>
      </c>
      <c r="BK52" s="1" t="s">
        <v>74</v>
      </c>
      <c r="BL52" s="1" t="s">
        <v>74</v>
      </c>
      <c r="BM52" s="1" t="s">
        <v>74</v>
      </c>
      <c r="BN52" s="1" t="s">
        <v>74</v>
      </c>
      <c r="BO52" s="1" t="s">
        <v>74</v>
      </c>
      <c r="BP52" s="1" t="s">
        <v>74</v>
      </c>
      <c r="BQ52" s="1" t="s">
        <v>74</v>
      </c>
      <c r="BR52" s="1" t="s">
        <v>74</v>
      </c>
      <c r="BS52" s="1" t="s">
        <v>592</v>
      </c>
      <c r="BT52" s="1" t="str">
        <f>HYPERLINK("https%3A%2F%2Fwww.webofscience.com%2Fwos%2Fwoscc%2Ffull-record%2FWOS:001161165700001","View Full Record in Web of Science")</f>
        <v>View Full Record in Web of Science</v>
      </c>
    </row>
    <row r="53" ht="12.75" customHeight="1">
      <c r="A53" s="1" t="s">
        <v>72</v>
      </c>
      <c r="B53" s="1" t="s">
        <v>593</v>
      </c>
      <c r="C53" s="1" t="s">
        <v>74</v>
      </c>
      <c r="D53" s="1" t="s">
        <v>74</v>
      </c>
      <c r="E53" s="1" t="s">
        <v>74</v>
      </c>
      <c r="F53" s="1" t="s">
        <v>594</v>
      </c>
      <c r="G53" s="1" t="s">
        <v>74</v>
      </c>
      <c r="H53" s="1" t="s">
        <v>74</v>
      </c>
      <c r="I53" s="1" t="s">
        <v>595</v>
      </c>
      <c r="J53" s="1" t="s">
        <v>596</v>
      </c>
      <c r="K53" s="1" t="s">
        <v>74</v>
      </c>
      <c r="L53" s="1" t="s">
        <v>74</v>
      </c>
      <c r="M53" s="1" t="s">
        <v>74</v>
      </c>
      <c r="N53" s="1" t="s">
        <v>74</v>
      </c>
      <c r="O53" s="1" t="s">
        <v>74</v>
      </c>
      <c r="P53" s="1" t="s">
        <v>74</v>
      </c>
      <c r="Q53" s="1" t="s">
        <v>74</v>
      </c>
      <c r="R53" s="1" t="s">
        <v>74</v>
      </c>
      <c r="S53" s="1" t="s">
        <v>74</v>
      </c>
      <c r="T53" s="1" t="s">
        <v>74</v>
      </c>
      <c r="U53" s="1" t="s">
        <v>74</v>
      </c>
      <c r="V53" s="1" t="s">
        <v>597</v>
      </c>
      <c r="W53" s="1" t="s">
        <v>74</v>
      </c>
      <c r="X53" s="1" t="s">
        <v>74</v>
      </c>
      <c r="Y53" s="1" t="s">
        <v>74</v>
      </c>
      <c r="Z53" s="1" t="s">
        <v>74</v>
      </c>
      <c r="AA53" s="1" t="s">
        <v>598</v>
      </c>
      <c r="AB53" s="1" t="s">
        <v>74</v>
      </c>
      <c r="AC53" s="1" t="s">
        <v>74</v>
      </c>
      <c r="AD53" s="1" t="s">
        <v>74</v>
      </c>
      <c r="AE53" s="1" t="s">
        <v>74</v>
      </c>
      <c r="AF53" s="1" t="s">
        <v>74</v>
      </c>
      <c r="AG53" s="1" t="s">
        <v>74</v>
      </c>
      <c r="AH53" s="1" t="s">
        <v>74</v>
      </c>
      <c r="AI53" s="1" t="s">
        <v>74</v>
      </c>
      <c r="AJ53" s="1" t="s">
        <v>74</v>
      </c>
      <c r="AK53" s="1" t="s">
        <v>74</v>
      </c>
      <c r="AL53" s="1" t="s">
        <v>74</v>
      </c>
      <c r="AM53" s="1" t="s">
        <v>74</v>
      </c>
      <c r="AN53" s="1" t="s">
        <v>74</v>
      </c>
      <c r="AO53" s="1" t="s">
        <v>599</v>
      </c>
      <c r="AP53" s="1" t="s">
        <v>74</v>
      </c>
      <c r="AQ53" s="1" t="s">
        <v>74</v>
      </c>
      <c r="AR53" s="1" t="s">
        <v>74</v>
      </c>
      <c r="AS53" s="1" t="s">
        <v>74</v>
      </c>
      <c r="AT53" s="1" t="s">
        <v>112</v>
      </c>
      <c r="AU53" s="1">
        <v>2022.0</v>
      </c>
      <c r="AV53" s="1" t="s">
        <v>74</v>
      </c>
      <c r="AW53" s="1">
        <v>84.0</v>
      </c>
      <c r="AX53" s="1" t="s">
        <v>74</v>
      </c>
      <c r="AY53" s="1" t="s">
        <v>74</v>
      </c>
      <c r="AZ53" s="1" t="s">
        <v>74</v>
      </c>
      <c r="BA53" s="1" t="s">
        <v>74</v>
      </c>
      <c r="BB53" s="1">
        <v>107.0</v>
      </c>
      <c r="BC53" s="1">
        <v>142.0</v>
      </c>
      <c r="BD53" s="1" t="s">
        <v>74</v>
      </c>
      <c r="BE53" s="1" t="s">
        <v>74</v>
      </c>
      <c r="BF53" s="1" t="s">
        <v>74</v>
      </c>
      <c r="BG53" s="1" t="s">
        <v>74</v>
      </c>
      <c r="BH53" s="1" t="s">
        <v>74</v>
      </c>
      <c r="BI53" s="1" t="s">
        <v>74</v>
      </c>
      <c r="BJ53" s="1" t="s">
        <v>74</v>
      </c>
      <c r="BK53" s="1" t="s">
        <v>74</v>
      </c>
      <c r="BL53" s="1" t="s">
        <v>74</v>
      </c>
      <c r="BM53" s="1" t="s">
        <v>74</v>
      </c>
      <c r="BN53" s="1" t="s">
        <v>74</v>
      </c>
      <c r="BO53" s="1" t="s">
        <v>74</v>
      </c>
      <c r="BP53" s="1" t="s">
        <v>74</v>
      </c>
      <c r="BQ53" s="1" t="s">
        <v>74</v>
      </c>
      <c r="BR53" s="1" t="s">
        <v>74</v>
      </c>
      <c r="BS53" s="1" t="s">
        <v>600</v>
      </c>
      <c r="BT53" s="1" t="str">
        <f>HYPERLINK("https%3A%2F%2Fwww.webofscience.com%2Fwos%2Fwoscc%2Ffull-record%2FWOS:001195440000004","View Full Record in Web of Science")</f>
        <v>View Full Record in Web of Science</v>
      </c>
    </row>
    <row r="54" ht="12.75" customHeight="1">
      <c r="A54" s="1" t="s">
        <v>72</v>
      </c>
      <c r="B54" s="1" t="s">
        <v>601</v>
      </c>
      <c r="C54" s="1" t="s">
        <v>74</v>
      </c>
      <c r="D54" s="1" t="s">
        <v>74</v>
      </c>
      <c r="E54" s="1" t="s">
        <v>74</v>
      </c>
      <c r="F54" s="1" t="s">
        <v>602</v>
      </c>
      <c r="G54" s="1" t="s">
        <v>74</v>
      </c>
      <c r="H54" s="1" t="s">
        <v>74</v>
      </c>
      <c r="I54" s="1" t="s">
        <v>603</v>
      </c>
      <c r="J54" s="1" t="s">
        <v>604</v>
      </c>
      <c r="K54" s="1" t="s">
        <v>74</v>
      </c>
      <c r="L54" s="1" t="s">
        <v>74</v>
      </c>
      <c r="M54" s="1" t="s">
        <v>74</v>
      </c>
      <c r="N54" s="1" t="s">
        <v>74</v>
      </c>
      <c r="O54" s="1" t="s">
        <v>74</v>
      </c>
      <c r="P54" s="1" t="s">
        <v>74</v>
      </c>
      <c r="Q54" s="1" t="s">
        <v>74</v>
      </c>
      <c r="R54" s="1" t="s">
        <v>74</v>
      </c>
      <c r="S54" s="1" t="s">
        <v>74</v>
      </c>
      <c r="T54" s="1" t="s">
        <v>74</v>
      </c>
      <c r="U54" s="1" t="s">
        <v>74</v>
      </c>
      <c r="V54" s="1" t="s">
        <v>605</v>
      </c>
      <c r="W54" s="1" t="s">
        <v>74</v>
      </c>
      <c r="X54" s="1" t="s">
        <v>74</v>
      </c>
      <c r="Y54" s="1" t="s">
        <v>74</v>
      </c>
      <c r="Z54" s="1" t="s">
        <v>74</v>
      </c>
      <c r="AA54" s="1" t="s">
        <v>606</v>
      </c>
      <c r="AB54" s="1" t="s">
        <v>607</v>
      </c>
      <c r="AC54" s="1" t="s">
        <v>74</v>
      </c>
      <c r="AD54" s="1" t="s">
        <v>74</v>
      </c>
      <c r="AE54" s="1" t="s">
        <v>74</v>
      </c>
      <c r="AF54" s="1" t="s">
        <v>74</v>
      </c>
      <c r="AG54" s="1" t="s">
        <v>74</v>
      </c>
      <c r="AH54" s="1" t="s">
        <v>74</v>
      </c>
      <c r="AI54" s="1" t="s">
        <v>74</v>
      </c>
      <c r="AJ54" s="1" t="s">
        <v>74</v>
      </c>
      <c r="AK54" s="1" t="s">
        <v>74</v>
      </c>
      <c r="AL54" s="1" t="s">
        <v>74</v>
      </c>
      <c r="AM54" s="1" t="s">
        <v>74</v>
      </c>
      <c r="AN54" s="1" t="s">
        <v>74</v>
      </c>
      <c r="AO54" s="1" t="s">
        <v>608</v>
      </c>
      <c r="AP54" s="1" t="s">
        <v>74</v>
      </c>
      <c r="AQ54" s="1" t="s">
        <v>74</v>
      </c>
      <c r="AR54" s="1" t="s">
        <v>74</v>
      </c>
      <c r="AS54" s="1" t="s">
        <v>74</v>
      </c>
      <c r="AT54" s="1" t="s">
        <v>609</v>
      </c>
      <c r="AU54" s="1">
        <v>2022.0</v>
      </c>
      <c r="AV54" s="1">
        <v>61.0</v>
      </c>
      <c r="AW54" s="1">
        <v>23.0</v>
      </c>
      <c r="AX54" s="1" t="s">
        <v>74</v>
      </c>
      <c r="AY54" s="1" t="s">
        <v>74</v>
      </c>
      <c r="AZ54" s="1" t="s">
        <v>74</v>
      </c>
      <c r="BA54" s="1" t="s">
        <v>74</v>
      </c>
      <c r="BB54" s="1">
        <v>8149.0</v>
      </c>
      <c r="BC54" s="1">
        <v>8165.0</v>
      </c>
      <c r="BD54" s="1" t="s">
        <v>74</v>
      </c>
      <c r="BE54" s="1" t="s">
        <v>610</v>
      </c>
      <c r="BF54" s="2" t="str">
        <f>HYPERLINK("http://dx.doi.org/10.1021/acs.iecr.2c01138","http://dx.doi.org/10.1021/acs.iecr.2c01138")</f>
        <v>http://dx.doi.org/10.1021/acs.iecr.2c01138</v>
      </c>
      <c r="BG54" s="1" t="s">
        <v>74</v>
      </c>
      <c r="BH54" s="1" t="s">
        <v>74</v>
      </c>
      <c r="BI54" s="1" t="s">
        <v>74</v>
      </c>
      <c r="BJ54" s="1" t="s">
        <v>74</v>
      </c>
      <c r="BK54" s="1" t="s">
        <v>74</v>
      </c>
      <c r="BL54" s="1" t="s">
        <v>74</v>
      </c>
      <c r="BM54" s="1" t="s">
        <v>74</v>
      </c>
      <c r="BN54" s="1">
        <v>3.5726248E7</v>
      </c>
      <c r="BO54" s="1" t="s">
        <v>74</v>
      </c>
      <c r="BP54" s="1" t="s">
        <v>74</v>
      </c>
      <c r="BQ54" s="1" t="s">
        <v>74</v>
      </c>
      <c r="BR54" s="1" t="s">
        <v>74</v>
      </c>
      <c r="BS54" s="1" t="s">
        <v>611</v>
      </c>
      <c r="BT54" s="1" t="str">
        <f>HYPERLINK("https%3A%2F%2Fwww.webofscience.com%2Fwos%2Fwoscc%2Ffull-record%2FWOS:000812438600001","View Full Record in Web of Science")</f>
        <v>View Full Record in Web of Science</v>
      </c>
    </row>
    <row r="55" ht="12.75" customHeight="1">
      <c r="A55" s="1" t="s">
        <v>72</v>
      </c>
      <c r="B55" s="1" t="s">
        <v>612</v>
      </c>
      <c r="C55" s="1" t="s">
        <v>74</v>
      </c>
      <c r="D55" s="1" t="s">
        <v>74</v>
      </c>
      <c r="E55" s="1" t="s">
        <v>74</v>
      </c>
      <c r="F55" s="1" t="s">
        <v>613</v>
      </c>
      <c r="G55" s="1" t="s">
        <v>74</v>
      </c>
      <c r="H55" s="1" t="s">
        <v>74</v>
      </c>
      <c r="I55" s="1" t="s">
        <v>614</v>
      </c>
      <c r="J55" s="1" t="s">
        <v>615</v>
      </c>
      <c r="K55" s="1" t="s">
        <v>74</v>
      </c>
      <c r="L55" s="1" t="s">
        <v>74</v>
      </c>
      <c r="M55" s="1" t="s">
        <v>74</v>
      </c>
      <c r="N55" s="1" t="s">
        <v>74</v>
      </c>
      <c r="O55" s="1" t="s">
        <v>74</v>
      </c>
      <c r="P55" s="1" t="s">
        <v>74</v>
      </c>
      <c r="Q55" s="1" t="s">
        <v>74</v>
      </c>
      <c r="R55" s="1" t="s">
        <v>74</v>
      </c>
      <c r="S55" s="1" t="s">
        <v>74</v>
      </c>
      <c r="T55" s="1" t="s">
        <v>74</v>
      </c>
      <c r="U55" s="1" t="s">
        <v>74</v>
      </c>
      <c r="V55" s="1" t="s">
        <v>616</v>
      </c>
      <c r="W55" s="1" t="s">
        <v>74</v>
      </c>
      <c r="X55" s="1" t="s">
        <v>74</v>
      </c>
      <c r="Y55" s="1" t="s">
        <v>74</v>
      </c>
      <c r="Z55" s="1" t="s">
        <v>74</v>
      </c>
      <c r="AA55" s="1" t="s">
        <v>617</v>
      </c>
      <c r="AB55" s="1" t="s">
        <v>618</v>
      </c>
      <c r="AC55" s="1" t="s">
        <v>74</v>
      </c>
      <c r="AD55" s="1" t="s">
        <v>74</v>
      </c>
      <c r="AE55" s="1" t="s">
        <v>74</v>
      </c>
      <c r="AF55" s="1" t="s">
        <v>74</v>
      </c>
      <c r="AG55" s="1" t="s">
        <v>74</v>
      </c>
      <c r="AH55" s="1" t="s">
        <v>74</v>
      </c>
      <c r="AI55" s="1" t="s">
        <v>74</v>
      </c>
      <c r="AJ55" s="1" t="s">
        <v>74</v>
      </c>
      <c r="AK55" s="1" t="s">
        <v>74</v>
      </c>
      <c r="AL55" s="1" t="s">
        <v>74</v>
      </c>
      <c r="AM55" s="1" t="s">
        <v>74</v>
      </c>
      <c r="AN55" s="1" t="s">
        <v>74</v>
      </c>
      <c r="AO55" s="1" t="s">
        <v>619</v>
      </c>
      <c r="AP55" s="1" t="s">
        <v>620</v>
      </c>
      <c r="AQ55" s="1" t="s">
        <v>74</v>
      </c>
      <c r="AR55" s="1" t="s">
        <v>74</v>
      </c>
      <c r="AS55" s="1" t="s">
        <v>74</v>
      </c>
      <c r="AT55" s="1" t="s">
        <v>621</v>
      </c>
      <c r="AU55" s="1">
        <v>2022.0</v>
      </c>
      <c r="AV55" s="1">
        <v>295.0</v>
      </c>
      <c r="AW55" s="1">
        <v>7.0</v>
      </c>
      <c r="AX55" s="1" t="s">
        <v>74</v>
      </c>
      <c r="AY55" s="1" t="s">
        <v>74</v>
      </c>
      <c r="AZ55" s="1" t="s">
        <v>74</v>
      </c>
      <c r="BA55" s="1" t="s">
        <v>74</v>
      </c>
      <c r="BB55" s="1">
        <v>1327.0</v>
      </c>
      <c r="BC55" s="1">
        <v>1353.0</v>
      </c>
      <c r="BD55" s="1" t="s">
        <v>74</v>
      </c>
      <c r="BE55" s="1" t="s">
        <v>622</v>
      </c>
      <c r="BF55" s="2" t="str">
        <f>HYPERLINK("http://dx.doi.org/10.1002/mana.201900512","http://dx.doi.org/10.1002/mana.201900512")</f>
        <v>http://dx.doi.org/10.1002/mana.201900512</v>
      </c>
      <c r="BG55" s="1" t="s">
        <v>74</v>
      </c>
      <c r="BH55" s="1" t="s">
        <v>623</v>
      </c>
      <c r="BI55" s="1" t="s">
        <v>74</v>
      </c>
      <c r="BJ55" s="1" t="s">
        <v>74</v>
      </c>
      <c r="BK55" s="1" t="s">
        <v>74</v>
      </c>
      <c r="BL55" s="1" t="s">
        <v>74</v>
      </c>
      <c r="BM55" s="1" t="s">
        <v>74</v>
      </c>
      <c r="BN55" s="1" t="s">
        <v>74</v>
      </c>
      <c r="BO55" s="1" t="s">
        <v>74</v>
      </c>
      <c r="BP55" s="1" t="s">
        <v>74</v>
      </c>
      <c r="BQ55" s="1" t="s">
        <v>74</v>
      </c>
      <c r="BR55" s="1" t="s">
        <v>74</v>
      </c>
      <c r="BS55" s="1" t="s">
        <v>624</v>
      </c>
      <c r="BT55" s="1" t="str">
        <f>HYPERLINK("https%3A%2F%2Fwww.webofscience.com%2Fwos%2Fwoscc%2Ffull-record%2FWOS:000806865800001","View Full Record in Web of Science")</f>
        <v>View Full Record in Web of Science</v>
      </c>
    </row>
    <row r="56" ht="12.75" customHeight="1">
      <c r="A56" s="1" t="s">
        <v>72</v>
      </c>
      <c r="B56" s="1" t="s">
        <v>625</v>
      </c>
      <c r="C56" s="1" t="s">
        <v>74</v>
      </c>
      <c r="D56" s="1" t="s">
        <v>74</v>
      </c>
      <c r="E56" s="1" t="s">
        <v>74</v>
      </c>
      <c r="F56" s="1" t="s">
        <v>626</v>
      </c>
      <c r="G56" s="1" t="s">
        <v>74</v>
      </c>
      <c r="H56" s="1" t="s">
        <v>74</v>
      </c>
      <c r="I56" s="1" t="s">
        <v>627</v>
      </c>
      <c r="J56" s="1" t="s">
        <v>628</v>
      </c>
      <c r="K56" s="1" t="s">
        <v>74</v>
      </c>
      <c r="L56" s="1" t="s">
        <v>74</v>
      </c>
      <c r="M56" s="1" t="s">
        <v>74</v>
      </c>
      <c r="N56" s="1" t="s">
        <v>74</v>
      </c>
      <c r="O56" s="1" t="s">
        <v>74</v>
      </c>
      <c r="P56" s="1" t="s">
        <v>74</v>
      </c>
      <c r="Q56" s="1" t="s">
        <v>74</v>
      </c>
      <c r="R56" s="1" t="s">
        <v>74</v>
      </c>
      <c r="S56" s="1" t="s">
        <v>74</v>
      </c>
      <c r="T56" s="1" t="s">
        <v>74</v>
      </c>
      <c r="U56" s="1" t="s">
        <v>74</v>
      </c>
      <c r="V56" s="1" t="s">
        <v>629</v>
      </c>
      <c r="W56" s="1" t="s">
        <v>74</v>
      </c>
      <c r="X56" s="1" t="s">
        <v>74</v>
      </c>
      <c r="Y56" s="1" t="s">
        <v>74</v>
      </c>
      <c r="Z56" s="1" t="s">
        <v>74</v>
      </c>
      <c r="AA56" s="1" t="s">
        <v>630</v>
      </c>
      <c r="AB56" s="1" t="s">
        <v>631</v>
      </c>
      <c r="AC56" s="1" t="s">
        <v>74</v>
      </c>
      <c r="AD56" s="1" t="s">
        <v>74</v>
      </c>
      <c r="AE56" s="1" t="s">
        <v>74</v>
      </c>
      <c r="AF56" s="1" t="s">
        <v>74</v>
      </c>
      <c r="AG56" s="1" t="s">
        <v>74</v>
      </c>
      <c r="AH56" s="1" t="s">
        <v>74</v>
      </c>
      <c r="AI56" s="1" t="s">
        <v>74</v>
      </c>
      <c r="AJ56" s="1" t="s">
        <v>74</v>
      </c>
      <c r="AK56" s="1" t="s">
        <v>74</v>
      </c>
      <c r="AL56" s="1" t="s">
        <v>74</v>
      </c>
      <c r="AM56" s="1" t="s">
        <v>74</v>
      </c>
      <c r="AN56" s="1" t="s">
        <v>74</v>
      </c>
      <c r="AO56" s="1" t="s">
        <v>632</v>
      </c>
      <c r="AP56" s="1" t="s">
        <v>74</v>
      </c>
      <c r="AQ56" s="1" t="s">
        <v>74</v>
      </c>
      <c r="AR56" s="1" t="s">
        <v>74</v>
      </c>
      <c r="AS56" s="1" t="s">
        <v>74</v>
      </c>
      <c r="AT56" s="1" t="s">
        <v>289</v>
      </c>
      <c r="AU56" s="1">
        <v>2022.0</v>
      </c>
      <c r="AV56" s="1">
        <v>33.0</v>
      </c>
      <c r="AW56" s="1" t="s">
        <v>74</v>
      </c>
      <c r="AX56" s="1" t="s">
        <v>74</v>
      </c>
      <c r="AY56" s="1" t="s">
        <v>74</v>
      </c>
      <c r="AZ56" s="1" t="s">
        <v>74</v>
      </c>
      <c r="BA56" s="1" t="s">
        <v>74</v>
      </c>
      <c r="BB56" s="1" t="s">
        <v>74</v>
      </c>
      <c r="BC56" s="1" t="s">
        <v>74</v>
      </c>
      <c r="BD56" s="1">
        <v>100939.0</v>
      </c>
      <c r="BE56" s="1" t="s">
        <v>633</v>
      </c>
      <c r="BF56" s="2" t="str">
        <f>HYPERLINK("http://dx.doi.org/10.1016/j.coelec.2022.100939","http://dx.doi.org/10.1016/j.coelec.2022.100939")</f>
        <v>http://dx.doi.org/10.1016/j.coelec.2022.100939</v>
      </c>
      <c r="BG56" s="1" t="s">
        <v>74</v>
      </c>
      <c r="BH56" s="1" t="s">
        <v>634</v>
      </c>
      <c r="BI56" s="1" t="s">
        <v>74</v>
      </c>
      <c r="BJ56" s="1" t="s">
        <v>74</v>
      </c>
      <c r="BK56" s="1" t="s">
        <v>74</v>
      </c>
      <c r="BL56" s="1" t="s">
        <v>74</v>
      </c>
      <c r="BM56" s="1" t="s">
        <v>74</v>
      </c>
      <c r="BN56" s="1" t="s">
        <v>74</v>
      </c>
      <c r="BO56" s="1" t="s">
        <v>74</v>
      </c>
      <c r="BP56" s="1" t="s">
        <v>74</v>
      </c>
      <c r="BQ56" s="1" t="s">
        <v>74</v>
      </c>
      <c r="BR56" s="1" t="s">
        <v>74</v>
      </c>
      <c r="BS56" s="1" t="s">
        <v>635</v>
      </c>
      <c r="BT56" s="1" t="str">
        <f>HYPERLINK("https%3A%2F%2Fwww.webofscience.com%2Fwos%2Fwoscc%2Ffull-record%2FWOS:000819856600012","View Full Record in Web of Science")</f>
        <v>View Full Record in Web of Science</v>
      </c>
    </row>
    <row r="57" ht="12.75" customHeight="1">
      <c r="A57" s="1" t="s">
        <v>72</v>
      </c>
      <c r="B57" s="1" t="s">
        <v>636</v>
      </c>
      <c r="C57" s="1" t="s">
        <v>74</v>
      </c>
      <c r="D57" s="1" t="s">
        <v>74</v>
      </c>
      <c r="E57" s="1" t="s">
        <v>74</v>
      </c>
      <c r="F57" s="1" t="s">
        <v>637</v>
      </c>
      <c r="G57" s="1" t="s">
        <v>74</v>
      </c>
      <c r="H57" s="1" t="s">
        <v>74</v>
      </c>
      <c r="I57" s="1" t="s">
        <v>638</v>
      </c>
      <c r="J57" s="1" t="s">
        <v>639</v>
      </c>
      <c r="K57" s="1" t="s">
        <v>74</v>
      </c>
      <c r="L57" s="1" t="s">
        <v>74</v>
      </c>
      <c r="M57" s="1" t="s">
        <v>74</v>
      </c>
      <c r="N57" s="1" t="s">
        <v>74</v>
      </c>
      <c r="O57" s="1" t="s">
        <v>74</v>
      </c>
      <c r="P57" s="1" t="s">
        <v>74</v>
      </c>
      <c r="Q57" s="1" t="s">
        <v>74</v>
      </c>
      <c r="R57" s="1" t="s">
        <v>74</v>
      </c>
      <c r="S57" s="1" t="s">
        <v>74</v>
      </c>
      <c r="T57" s="1" t="s">
        <v>74</v>
      </c>
      <c r="U57" s="1" t="s">
        <v>74</v>
      </c>
      <c r="V57" s="1" t="s">
        <v>640</v>
      </c>
      <c r="W57" s="1" t="s">
        <v>74</v>
      </c>
      <c r="X57" s="1" t="s">
        <v>74</v>
      </c>
      <c r="Y57" s="1" t="s">
        <v>74</v>
      </c>
      <c r="Z57" s="1" t="s">
        <v>74</v>
      </c>
      <c r="AA57" s="1" t="s">
        <v>641</v>
      </c>
      <c r="AB57" s="1" t="s">
        <v>642</v>
      </c>
      <c r="AC57" s="1" t="s">
        <v>74</v>
      </c>
      <c r="AD57" s="1" t="s">
        <v>74</v>
      </c>
      <c r="AE57" s="1" t="s">
        <v>74</v>
      </c>
      <c r="AF57" s="1" t="s">
        <v>74</v>
      </c>
      <c r="AG57" s="1" t="s">
        <v>74</v>
      </c>
      <c r="AH57" s="1" t="s">
        <v>74</v>
      </c>
      <c r="AI57" s="1" t="s">
        <v>74</v>
      </c>
      <c r="AJ57" s="1" t="s">
        <v>74</v>
      </c>
      <c r="AK57" s="1" t="s">
        <v>74</v>
      </c>
      <c r="AL57" s="1" t="s">
        <v>74</v>
      </c>
      <c r="AM57" s="1" t="s">
        <v>74</v>
      </c>
      <c r="AN57" s="1" t="s">
        <v>74</v>
      </c>
      <c r="AO57" s="1" t="s">
        <v>643</v>
      </c>
      <c r="AP57" s="1" t="s">
        <v>74</v>
      </c>
      <c r="AQ57" s="1" t="s">
        <v>74</v>
      </c>
      <c r="AR57" s="1" t="s">
        <v>74</v>
      </c>
      <c r="AS57" s="1" t="s">
        <v>74</v>
      </c>
      <c r="AT57" s="1" t="s">
        <v>74</v>
      </c>
      <c r="AU57" s="1">
        <v>2022.0</v>
      </c>
      <c r="AV57" s="1">
        <v>10.0</v>
      </c>
      <c r="AW57" s="1" t="s">
        <v>74</v>
      </c>
      <c r="AX57" s="1" t="s">
        <v>74</v>
      </c>
      <c r="AY57" s="1" t="s">
        <v>74</v>
      </c>
      <c r="AZ57" s="1" t="s">
        <v>74</v>
      </c>
      <c r="BA57" s="1" t="s">
        <v>74</v>
      </c>
      <c r="BB57" s="1">
        <v>110459.0</v>
      </c>
      <c r="BC57" s="1">
        <v>110472.0</v>
      </c>
      <c r="BD57" s="1" t="s">
        <v>74</v>
      </c>
      <c r="BE57" s="1" t="s">
        <v>644</v>
      </c>
      <c r="BF57" s="2" t="str">
        <f>HYPERLINK("http://dx.doi.org/10.1109/ACCESS.2022.3210566","http://dx.doi.org/10.1109/ACCESS.2022.3210566")</f>
        <v>http://dx.doi.org/10.1109/ACCESS.2022.3210566</v>
      </c>
      <c r="BG57" s="1" t="s">
        <v>74</v>
      </c>
      <c r="BH57" s="1" t="s">
        <v>74</v>
      </c>
      <c r="BI57" s="1" t="s">
        <v>74</v>
      </c>
      <c r="BJ57" s="1" t="s">
        <v>74</v>
      </c>
      <c r="BK57" s="1" t="s">
        <v>74</v>
      </c>
      <c r="BL57" s="1" t="s">
        <v>74</v>
      </c>
      <c r="BM57" s="1" t="s">
        <v>74</v>
      </c>
      <c r="BN57" s="1" t="s">
        <v>74</v>
      </c>
      <c r="BO57" s="1" t="s">
        <v>74</v>
      </c>
      <c r="BP57" s="1" t="s">
        <v>74</v>
      </c>
      <c r="BQ57" s="1" t="s">
        <v>74</v>
      </c>
      <c r="BR57" s="1" t="s">
        <v>74</v>
      </c>
      <c r="BS57" s="1" t="s">
        <v>645</v>
      </c>
      <c r="BT57" s="1" t="str">
        <f>HYPERLINK("https%3A%2F%2Fwww.webofscience.com%2Fwos%2Fwoscc%2Ffull-record%2FWOS:000873762800001","View Full Record in Web of Science")</f>
        <v>View Full Record in Web of Science</v>
      </c>
    </row>
    <row r="58" ht="12.75" customHeight="1">
      <c r="A58" s="1" t="s">
        <v>72</v>
      </c>
      <c r="B58" s="1" t="s">
        <v>646</v>
      </c>
      <c r="C58" s="1" t="s">
        <v>74</v>
      </c>
      <c r="D58" s="1" t="s">
        <v>74</v>
      </c>
      <c r="E58" s="1" t="s">
        <v>74</v>
      </c>
      <c r="F58" s="1" t="s">
        <v>647</v>
      </c>
      <c r="G58" s="1" t="s">
        <v>74</v>
      </c>
      <c r="H58" s="1" t="s">
        <v>74</v>
      </c>
      <c r="I58" s="1" t="s">
        <v>648</v>
      </c>
      <c r="J58" s="1" t="s">
        <v>649</v>
      </c>
      <c r="K58" s="1" t="s">
        <v>74</v>
      </c>
      <c r="L58" s="1" t="s">
        <v>74</v>
      </c>
      <c r="M58" s="1" t="s">
        <v>74</v>
      </c>
      <c r="N58" s="1" t="s">
        <v>74</v>
      </c>
      <c r="O58" s="1" t="s">
        <v>74</v>
      </c>
      <c r="P58" s="1" t="s">
        <v>74</v>
      </c>
      <c r="Q58" s="1" t="s">
        <v>74</v>
      </c>
      <c r="R58" s="1" t="s">
        <v>74</v>
      </c>
      <c r="S58" s="1" t="s">
        <v>74</v>
      </c>
      <c r="T58" s="1" t="s">
        <v>74</v>
      </c>
      <c r="U58" s="1" t="s">
        <v>74</v>
      </c>
      <c r="V58" s="1" t="s">
        <v>650</v>
      </c>
      <c r="W58" s="1" t="s">
        <v>74</v>
      </c>
      <c r="X58" s="1" t="s">
        <v>74</v>
      </c>
      <c r="Y58" s="1" t="s">
        <v>74</v>
      </c>
      <c r="Z58" s="1" t="s">
        <v>74</v>
      </c>
      <c r="AA58" s="1" t="s">
        <v>651</v>
      </c>
      <c r="AB58" s="1" t="s">
        <v>652</v>
      </c>
      <c r="AC58" s="1" t="s">
        <v>74</v>
      </c>
      <c r="AD58" s="1" t="s">
        <v>74</v>
      </c>
      <c r="AE58" s="1" t="s">
        <v>74</v>
      </c>
      <c r="AF58" s="1" t="s">
        <v>74</v>
      </c>
      <c r="AG58" s="1" t="s">
        <v>74</v>
      </c>
      <c r="AH58" s="1" t="s">
        <v>74</v>
      </c>
      <c r="AI58" s="1" t="s">
        <v>74</v>
      </c>
      <c r="AJ58" s="1" t="s">
        <v>74</v>
      </c>
      <c r="AK58" s="1" t="s">
        <v>74</v>
      </c>
      <c r="AL58" s="1" t="s">
        <v>74</v>
      </c>
      <c r="AM58" s="1" t="s">
        <v>74</v>
      </c>
      <c r="AN58" s="1" t="s">
        <v>74</v>
      </c>
      <c r="AO58" s="1" t="s">
        <v>653</v>
      </c>
      <c r="AP58" s="1" t="s">
        <v>654</v>
      </c>
      <c r="AQ58" s="1" t="s">
        <v>74</v>
      </c>
      <c r="AR58" s="1" t="s">
        <v>74</v>
      </c>
      <c r="AS58" s="1" t="s">
        <v>74</v>
      </c>
      <c r="AT58" s="1" t="s">
        <v>655</v>
      </c>
      <c r="AU58" s="1">
        <v>2021.0</v>
      </c>
      <c r="AV58" s="1">
        <v>127.0</v>
      </c>
      <c r="AW58" s="1">
        <v>16.0</v>
      </c>
      <c r="AX58" s="1" t="s">
        <v>74</v>
      </c>
      <c r="AY58" s="1" t="s">
        <v>74</v>
      </c>
      <c r="AZ58" s="1" t="s">
        <v>74</v>
      </c>
      <c r="BA58" s="1" t="s">
        <v>74</v>
      </c>
      <c r="BB58" s="1" t="s">
        <v>74</v>
      </c>
      <c r="BC58" s="1" t="s">
        <v>74</v>
      </c>
      <c r="BD58" s="1">
        <v>161601.0</v>
      </c>
      <c r="BE58" s="1" t="s">
        <v>656</v>
      </c>
      <c r="BF58" s="2" t="str">
        <f>HYPERLINK("http://dx.doi.org/10.1103/PhysRevLett.127.161601","http://dx.doi.org/10.1103/PhysRevLett.127.161601")</f>
        <v>http://dx.doi.org/10.1103/PhysRevLett.127.161601</v>
      </c>
      <c r="BG58" s="1" t="s">
        <v>74</v>
      </c>
      <c r="BH58" s="1" t="s">
        <v>74</v>
      </c>
      <c r="BI58" s="1" t="s">
        <v>74</v>
      </c>
      <c r="BJ58" s="1" t="s">
        <v>74</v>
      </c>
      <c r="BK58" s="1" t="s">
        <v>74</v>
      </c>
      <c r="BL58" s="1" t="s">
        <v>74</v>
      </c>
      <c r="BM58" s="1" t="s">
        <v>74</v>
      </c>
      <c r="BN58" s="1">
        <v>3.4723615E7</v>
      </c>
      <c r="BO58" s="1" t="s">
        <v>74</v>
      </c>
      <c r="BP58" s="1" t="s">
        <v>74</v>
      </c>
      <c r="BQ58" s="1" t="s">
        <v>74</v>
      </c>
      <c r="BR58" s="1" t="s">
        <v>74</v>
      </c>
      <c r="BS58" s="1" t="s">
        <v>657</v>
      </c>
      <c r="BT58" s="1" t="str">
        <f>HYPERLINK("https%3A%2F%2Fwww.webofscience.com%2Fwos%2Fwoscc%2Ffull-record%2FWOS:000707495700003","View Full Record in Web of Science")</f>
        <v>View Full Record in Web of Science</v>
      </c>
    </row>
    <row r="59" ht="12.75" customHeight="1">
      <c r="A59" s="1" t="s">
        <v>72</v>
      </c>
      <c r="B59" s="1" t="s">
        <v>658</v>
      </c>
      <c r="C59" s="1" t="s">
        <v>74</v>
      </c>
      <c r="D59" s="1" t="s">
        <v>74</v>
      </c>
      <c r="E59" s="1" t="s">
        <v>74</v>
      </c>
      <c r="F59" s="1" t="s">
        <v>659</v>
      </c>
      <c r="G59" s="1" t="s">
        <v>74</v>
      </c>
      <c r="H59" s="1" t="s">
        <v>74</v>
      </c>
      <c r="I59" s="1" t="s">
        <v>660</v>
      </c>
      <c r="J59" s="1" t="s">
        <v>661</v>
      </c>
      <c r="K59" s="1" t="s">
        <v>74</v>
      </c>
      <c r="L59" s="1" t="s">
        <v>74</v>
      </c>
      <c r="M59" s="1" t="s">
        <v>74</v>
      </c>
      <c r="N59" s="1" t="s">
        <v>74</v>
      </c>
      <c r="O59" s="1" t="s">
        <v>74</v>
      </c>
      <c r="P59" s="1" t="s">
        <v>74</v>
      </c>
      <c r="Q59" s="1" t="s">
        <v>74</v>
      </c>
      <c r="R59" s="1" t="s">
        <v>74</v>
      </c>
      <c r="S59" s="1" t="s">
        <v>74</v>
      </c>
      <c r="T59" s="1" t="s">
        <v>74</v>
      </c>
      <c r="U59" s="1" t="s">
        <v>74</v>
      </c>
      <c r="V59" s="1" t="s">
        <v>662</v>
      </c>
      <c r="W59" s="1" t="s">
        <v>74</v>
      </c>
      <c r="X59" s="1" t="s">
        <v>74</v>
      </c>
      <c r="Y59" s="1" t="s">
        <v>74</v>
      </c>
      <c r="Z59" s="1" t="s">
        <v>74</v>
      </c>
      <c r="AA59" s="1" t="s">
        <v>663</v>
      </c>
      <c r="AB59" s="1" t="s">
        <v>664</v>
      </c>
      <c r="AC59" s="1" t="s">
        <v>74</v>
      </c>
      <c r="AD59" s="1" t="s">
        <v>74</v>
      </c>
      <c r="AE59" s="1" t="s">
        <v>74</v>
      </c>
      <c r="AF59" s="1" t="s">
        <v>74</v>
      </c>
      <c r="AG59" s="1" t="s">
        <v>74</v>
      </c>
      <c r="AH59" s="1" t="s">
        <v>74</v>
      </c>
      <c r="AI59" s="1" t="s">
        <v>74</v>
      </c>
      <c r="AJ59" s="1" t="s">
        <v>74</v>
      </c>
      <c r="AK59" s="1" t="s">
        <v>74</v>
      </c>
      <c r="AL59" s="1" t="s">
        <v>74</v>
      </c>
      <c r="AM59" s="1" t="s">
        <v>74</v>
      </c>
      <c r="AN59" s="1" t="s">
        <v>74</v>
      </c>
      <c r="AO59" s="1" t="s">
        <v>665</v>
      </c>
      <c r="AP59" s="1" t="s">
        <v>666</v>
      </c>
      <c r="AQ59" s="1" t="s">
        <v>74</v>
      </c>
      <c r="AR59" s="1" t="s">
        <v>74</v>
      </c>
      <c r="AS59" s="1" t="s">
        <v>74</v>
      </c>
      <c r="AT59" s="1" t="s">
        <v>415</v>
      </c>
      <c r="AU59" s="1">
        <v>2021.0</v>
      </c>
      <c r="AV59" s="1">
        <v>294.0</v>
      </c>
      <c r="AW59" s="1" t="s">
        <v>74</v>
      </c>
      <c r="AX59" s="1" t="s">
        <v>74</v>
      </c>
      <c r="AY59" s="1" t="s">
        <v>74</v>
      </c>
      <c r="AZ59" s="1" t="s">
        <v>74</v>
      </c>
      <c r="BA59" s="1" t="s">
        <v>74</v>
      </c>
      <c r="BB59" s="1" t="s">
        <v>74</v>
      </c>
      <c r="BC59" s="1" t="s">
        <v>74</v>
      </c>
      <c r="BD59" s="1">
        <v>103744.0</v>
      </c>
      <c r="BE59" s="1" t="s">
        <v>667</v>
      </c>
      <c r="BF59" s="2" t="str">
        <f>HYPERLINK("http://dx.doi.org/10.1016/j.resp.2021.103744","http://dx.doi.org/10.1016/j.resp.2021.103744")</f>
        <v>http://dx.doi.org/10.1016/j.resp.2021.103744</v>
      </c>
      <c r="BG59" s="1" t="s">
        <v>74</v>
      </c>
      <c r="BH59" s="1" t="s">
        <v>668</v>
      </c>
      <c r="BI59" s="1" t="s">
        <v>74</v>
      </c>
      <c r="BJ59" s="1" t="s">
        <v>74</v>
      </c>
      <c r="BK59" s="1" t="s">
        <v>74</v>
      </c>
      <c r="BL59" s="1" t="s">
        <v>74</v>
      </c>
      <c r="BM59" s="1" t="s">
        <v>74</v>
      </c>
      <c r="BN59" s="1">
        <v>3.4302992E7</v>
      </c>
      <c r="BO59" s="1" t="s">
        <v>74</v>
      </c>
      <c r="BP59" s="1" t="s">
        <v>74</v>
      </c>
      <c r="BQ59" s="1" t="s">
        <v>74</v>
      </c>
      <c r="BR59" s="1" t="s">
        <v>74</v>
      </c>
      <c r="BS59" s="1" t="s">
        <v>669</v>
      </c>
      <c r="BT59" s="1" t="str">
        <f>HYPERLINK("https%3A%2F%2Fwww.webofscience.com%2Fwos%2Fwoscc%2Ffull-record%2FWOS:000703591200005","View Full Record in Web of Science")</f>
        <v>View Full Record in Web of Science</v>
      </c>
    </row>
    <row r="60" ht="12.75" customHeight="1">
      <c r="A60" s="1" t="s">
        <v>72</v>
      </c>
      <c r="B60" s="1" t="s">
        <v>670</v>
      </c>
      <c r="C60" s="1" t="s">
        <v>74</v>
      </c>
      <c r="D60" s="1" t="s">
        <v>74</v>
      </c>
      <c r="E60" s="1" t="s">
        <v>74</v>
      </c>
      <c r="F60" s="1" t="s">
        <v>671</v>
      </c>
      <c r="G60" s="1" t="s">
        <v>74</v>
      </c>
      <c r="H60" s="1" t="s">
        <v>74</v>
      </c>
      <c r="I60" s="1" t="s">
        <v>672</v>
      </c>
      <c r="J60" s="1" t="s">
        <v>472</v>
      </c>
      <c r="K60" s="1" t="s">
        <v>74</v>
      </c>
      <c r="L60" s="1" t="s">
        <v>74</v>
      </c>
      <c r="M60" s="1" t="s">
        <v>74</v>
      </c>
      <c r="N60" s="1" t="s">
        <v>74</v>
      </c>
      <c r="O60" s="1" t="s">
        <v>74</v>
      </c>
      <c r="P60" s="1" t="s">
        <v>74</v>
      </c>
      <c r="Q60" s="1" t="s">
        <v>74</v>
      </c>
      <c r="R60" s="1" t="s">
        <v>74</v>
      </c>
      <c r="S60" s="1" t="s">
        <v>74</v>
      </c>
      <c r="T60" s="1" t="s">
        <v>74</v>
      </c>
      <c r="U60" s="1" t="s">
        <v>74</v>
      </c>
      <c r="V60" s="1" t="s">
        <v>673</v>
      </c>
      <c r="W60" s="1" t="s">
        <v>74</v>
      </c>
      <c r="X60" s="1" t="s">
        <v>74</v>
      </c>
      <c r="Y60" s="1" t="s">
        <v>74</v>
      </c>
      <c r="Z60" s="1" t="s">
        <v>74</v>
      </c>
      <c r="AA60" s="1" t="s">
        <v>674</v>
      </c>
      <c r="AB60" s="1" t="s">
        <v>675</v>
      </c>
      <c r="AC60" s="1" t="s">
        <v>74</v>
      </c>
      <c r="AD60" s="1" t="s">
        <v>74</v>
      </c>
      <c r="AE60" s="1" t="s">
        <v>74</v>
      </c>
      <c r="AF60" s="1" t="s">
        <v>74</v>
      </c>
      <c r="AG60" s="1" t="s">
        <v>74</v>
      </c>
      <c r="AH60" s="1" t="s">
        <v>74</v>
      </c>
      <c r="AI60" s="1" t="s">
        <v>74</v>
      </c>
      <c r="AJ60" s="1" t="s">
        <v>74</v>
      </c>
      <c r="AK60" s="1" t="s">
        <v>74</v>
      </c>
      <c r="AL60" s="1" t="s">
        <v>74</v>
      </c>
      <c r="AM60" s="1" t="s">
        <v>74</v>
      </c>
      <c r="AN60" s="1" t="s">
        <v>74</v>
      </c>
      <c r="AO60" s="1" t="s">
        <v>476</v>
      </c>
      <c r="AP60" s="1" t="s">
        <v>477</v>
      </c>
      <c r="AQ60" s="1" t="s">
        <v>74</v>
      </c>
      <c r="AR60" s="1" t="s">
        <v>74</v>
      </c>
      <c r="AS60" s="1" t="s">
        <v>74</v>
      </c>
      <c r="AT60" s="1" t="s">
        <v>676</v>
      </c>
      <c r="AU60" s="1">
        <v>2020.0</v>
      </c>
      <c r="AV60" s="1">
        <v>251.0</v>
      </c>
      <c r="AW60" s="1" t="s">
        <v>74</v>
      </c>
      <c r="AX60" s="1" t="s">
        <v>74</v>
      </c>
      <c r="AY60" s="1" t="s">
        <v>74</v>
      </c>
      <c r="AZ60" s="1" t="s">
        <v>74</v>
      </c>
      <c r="BA60" s="1" t="s">
        <v>74</v>
      </c>
      <c r="BB60" s="1" t="s">
        <v>74</v>
      </c>
      <c r="BC60" s="1" t="s">
        <v>74</v>
      </c>
      <c r="BD60" s="1">
        <v>117289.0</v>
      </c>
      <c r="BE60" s="1" t="s">
        <v>677</v>
      </c>
      <c r="BF60" s="2" t="str">
        <f>HYPERLINK("http://dx.doi.org/10.1016/j.seppur.2020.117289","http://dx.doi.org/10.1016/j.seppur.2020.117289")</f>
        <v>http://dx.doi.org/10.1016/j.seppur.2020.117289</v>
      </c>
      <c r="BG60" s="1" t="s">
        <v>74</v>
      </c>
      <c r="BH60" s="1" t="s">
        <v>74</v>
      </c>
      <c r="BI60" s="1" t="s">
        <v>74</v>
      </c>
      <c r="BJ60" s="1" t="s">
        <v>74</v>
      </c>
      <c r="BK60" s="1" t="s">
        <v>74</v>
      </c>
      <c r="BL60" s="1" t="s">
        <v>74</v>
      </c>
      <c r="BM60" s="1" t="s">
        <v>74</v>
      </c>
      <c r="BN60" s="1" t="s">
        <v>74</v>
      </c>
      <c r="BO60" s="1" t="s">
        <v>74</v>
      </c>
      <c r="BP60" s="1" t="s">
        <v>74</v>
      </c>
      <c r="BQ60" s="1" t="s">
        <v>74</v>
      </c>
      <c r="BR60" s="1" t="s">
        <v>74</v>
      </c>
      <c r="BS60" s="1" t="s">
        <v>678</v>
      </c>
      <c r="BT60" s="1" t="str">
        <f>HYPERLINK("https%3A%2F%2Fwww.webofscience.com%2Fwos%2Fwoscc%2Ffull-record%2FWOS:000564725900010","View Full Record in Web of Science")</f>
        <v>View Full Record in Web of Science</v>
      </c>
    </row>
    <row r="61" ht="12.75" customHeight="1">
      <c r="A61" s="1" t="s">
        <v>72</v>
      </c>
      <c r="B61" s="1" t="s">
        <v>679</v>
      </c>
      <c r="C61" s="1" t="s">
        <v>74</v>
      </c>
      <c r="D61" s="1" t="s">
        <v>74</v>
      </c>
      <c r="E61" s="1" t="s">
        <v>74</v>
      </c>
      <c r="F61" s="1" t="s">
        <v>680</v>
      </c>
      <c r="G61" s="1" t="s">
        <v>74</v>
      </c>
      <c r="H61" s="1" t="s">
        <v>74</v>
      </c>
      <c r="I61" s="1" t="s">
        <v>681</v>
      </c>
      <c r="J61" s="1" t="s">
        <v>682</v>
      </c>
      <c r="K61" s="1" t="s">
        <v>74</v>
      </c>
      <c r="L61" s="1" t="s">
        <v>74</v>
      </c>
      <c r="M61" s="1" t="s">
        <v>74</v>
      </c>
      <c r="N61" s="1" t="s">
        <v>74</v>
      </c>
      <c r="O61" s="1" t="s">
        <v>74</v>
      </c>
      <c r="P61" s="1" t="s">
        <v>74</v>
      </c>
      <c r="Q61" s="1" t="s">
        <v>74</v>
      </c>
      <c r="R61" s="1" t="s">
        <v>74</v>
      </c>
      <c r="S61" s="1" t="s">
        <v>74</v>
      </c>
      <c r="T61" s="1" t="s">
        <v>74</v>
      </c>
      <c r="U61" s="1" t="s">
        <v>74</v>
      </c>
      <c r="V61" s="1" t="s">
        <v>683</v>
      </c>
      <c r="W61" s="1" t="s">
        <v>74</v>
      </c>
      <c r="X61" s="1" t="s">
        <v>74</v>
      </c>
      <c r="Y61" s="1" t="s">
        <v>74</v>
      </c>
      <c r="Z61" s="1" t="s">
        <v>74</v>
      </c>
      <c r="AA61" s="1" t="s">
        <v>684</v>
      </c>
      <c r="AB61" s="1" t="s">
        <v>685</v>
      </c>
      <c r="AC61" s="1" t="s">
        <v>74</v>
      </c>
      <c r="AD61" s="1" t="s">
        <v>74</v>
      </c>
      <c r="AE61" s="1" t="s">
        <v>74</v>
      </c>
      <c r="AF61" s="1" t="s">
        <v>74</v>
      </c>
      <c r="AG61" s="1" t="s">
        <v>74</v>
      </c>
      <c r="AH61" s="1" t="s">
        <v>74</v>
      </c>
      <c r="AI61" s="1" t="s">
        <v>74</v>
      </c>
      <c r="AJ61" s="1" t="s">
        <v>74</v>
      </c>
      <c r="AK61" s="1" t="s">
        <v>74</v>
      </c>
      <c r="AL61" s="1" t="s">
        <v>74</v>
      </c>
      <c r="AM61" s="1" t="s">
        <v>74</v>
      </c>
      <c r="AN61" s="1" t="s">
        <v>74</v>
      </c>
      <c r="AO61" s="1" t="s">
        <v>686</v>
      </c>
      <c r="AP61" s="1" t="s">
        <v>687</v>
      </c>
      <c r="AQ61" s="1" t="s">
        <v>74</v>
      </c>
      <c r="AR61" s="1" t="s">
        <v>74</v>
      </c>
      <c r="AS61" s="1" t="s">
        <v>74</v>
      </c>
      <c r="AT61" s="1" t="s">
        <v>688</v>
      </c>
      <c r="AU61" s="1">
        <v>2020.0</v>
      </c>
      <c r="AV61" s="1">
        <v>44.0</v>
      </c>
      <c r="AW61" s="1">
        <v>41.0</v>
      </c>
      <c r="AX61" s="1" t="s">
        <v>74</v>
      </c>
      <c r="AY61" s="1" t="s">
        <v>74</v>
      </c>
      <c r="AZ61" s="1" t="s">
        <v>74</v>
      </c>
      <c r="BA61" s="1" t="s">
        <v>74</v>
      </c>
      <c r="BB61" s="1">
        <v>18069.0</v>
      </c>
      <c r="BC61" s="1">
        <v>18073.0</v>
      </c>
      <c r="BD61" s="1" t="s">
        <v>74</v>
      </c>
      <c r="BE61" s="1" t="s">
        <v>689</v>
      </c>
      <c r="BF61" s="2" t="str">
        <f>HYPERLINK("http://dx.doi.org/10.1039/d0nj03942j","http://dx.doi.org/10.1039/d0nj03942j")</f>
        <v>http://dx.doi.org/10.1039/d0nj03942j</v>
      </c>
      <c r="BG61" s="1" t="s">
        <v>74</v>
      </c>
      <c r="BH61" s="1" t="s">
        <v>74</v>
      </c>
      <c r="BI61" s="1" t="s">
        <v>74</v>
      </c>
      <c r="BJ61" s="1" t="s">
        <v>74</v>
      </c>
      <c r="BK61" s="1" t="s">
        <v>74</v>
      </c>
      <c r="BL61" s="1" t="s">
        <v>74</v>
      </c>
      <c r="BM61" s="1" t="s">
        <v>74</v>
      </c>
      <c r="BN61" s="1" t="s">
        <v>74</v>
      </c>
      <c r="BO61" s="1" t="s">
        <v>74</v>
      </c>
      <c r="BP61" s="1" t="s">
        <v>74</v>
      </c>
      <c r="BQ61" s="1" t="s">
        <v>74</v>
      </c>
      <c r="BR61" s="1" t="s">
        <v>74</v>
      </c>
      <c r="BS61" s="1" t="s">
        <v>690</v>
      </c>
      <c r="BT61" s="1" t="str">
        <f>HYPERLINK("https%3A%2F%2Fwww.webofscience.com%2Fwos%2Fwoscc%2Ffull-record%2FWOS:000582432400046","View Full Record in Web of Science")</f>
        <v>View Full Record in Web of Science</v>
      </c>
    </row>
    <row r="62" ht="12.75" customHeight="1">
      <c r="A62" s="1" t="s">
        <v>72</v>
      </c>
      <c r="B62" s="1" t="s">
        <v>691</v>
      </c>
      <c r="C62" s="1" t="s">
        <v>74</v>
      </c>
      <c r="D62" s="1" t="s">
        <v>74</v>
      </c>
      <c r="E62" s="1" t="s">
        <v>74</v>
      </c>
      <c r="F62" s="1" t="s">
        <v>692</v>
      </c>
      <c r="G62" s="1" t="s">
        <v>74</v>
      </c>
      <c r="H62" s="1" t="s">
        <v>74</v>
      </c>
      <c r="I62" s="1" t="s">
        <v>693</v>
      </c>
      <c r="J62" s="1" t="s">
        <v>694</v>
      </c>
      <c r="K62" s="1" t="s">
        <v>74</v>
      </c>
      <c r="L62" s="1" t="s">
        <v>74</v>
      </c>
      <c r="M62" s="1" t="s">
        <v>74</v>
      </c>
      <c r="N62" s="1" t="s">
        <v>74</v>
      </c>
      <c r="O62" s="1" t="s">
        <v>74</v>
      </c>
      <c r="P62" s="1" t="s">
        <v>74</v>
      </c>
      <c r="Q62" s="1" t="s">
        <v>74</v>
      </c>
      <c r="R62" s="1" t="s">
        <v>74</v>
      </c>
      <c r="S62" s="1" t="s">
        <v>74</v>
      </c>
      <c r="T62" s="1" t="s">
        <v>74</v>
      </c>
      <c r="U62" s="1" t="s">
        <v>74</v>
      </c>
      <c r="V62" s="1" t="s">
        <v>695</v>
      </c>
      <c r="W62" s="1" t="s">
        <v>74</v>
      </c>
      <c r="X62" s="1" t="s">
        <v>74</v>
      </c>
      <c r="Y62" s="1" t="s">
        <v>74</v>
      </c>
      <c r="Z62" s="1" t="s">
        <v>74</v>
      </c>
      <c r="AA62" s="1" t="s">
        <v>696</v>
      </c>
      <c r="AB62" s="1" t="s">
        <v>74</v>
      </c>
      <c r="AC62" s="1" t="s">
        <v>74</v>
      </c>
      <c r="AD62" s="1" t="s">
        <v>74</v>
      </c>
      <c r="AE62" s="1" t="s">
        <v>74</v>
      </c>
      <c r="AF62" s="1" t="s">
        <v>74</v>
      </c>
      <c r="AG62" s="1" t="s">
        <v>74</v>
      </c>
      <c r="AH62" s="1" t="s">
        <v>74</v>
      </c>
      <c r="AI62" s="1" t="s">
        <v>74</v>
      </c>
      <c r="AJ62" s="1" t="s">
        <v>74</v>
      </c>
      <c r="AK62" s="1" t="s">
        <v>74</v>
      </c>
      <c r="AL62" s="1" t="s">
        <v>74</v>
      </c>
      <c r="AM62" s="1" t="s">
        <v>74</v>
      </c>
      <c r="AN62" s="1" t="s">
        <v>74</v>
      </c>
      <c r="AO62" s="1" t="s">
        <v>697</v>
      </c>
      <c r="AP62" s="1" t="s">
        <v>698</v>
      </c>
      <c r="AQ62" s="1" t="s">
        <v>74</v>
      </c>
      <c r="AR62" s="1" t="s">
        <v>74</v>
      </c>
      <c r="AS62" s="1" t="s">
        <v>74</v>
      </c>
      <c r="AT62" s="1" t="s">
        <v>699</v>
      </c>
      <c r="AU62" s="1">
        <v>2020.0</v>
      </c>
      <c r="AV62" s="1">
        <v>10.0</v>
      </c>
      <c r="AW62" s="1">
        <v>2.0</v>
      </c>
      <c r="AX62" s="1" t="s">
        <v>74</v>
      </c>
      <c r="AY62" s="1" t="s">
        <v>74</v>
      </c>
      <c r="AZ62" s="1" t="s">
        <v>74</v>
      </c>
      <c r="BA62" s="1" t="s">
        <v>74</v>
      </c>
      <c r="BB62" s="1">
        <v>145.0</v>
      </c>
      <c r="BC62" s="1">
        <v>178.0</v>
      </c>
      <c r="BD62" s="1" t="s">
        <v>74</v>
      </c>
      <c r="BE62" s="1" t="s">
        <v>74</v>
      </c>
      <c r="BF62" s="1" t="s">
        <v>74</v>
      </c>
      <c r="BG62" s="1" t="s">
        <v>74</v>
      </c>
      <c r="BH62" s="1" t="s">
        <v>74</v>
      </c>
      <c r="BI62" s="1" t="s">
        <v>74</v>
      </c>
      <c r="BJ62" s="1" t="s">
        <v>74</v>
      </c>
      <c r="BK62" s="1" t="s">
        <v>74</v>
      </c>
      <c r="BL62" s="1" t="s">
        <v>74</v>
      </c>
      <c r="BM62" s="1" t="s">
        <v>74</v>
      </c>
      <c r="BN62" s="1" t="s">
        <v>74</v>
      </c>
      <c r="BO62" s="1" t="s">
        <v>74</v>
      </c>
      <c r="BP62" s="1" t="s">
        <v>74</v>
      </c>
      <c r="BQ62" s="1" t="s">
        <v>74</v>
      </c>
      <c r="BR62" s="1" t="s">
        <v>74</v>
      </c>
      <c r="BS62" s="1" t="s">
        <v>700</v>
      </c>
      <c r="BT62" s="1" t="str">
        <f>HYPERLINK("https%3A%2F%2Fwww.webofscience.com%2Fwos%2Fwoscc%2Ffull-record%2FWOS:000609453900006","View Full Record in Web of Science")</f>
        <v>View Full Record in Web of Science</v>
      </c>
    </row>
    <row r="63" ht="12.75" customHeight="1">
      <c r="A63" s="1" t="s">
        <v>72</v>
      </c>
      <c r="B63" s="1" t="s">
        <v>701</v>
      </c>
      <c r="C63" s="1" t="s">
        <v>74</v>
      </c>
      <c r="D63" s="1" t="s">
        <v>74</v>
      </c>
      <c r="E63" s="1" t="s">
        <v>74</v>
      </c>
      <c r="F63" s="1" t="s">
        <v>702</v>
      </c>
      <c r="G63" s="1" t="s">
        <v>74</v>
      </c>
      <c r="H63" s="1" t="s">
        <v>74</v>
      </c>
      <c r="I63" s="1" t="s">
        <v>703</v>
      </c>
      <c r="J63" s="1" t="s">
        <v>704</v>
      </c>
      <c r="K63" s="1" t="s">
        <v>74</v>
      </c>
      <c r="L63" s="1" t="s">
        <v>74</v>
      </c>
      <c r="M63" s="1" t="s">
        <v>74</v>
      </c>
      <c r="N63" s="1" t="s">
        <v>74</v>
      </c>
      <c r="O63" s="1" t="s">
        <v>74</v>
      </c>
      <c r="P63" s="1" t="s">
        <v>74</v>
      </c>
      <c r="Q63" s="1" t="s">
        <v>74</v>
      </c>
      <c r="R63" s="1" t="s">
        <v>74</v>
      </c>
      <c r="S63" s="1" t="s">
        <v>74</v>
      </c>
      <c r="T63" s="1" t="s">
        <v>74</v>
      </c>
      <c r="U63" s="1" t="s">
        <v>74</v>
      </c>
      <c r="V63" s="1" t="s">
        <v>705</v>
      </c>
      <c r="W63" s="1" t="s">
        <v>74</v>
      </c>
      <c r="X63" s="1" t="s">
        <v>74</v>
      </c>
      <c r="Y63" s="1" t="s">
        <v>74</v>
      </c>
      <c r="Z63" s="1" t="s">
        <v>74</v>
      </c>
      <c r="AA63" s="1" t="s">
        <v>706</v>
      </c>
      <c r="AB63" s="1" t="s">
        <v>74</v>
      </c>
      <c r="AC63" s="1" t="s">
        <v>74</v>
      </c>
      <c r="AD63" s="1" t="s">
        <v>74</v>
      </c>
      <c r="AE63" s="1" t="s">
        <v>74</v>
      </c>
      <c r="AF63" s="1" t="s">
        <v>74</v>
      </c>
      <c r="AG63" s="1" t="s">
        <v>74</v>
      </c>
      <c r="AH63" s="1" t="s">
        <v>74</v>
      </c>
      <c r="AI63" s="1" t="s">
        <v>74</v>
      </c>
      <c r="AJ63" s="1" t="s">
        <v>74</v>
      </c>
      <c r="AK63" s="1" t="s">
        <v>74</v>
      </c>
      <c r="AL63" s="1" t="s">
        <v>74</v>
      </c>
      <c r="AM63" s="1" t="s">
        <v>74</v>
      </c>
      <c r="AN63" s="1" t="s">
        <v>74</v>
      </c>
      <c r="AO63" s="1" t="s">
        <v>707</v>
      </c>
      <c r="AP63" s="1" t="s">
        <v>74</v>
      </c>
      <c r="AQ63" s="1" t="s">
        <v>74</v>
      </c>
      <c r="AR63" s="1" t="s">
        <v>74</v>
      </c>
      <c r="AS63" s="1" t="s">
        <v>74</v>
      </c>
      <c r="AT63" s="1" t="s">
        <v>490</v>
      </c>
      <c r="AU63" s="1">
        <v>2020.0</v>
      </c>
      <c r="AV63" s="1">
        <v>31.0</v>
      </c>
      <c r="AW63" s="1" t="s">
        <v>74</v>
      </c>
      <c r="AX63" s="1" t="s">
        <v>74</v>
      </c>
      <c r="AY63" s="1" t="s">
        <v>74</v>
      </c>
      <c r="AZ63" s="1" t="s">
        <v>74</v>
      </c>
      <c r="BA63" s="1" t="s">
        <v>74</v>
      </c>
      <c r="BB63" s="1">
        <v>43.0</v>
      </c>
      <c r="BC63" s="1">
        <v>76.0</v>
      </c>
      <c r="BD63" s="1" t="s">
        <v>74</v>
      </c>
      <c r="BE63" s="1" t="s">
        <v>708</v>
      </c>
      <c r="BF63" s="2" t="str">
        <f>HYPERLINK("http://dx.doi.org/10.18046/recs.i31.3730","http://dx.doi.org/10.18046/recs.i31.3730")</f>
        <v>http://dx.doi.org/10.18046/recs.i31.3730</v>
      </c>
      <c r="BG63" s="1" t="s">
        <v>74</v>
      </c>
      <c r="BH63" s="1" t="s">
        <v>74</v>
      </c>
      <c r="BI63" s="1" t="s">
        <v>74</v>
      </c>
      <c r="BJ63" s="1" t="s">
        <v>74</v>
      </c>
      <c r="BK63" s="1" t="s">
        <v>74</v>
      </c>
      <c r="BL63" s="1" t="s">
        <v>74</v>
      </c>
      <c r="BM63" s="1" t="s">
        <v>74</v>
      </c>
      <c r="BN63" s="1" t="s">
        <v>74</v>
      </c>
      <c r="BO63" s="1" t="s">
        <v>74</v>
      </c>
      <c r="BP63" s="1" t="s">
        <v>74</v>
      </c>
      <c r="BQ63" s="1" t="s">
        <v>74</v>
      </c>
      <c r="BR63" s="1" t="s">
        <v>74</v>
      </c>
      <c r="BS63" s="1" t="s">
        <v>709</v>
      </c>
      <c r="BT63" s="1" t="str">
        <f>HYPERLINK("https%3A%2F%2Fwww.webofscience.com%2Fwos%2Fwoscc%2Ffull-record%2FWOS:000530911100003","View Full Record in Web of Science")</f>
        <v>View Full Record in Web of Science</v>
      </c>
    </row>
    <row r="64" ht="12.75" customHeight="1">
      <c r="A64" s="1" t="s">
        <v>72</v>
      </c>
      <c r="B64" s="1" t="s">
        <v>710</v>
      </c>
      <c r="C64" s="1" t="s">
        <v>74</v>
      </c>
      <c r="D64" s="1" t="s">
        <v>74</v>
      </c>
      <c r="E64" s="1" t="s">
        <v>74</v>
      </c>
      <c r="F64" s="1" t="s">
        <v>711</v>
      </c>
      <c r="G64" s="1" t="s">
        <v>74</v>
      </c>
      <c r="H64" s="1" t="s">
        <v>74</v>
      </c>
      <c r="I64" s="1" t="s">
        <v>712</v>
      </c>
      <c r="J64" s="1" t="s">
        <v>713</v>
      </c>
      <c r="K64" s="1" t="s">
        <v>74</v>
      </c>
      <c r="L64" s="1" t="s">
        <v>74</v>
      </c>
      <c r="M64" s="1" t="s">
        <v>74</v>
      </c>
      <c r="N64" s="1" t="s">
        <v>74</v>
      </c>
      <c r="O64" s="1" t="s">
        <v>74</v>
      </c>
      <c r="P64" s="1" t="s">
        <v>74</v>
      </c>
      <c r="Q64" s="1" t="s">
        <v>74</v>
      </c>
      <c r="R64" s="1" t="s">
        <v>74</v>
      </c>
      <c r="S64" s="1" t="s">
        <v>74</v>
      </c>
      <c r="T64" s="1" t="s">
        <v>74</v>
      </c>
      <c r="U64" s="1" t="s">
        <v>74</v>
      </c>
      <c r="V64" s="1" t="s">
        <v>714</v>
      </c>
      <c r="W64" s="1" t="s">
        <v>74</v>
      </c>
      <c r="X64" s="1" t="s">
        <v>74</v>
      </c>
      <c r="Y64" s="1" t="s">
        <v>74</v>
      </c>
      <c r="Z64" s="1" t="s">
        <v>74</v>
      </c>
      <c r="AA64" s="1" t="s">
        <v>715</v>
      </c>
      <c r="AB64" s="1" t="s">
        <v>74</v>
      </c>
      <c r="AC64" s="1" t="s">
        <v>74</v>
      </c>
      <c r="AD64" s="1" t="s">
        <v>74</v>
      </c>
      <c r="AE64" s="1" t="s">
        <v>74</v>
      </c>
      <c r="AF64" s="1" t="s">
        <v>74</v>
      </c>
      <c r="AG64" s="1" t="s">
        <v>74</v>
      </c>
      <c r="AH64" s="1" t="s">
        <v>74</v>
      </c>
      <c r="AI64" s="1" t="s">
        <v>74</v>
      </c>
      <c r="AJ64" s="1" t="s">
        <v>74</v>
      </c>
      <c r="AK64" s="1" t="s">
        <v>74</v>
      </c>
      <c r="AL64" s="1" t="s">
        <v>74</v>
      </c>
      <c r="AM64" s="1" t="s">
        <v>74</v>
      </c>
      <c r="AN64" s="1" t="s">
        <v>74</v>
      </c>
      <c r="AO64" s="1" t="s">
        <v>716</v>
      </c>
      <c r="AP64" s="1" t="s">
        <v>74</v>
      </c>
      <c r="AQ64" s="1" t="s">
        <v>74</v>
      </c>
      <c r="AR64" s="1" t="s">
        <v>74</v>
      </c>
      <c r="AS64" s="1" t="s">
        <v>74</v>
      </c>
      <c r="AT64" s="1" t="s">
        <v>277</v>
      </c>
      <c r="AU64" s="1">
        <v>2020.0</v>
      </c>
      <c r="AV64" s="1">
        <v>49.0</v>
      </c>
      <c r="AW64" s="1" t="s">
        <v>74</v>
      </c>
      <c r="AX64" s="1" t="s">
        <v>74</v>
      </c>
      <c r="AY64" s="1" t="s">
        <v>74</v>
      </c>
      <c r="AZ64" s="1" t="s">
        <v>74</v>
      </c>
      <c r="BA64" s="1" t="s">
        <v>74</v>
      </c>
      <c r="BB64" s="1">
        <v>767.0</v>
      </c>
      <c r="BC64" s="1">
        <v>796.0</v>
      </c>
      <c r="BD64" s="1" t="s">
        <v>74</v>
      </c>
      <c r="BE64" s="1" t="s">
        <v>74</v>
      </c>
      <c r="BF64" s="1" t="s">
        <v>74</v>
      </c>
      <c r="BG64" s="1" t="s">
        <v>74</v>
      </c>
      <c r="BH64" s="1" t="s">
        <v>74</v>
      </c>
      <c r="BI64" s="1" t="s">
        <v>74</v>
      </c>
      <c r="BJ64" s="1" t="s">
        <v>74</v>
      </c>
      <c r="BK64" s="1" t="s">
        <v>74</v>
      </c>
      <c r="BL64" s="1" t="s">
        <v>74</v>
      </c>
      <c r="BM64" s="1" t="s">
        <v>74</v>
      </c>
      <c r="BN64" s="1" t="s">
        <v>74</v>
      </c>
      <c r="BO64" s="1" t="s">
        <v>74</v>
      </c>
      <c r="BP64" s="1" t="s">
        <v>74</v>
      </c>
      <c r="BQ64" s="1" t="s">
        <v>74</v>
      </c>
      <c r="BR64" s="1" t="s">
        <v>74</v>
      </c>
      <c r="BS64" s="1" t="s">
        <v>717</v>
      </c>
      <c r="BT64" s="1" t="str">
        <f>HYPERLINK("https%3A%2F%2Fwww.webofscience.com%2Fwos%2Fwoscc%2Ffull-record%2FWOS:000614863100030","View Full Record in Web of Science")</f>
        <v>View Full Record in Web of Science</v>
      </c>
    </row>
    <row r="65" ht="12.75" customHeight="1">
      <c r="A65" s="1" t="s">
        <v>72</v>
      </c>
      <c r="B65" s="1" t="s">
        <v>718</v>
      </c>
      <c r="C65" s="1" t="s">
        <v>74</v>
      </c>
      <c r="D65" s="1" t="s">
        <v>74</v>
      </c>
      <c r="E65" s="1" t="s">
        <v>74</v>
      </c>
      <c r="F65" s="1" t="s">
        <v>719</v>
      </c>
      <c r="G65" s="1" t="s">
        <v>74</v>
      </c>
      <c r="H65" s="1" t="s">
        <v>74</v>
      </c>
      <c r="I65" s="1" t="s">
        <v>720</v>
      </c>
      <c r="J65" s="1" t="s">
        <v>721</v>
      </c>
      <c r="K65" s="1" t="s">
        <v>74</v>
      </c>
      <c r="L65" s="1" t="s">
        <v>74</v>
      </c>
      <c r="M65" s="1" t="s">
        <v>74</v>
      </c>
      <c r="N65" s="1" t="s">
        <v>74</v>
      </c>
      <c r="O65" s="1" t="s">
        <v>74</v>
      </c>
      <c r="P65" s="1" t="s">
        <v>74</v>
      </c>
      <c r="Q65" s="1" t="s">
        <v>74</v>
      </c>
      <c r="R65" s="1" t="s">
        <v>74</v>
      </c>
      <c r="S65" s="1" t="s">
        <v>74</v>
      </c>
      <c r="T65" s="1" t="s">
        <v>74</v>
      </c>
      <c r="U65" s="1" t="s">
        <v>74</v>
      </c>
      <c r="V65" s="1" t="s">
        <v>74</v>
      </c>
      <c r="W65" s="1" t="s">
        <v>74</v>
      </c>
      <c r="X65" s="1" t="s">
        <v>74</v>
      </c>
      <c r="Y65" s="1" t="s">
        <v>74</v>
      </c>
      <c r="Z65" s="1" t="s">
        <v>74</v>
      </c>
      <c r="AA65" s="1" t="s">
        <v>74</v>
      </c>
      <c r="AB65" s="1" t="s">
        <v>74</v>
      </c>
      <c r="AC65" s="1" t="s">
        <v>74</v>
      </c>
      <c r="AD65" s="1" t="s">
        <v>74</v>
      </c>
      <c r="AE65" s="1" t="s">
        <v>74</v>
      </c>
      <c r="AF65" s="1" t="s">
        <v>74</v>
      </c>
      <c r="AG65" s="1" t="s">
        <v>74</v>
      </c>
      <c r="AH65" s="1" t="s">
        <v>74</v>
      </c>
      <c r="AI65" s="1" t="s">
        <v>74</v>
      </c>
      <c r="AJ65" s="1" t="s">
        <v>74</v>
      </c>
      <c r="AK65" s="1" t="s">
        <v>74</v>
      </c>
      <c r="AL65" s="1" t="s">
        <v>74</v>
      </c>
      <c r="AM65" s="1" t="s">
        <v>74</v>
      </c>
      <c r="AN65" s="1" t="s">
        <v>74</v>
      </c>
      <c r="AO65" s="1" t="s">
        <v>722</v>
      </c>
      <c r="AP65" s="1" t="s">
        <v>723</v>
      </c>
      <c r="AQ65" s="1" t="s">
        <v>74</v>
      </c>
      <c r="AR65" s="1" t="s">
        <v>74</v>
      </c>
      <c r="AS65" s="1" t="s">
        <v>74</v>
      </c>
      <c r="AT65" s="1" t="s">
        <v>724</v>
      </c>
      <c r="AU65" s="1">
        <v>2019.0</v>
      </c>
      <c r="AV65" s="1">
        <v>31.0</v>
      </c>
      <c r="AW65" s="1" t="s">
        <v>74</v>
      </c>
      <c r="AX65" s="1" t="s">
        <v>74</v>
      </c>
      <c r="AY65" s="1">
        <v>1.0</v>
      </c>
      <c r="AZ65" s="1" t="s">
        <v>74</v>
      </c>
      <c r="BA65" s="1" t="s">
        <v>74</v>
      </c>
      <c r="BB65" s="1" t="s">
        <v>725</v>
      </c>
      <c r="BC65" s="1" t="s">
        <v>726</v>
      </c>
      <c r="BD65" s="1" t="s">
        <v>74</v>
      </c>
      <c r="BE65" s="1" t="s">
        <v>74</v>
      </c>
      <c r="BF65" s="1" t="s">
        <v>74</v>
      </c>
      <c r="BG65" s="1" t="s">
        <v>74</v>
      </c>
      <c r="BH65" s="1" t="s">
        <v>74</v>
      </c>
      <c r="BI65" s="1" t="s">
        <v>74</v>
      </c>
      <c r="BJ65" s="1" t="s">
        <v>74</v>
      </c>
      <c r="BK65" s="1" t="s">
        <v>74</v>
      </c>
      <c r="BL65" s="1" t="s">
        <v>74</v>
      </c>
      <c r="BM65" s="1" t="s">
        <v>74</v>
      </c>
      <c r="BN65" s="1" t="s">
        <v>74</v>
      </c>
      <c r="BO65" s="1" t="s">
        <v>74</v>
      </c>
      <c r="BP65" s="1" t="s">
        <v>74</v>
      </c>
      <c r="BQ65" s="1" t="s">
        <v>74</v>
      </c>
      <c r="BR65" s="1" t="s">
        <v>74</v>
      </c>
      <c r="BS65" s="1" t="s">
        <v>727</v>
      </c>
      <c r="BT65" s="1" t="str">
        <f>HYPERLINK("https%3A%2F%2Fwww.webofscience.com%2Fwos%2Fwoscc%2Ffull-record%2FWOS:000489340404162","View Full Record in Web of Science")</f>
        <v>View Full Record in Web of Science</v>
      </c>
    </row>
    <row r="66" ht="12.75" customHeight="1">
      <c r="A66" s="1" t="s">
        <v>72</v>
      </c>
      <c r="B66" s="1" t="s">
        <v>728</v>
      </c>
      <c r="C66" s="1" t="s">
        <v>74</v>
      </c>
      <c r="D66" s="1" t="s">
        <v>74</v>
      </c>
      <c r="E66" s="1" t="s">
        <v>74</v>
      </c>
      <c r="F66" s="1" t="s">
        <v>729</v>
      </c>
      <c r="G66" s="1" t="s">
        <v>74</v>
      </c>
      <c r="H66" s="1" t="s">
        <v>74</v>
      </c>
      <c r="I66" s="1" t="s">
        <v>730</v>
      </c>
      <c r="J66" s="1" t="s">
        <v>731</v>
      </c>
      <c r="K66" s="1" t="s">
        <v>74</v>
      </c>
      <c r="L66" s="1" t="s">
        <v>74</v>
      </c>
      <c r="M66" s="1" t="s">
        <v>74</v>
      </c>
      <c r="N66" s="1" t="s">
        <v>74</v>
      </c>
      <c r="O66" s="1" t="s">
        <v>74</v>
      </c>
      <c r="P66" s="1" t="s">
        <v>74</v>
      </c>
      <c r="Q66" s="1" t="s">
        <v>74</v>
      </c>
      <c r="R66" s="1" t="s">
        <v>74</v>
      </c>
      <c r="S66" s="1" t="s">
        <v>74</v>
      </c>
      <c r="T66" s="1" t="s">
        <v>74</v>
      </c>
      <c r="U66" s="1" t="s">
        <v>74</v>
      </c>
      <c r="V66" s="1" t="s">
        <v>732</v>
      </c>
      <c r="W66" s="1" t="s">
        <v>74</v>
      </c>
      <c r="X66" s="1" t="s">
        <v>74</v>
      </c>
      <c r="Y66" s="1" t="s">
        <v>74</v>
      </c>
      <c r="Z66" s="1" t="s">
        <v>74</v>
      </c>
      <c r="AA66" s="1" t="s">
        <v>74</v>
      </c>
      <c r="AB66" s="1" t="s">
        <v>733</v>
      </c>
      <c r="AC66" s="1" t="s">
        <v>74</v>
      </c>
      <c r="AD66" s="1" t="s">
        <v>74</v>
      </c>
      <c r="AE66" s="1" t="s">
        <v>74</v>
      </c>
      <c r="AF66" s="1" t="s">
        <v>74</v>
      </c>
      <c r="AG66" s="1" t="s">
        <v>74</v>
      </c>
      <c r="AH66" s="1" t="s">
        <v>74</v>
      </c>
      <c r="AI66" s="1" t="s">
        <v>74</v>
      </c>
      <c r="AJ66" s="1" t="s">
        <v>74</v>
      </c>
      <c r="AK66" s="1" t="s">
        <v>74</v>
      </c>
      <c r="AL66" s="1" t="s">
        <v>74</v>
      </c>
      <c r="AM66" s="1" t="s">
        <v>74</v>
      </c>
      <c r="AN66" s="1" t="s">
        <v>74</v>
      </c>
      <c r="AO66" s="1" t="s">
        <v>734</v>
      </c>
      <c r="AP66" s="1" t="s">
        <v>735</v>
      </c>
      <c r="AQ66" s="1" t="s">
        <v>74</v>
      </c>
      <c r="AR66" s="1" t="s">
        <v>74</v>
      </c>
      <c r="AS66" s="1" t="s">
        <v>74</v>
      </c>
      <c r="AT66" s="1" t="s">
        <v>389</v>
      </c>
      <c r="AU66" s="1">
        <v>2019.0</v>
      </c>
      <c r="AV66" s="1">
        <v>82.0</v>
      </c>
      <c r="AW66" s="1" t="s">
        <v>74</v>
      </c>
      <c r="AX66" s="1" t="s">
        <v>74</v>
      </c>
      <c r="AY66" s="1" t="s">
        <v>74</v>
      </c>
      <c r="AZ66" s="1" t="s">
        <v>74</v>
      </c>
      <c r="BA66" s="1" t="s">
        <v>74</v>
      </c>
      <c r="BB66" s="1">
        <v>385.0</v>
      </c>
      <c r="BC66" s="1">
        <v>392.0</v>
      </c>
      <c r="BD66" s="1" t="s">
        <v>74</v>
      </c>
      <c r="BE66" s="1" t="s">
        <v>736</v>
      </c>
      <c r="BF66" s="2" t="str">
        <f>HYPERLINK("http://dx.doi.org/10.1016/j.bioorg.2018.10.050","http://dx.doi.org/10.1016/j.bioorg.2018.10.050")</f>
        <v>http://dx.doi.org/10.1016/j.bioorg.2018.10.050</v>
      </c>
      <c r="BG66" s="1" t="s">
        <v>74</v>
      </c>
      <c r="BH66" s="1" t="s">
        <v>74</v>
      </c>
      <c r="BI66" s="1" t="s">
        <v>74</v>
      </c>
      <c r="BJ66" s="1" t="s">
        <v>74</v>
      </c>
      <c r="BK66" s="1" t="s">
        <v>74</v>
      </c>
      <c r="BL66" s="1" t="s">
        <v>74</v>
      </c>
      <c r="BM66" s="1" t="s">
        <v>74</v>
      </c>
      <c r="BN66" s="1">
        <v>3.0428417E7</v>
      </c>
      <c r="BO66" s="1" t="s">
        <v>74</v>
      </c>
      <c r="BP66" s="1" t="s">
        <v>74</v>
      </c>
      <c r="BQ66" s="1" t="s">
        <v>74</v>
      </c>
      <c r="BR66" s="1" t="s">
        <v>74</v>
      </c>
      <c r="BS66" s="1" t="s">
        <v>737</v>
      </c>
      <c r="BT66" s="1" t="str">
        <f>HYPERLINK("https%3A%2F%2Fwww.webofscience.com%2Fwos%2Fwoscc%2Ffull-record%2FWOS:000455479600039","View Full Record in Web of Science")</f>
        <v>View Full Record in Web of Science</v>
      </c>
    </row>
    <row r="67" ht="12.75" customHeight="1">
      <c r="A67" s="1" t="s">
        <v>72</v>
      </c>
      <c r="B67" s="1" t="s">
        <v>738</v>
      </c>
      <c r="C67" s="1" t="s">
        <v>74</v>
      </c>
      <c r="D67" s="1" t="s">
        <v>74</v>
      </c>
      <c r="E67" s="1" t="s">
        <v>74</v>
      </c>
      <c r="F67" s="1" t="s">
        <v>739</v>
      </c>
      <c r="G67" s="1" t="s">
        <v>74</v>
      </c>
      <c r="H67" s="1" t="s">
        <v>74</v>
      </c>
      <c r="I67" s="1" t="s">
        <v>740</v>
      </c>
      <c r="J67" s="1" t="s">
        <v>741</v>
      </c>
      <c r="K67" s="1" t="s">
        <v>74</v>
      </c>
      <c r="L67" s="1" t="s">
        <v>74</v>
      </c>
      <c r="M67" s="1" t="s">
        <v>74</v>
      </c>
      <c r="N67" s="1" t="s">
        <v>74</v>
      </c>
      <c r="O67" s="1" t="s">
        <v>74</v>
      </c>
      <c r="P67" s="1" t="s">
        <v>74</v>
      </c>
      <c r="Q67" s="1" t="s">
        <v>74</v>
      </c>
      <c r="R67" s="1" t="s">
        <v>74</v>
      </c>
      <c r="S67" s="1" t="s">
        <v>74</v>
      </c>
      <c r="T67" s="1" t="s">
        <v>74</v>
      </c>
      <c r="U67" s="1" t="s">
        <v>74</v>
      </c>
      <c r="V67" s="1" t="s">
        <v>742</v>
      </c>
      <c r="W67" s="1" t="s">
        <v>74</v>
      </c>
      <c r="X67" s="1" t="s">
        <v>74</v>
      </c>
      <c r="Y67" s="1" t="s">
        <v>74</v>
      </c>
      <c r="Z67" s="1" t="s">
        <v>74</v>
      </c>
      <c r="AA67" s="1" t="s">
        <v>130</v>
      </c>
      <c r="AB67" s="1" t="s">
        <v>743</v>
      </c>
      <c r="AC67" s="1" t="s">
        <v>74</v>
      </c>
      <c r="AD67" s="1" t="s">
        <v>74</v>
      </c>
      <c r="AE67" s="1" t="s">
        <v>74</v>
      </c>
      <c r="AF67" s="1" t="s">
        <v>74</v>
      </c>
      <c r="AG67" s="1" t="s">
        <v>74</v>
      </c>
      <c r="AH67" s="1" t="s">
        <v>74</v>
      </c>
      <c r="AI67" s="1" t="s">
        <v>74</v>
      </c>
      <c r="AJ67" s="1" t="s">
        <v>74</v>
      </c>
      <c r="AK67" s="1" t="s">
        <v>74</v>
      </c>
      <c r="AL67" s="1" t="s">
        <v>74</v>
      </c>
      <c r="AM67" s="1" t="s">
        <v>74</v>
      </c>
      <c r="AN67" s="1" t="s">
        <v>74</v>
      </c>
      <c r="AO67" s="1" t="s">
        <v>744</v>
      </c>
      <c r="AP67" s="1" t="s">
        <v>745</v>
      </c>
      <c r="AQ67" s="1" t="s">
        <v>74</v>
      </c>
      <c r="AR67" s="1" t="s">
        <v>74</v>
      </c>
      <c r="AS67" s="1" t="s">
        <v>74</v>
      </c>
      <c r="AT67" s="1" t="s">
        <v>746</v>
      </c>
      <c r="AU67" s="1">
        <v>2018.0</v>
      </c>
      <c r="AV67" s="1">
        <v>33.0</v>
      </c>
      <c r="AW67" s="1">
        <v>40.0</v>
      </c>
      <c r="AX67" s="1" t="s">
        <v>74</v>
      </c>
      <c r="AY67" s="1" t="s">
        <v>74</v>
      </c>
      <c r="AZ67" s="1" t="s">
        <v>74</v>
      </c>
      <c r="BA67" s="1" t="s">
        <v>74</v>
      </c>
      <c r="BB67" s="1" t="s">
        <v>74</v>
      </c>
      <c r="BC67" s="1" t="s">
        <v>74</v>
      </c>
      <c r="BD67" s="1">
        <v>1850241.0</v>
      </c>
      <c r="BE67" s="1" t="s">
        <v>747</v>
      </c>
      <c r="BF67" s="2" t="str">
        <f>HYPERLINK("http://dx.doi.org/10.1142/S0217732318502413","http://dx.doi.org/10.1142/S0217732318502413")</f>
        <v>http://dx.doi.org/10.1142/S0217732318502413</v>
      </c>
      <c r="BG67" s="1" t="s">
        <v>74</v>
      </c>
      <c r="BH67" s="1" t="s">
        <v>74</v>
      </c>
      <c r="BI67" s="1" t="s">
        <v>74</v>
      </c>
      <c r="BJ67" s="1" t="s">
        <v>74</v>
      </c>
      <c r="BK67" s="1" t="s">
        <v>74</v>
      </c>
      <c r="BL67" s="1" t="s">
        <v>74</v>
      </c>
      <c r="BM67" s="1" t="s">
        <v>74</v>
      </c>
      <c r="BN67" s="1" t="s">
        <v>74</v>
      </c>
      <c r="BO67" s="1" t="s">
        <v>74</v>
      </c>
      <c r="BP67" s="1" t="s">
        <v>74</v>
      </c>
      <c r="BQ67" s="1" t="s">
        <v>74</v>
      </c>
      <c r="BR67" s="1" t="s">
        <v>74</v>
      </c>
      <c r="BS67" s="1" t="s">
        <v>748</v>
      </c>
      <c r="BT67" s="1" t="str">
        <f>HYPERLINK("https%3A%2F%2Fwww.webofscience.com%2Fwos%2Fwoscc%2Ffull-record%2FWOS:000455806900007","View Full Record in Web of Science")</f>
        <v>View Full Record in Web of Science</v>
      </c>
    </row>
    <row r="68" ht="12.75" customHeight="1">
      <c r="A68" s="1" t="s">
        <v>72</v>
      </c>
      <c r="B68" s="1" t="s">
        <v>749</v>
      </c>
      <c r="C68" s="1" t="s">
        <v>74</v>
      </c>
      <c r="D68" s="1" t="s">
        <v>74</v>
      </c>
      <c r="E68" s="1" t="s">
        <v>74</v>
      </c>
      <c r="F68" s="1" t="s">
        <v>750</v>
      </c>
      <c r="G68" s="1" t="s">
        <v>74</v>
      </c>
      <c r="H68" s="1" t="s">
        <v>74</v>
      </c>
      <c r="I68" s="1" t="s">
        <v>751</v>
      </c>
      <c r="J68" s="1" t="s">
        <v>752</v>
      </c>
      <c r="K68" s="1" t="s">
        <v>74</v>
      </c>
      <c r="L68" s="1" t="s">
        <v>74</v>
      </c>
      <c r="M68" s="1" t="s">
        <v>74</v>
      </c>
      <c r="N68" s="1" t="s">
        <v>74</v>
      </c>
      <c r="O68" s="1" t="s">
        <v>74</v>
      </c>
      <c r="P68" s="1" t="s">
        <v>74</v>
      </c>
      <c r="Q68" s="1" t="s">
        <v>74</v>
      </c>
      <c r="R68" s="1" t="s">
        <v>74</v>
      </c>
      <c r="S68" s="1" t="s">
        <v>74</v>
      </c>
      <c r="T68" s="1" t="s">
        <v>74</v>
      </c>
      <c r="U68" s="1" t="s">
        <v>74</v>
      </c>
      <c r="V68" s="1" t="s">
        <v>753</v>
      </c>
      <c r="W68" s="1" t="s">
        <v>74</v>
      </c>
      <c r="X68" s="1" t="s">
        <v>74</v>
      </c>
      <c r="Y68" s="1" t="s">
        <v>74</v>
      </c>
      <c r="Z68" s="1" t="s">
        <v>74</v>
      </c>
      <c r="AA68" s="1" t="s">
        <v>754</v>
      </c>
      <c r="AB68" s="1" t="s">
        <v>755</v>
      </c>
      <c r="AC68" s="1" t="s">
        <v>74</v>
      </c>
      <c r="AD68" s="1" t="s">
        <v>74</v>
      </c>
      <c r="AE68" s="1" t="s">
        <v>74</v>
      </c>
      <c r="AF68" s="1" t="s">
        <v>74</v>
      </c>
      <c r="AG68" s="1" t="s">
        <v>74</v>
      </c>
      <c r="AH68" s="1" t="s">
        <v>74</v>
      </c>
      <c r="AI68" s="1" t="s">
        <v>74</v>
      </c>
      <c r="AJ68" s="1" t="s">
        <v>74</v>
      </c>
      <c r="AK68" s="1" t="s">
        <v>74</v>
      </c>
      <c r="AL68" s="1" t="s">
        <v>74</v>
      </c>
      <c r="AM68" s="1" t="s">
        <v>74</v>
      </c>
      <c r="AN68" s="1" t="s">
        <v>74</v>
      </c>
      <c r="AO68" s="1" t="s">
        <v>756</v>
      </c>
      <c r="AP68" s="1" t="s">
        <v>757</v>
      </c>
      <c r="AQ68" s="1" t="s">
        <v>74</v>
      </c>
      <c r="AR68" s="1" t="s">
        <v>74</v>
      </c>
      <c r="AS68" s="1" t="s">
        <v>74</v>
      </c>
      <c r="AT68" s="1" t="s">
        <v>122</v>
      </c>
      <c r="AU68" s="1">
        <v>2018.0</v>
      </c>
      <c r="AV68" s="1">
        <v>67.0</v>
      </c>
      <c r="AW68" s="1">
        <v>8.0</v>
      </c>
      <c r="AX68" s="1" t="s">
        <v>74</v>
      </c>
      <c r="AY68" s="1" t="s">
        <v>74</v>
      </c>
      <c r="AZ68" s="1" t="s">
        <v>74</v>
      </c>
      <c r="BA68" s="1" t="s">
        <v>74</v>
      </c>
      <c r="BB68" s="1">
        <v>1046.0</v>
      </c>
      <c r="BC68" s="1">
        <v>1053.0</v>
      </c>
      <c r="BD68" s="1" t="s">
        <v>74</v>
      </c>
      <c r="BE68" s="1" t="s">
        <v>758</v>
      </c>
      <c r="BF68" s="2" t="str">
        <f>HYPERLINK("http://dx.doi.org/10.1002/pi.5610","http://dx.doi.org/10.1002/pi.5610")</f>
        <v>http://dx.doi.org/10.1002/pi.5610</v>
      </c>
      <c r="BG68" s="1" t="s">
        <v>74</v>
      </c>
      <c r="BH68" s="1" t="s">
        <v>74</v>
      </c>
      <c r="BI68" s="1" t="s">
        <v>74</v>
      </c>
      <c r="BJ68" s="1" t="s">
        <v>74</v>
      </c>
      <c r="BK68" s="1" t="s">
        <v>74</v>
      </c>
      <c r="BL68" s="1" t="s">
        <v>74</v>
      </c>
      <c r="BM68" s="1" t="s">
        <v>74</v>
      </c>
      <c r="BN68" s="1" t="s">
        <v>74</v>
      </c>
      <c r="BO68" s="1" t="s">
        <v>74</v>
      </c>
      <c r="BP68" s="1" t="s">
        <v>74</v>
      </c>
      <c r="BQ68" s="1" t="s">
        <v>74</v>
      </c>
      <c r="BR68" s="1" t="s">
        <v>74</v>
      </c>
      <c r="BS68" s="1" t="s">
        <v>759</v>
      </c>
      <c r="BT68" s="1" t="str">
        <f>HYPERLINK("https%3A%2F%2Fwww.webofscience.com%2Fwos%2Fwoscc%2Ffull-record%2FWOS:000438218900010","View Full Record in Web of Science")</f>
        <v>View Full Record in Web of Science</v>
      </c>
    </row>
    <row r="69" ht="12.75" customHeight="1">
      <c r="A69" s="1" t="s">
        <v>72</v>
      </c>
      <c r="B69" s="1" t="s">
        <v>760</v>
      </c>
      <c r="C69" s="1" t="s">
        <v>74</v>
      </c>
      <c r="D69" s="1" t="s">
        <v>74</v>
      </c>
      <c r="E69" s="1" t="s">
        <v>74</v>
      </c>
      <c r="F69" s="1" t="s">
        <v>761</v>
      </c>
      <c r="G69" s="1" t="s">
        <v>74</v>
      </c>
      <c r="H69" s="1" t="s">
        <v>74</v>
      </c>
      <c r="I69" s="1" t="s">
        <v>762</v>
      </c>
      <c r="J69" s="1" t="s">
        <v>763</v>
      </c>
      <c r="K69" s="1" t="s">
        <v>74</v>
      </c>
      <c r="L69" s="1" t="s">
        <v>74</v>
      </c>
      <c r="M69" s="1" t="s">
        <v>74</v>
      </c>
      <c r="N69" s="1" t="s">
        <v>74</v>
      </c>
      <c r="O69" s="1" t="s">
        <v>74</v>
      </c>
      <c r="P69" s="1" t="s">
        <v>74</v>
      </c>
      <c r="Q69" s="1" t="s">
        <v>74</v>
      </c>
      <c r="R69" s="1" t="s">
        <v>74</v>
      </c>
      <c r="S69" s="1" t="s">
        <v>74</v>
      </c>
      <c r="T69" s="1" t="s">
        <v>74</v>
      </c>
      <c r="U69" s="1" t="s">
        <v>74</v>
      </c>
      <c r="V69" s="1" t="s">
        <v>764</v>
      </c>
      <c r="W69" s="1" t="s">
        <v>74</v>
      </c>
      <c r="X69" s="1" t="s">
        <v>74</v>
      </c>
      <c r="Y69" s="1" t="s">
        <v>74</v>
      </c>
      <c r="Z69" s="1" t="s">
        <v>74</v>
      </c>
      <c r="AA69" s="1" t="s">
        <v>765</v>
      </c>
      <c r="AB69" s="1" t="s">
        <v>766</v>
      </c>
      <c r="AC69" s="1" t="s">
        <v>74</v>
      </c>
      <c r="AD69" s="1" t="s">
        <v>74</v>
      </c>
      <c r="AE69" s="1" t="s">
        <v>74</v>
      </c>
      <c r="AF69" s="1" t="s">
        <v>74</v>
      </c>
      <c r="AG69" s="1" t="s">
        <v>74</v>
      </c>
      <c r="AH69" s="1" t="s">
        <v>74</v>
      </c>
      <c r="AI69" s="1" t="s">
        <v>74</v>
      </c>
      <c r="AJ69" s="1" t="s">
        <v>74</v>
      </c>
      <c r="AK69" s="1" t="s">
        <v>74</v>
      </c>
      <c r="AL69" s="1" t="s">
        <v>74</v>
      </c>
      <c r="AM69" s="1" t="s">
        <v>74</v>
      </c>
      <c r="AN69" s="1" t="s">
        <v>74</v>
      </c>
      <c r="AO69" s="1" t="s">
        <v>767</v>
      </c>
      <c r="AP69" s="1" t="s">
        <v>74</v>
      </c>
      <c r="AQ69" s="1" t="s">
        <v>74</v>
      </c>
      <c r="AR69" s="1" t="s">
        <v>74</v>
      </c>
      <c r="AS69" s="1" t="s">
        <v>74</v>
      </c>
      <c r="AT69" s="1" t="s">
        <v>122</v>
      </c>
      <c r="AU69" s="1">
        <v>2018.0</v>
      </c>
      <c r="AV69" s="1">
        <v>141.0</v>
      </c>
      <c r="AW69" s="1" t="s">
        <v>74</v>
      </c>
      <c r="AX69" s="1" t="s">
        <v>74</v>
      </c>
      <c r="AY69" s="1" t="s">
        <v>74</v>
      </c>
      <c r="AZ69" s="1" t="s">
        <v>74</v>
      </c>
      <c r="BA69" s="1" t="s">
        <v>74</v>
      </c>
      <c r="BB69" s="1">
        <v>79.0</v>
      </c>
      <c r="BC69" s="1">
        <v>89.0</v>
      </c>
      <c r="BD69" s="1" t="s">
        <v>74</v>
      </c>
      <c r="BE69" s="1" t="s">
        <v>768</v>
      </c>
      <c r="BF69" s="2" t="str">
        <f>HYPERLINK("http://dx.doi.org/10.1016/j.applthermaleng.2018.05.083","http://dx.doi.org/10.1016/j.applthermaleng.2018.05.083")</f>
        <v>http://dx.doi.org/10.1016/j.applthermaleng.2018.05.083</v>
      </c>
      <c r="BG69" s="1" t="s">
        <v>74</v>
      </c>
      <c r="BH69" s="1" t="s">
        <v>74</v>
      </c>
      <c r="BI69" s="1" t="s">
        <v>74</v>
      </c>
      <c r="BJ69" s="1" t="s">
        <v>74</v>
      </c>
      <c r="BK69" s="1" t="s">
        <v>74</v>
      </c>
      <c r="BL69" s="1" t="s">
        <v>74</v>
      </c>
      <c r="BM69" s="1" t="s">
        <v>74</v>
      </c>
      <c r="BN69" s="1" t="s">
        <v>74</v>
      </c>
      <c r="BO69" s="1" t="s">
        <v>74</v>
      </c>
      <c r="BP69" s="1" t="s">
        <v>74</v>
      </c>
      <c r="BQ69" s="1" t="s">
        <v>74</v>
      </c>
      <c r="BR69" s="1" t="s">
        <v>74</v>
      </c>
      <c r="BS69" s="1" t="s">
        <v>769</v>
      </c>
      <c r="BT69" s="1" t="str">
        <f>HYPERLINK("https%3A%2F%2Fwww.webofscience.com%2Fwos%2Fwoscc%2Ffull-record%2FWOS:000440958800009","View Full Record in Web of Science")</f>
        <v>View Full Record in Web of Science</v>
      </c>
    </row>
    <row r="70" ht="12.75" customHeight="1">
      <c r="A70" s="1" t="s">
        <v>72</v>
      </c>
      <c r="B70" s="1" t="s">
        <v>770</v>
      </c>
      <c r="C70" s="1" t="s">
        <v>74</v>
      </c>
      <c r="D70" s="1" t="s">
        <v>74</v>
      </c>
      <c r="E70" s="1" t="s">
        <v>74</v>
      </c>
      <c r="F70" s="1" t="s">
        <v>771</v>
      </c>
      <c r="G70" s="1" t="s">
        <v>74</v>
      </c>
      <c r="H70" s="1" t="s">
        <v>74</v>
      </c>
      <c r="I70" s="1" t="s">
        <v>772</v>
      </c>
      <c r="J70" s="1" t="s">
        <v>773</v>
      </c>
      <c r="K70" s="1" t="s">
        <v>74</v>
      </c>
      <c r="L70" s="1" t="s">
        <v>74</v>
      </c>
      <c r="M70" s="1" t="s">
        <v>74</v>
      </c>
      <c r="N70" s="1" t="s">
        <v>74</v>
      </c>
      <c r="O70" s="1" t="s">
        <v>74</v>
      </c>
      <c r="P70" s="1" t="s">
        <v>74</v>
      </c>
      <c r="Q70" s="1" t="s">
        <v>74</v>
      </c>
      <c r="R70" s="1" t="s">
        <v>74</v>
      </c>
      <c r="S70" s="1" t="s">
        <v>74</v>
      </c>
      <c r="T70" s="1" t="s">
        <v>74</v>
      </c>
      <c r="U70" s="1" t="s">
        <v>74</v>
      </c>
      <c r="V70" s="1" t="s">
        <v>774</v>
      </c>
      <c r="W70" s="1" t="s">
        <v>74</v>
      </c>
      <c r="X70" s="1" t="s">
        <v>74</v>
      </c>
      <c r="Y70" s="1" t="s">
        <v>74</v>
      </c>
      <c r="Z70" s="1" t="s">
        <v>74</v>
      </c>
      <c r="AA70" s="1" t="s">
        <v>498</v>
      </c>
      <c r="AB70" s="1" t="s">
        <v>775</v>
      </c>
      <c r="AC70" s="1" t="s">
        <v>74</v>
      </c>
      <c r="AD70" s="1" t="s">
        <v>74</v>
      </c>
      <c r="AE70" s="1" t="s">
        <v>74</v>
      </c>
      <c r="AF70" s="1" t="s">
        <v>74</v>
      </c>
      <c r="AG70" s="1" t="s">
        <v>74</v>
      </c>
      <c r="AH70" s="1" t="s">
        <v>74</v>
      </c>
      <c r="AI70" s="1" t="s">
        <v>74</v>
      </c>
      <c r="AJ70" s="1" t="s">
        <v>74</v>
      </c>
      <c r="AK70" s="1" t="s">
        <v>74</v>
      </c>
      <c r="AL70" s="1" t="s">
        <v>74</v>
      </c>
      <c r="AM70" s="1" t="s">
        <v>74</v>
      </c>
      <c r="AN70" s="1" t="s">
        <v>74</v>
      </c>
      <c r="AO70" s="1" t="s">
        <v>776</v>
      </c>
      <c r="AP70" s="1" t="s">
        <v>777</v>
      </c>
      <c r="AQ70" s="1" t="s">
        <v>74</v>
      </c>
      <c r="AR70" s="1" t="s">
        <v>74</v>
      </c>
      <c r="AS70" s="1" t="s">
        <v>74</v>
      </c>
      <c r="AT70" s="1" t="s">
        <v>778</v>
      </c>
      <c r="AU70" s="1">
        <v>2018.0</v>
      </c>
      <c r="AV70" s="1">
        <v>30.0</v>
      </c>
      <c r="AW70" s="1">
        <v>2.0</v>
      </c>
      <c r="AX70" s="1" t="s">
        <v>74</v>
      </c>
      <c r="AY70" s="1" t="s">
        <v>74</v>
      </c>
      <c r="AZ70" s="1" t="s">
        <v>74</v>
      </c>
      <c r="BA70" s="1" t="s">
        <v>74</v>
      </c>
      <c r="BB70" s="1">
        <v>219.0</v>
      </c>
      <c r="BC70" s="1">
        <v>256.0</v>
      </c>
      <c r="BD70" s="1" t="s">
        <v>74</v>
      </c>
      <c r="BE70" s="1" t="s">
        <v>779</v>
      </c>
      <c r="BF70" s="2" t="str">
        <f>HYPERLINK("http://dx.doi.org/10.1216/JIE-2018-30-2-219","http://dx.doi.org/10.1216/JIE-2018-30-2-219")</f>
        <v>http://dx.doi.org/10.1216/JIE-2018-30-2-219</v>
      </c>
      <c r="BG70" s="1" t="s">
        <v>74</v>
      </c>
      <c r="BH70" s="1" t="s">
        <v>74</v>
      </c>
      <c r="BI70" s="1" t="s">
        <v>74</v>
      </c>
      <c r="BJ70" s="1" t="s">
        <v>74</v>
      </c>
      <c r="BK70" s="1" t="s">
        <v>74</v>
      </c>
      <c r="BL70" s="1" t="s">
        <v>74</v>
      </c>
      <c r="BM70" s="1" t="s">
        <v>74</v>
      </c>
      <c r="BN70" s="1" t="s">
        <v>74</v>
      </c>
      <c r="BO70" s="1" t="s">
        <v>74</v>
      </c>
      <c r="BP70" s="1" t="s">
        <v>74</v>
      </c>
      <c r="BQ70" s="1" t="s">
        <v>74</v>
      </c>
      <c r="BR70" s="1" t="s">
        <v>74</v>
      </c>
      <c r="BS70" s="1" t="s">
        <v>780</v>
      </c>
      <c r="BT70" s="1" t="str">
        <f>HYPERLINK("https%3A%2F%2Fwww.webofscience.com%2Fwos%2Fwoscc%2Ffull-record%2FWOS:000449646400001","View Full Record in Web of Science")</f>
        <v>View Full Record in Web of Science</v>
      </c>
    </row>
    <row r="71" ht="12.75" customHeight="1">
      <c r="A71" s="1" t="s">
        <v>72</v>
      </c>
      <c r="B71" s="1" t="s">
        <v>781</v>
      </c>
      <c r="C71" s="1" t="s">
        <v>74</v>
      </c>
      <c r="D71" s="1" t="s">
        <v>74</v>
      </c>
      <c r="E71" s="1" t="s">
        <v>74</v>
      </c>
      <c r="F71" s="1" t="s">
        <v>782</v>
      </c>
      <c r="G71" s="1" t="s">
        <v>74</v>
      </c>
      <c r="H71" s="1" t="s">
        <v>74</v>
      </c>
      <c r="I71" s="1" t="s">
        <v>783</v>
      </c>
      <c r="J71" s="1" t="s">
        <v>784</v>
      </c>
      <c r="K71" s="1" t="s">
        <v>74</v>
      </c>
      <c r="L71" s="1" t="s">
        <v>74</v>
      </c>
      <c r="M71" s="1" t="s">
        <v>74</v>
      </c>
      <c r="N71" s="1" t="s">
        <v>74</v>
      </c>
      <c r="O71" s="1" t="s">
        <v>74</v>
      </c>
      <c r="P71" s="1" t="s">
        <v>74</v>
      </c>
      <c r="Q71" s="1" t="s">
        <v>74</v>
      </c>
      <c r="R71" s="1" t="s">
        <v>74</v>
      </c>
      <c r="S71" s="1" t="s">
        <v>74</v>
      </c>
      <c r="T71" s="1" t="s">
        <v>74</v>
      </c>
      <c r="U71" s="1" t="s">
        <v>74</v>
      </c>
      <c r="V71" s="1" t="s">
        <v>785</v>
      </c>
      <c r="W71" s="1" t="s">
        <v>74</v>
      </c>
      <c r="X71" s="1" t="s">
        <v>74</v>
      </c>
      <c r="Y71" s="1" t="s">
        <v>74</v>
      </c>
      <c r="Z71" s="1" t="s">
        <v>74</v>
      </c>
      <c r="AA71" s="1" t="s">
        <v>786</v>
      </c>
      <c r="AB71" s="1" t="s">
        <v>787</v>
      </c>
      <c r="AC71" s="1" t="s">
        <v>74</v>
      </c>
      <c r="AD71" s="1" t="s">
        <v>74</v>
      </c>
      <c r="AE71" s="1" t="s">
        <v>74</v>
      </c>
      <c r="AF71" s="1" t="s">
        <v>74</v>
      </c>
      <c r="AG71" s="1" t="s">
        <v>74</v>
      </c>
      <c r="AH71" s="1" t="s">
        <v>74</v>
      </c>
      <c r="AI71" s="1" t="s">
        <v>74</v>
      </c>
      <c r="AJ71" s="1" t="s">
        <v>74</v>
      </c>
      <c r="AK71" s="1" t="s">
        <v>74</v>
      </c>
      <c r="AL71" s="1" t="s">
        <v>74</v>
      </c>
      <c r="AM71" s="1" t="s">
        <v>74</v>
      </c>
      <c r="AN71" s="1" t="s">
        <v>74</v>
      </c>
      <c r="AO71" s="1" t="s">
        <v>788</v>
      </c>
      <c r="AP71" s="1" t="s">
        <v>789</v>
      </c>
      <c r="AQ71" s="1" t="s">
        <v>74</v>
      </c>
      <c r="AR71" s="1" t="s">
        <v>74</v>
      </c>
      <c r="AS71" s="1" t="s">
        <v>74</v>
      </c>
      <c r="AT71" s="1" t="s">
        <v>277</v>
      </c>
      <c r="AU71" s="1">
        <v>2018.0</v>
      </c>
      <c r="AV71" s="1">
        <v>17.0</v>
      </c>
      <c r="AW71" s="1">
        <v>1.0</v>
      </c>
      <c r="AX71" s="1" t="s">
        <v>74</v>
      </c>
      <c r="AY71" s="1" t="s">
        <v>74</v>
      </c>
      <c r="AZ71" s="1" t="s">
        <v>74</v>
      </c>
      <c r="BA71" s="1" t="s">
        <v>74</v>
      </c>
      <c r="BB71" s="1">
        <v>243.0</v>
      </c>
      <c r="BC71" s="1">
        <v>265.0</v>
      </c>
      <c r="BD71" s="1" t="s">
        <v>74</v>
      </c>
      <c r="BE71" s="1" t="s">
        <v>790</v>
      </c>
      <c r="BF71" s="2" t="str">
        <f>HYPERLINK("http://dx.doi.org/10.3934/cpaa.2018015","http://dx.doi.org/10.3934/cpaa.2018015")</f>
        <v>http://dx.doi.org/10.3934/cpaa.2018015</v>
      </c>
      <c r="BG71" s="1" t="s">
        <v>74</v>
      </c>
      <c r="BH71" s="1" t="s">
        <v>74</v>
      </c>
      <c r="BI71" s="1" t="s">
        <v>74</v>
      </c>
      <c r="BJ71" s="1" t="s">
        <v>74</v>
      </c>
      <c r="BK71" s="1" t="s">
        <v>74</v>
      </c>
      <c r="BL71" s="1" t="s">
        <v>74</v>
      </c>
      <c r="BM71" s="1" t="s">
        <v>74</v>
      </c>
      <c r="BN71" s="1" t="s">
        <v>74</v>
      </c>
      <c r="BO71" s="1" t="s">
        <v>74</v>
      </c>
      <c r="BP71" s="1" t="s">
        <v>74</v>
      </c>
      <c r="BQ71" s="1" t="s">
        <v>74</v>
      </c>
      <c r="BR71" s="1" t="s">
        <v>74</v>
      </c>
      <c r="BS71" s="1" t="s">
        <v>791</v>
      </c>
      <c r="BT71" s="1" t="str">
        <f>HYPERLINK("https%3A%2F%2Fwww.webofscience.com%2Fwos%2Fwoscc%2Ffull-record%2FWOS:000417130200015","View Full Record in Web of Science")</f>
        <v>View Full Record in Web of Science</v>
      </c>
    </row>
    <row r="72" ht="12.75" customHeight="1">
      <c r="A72" s="1" t="s">
        <v>147</v>
      </c>
      <c r="B72" s="1" t="s">
        <v>792</v>
      </c>
      <c r="C72" s="1" t="s">
        <v>74</v>
      </c>
      <c r="D72" s="1" t="s">
        <v>74</v>
      </c>
      <c r="E72" s="1" t="s">
        <v>793</v>
      </c>
      <c r="F72" s="1" t="s">
        <v>794</v>
      </c>
      <c r="G72" s="1" t="s">
        <v>74</v>
      </c>
      <c r="H72" s="1" t="s">
        <v>74</v>
      </c>
      <c r="I72" s="1" t="s">
        <v>795</v>
      </c>
      <c r="J72" s="1" t="s">
        <v>796</v>
      </c>
      <c r="K72" s="1" t="s">
        <v>797</v>
      </c>
      <c r="L72" s="1" t="s">
        <v>74</v>
      </c>
      <c r="M72" s="1" t="s">
        <v>74</v>
      </c>
      <c r="N72" s="1" t="s">
        <v>74</v>
      </c>
      <c r="O72" s="1" t="s">
        <v>798</v>
      </c>
      <c r="P72" s="1" t="s">
        <v>799</v>
      </c>
      <c r="Q72" s="1" t="s">
        <v>800</v>
      </c>
      <c r="R72" s="1" t="s">
        <v>801</v>
      </c>
      <c r="S72" s="1" t="s">
        <v>74</v>
      </c>
      <c r="T72" s="1" t="s">
        <v>74</v>
      </c>
      <c r="U72" s="1" t="s">
        <v>74</v>
      </c>
      <c r="V72" s="1" t="s">
        <v>802</v>
      </c>
      <c r="W72" s="1" t="s">
        <v>74</v>
      </c>
      <c r="X72" s="1" t="s">
        <v>74</v>
      </c>
      <c r="Y72" s="1" t="s">
        <v>74</v>
      </c>
      <c r="Z72" s="1" t="s">
        <v>74</v>
      </c>
      <c r="AA72" s="1" t="s">
        <v>803</v>
      </c>
      <c r="AB72" s="1" t="s">
        <v>510</v>
      </c>
      <c r="AC72" s="1" t="s">
        <v>74</v>
      </c>
      <c r="AD72" s="1" t="s">
        <v>74</v>
      </c>
      <c r="AE72" s="1" t="s">
        <v>74</v>
      </c>
      <c r="AF72" s="1" t="s">
        <v>74</v>
      </c>
      <c r="AG72" s="1" t="s">
        <v>74</v>
      </c>
      <c r="AH72" s="1" t="s">
        <v>74</v>
      </c>
      <c r="AI72" s="1" t="s">
        <v>74</v>
      </c>
      <c r="AJ72" s="1" t="s">
        <v>74</v>
      </c>
      <c r="AK72" s="1" t="s">
        <v>74</v>
      </c>
      <c r="AL72" s="1" t="s">
        <v>74</v>
      </c>
      <c r="AM72" s="1" t="s">
        <v>74</v>
      </c>
      <c r="AN72" s="1" t="s">
        <v>74</v>
      </c>
      <c r="AO72" s="1" t="s">
        <v>804</v>
      </c>
      <c r="AP72" s="1" t="s">
        <v>74</v>
      </c>
      <c r="AQ72" s="1" t="s">
        <v>805</v>
      </c>
      <c r="AR72" s="1" t="s">
        <v>74</v>
      </c>
      <c r="AS72" s="1" t="s">
        <v>74</v>
      </c>
      <c r="AT72" s="1" t="s">
        <v>74</v>
      </c>
      <c r="AU72" s="1">
        <v>2018.0</v>
      </c>
      <c r="AV72" s="1" t="s">
        <v>74</v>
      </c>
      <c r="AW72" s="1" t="s">
        <v>74</v>
      </c>
      <c r="AX72" s="1" t="s">
        <v>74</v>
      </c>
      <c r="AY72" s="1" t="s">
        <v>74</v>
      </c>
      <c r="AZ72" s="1" t="s">
        <v>74</v>
      </c>
      <c r="BA72" s="1" t="s">
        <v>74</v>
      </c>
      <c r="BB72" s="1">
        <v>356.0</v>
      </c>
      <c r="BC72" s="1">
        <v>360.0</v>
      </c>
      <c r="BD72" s="1" t="s">
        <v>74</v>
      </c>
      <c r="BE72" s="1" t="s">
        <v>74</v>
      </c>
      <c r="BF72" s="1" t="s">
        <v>74</v>
      </c>
      <c r="BG72" s="1" t="s">
        <v>74</v>
      </c>
      <c r="BH72" s="1" t="s">
        <v>74</v>
      </c>
      <c r="BI72" s="1" t="s">
        <v>74</v>
      </c>
      <c r="BJ72" s="1" t="s">
        <v>74</v>
      </c>
      <c r="BK72" s="1" t="s">
        <v>74</v>
      </c>
      <c r="BL72" s="1" t="s">
        <v>74</v>
      </c>
      <c r="BM72" s="1" t="s">
        <v>74</v>
      </c>
      <c r="BN72" s="1" t="s">
        <v>74</v>
      </c>
      <c r="BO72" s="1" t="s">
        <v>74</v>
      </c>
      <c r="BP72" s="1" t="s">
        <v>74</v>
      </c>
      <c r="BQ72" s="1" t="s">
        <v>74</v>
      </c>
      <c r="BR72" s="1" t="s">
        <v>74</v>
      </c>
      <c r="BS72" s="1" t="s">
        <v>806</v>
      </c>
      <c r="BT72" s="1" t="str">
        <f>HYPERLINK("https%3A%2F%2Fwww.webofscience.com%2Fwos%2Fwoscc%2Ffull-record%2FWOS:000455614900072","View Full Record in Web of Science")</f>
        <v>View Full Record in Web of Science</v>
      </c>
    </row>
    <row r="73" ht="12.75" customHeight="1">
      <c r="A73" s="1" t="s">
        <v>72</v>
      </c>
      <c r="B73" s="1" t="s">
        <v>807</v>
      </c>
      <c r="C73" s="1" t="s">
        <v>74</v>
      </c>
      <c r="D73" s="1" t="s">
        <v>74</v>
      </c>
      <c r="E73" s="1" t="s">
        <v>74</v>
      </c>
      <c r="F73" s="1" t="s">
        <v>808</v>
      </c>
      <c r="G73" s="1" t="s">
        <v>74</v>
      </c>
      <c r="H73" s="1" t="s">
        <v>74</v>
      </c>
      <c r="I73" s="1" t="s">
        <v>809</v>
      </c>
      <c r="J73" s="1" t="s">
        <v>810</v>
      </c>
      <c r="K73" s="1" t="s">
        <v>74</v>
      </c>
      <c r="L73" s="1" t="s">
        <v>74</v>
      </c>
      <c r="M73" s="1" t="s">
        <v>74</v>
      </c>
      <c r="N73" s="1" t="s">
        <v>74</v>
      </c>
      <c r="O73" s="1" t="s">
        <v>74</v>
      </c>
      <c r="P73" s="1" t="s">
        <v>74</v>
      </c>
      <c r="Q73" s="1" t="s">
        <v>74</v>
      </c>
      <c r="R73" s="1" t="s">
        <v>74</v>
      </c>
      <c r="S73" s="1" t="s">
        <v>74</v>
      </c>
      <c r="T73" s="1" t="s">
        <v>74</v>
      </c>
      <c r="U73" s="1" t="s">
        <v>74</v>
      </c>
      <c r="V73" s="1" t="s">
        <v>811</v>
      </c>
      <c r="W73" s="1" t="s">
        <v>74</v>
      </c>
      <c r="X73" s="1" t="s">
        <v>74</v>
      </c>
      <c r="Y73" s="1" t="s">
        <v>74</v>
      </c>
      <c r="Z73" s="1" t="s">
        <v>74</v>
      </c>
      <c r="AA73" s="1" t="s">
        <v>812</v>
      </c>
      <c r="AB73" s="1" t="s">
        <v>813</v>
      </c>
      <c r="AC73" s="1" t="s">
        <v>74</v>
      </c>
      <c r="AD73" s="1" t="s">
        <v>74</v>
      </c>
      <c r="AE73" s="1" t="s">
        <v>74</v>
      </c>
      <c r="AF73" s="1" t="s">
        <v>74</v>
      </c>
      <c r="AG73" s="1" t="s">
        <v>74</v>
      </c>
      <c r="AH73" s="1" t="s">
        <v>74</v>
      </c>
      <c r="AI73" s="1" t="s">
        <v>74</v>
      </c>
      <c r="AJ73" s="1" t="s">
        <v>74</v>
      </c>
      <c r="AK73" s="1" t="s">
        <v>74</v>
      </c>
      <c r="AL73" s="1" t="s">
        <v>74</v>
      </c>
      <c r="AM73" s="1" t="s">
        <v>74</v>
      </c>
      <c r="AN73" s="1" t="s">
        <v>74</v>
      </c>
      <c r="AO73" s="1" t="s">
        <v>814</v>
      </c>
      <c r="AP73" s="1" t="s">
        <v>815</v>
      </c>
      <c r="AQ73" s="1" t="s">
        <v>74</v>
      </c>
      <c r="AR73" s="1" t="s">
        <v>74</v>
      </c>
      <c r="AS73" s="1" t="s">
        <v>74</v>
      </c>
      <c r="AT73" s="1" t="s">
        <v>533</v>
      </c>
      <c r="AU73" s="1">
        <v>2018.0</v>
      </c>
      <c r="AV73" s="1">
        <v>457.0</v>
      </c>
      <c r="AW73" s="1">
        <v>1.0</v>
      </c>
      <c r="AX73" s="1" t="s">
        <v>74</v>
      </c>
      <c r="AY73" s="1" t="s">
        <v>74</v>
      </c>
      <c r="AZ73" s="1" t="s">
        <v>74</v>
      </c>
      <c r="BA73" s="1" t="s">
        <v>74</v>
      </c>
      <c r="BB73" s="1">
        <v>410.0</v>
      </c>
      <c r="BC73" s="1">
        <v>435.0</v>
      </c>
      <c r="BD73" s="1" t="s">
        <v>74</v>
      </c>
      <c r="BE73" s="1" t="s">
        <v>816</v>
      </c>
      <c r="BF73" s="2" t="str">
        <f>HYPERLINK("http://dx.doi.org/10.1016/j.jmaa.2017.08.023","http://dx.doi.org/10.1016/j.jmaa.2017.08.023")</f>
        <v>http://dx.doi.org/10.1016/j.jmaa.2017.08.023</v>
      </c>
      <c r="BG73" s="1" t="s">
        <v>74</v>
      </c>
      <c r="BH73" s="1" t="s">
        <v>74</v>
      </c>
      <c r="BI73" s="1" t="s">
        <v>74</v>
      </c>
      <c r="BJ73" s="1" t="s">
        <v>74</v>
      </c>
      <c r="BK73" s="1" t="s">
        <v>74</v>
      </c>
      <c r="BL73" s="1" t="s">
        <v>74</v>
      </c>
      <c r="BM73" s="1" t="s">
        <v>74</v>
      </c>
      <c r="BN73" s="1" t="s">
        <v>74</v>
      </c>
      <c r="BO73" s="1" t="s">
        <v>74</v>
      </c>
      <c r="BP73" s="1" t="s">
        <v>74</v>
      </c>
      <c r="BQ73" s="1" t="s">
        <v>74</v>
      </c>
      <c r="BR73" s="1" t="s">
        <v>74</v>
      </c>
      <c r="BS73" s="1" t="s">
        <v>817</v>
      </c>
      <c r="BT73" s="1" t="str">
        <f>HYPERLINK("https%3A%2F%2Fwww.webofscience.com%2Fwos%2Fwoscc%2Ffull-record%2FWOS:000412152100024","View Full Record in Web of Science")</f>
        <v>View Full Record in Web of Science</v>
      </c>
    </row>
    <row r="74" ht="12.75" customHeight="1">
      <c r="A74" s="1" t="s">
        <v>72</v>
      </c>
      <c r="B74" s="1" t="s">
        <v>818</v>
      </c>
      <c r="C74" s="1" t="s">
        <v>74</v>
      </c>
      <c r="D74" s="1" t="s">
        <v>74</v>
      </c>
      <c r="E74" s="1" t="s">
        <v>74</v>
      </c>
      <c r="F74" s="1" t="s">
        <v>819</v>
      </c>
      <c r="G74" s="1" t="s">
        <v>74</v>
      </c>
      <c r="H74" s="1" t="s">
        <v>74</v>
      </c>
      <c r="I74" s="1" t="s">
        <v>820</v>
      </c>
      <c r="J74" s="1" t="s">
        <v>821</v>
      </c>
      <c r="K74" s="1" t="s">
        <v>74</v>
      </c>
      <c r="L74" s="1" t="s">
        <v>74</v>
      </c>
      <c r="M74" s="1" t="s">
        <v>74</v>
      </c>
      <c r="N74" s="1" t="s">
        <v>74</v>
      </c>
      <c r="O74" s="1" t="s">
        <v>74</v>
      </c>
      <c r="P74" s="1" t="s">
        <v>74</v>
      </c>
      <c r="Q74" s="1" t="s">
        <v>74</v>
      </c>
      <c r="R74" s="1" t="s">
        <v>74</v>
      </c>
      <c r="S74" s="1" t="s">
        <v>74</v>
      </c>
      <c r="T74" s="1" t="s">
        <v>74</v>
      </c>
      <c r="U74" s="1" t="s">
        <v>74</v>
      </c>
      <c r="V74" s="1" t="s">
        <v>822</v>
      </c>
      <c r="W74" s="1" t="s">
        <v>74</v>
      </c>
      <c r="X74" s="1" t="s">
        <v>74</v>
      </c>
      <c r="Y74" s="1" t="s">
        <v>74</v>
      </c>
      <c r="Z74" s="1" t="s">
        <v>74</v>
      </c>
      <c r="AA74" s="1" t="s">
        <v>823</v>
      </c>
      <c r="AB74" s="1" t="s">
        <v>824</v>
      </c>
      <c r="AC74" s="1" t="s">
        <v>74</v>
      </c>
      <c r="AD74" s="1" t="s">
        <v>74</v>
      </c>
      <c r="AE74" s="1" t="s">
        <v>74</v>
      </c>
      <c r="AF74" s="1" t="s">
        <v>74</v>
      </c>
      <c r="AG74" s="1" t="s">
        <v>74</v>
      </c>
      <c r="AH74" s="1" t="s">
        <v>74</v>
      </c>
      <c r="AI74" s="1" t="s">
        <v>74</v>
      </c>
      <c r="AJ74" s="1" t="s">
        <v>74</v>
      </c>
      <c r="AK74" s="1" t="s">
        <v>74</v>
      </c>
      <c r="AL74" s="1" t="s">
        <v>74</v>
      </c>
      <c r="AM74" s="1" t="s">
        <v>74</v>
      </c>
      <c r="AN74" s="1" t="s">
        <v>74</v>
      </c>
      <c r="AO74" s="1" t="s">
        <v>825</v>
      </c>
      <c r="AP74" s="1" t="s">
        <v>74</v>
      </c>
      <c r="AQ74" s="1" t="s">
        <v>74</v>
      </c>
      <c r="AR74" s="1" t="s">
        <v>74</v>
      </c>
      <c r="AS74" s="1" t="s">
        <v>74</v>
      </c>
      <c r="AT74" s="1" t="s">
        <v>826</v>
      </c>
      <c r="AU74" s="1">
        <v>2017.0</v>
      </c>
      <c r="AV74" s="1" t="s">
        <v>74</v>
      </c>
      <c r="AW74" s="1">
        <v>12.0</v>
      </c>
      <c r="AX74" s="1" t="s">
        <v>74</v>
      </c>
      <c r="AY74" s="1" t="s">
        <v>74</v>
      </c>
      <c r="AZ74" s="1" t="s">
        <v>74</v>
      </c>
      <c r="BA74" s="1" t="s">
        <v>74</v>
      </c>
      <c r="BB74" s="1" t="s">
        <v>74</v>
      </c>
      <c r="BC74" s="1" t="s">
        <v>74</v>
      </c>
      <c r="BD74" s="1">
        <v>61.0</v>
      </c>
      <c r="BE74" s="1" t="s">
        <v>827</v>
      </c>
      <c r="BF74" s="2" t="str">
        <f>HYPERLINK("http://dx.doi.org/10.1007/JHEP12(2017)061","http://dx.doi.org/10.1007/JHEP12(2017)061")</f>
        <v>http://dx.doi.org/10.1007/JHEP12(2017)061</v>
      </c>
      <c r="BG74" s="1" t="s">
        <v>74</v>
      </c>
      <c r="BH74" s="1" t="s">
        <v>74</v>
      </c>
      <c r="BI74" s="1" t="s">
        <v>74</v>
      </c>
      <c r="BJ74" s="1" t="s">
        <v>74</v>
      </c>
      <c r="BK74" s="1" t="s">
        <v>74</v>
      </c>
      <c r="BL74" s="1" t="s">
        <v>74</v>
      </c>
      <c r="BM74" s="1" t="s">
        <v>74</v>
      </c>
      <c r="BN74" s="1" t="s">
        <v>74</v>
      </c>
      <c r="BO74" s="1" t="s">
        <v>74</v>
      </c>
      <c r="BP74" s="1" t="s">
        <v>74</v>
      </c>
      <c r="BQ74" s="1" t="s">
        <v>74</v>
      </c>
      <c r="BR74" s="1" t="s">
        <v>74</v>
      </c>
      <c r="BS74" s="1" t="s">
        <v>828</v>
      </c>
      <c r="BT74" s="1" t="str">
        <f>HYPERLINK("https%3A%2F%2Fwww.webofscience.com%2Fwos%2Fwoscc%2Ffull-record%2FWOS:000417810000002","View Full Record in Web of Science")</f>
        <v>View Full Record in Web of Science</v>
      </c>
    </row>
    <row r="75" ht="12.75" customHeight="1">
      <c r="A75" s="1" t="s">
        <v>72</v>
      </c>
      <c r="B75" s="1" t="s">
        <v>829</v>
      </c>
      <c r="C75" s="1" t="s">
        <v>74</v>
      </c>
      <c r="D75" s="1" t="s">
        <v>74</v>
      </c>
      <c r="E75" s="1" t="s">
        <v>74</v>
      </c>
      <c r="F75" s="1" t="s">
        <v>830</v>
      </c>
      <c r="G75" s="1" t="s">
        <v>74</v>
      </c>
      <c r="H75" s="1" t="s">
        <v>74</v>
      </c>
      <c r="I75" s="1" t="s">
        <v>831</v>
      </c>
      <c r="J75" s="1" t="s">
        <v>360</v>
      </c>
      <c r="K75" s="1" t="s">
        <v>74</v>
      </c>
      <c r="L75" s="1" t="s">
        <v>74</v>
      </c>
      <c r="M75" s="1" t="s">
        <v>74</v>
      </c>
      <c r="N75" s="1" t="s">
        <v>74</v>
      </c>
      <c r="O75" s="1" t="s">
        <v>74</v>
      </c>
      <c r="P75" s="1" t="s">
        <v>74</v>
      </c>
      <c r="Q75" s="1" t="s">
        <v>74</v>
      </c>
      <c r="R75" s="1" t="s">
        <v>74</v>
      </c>
      <c r="S75" s="1" t="s">
        <v>74</v>
      </c>
      <c r="T75" s="1" t="s">
        <v>74</v>
      </c>
      <c r="U75" s="1" t="s">
        <v>74</v>
      </c>
      <c r="V75" s="1" t="s">
        <v>832</v>
      </c>
      <c r="W75" s="1" t="s">
        <v>74</v>
      </c>
      <c r="X75" s="1" t="s">
        <v>74</v>
      </c>
      <c r="Y75" s="1" t="s">
        <v>74</v>
      </c>
      <c r="Z75" s="1" t="s">
        <v>74</v>
      </c>
      <c r="AA75" s="1" t="s">
        <v>74</v>
      </c>
      <c r="AB75" s="1" t="s">
        <v>74</v>
      </c>
      <c r="AC75" s="1" t="s">
        <v>74</v>
      </c>
      <c r="AD75" s="1" t="s">
        <v>74</v>
      </c>
      <c r="AE75" s="1" t="s">
        <v>74</v>
      </c>
      <c r="AF75" s="1" t="s">
        <v>74</v>
      </c>
      <c r="AG75" s="1" t="s">
        <v>74</v>
      </c>
      <c r="AH75" s="1" t="s">
        <v>74</v>
      </c>
      <c r="AI75" s="1" t="s">
        <v>74</v>
      </c>
      <c r="AJ75" s="1" t="s">
        <v>74</v>
      </c>
      <c r="AK75" s="1" t="s">
        <v>74</v>
      </c>
      <c r="AL75" s="1" t="s">
        <v>74</v>
      </c>
      <c r="AM75" s="1" t="s">
        <v>74</v>
      </c>
      <c r="AN75" s="1" t="s">
        <v>74</v>
      </c>
      <c r="AO75" s="1" t="s">
        <v>362</v>
      </c>
      <c r="AP75" s="1" t="s">
        <v>833</v>
      </c>
      <c r="AQ75" s="1" t="s">
        <v>74</v>
      </c>
      <c r="AR75" s="1" t="s">
        <v>74</v>
      </c>
      <c r="AS75" s="1" t="s">
        <v>74</v>
      </c>
      <c r="AT75" s="1" t="s">
        <v>621</v>
      </c>
      <c r="AU75" s="1">
        <v>2017.0</v>
      </c>
      <c r="AV75" s="1">
        <v>145.0</v>
      </c>
      <c r="AW75" s="1">
        <v>7.0</v>
      </c>
      <c r="AX75" s="1" t="s">
        <v>74</v>
      </c>
      <c r="AY75" s="1" t="s">
        <v>74</v>
      </c>
      <c r="AZ75" s="1" t="s">
        <v>74</v>
      </c>
      <c r="BA75" s="1" t="s">
        <v>74</v>
      </c>
      <c r="BB75" s="1">
        <v>901.0</v>
      </c>
      <c r="BC75" s="1">
        <v>906.0</v>
      </c>
      <c r="BD75" s="1" t="s">
        <v>74</v>
      </c>
      <c r="BE75" s="1" t="s">
        <v>74</v>
      </c>
      <c r="BF75" s="1" t="s">
        <v>74</v>
      </c>
      <c r="BG75" s="1" t="s">
        <v>74</v>
      </c>
      <c r="BH75" s="1" t="s">
        <v>74</v>
      </c>
      <c r="BI75" s="1" t="s">
        <v>74</v>
      </c>
      <c r="BJ75" s="1" t="s">
        <v>74</v>
      </c>
      <c r="BK75" s="1" t="s">
        <v>74</v>
      </c>
      <c r="BL75" s="1" t="s">
        <v>74</v>
      </c>
      <c r="BM75" s="1" t="s">
        <v>74</v>
      </c>
      <c r="BN75" s="1">
        <v>2.9182199E7</v>
      </c>
      <c r="BO75" s="1" t="s">
        <v>74</v>
      </c>
      <c r="BP75" s="1" t="s">
        <v>74</v>
      </c>
      <c r="BQ75" s="1" t="s">
        <v>74</v>
      </c>
      <c r="BR75" s="1" t="s">
        <v>74</v>
      </c>
      <c r="BS75" s="1" t="s">
        <v>834</v>
      </c>
      <c r="BT75" s="1" t="str">
        <f>HYPERLINK("https%3A%2F%2Fwww.webofscience.com%2Fwos%2Fwoscc%2Ffull-record%2FWOS:000411759700010","View Full Record in Web of Science")</f>
        <v>View Full Record in Web of Science</v>
      </c>
    </row>
    <row r="76" ht="12.75" customHeight="1">
      <c r="A76" s="1" t="s">
        <v>72</v>
      </c>
      <c r="B76" s="1" t="s">
        <v>835</v>
      </c>
      <c r="C76" s="1" t="s">
        <v>74</v>
      </c>
      <c r="D76" s="1" t="s">
        <v>74</v>
      </c>
      <c r="E76" s="1" t="s">
        <v>74</v>
      </c>
      <c r="F76" s="1" t="s">
        <v>836</v>
      </c>
      <c r="G76" s="1" t="s">
        <v>74</v>
      </c>
      <c r="H76" s="1" t="s">
        <v>74</v>
      </c>
      <c r="I76" s="1" t="s">
        <v>837</v>
      </c>
      <c r="J76" s="1" t="s">
        <v>118</v>
      </c>
      <c r="K76" s="1" t="s">
        <v>74</v>
      </c>
      <c r="L76" s="1" t="s">
        <v>74</v>
      </c>
      <c r="M76" s="1" t="s">
        <v>74</v>
      </c>
      <c r="N76" s="1" t="s">
        <v>74</v>
      </c>
      <c r="O76" s="1" t="s">
        <v>74</v>
      </c>
      <c r="P76" s="1" t="s">
        <v>74</v>
      </c>
      <c r="Q76" s="1" t="s">
        <v>74</v>
      </c>
      <c r="R76" s="1" t="s">
        <v>74</v>
      </c>
      <c r="S76" s="1" t="s">
        <v>74</v>
      </c>
      <c r="T76" s="1" t="s">
        <v>74</v>
      </c>
      <c r="U76" s="1" t="s">
        <v>74</v>
      </c>
      <c r="V76" s="1" t="s">
        <v>838</v>
      </c>
      <c r="W76" s="1" t="s">
        <v>74</v>
      </c>
      <c r="X76" s="1" t="s">
        <v>74</v>
      </c>
      <c r="Y76" s="1" t="s">
        <v>74</v>
      </c>
      <c r="Z76" s="1" t="s">
        <v>74</v>
      </c>
      <c r="AA76" s="1" t="s">
        <v>839</v>
      </c>
      <c r="AB76" s="1" t="s">
        <v>840</v>
      </c>
      <c r="AC76" s="1" t="s">
        <v>74</v>
      </c>
      <c r="AD76" s="1" t="s">
        <v>74</v>
      </c>
      <c r="AE76" s="1" t="s">
        <v>74</v>
      </c>
      <c r="AF76" s="1" t="s">
        <v>74</v>
      </c>
      <c r="AG76" s="1" t="s">
        <v>74</v>
      </c>
      <c r="AH76" s="1" t="s">
        <v>74</v>
      </c>
      <c r="AI76" s="1" t="s">
        <v>74</v>
      </c>
      <c r="AJ76" s="1" t="s">
        <v>74</v>
      </c>
      <c r="AK76" s="1" t="s">
        <v>74</v>
      </c>
      <c r="AL76" s="1" t="s">
        <v>74</v>
      </c>
      <c r="AM76" s="1" t="s">
        <v>74</v>
      </c>
      <c r="AN76" s="1" t="s">
        <v>74</v>
      </c>
      <c r="AO76" s="1" t="s">
        <v>120</v>
      </c>
      <c r="AP76" s="1" t="s">
        <v>121</v>
      </c>
      <c r="AQ76" s="1" t="s">
        <v>74</v>
      </c>
      <c r="AR76" s="1" t="s">
        <v>74</v>
      </c>
      <c r="AS76" s="1" t="s">
        <v>74</v>
      </c>
      <c r="AT76" s="1" t="s">
        <v>841</v>
      </c>
      <c r="AU76" s="1">
        <v>2017.0</v>
      </c>
      <c r="AV76" s="1">
        <v>12.0</v>
      </c>
      <c r="AW76" s="1">
        <v>2.0</v>
      </c>
      <c r="AX76" s="1" t="s">
        <v>74</v>
      </c>
      <c r="AY76" s="1" t="s">
        <v>74</v>
      </c>
      <c r="AZ76" s="1" t="s">
        <v>74</v>
      </c>
      <c r="BA76" s="1" t="s">
        <v>74</v>
      </c>
      <c r="BB76" s="1">
        <v>276.0</v>
      </c>
      <c r="BC76" s="1">
        <v>290.0</v>
      </c>
      <c r="BD76" s="1" t="s">
        <v>74</v>
      </c>
      <c r="BE76" s="1" t="s">
        <v>74</v>
      </c>
      <c r="BF76" s="1" t="s">
        <v>74</v>
      </c>
      <c r="BG76" s="1" t="s">
        <v>74</v>
      </c>
      <c r="BH76" s="1" t="s">
        <v>74</v>
      </c>
      <c r="BI76" s="1" t="s">
        <v>74</v>
      </c>
      <c r="BJ76" s="1" t="s">
        <v>74</v>
      </c>
      <c r="BK76" s="1" t="s">
        <v>74</v>
      </c>
      <c r="BL76" s="1" t="s">
        <v>74</v>
      </c>
      <c r="BM76" s="1" t="s">
        <v>74</v>
      </c>
      <c r="BN76" s="1" t="s">
        <v>74</v>
      </c>
      <c r="BO76" s="1" t="s">
        <v>74</v>
      </c>
      <c r="BP76" s="1" t="s">
        <v>74</v>
      </c>
      <c r="BQ76" s="1" t="s">
        <v>74</v>
      </c>
      <c r="BR76" s="1" t="s">
        <v>74</v>
      </c>
      <c r="BS76" s="1" t="s">
        <v>842</v>
      </c>
      <c r="BT76" s="1" t="str">
        <f>HYPERLINK("https%3A%2F%2Fwww.webofscience.com%2Fwos%2Fwoscc%2Ffull-record%2FWOS:000395506500010","View Full Record in Web of Science")</f>
        <v>View Full Record in Web of Science</v>
      </c>
    </row>
    <row r="77" ht="12.75" customHeight="1">
      <c r="A77" s="1" t="s">
        <v>72</v>
      </c>
      <c r="B77" s="1" t="s">
        <v>843</v>
      </c>
      <c r="C77" s="1" t="s">
        <v>74</v>
      </c>
      <c r="D77" s="1" t="s">
        <v>74</v>
      </c>
      <c r="E77" s="1" t="s">
        <v>74</v>
      </c>
      <c r="F77" s="1" t="s">
        <v>844</v>
      </c>
      <c r="G77" s="1" t="s">
        <v>74</v>
      </c>
      <c r="H77" s="1" t="s">
        <v>74</v>
      </c>
      <c r="I77" s="1" t="s">
        <v>845</v>
      </c>
      <c r="J77" s="1" t="s">
        <v>846</v>
      </c>
      <c r="K77" s="1" t="s">
        <v>74</v>
      </c>
      <c r="L77" s="1" t="s">
        <v>74</v>
      </c>
      <c r="M77" s="1" t="s">
        <v>74</v>
      </c>
      <c r="N77" s="1" t="s">
        <v>74</v>
      </c>
      <c r="O77" s="1" t="s">
        <v>74</v>
      </c>
      <c r="P77" s="1" t="s">
        <v>74</v>
      </c>
      <c r="Q77" s="1" t="s">
        <v>74</v>
      </c>
      <c r="R77" s="1" t="s">
        <v>74</v>
      </c>
      <c r="S77" s="1" t="s">
        <v>74</v>
      </c>
      <c r="T77" s="1" t="s">
        <v>74</v>
      </c>
      <c r="U77" s="1" t="s">
        <v>74</v>
      </c>
      <c r="V77" s="1" t="s">
        <v>847</v>
      </c>
      <c r="W77" s="1" t="s">
        <v>74</v>
      </c>
      <c r="X77" s="1" t="s">
        <v>74</v>
      </c>
      <c r="Y77" s="1" t="s">
        <v>74</v>
      </c>
      <c r="Z77" s="1" t="s">
        <v>74</v>
      </c>
      <c r="AA77" s="1" t="s">
        <v>848</v>
      </c>
      <c r="AB77" s="1" t="s">
        <v>849</v>
      </c>
      <c r="AC77" s="1" t="s">
        <v>74</v>
      </c>
      <c r="AD77" s="1" t="s">
        <v>74</v>
      </c>
      <c r="AE77" s="1" t="s">
        <v>74</v>
      </c>
      <c r="AF77" s="1" t="s">
        <v>74</v>
      </c>
      <c r="AG77" s="1" t="s">
        <v>74</v>
      </c>
      <c r="AH77" s="1" t="s">
        <v>74</v>
      </c>
      <c r="AI77" s="1" t="s">
        <v>74</v>
      </c>
      <c r="AJ77" s="1" t="s">
        <v>74</v>
      </c>
      <c r="AK77" s="1" t="s">
        <v>74</v>
      </c>
      <c r="AL77" s="1" t="s">
        <v>74</v>
      </c>
      <c r="AM77" s="1" t="s">
        <v>74</v>
      </c>
      <c r="AN77" s="1" t="s">
        <v>74</v>
      </c>
      <c r="AO77" s="1" t="s">
        <v>850</v>
      </c>
      <c r="AP77" s="1" t="s">
        <v>74</v>
      </c>
      <c r="AQ77" s="1" t="s">
        <v>74</v>
      </c>
      <c r="AR77" s="1" t="s">
        <v>74</v>
      </c>
      <c r="AS77" s="1" t="s">
        <v>74</v>
      </c>
      <c r="AT77" s="1" t="s">
        <v>851</v>
      </c>
      <c r="AU77" s="1">
        <v>2017.0</v>
      </c>
      <c r="AV77" s="1">
        <v>12.0</v>
      </c>
      <c r="AW77" s="1">
        <v>2.0</v>
      </c>
      <c r="AX77" s="1" t="s">
        <v>74</v>
      </c>
      <c r="AY77" s="1" t="s">
        <v>74</v>
      </c>
      <c r="AZ77" s="1" t="s">
        <v>74</v>
      </c>
      <c r="BA77" s="1" t="s">
        <v>74</v>
      </c>
      <c r="BB77" s="1" t="s">
        <v>74</v>
      </c>
      <c r="BC77" s="1" t="s">
        <v>74</v>
      </c>
      <c r="BD77" s="1" t="s">
        <v>852</v>
      </c>
      <c r="BE77" s="1" t="s">
        <v>853</v>
      </c>
      <c r="BF77" s="2" t="str">
        <f>HYPERLINK("http://dx.doi.org/10.1371/journal.pone.0172273","http://dx.doi.org/10.1371/journal.pone.0172273")</f>
        <v>http://dx.doi.org/10.1371/journal.pone.0172273</v>
      </c>
      <c r="BG77" s="1" t="s">
        <v>74</v>
      </c>
      <c r="BH77" s="1" t="s">
        <v>74</v>
      </c>
      <c r="BI77" s="1" t="s">
        <v>74</v>
      </c>
      <c r="BJ77" s="1" t="s">
        <v>74</v>
      </c>
      <c r="BK77" s="1" t="s">
        <v>74</v>
      </c>
      <c r="BL77" s="1" t="s">
        <v>74</v>
      </c>
      <c r="BM77" s="1" t="s">
        <v>74</v>
      </c>
      <c r="BN77" s="1">
        <v>2.8235054E7</v>
      </c>
      <c r="BO77" s="1" t="s">
        <v>74</v>
      </c>
      <c r="BP77" s="1" t="s">
        <v>74</v>
      </c>
      <c r="BQ77" s="1" t="s">
        <v>74</v>
      </c>
      <c r="BR77" s="1" t="s">
        <v>74</v>
      </c>
      <c r="BS77" s="1" t="s">
        <v>854</v>
      </c>
      <c r="BT77" s="1" t="str">
        <f>HYPERLINK("https%3A%2F%2Fwww.webofscience.com%2Fwos%2Fwoscc%2Ffull-record%2FWOS:000394688200061","View Full Record in Web of Science")</f>
        <v>View Full Record in Web of Science</v>
      </c>
    </row>
    <row r="78" ht="12.75" customHeight="1">
      <c r="A78" s="1" t="s">
        <v>147</v>
      </c>
      <c r="B78" s="1" t="s">
        <v>855</v>
      </c>
      <c r="C78" s="1" t="s">
        <v>74</v>
      </c>
      <c r="D78" s="1" t="s">
        <v>856</v>
      </c>
      <c r="E78" s="1" t="s">
        <v>74</v>
      </c>
      <c r="F78" s="1" t="s">
        <v>857</v>
      </c>
      <c r="G78" s="1" t="s">
        <v>74</v>
      </c>
      <c r="H78" s="1" t="s">
        <v>74</v>
      </c>
      <c r="I78" s="1" t="s">
        <v>858</v>
      </c>
      <c r="J78" s="1" t="s">
        <v>859</v>
      </c>
      <c r="K78" s="1" t="s">
        <v>860</v>
      </c>
      <c r="L78" s="1" t="s">
        <v>74</v>
      </c>
      <c r="M78" s="1" t="s">
        <v>74</v>
      </c>
      <c r="N78" s="1" t="s">
        <v>74</v>
      </c>
      <c r="O78" s="1" t="s">
        <v>861</v>
      </c>
      <c r="P78" s="1" t="s">
        <v>862</v>
      </c>
      <c r="Q78" s="1" t="s">
        <v>863</v>
      </c>
      <c r="R78" s="1" t="s">
        <v>864</v>
      </c>
      <c r="S78" s="1" t="s">
        <v>74</v>
      </c>
      <c r="T78" s="1" t="s">
        <v>74</v>
      </c>
      <c r="U78" s="1" t="s">
        <v>74</v>
      </c>
      <c r="V78" s="1" t="s">
        <v>865</v>
      </c>
      <c r="W78" s="1" t="s">
        <v>74</v>
      </c>
      <c r="X78" s="1" t="s">
        <v>74</v>
      </c>
      <c r="Y78" s="1" t="s">
        <v>74</v>
      </c>
      <c r="Z78" s="1" t="s">
        <v>74</v>
      </c>
      <c r="AA78" s="1" t="s">
        <v>866</v>
      </c>
      <c r="AB78" s="1" t="s">
        <v>867</v>
      </c>
      <c r="AC78" s="1" t="s">
        <v>74</v>
      </c>
      <c r="AD78" s="1" t="s">
        <v>74</v>
      </c>
      <c r="AE78" s="1" t="s">
        <v>74</v>
      </c>
      <c r="AF78" s="1" t="s">
        <v>74</v>
      </c>
      <c r="AG78" s="1" t="s">
        <v>74</v>
      </c>
      <c r="AH78" s="1" t="s">
        <v>74</v>
      </c>
      <c r="AI78" s="1" t="s">
        <v>74</v>
      </c>
      <c r="AJ78" s="1" t="s">
        <v>74</v>
      </c>
      <c r="AK78" s="1" t="s">
        <v>74</v>
      </c>
      <c r="AL78" s="1" t="s">
        <v>74</v>
      </c>
      <c r="AM78" s="1" t="s">
        <v>74</v>
      </c>
      <c r="AN78" s="1" t="s">
        <v>74</v>
      </c>
      <c r="AO78" s="1" t="s">
        <v>868</v>
      </c>
      <c r="AP78" s="1" t="s">
        <v>74</v>
      </c>
      <c r="AQ78" s="1" t="s">
        <v>74</v>
      </c>
      <c r="AR78" s="1" t="s">
        <v>74</v>
      </c>
      <c r="AS78" s="1" t="s">
        <v>74</v>
      </c>
      <c r="AT78" s="1" t="s">
        <v>74</v>
      </c>
      <c r="AU78" s="1">
        <v>2017.0</v>
      </c>
      <c r="AV78" s="1">
        <v>122.0</v>
      </c>
      <c r="AW78" s="1" t="s">
        <v>74</v>
      </c>
      <c r="AX78" s="1" t="s">
        <v>74</v>
      </c>
      <c r="AY78" s="1" t="s">
        <v>74</v>
      </c>
      <c r="AZ78" s="1" t="s">
        <v>74</v>
      </c>
      <c r="BA78" s="1" t="s">
        <v>74</v>
      </c>
      <c r="BB78" s="1">
        <v>478.0</v>
      </c>
      <c r="BC78" s="1">
        <v>485.0</v>
      </c>
      <c r="BD78" s="1" t="s">
        <v>74</v>
      </c>
      <c r="BE78" s="1" t="s">
        <v>869</v>
      </c>
      <c r="BF78" s="2" t="str">
        <f>HYPERLINK("http://dx.doi.org/10.1016/j.procs.2017.11.396","http://dx.doi.org/10.1016/j.procs.2017.11.396")</f>
        <v>http://dx.doi.org/10.1016/j.procs.2017.11.396</v>
      </c>
      <c r="BG78" s="1" t="s">
        <v>74</v>
      </c>
      <c r="BH78" s="1" t="s">
        <v>74</v>
      </c>
      <c r="BI78" s="1" t="s">
        <v>74</v>
      </c>
      <c r="BJ78" s="1" t="s">
        <v>74</v>
      </c>
      <c r="BK78" s="1" t="s">
        <v>74</v>
      </c>
      <c r="BL78" s="1" t="s">
        <v>74</v>
      </c>
      <c r="BM78" s="1" t="s">
        <v>74</v>
      </c>
      <c r="BN78" s="1" t="s">
        <v>74</v>
      </c>
      <c r="BO78" s="1" t="s">
        <v>74</v>
      </c>
      <c r="BP78" s="1" t="s">
        <v>74</v>
      </c>
      <c r="BQ78" s="1" t="s">
        <v>74</v>
      </c>
      <c r="BR78" s="1" t="s">
        <v>74</v>
      </c>
      <c r="BS78" s="1" t="s">
        <v>870</v>
      </c>
      <c r="BT78" s="1" t="str">
        <f>HYPERLINK("https%3A%2F%2Fwww.webofscience.com%2Fwos%2Fwoscc%2Ffull-record%2FWOS:000426698300063","View Full Record in Web of Science")</f>
        <v>View Full Record in Web of Science</v>
      </c>
    </row>
    <row r="79" ht="12.75" customHeight="1">
      <c r="A79" s="1" t="s">
        <v>72</v>
      </c>
      <c r="B79" s="1" t="s">
        <v>871</v>
      </c>
      <c r="C79" s="1" t="s">
        <v>74</v>
      </c>
      <c r="D79" s="1" t="s">
        <v>74</v>
      </c>
      <c r="E79" s="1" t="s">
        <v>74</v>
      </c>
      <c r="F79" s="1" t="s">
        <v>872</v>
      </c>
      <c r="G79" s="1" t="s">
        <v>74</v>
      </c>
      <c r="H79" s="1" t="s">
        <v>74</v>
      </c>
      <c r="I79" s="1" t="s">
        <v>873</v>
      </c>
      <c r="J79" s="1" t="s">
        <v>174</v>
      </c>
      <c r="K79" s="1" t="s">
        <v>74</v>
      </c>
      <c r="L79" s="1" t="s">
        <v>74</v>
      </c>
      <c r="M79" s="1" t="s">
        <v>74</v>
      </c>
      <c r="N79" s="1" t="s">
        <v>74</v>
      </c>
      <c r="O79" s="1" t="s">
        <v>74</v>
      </c>
      <c r="P79" s="1" t="s">
        <v>74</v>
      </c>
      <c r="Q79" s="1" t="s">
        <v>74</v>
      </c>
      <c r="R79" s="1" t="s">
        <v>74</v>
      </c>
      <c r="S79" s="1" t="s">
        <v>74</v>
      </c>
      <c r="T79" s="1" t="s">
        <v>74</v>
      </c>
      <c r="U79" s="1" t="s">
        <v>74</v>
      </c>
      <c r="V79" s="1" t="s">
        <v>874</v>
      </c>
      <c r="W79" s="1" t="s">
        <v>74</v>
      </c>
      <c r="X79" s="1" t="s">
        <v>74</v>
      </c>
      <c r="Y79" s="1" t="s">
        <v>74</v>
      </c>
      <c r="Z79" s="1" t="s">
        <v>74</v>
      </c>
      <c r="AA79" s="1" t="s">
        <v>875</v>
      </c>
      <c r="AB79" s="1" t="s">
        <v>876</v>
      </c>
      <c r="AC79" s="1" t="s">
        <v>74</v>
      </c>
      <c r="AD79" s="1" t="s">
        <v>74</v>
      </c>
      <c r="AE79" s="1" t="s">
        <v>74</v>
      </c>
      <c r="AF79" s="1" t="s">
        <v>74</v>
      </c>
      <c r="AG79" s="1" t="s">
        <v>74</v>
      </c>
      <c r="AH79" s="1" t="s">
        <v>74</v>
      </c>
      <c r="AI79" s="1" t="s">
        <v>74</v>
      </c>
      <c r="AJ79" s="1" t="s">
        <v>74</v>
      </c>
      <c r="AK79" s="1" t="s">
        <v>74</v>
      </c>
      <c r="AL79" s="1" t="s">
        <v>74</v>
      </c>
      <c r="AM79" s="1" t="s">
        <v>74</v>
      </c>
      <c r="AN79" s="1" t="s">
        <v>74</v>
      </c>
      <c r="AO79" s="1" t="s">
        <v>178</v>
      </c>
      <c r="AP79" s="1" t="s">
        <v>74</v>
      </c>
      <c r="AQ79" s="1" t="s">
        <v>74</v>
      </c>
      <c r="AR79" s="1" t="s">
        <v>74</v>
      </c>
      <c r="AS79" s="1" t="s">
        <v>74</v>
      </c>
      <c r="AT79" s="1" t="s">
        <v>74</v>
      </c>
      <c r="AU79" s="1">
        <v>2017.0</v>
      </c>
      <c r="AV79" s="1">
        <v>16.0</v>
      </c>
      <c r="AW79" s="1">
        <v>5.0</v>
      </c>
      <c r="AX79" s="1" t="s">
        <v>74</v>
      </c>
      <c r="AY79" s="1" t="s">
        <v>74</v>
      </c>
      <c r="AZ79" s="1" t="s">
        <v>74</v>
      </c>
      <c r="BA79" s="1" t="s">
        <v>74</v>
      </c>
      <c r="BB79" s="1" t="s">
        <v>74</v>
      </c>
      <c r="BC79" s="1" t="s">
        <v>74</v>
      </c>
      <c r="BD79" s="1" t="s">
        <v>74</v>
      </c>
      <c r="BE79" s="1" t="s">
        <v>877</v>
      </c>
      <c r="BF79" s="2" t="str">
        <f>HYPERLINK("http://dx.doi.org/10.11144/Javeriana.upsy16-5.cier","http://dx.doi.org/10.11144/Javeriana.upsy16-5.cier")</f>
        <v>http://dx.doi.org/10.11144/Javeriana.upsy16-5.cier</v>
      </c>
      <c r="BG79" s="1" t="s">
        <v>74</v>
      </c>
      <c r="BH79" s="1" t="s">
        <v>74</v>
      </c>
      <c r="BI79" s="1" t="s">
        <v>74</v>
      </c>
      <c r="BJ79" s="1" t="s">
        <v>74</v>
      </c>
      <c r="BK79" s="1" t="s">
        <v>74</v>
      </c>
      <c r="BL79" s="1" t="s">
        <v>74</v>
      </c>
      <c r="BM79" s="1" t="s">
        <v>74</v>
      </c>
      <c r="BN79" s="1" t="s">
        <v>74</v>
      </c>
      <c r="BO79" s="1" t="s">
        <v>74</v>
      </c>
      <c r="BP79" s="1" t="s">
        <v>74</v>
      </c>
      <c r="BQ79" s="1" t="s">
        <v>74</v>
      </c>
      <c r="BR79" s="1" t="s">
        <v>74</v>
      </c>
      <c r="BS79" s="1" t="s">
        <v>878</v>
      </c>
      <c r="BT79" s="1" t="str">
        <f>HYPERLINK("https%3A%2F%2Fwww.webofscience.com%2Fwos%2Fwoscc%2Ffull-record%2FWOS:000423549900003","View Full Record in Web of Science")</f>
        <v>View Full Record in Web of Science</v>
      </c>
    </row>
    <row r="80" ht="12.75" customHeight="1">
      <c r="A80" s="1" t="s">
        <v>147</v>
      </c>
      <c r="B80" s="1" t="s">
        <v>879</v>
      </c>
      <c r="C80" s="1" t="s">
        <v>74</v>
      </c>
      <c r="D80" s="1" t="s">
        <v>880</v>
      </c>
      <c r="E80" s="1" t="s">
        <v>74</v>
      </c>
      <c r="F80" s="1" t="s">
        <v>881</v>
      </c>
      <c r="G80" s="1" t="s">
        <v>74</v>
      </c>
      <c r="H80" s="1" t="s">
        <v>74</v>
      </c>
      <c r="I80" s="1" t="s">
        <v>882</v>
      </c>
      <c r="J80" s="1" t="s">
        <v>883</v>
      </c>
      <c r="K80" s="1" t="s">
        <v>884</v>
      </c>
      <c r="L80" s="1" t="s">
        <v>74</v>
      </c>
      <c r="M80" s="1" t="s">
        <v>74</v>
      </c>
      <c r="N80" s="1" t="s">
        <v>74</v>
      </c>
      <c r="O80" s="1" t="s">
        <v>885</v>
      </c>
      <c r="P80" s="1" t="s">
        <v>886</v>
      </c>
      <c r="Q80" s="1" t="s">
        <v>887</v>
      </c>
      <c r="R80" s="1" t="s">
        <v>888</v>
      </c>
      <c r="S80" s="1" t="s">
        <v>74</v>
      </c>
      <c r="T80" s="1" t="s">
        <v>74</v>
      </c>
      <c r="U80" s="1" t="s">
        <v>74</v>
      </c>
      <c r="V80" s="1" t="s">
        <v>889</v>
      </c>
      <c r="W80" s="1" t="s">
        <v>74</v>
      </c>
      <c r="X80" s="1" t="s">
        <v>74</v>
      </c>
      <c r="Y80" s="1" t="s">
        <v>74</v>
      </c>
      <c r="Z80" s="1" t="s">
        <v>74</v>
      </c>
      <c r="AA80" s="1" t="s">
        <v>890</v>
      </c>
      <c r="AB80" s="1" t="s">
        <v>74</v>
      </c>
      <c r="AC80" s="1" t="s">
        <v>74</v>
      </c>
      <c r="AD80" s="1" t="s">
        <v>74</v>
      </c>
      <c r="AE80" s="1" t="s">
        <v>74</v>
      </c>
      <c r="AF80" s="1" t="s">
        <v>74</v>
      </c>
      <c r="AG80" s="1" t="s">
        <v>74</v>
      </c>
      <c r="AH80" s="1" t="s">
        <v>74</v>
      </c>
      <c r="AI80" s="1" t="s">
        <v>74</v>
      </c>
      <c r="AJ80" s="1" t="s">
        <v>74</v>
      </c>
      <c r="AK80" s="1" t="s">
        <v>74</v>
      </c>
      <c r="AL80" s="1" t="s">
        <v>74</v>
      </c>
      <c r="AM80" s="1" t="s">
        <v>74</v>
      </c>
      <c r="AN80" s="1" t="s">
        <v>74</v>
      </c>
      <c r="AO80" s="1" t="s">
        <v>891</v>
      </c>
      <c r="AP80" s="1" t="s">
        <v>74</v>
      </c>
      <c r="AQ80" s="1" t="s">
        <v>892</v>
      </c>
      <c r="AR80" s="1" t="s">
        <v>74</v>
      </c>
      <c r="AS80" s="1" t="s">
        <v>74</v>
      </c>
      <c r="AT80" s="1" t="s">
        <v>74</v>
      </c>
      <c r="AU80" s="1">
        <v>2017.0</v>
      </c>
      <c r="AV80" s="1">
        <v>1257.0</v>
      </c>
      <c r="AW80" s="1" t="s">
        <v>74</v>
      </c>
      <c r="AX80" s="1" t="s">
        <v>74</v>
      </c>
      <c r="AY80" s="1" t="s">
        <v>74</v>
      </c>
      <c r="AZ80" s="1" t="s">
        <v>74</v>
      </c>
      <c r="BA80" s="1" t="s">
        <v>74</v>
      </c>
      <c r="BB80" s="1">
        <v>197.0</v>
      </c>
      <c r="BC80" s="1">
        <v>211.0</v>
      </c>
      <c r="BD80" s="1" t="s">
        <v>74</v>
      </c>
      <c r="BE80" s="1" t="s">
        <v>74</v>
      </c>
      <c r="BF80" s="1" t="s">
        <v>74</v>
      </c>
      <c r="BG80" s="1" t="s">
        <v>74</v>
      </c>
      <c r="BH80" s="1" t="s">
        <v>74</v>
      </c>
      <c r="BI80" s="1" t="s">
        <v>74</v>
      </c>
      <c r="BJ80" s="1" t="s">
        <v>74</v>
      </c>
      <c r="BK80" s="1" t="s">
        <v>74</v>
      </c>
      <c r="BL80" s="1" t="s">
        <v>74</v>
      </c>
      <c r="BM80" s="1" t="s">
        <v>74</v>
      </c>
      <c r="BN80" s="1" t="s">
        <v>74</v>
      </c>
      <c r="BO80" s="1" t="s">
        <v>74</v>
      </c>
      <c r="BP80" s="1" t="s">
        <v>74</v>
      </c>
      <c r="BQ80" s="1" t="s">
        <v>74</v>
      </c>
      <c r="BR80" s="1" t="s">
        <v>74</v>
      </c>
      <c r="BS80" s="1" t="s">
        <v>893</v>
      </c>
      <c r="BT80" s="1" t="str">
        <f>HYPERLINK("https%3A%2F%2Fwww.webofscience.com%2Fwos%2Fwoscc%2Ffull-record%2FWOS:000417768900010","View Full Record in Web of Science")</f>
        <v>View Full Record in Web of Science</v>
      </c>
    </row>
    <row r="81" ht="12.75" customHeight="1">
      <c r="A81" s="1" t="s">
        <v>147</v>
      </c>
      <c r="B81" s="1" t="s">
        <v>894</v>
      </c>
      <c r="C81" s="1" t="s">
        <v>74</v>
      </c>
      <c r="D81" s="1" t="s">
        <v>895</v>
      </c>
      <c r="E81" s="1" t="s">
        <v>74</v>
      </c>
      <c r="F81" s="1" t="s">
        <v>896</v>
      </c>
      <c r="G81" s="1" t="s">
        <v>74</v>
      </c>
      <c r="H81" s="1" t="s">
        <v>74</v>
      </c>
      <c r="I81" s="1" t="s">
        <v>897</v>
      </c>
      <c r="J81" s="1" t="s">
        <v>898</v>
      </c>
      <c r="K81" s="1" t="s">
        <v>899</v>
      </c>
      <c r="L81" s="1" t="s">
        <v>74</v>
      </c>
      <c r="M81" s="1" t="s">
        <v>74</v>
      </c>
      <c r="N81" s="1" t="s">
        <v>74</v>
      </c>
      <c r="O81" s="1" t="s">
        <v>900</v>
      </c>
      <c r="P81" s="1" t="s">
        <v>901</v>
      </c>
      <c r="Q81" s="1" t="s">
        <v>902</v>
      </c>
      <c r="R81" s="1" t="s">
        <v>74</v>
      </c>
      <c r="S81" s="1" t="s">
        <v>74</v>
      </c>
      <c r="T81" s="1" t="s">
        <v>74</v>
      </c>
      <c r="U81" s="1" t="s">
        <v>74</v>
      </c>
      <c r="V81" s="1" t="s">
        <v>903</v>
      </c>
      <c r="W81" s="1" t="s">
        <v>74</v>
      </c>
      <c r="X81" s="1" t="s">
        <v>74</v>
      </c>
      <c r="Y81" s="1" t="s">
        <v>74</v>
      </c>
      <c r="Z81" s="1" t="s">
        <v>74</v>
      </c>
      <c r="AA81" s="1" t="s">
        <v>74</v>
      </c>
      <c r="AB81" s="1" t="s">
        <v>904</v>
      </c>
      <c r="AC81" s="1" t="s">
        <v>74</v>
      </c>
      <c r="AD81" s="1" t="s">
        <v>74</v>
      </c>
      <c r="AE81" s="1" t="s">
        <v>74</v>
      </c>
      <c r="AF81" s="1" t="s">
        <v>74</v>
      </c>
      <c r="AG81" s="1" t="s">
        <v>74</v>
      </c>
      <c r="AH81" s="1" t="s">
        <v>74</v>
      </c>
      <c r="AI81" s="1" t="s">
        <v>74</v>
      </c>
      <c r="AJ81" s="1" t="s">
        <v>74</v>
      </c>
      <c r="AK81" s="1" t="s">
        <v>74</v>
      </c>
      <c r="AL81" s="1" t="s">
        <v>74</v>
      </c>
      <c r="AM81" s="1" t="s">
        <v>74</v>
      </c>
      <c r="AN81" s="1" t="s">
        <v>74</v>
      </c>
      <c r="AO81" s="1" t="s">
        <v>905</v>
      </c>
      <c r="AP81" s="1" t="s">
        <v>74</v>
      </c>
      <c r="AQ81" s="1" t="s">
        <v>906</v>
      </c>
      <c r="AR81" s="1" t="s">
        <v>74</v>
      </c>
      <c r="AS81" s="1" t="s">
        <v>74</v>
      </c>
      <c r="AT81" s="1" t="s">
        <v>74</v>
      </c>
      <c r="AU81" s="1">
        <v>2017.0</v>
      </c>
      <c r="AV81" s="1" t="s">
        <v>74</v>
      </c>
      <c r="AW81" s="1" t="s">
        <v>74</v>
      </c>
      <c r="AX81" s="1" t="s">
        <v>74</v>
      </c>
      <c r="AY81" s="1" t="s">
        <v>74</v>
      </c>
      <c r="AZ81" s="1" t="s">
        <v>74</v>
      </c>
      <c r="BA81" s="1" t="s">
        <v>74</v>
      </c>
      <c r="BB81" s="1">
        <v>38.0</v>
      </c>
      <c r="BC81" s="1">
        <v>43.0</v>
      </c>
      <c r="BD81" s="1" t="s">
        <v>74</v>
      </c>
      <c r="BE81" s="1" t="s">
        <v>74</v>
      </c>
      <c r="BF81" s="1" t="s">
        <v>74</v>
      </c>
      <c r="BG81" s="1" t="s">
        <v>74</v>
      </c>
      <c r="BH81" s="1" t="s">
        <v>74</v>
      </c>
      <c r="BI81" s="1" t="s">
        <v>74</v>
      </c>
      <c r="BJ81" s="1" t="s">
        <v>74</v>
      </c>
      <c r="BK81" s="1" t="s">
        <v>74</v>
      </c>
      <c r="BL81" s="1" t="s">
        <v>74</v>
      </c>
      <c r="BM81" s="1" t="s">
        <v>74</v>
      </c>
      <c r="BN81" s="1" t="s">
        <v>74</v>
      </c>
      <c r="BO81" s="1" t="s">
        <v>74</v>
      </c>
      <c r="BP81" s="1" t="s">
        <v>74</v>
      </c>
      <c r="BQ81" s="1" t="s">
        <v>74</v>
      </c>
      <c r="BR81" s="1" t="s">
        <v>74</v>
      </c>
      <c r="BS81" s="1" t="s">
        <v>907</v>
      </c>
      <c r="BT81" s="1" t="str">
        <f>HYPERLINK("https%3A%2F%2Fwww.webofscience.com%2Fwos%2Fwoscc%2Ffull-record%2FWOS:000426981800012","View Full Record in Web of Science")</f>
        <v>View Full Record in Web of Science</v>
      </c>
    </row>
    <row r="82" ht="12.75" customHeight="1">
      <c r="A82" s="1" t="s">
        <v>72</v>
      </c>
      <c r="B82" s="1" t="s">
        <v>908</v>
      </c>
      <c r="C82" s="1" t="s">
        <v>74</v>
      </c>
      <c r="D82" s="1" t="s">
        <v>74</v>
      </c>
      <c r="E82" s="1" t="s">
        <v>74</v>
      </c>
      <c r="F82" s="1" t="s">
        <v>909</v>
      </c>
      <c r="G82" s="1" t="s">
        <v>74</v>
      </c>
      <c r="H82" s="1" t="s">
        <v>74</v>
      </c>
      <c r="I82" s="1" t="s">
        <v>910</v>
      </c>
      <c r="J82" s="1" t="s">
        <v>911</v>
      </c>
      <c r="K82" s="1" t="s">
        <v>74</v>
      </c>
      <c r="L82" s="1" t="s">
        <v>74</v>
      </c>
      <c r="M82" s="1" t="s">
        <v>74</v>
      </c>
      <c r="N82" s="1" t="s">
        <v>74</v>
      </c>
      <c r="O82" s="1" t="s">
        <v>74</v>
      </c>
      <c r="P82" s="1" t="s">
        <v>74</v>
      </c>
      <c r="Q82" s="1" t="s">
        <v>74</v>
      </c>
      <c r="R82" s="1" t="s">
        <v>74</v>
      </c>
      <c r="S82" s="1" t="s">
        <v>74</v>
      </c>
      <c r="T82" s="1" t="s">
        <v>74</v>
      </c>
      <c r="U82" s="1" t="s">
        <v>74</v>
      </c>
      <c r="V82" s="1" t="s">
        <v>912</v>
      </c>
      <c r="W82" s="1" t="s">
        <v>74</v>
      </c>
      <c r="X82" s="1" t="s">
        <v>74</v>
      </c>
      <c r="Y82" s="1" t="s">
        <v>74</v>
      </c>
      <c r="Z82" s="1" t="s">
        <v>74</v>
      </c>
      <c r="AA82" s="1" t="s">
        <v>913</v>
      </c>
      <c r="AB82" s="1" t="s">
        <v>914</v>
      </c>
      <c r="AC82" s="1" t="s">
        <v>74</v>
      </c>
      <c r="AD82" s="1" t="s">
        <v>74</v>
      </c>
      <c r="AE82" s="1" t="s">
        <v>74</v>
      </c>
      <c r="AF82" s="1" t="s">
        <v>74</v>
      </c>
      <c r="AG82" s="1" t="s">
        <v>74</v>
      </c>
      <c r="AH82" s="1" t="s">
        <v>74</v>
      </c>
      <c r="AI82" s="1" t="s">
        <v>74</v>
      </c>
      <c r="AJ82" s="1" t="s">
        <v>74</v>
      </c>
      <c r="AK82" s="1" t="s">
        <v>74</v>
      </c>
      <c r="AL82" s="1" t="s">
        <v>74</v>
      </c>
      <c r="AM82" s="1" t="s">
        <v>74</v>
      </c>
      <c r="AN82" s="1" t="s">
        <v>74</v>
      </c>
      <c r="AO82" s="1" t="s">
        <v>915</v>
      </c>
      <c r="AP82" s="1" t="s">
        <v>74</v>
      </c>
      <c r="AQ82" s="1" t="s">
        <v>74</v>
      </c>
      <c r="AR82" s="1" t="s">
        <v>74</v>
      </c>
      <c r="AS82" s="1" t="s">
        <v>74</v>
      </c>
      <c r="AT82" s="1" t="s">
        <v>916</v>
      </c>
      <c r="AU82" s="1">
        <v>2016.0</v>
      </c>
      <c r="AV82" s="1">
        <v>6.0</v>
      </c>
      <c r="AW82" s="1" t="s">
        <v>74</v>
      </c>
      <c r="AX82" s="1" t="s">
        <v>74</v>
      </c>
      <c r="AY82" s="1" t="s">
        <v>74</v>
      </c>
      <c r="AZ82" s="1" t="s">
        <v>74</v>
      </c>
      <c r="BA82" s="1" t="s">
        <v>74</v>
      </c>
      <c r="BB82" s="1" t="s">
        <v>74</v>
      </c>
      <c r="BC82" s="1" t="s">
        <v>74</v>
      </c>
      <c r="BD82" s="1">
        <v>32.0</v>
      </c>
      <c r="BE82" s="1" t="s">
        <v>917</v>
      </c>
      <c r="BF82" s="2" t="str">
        <f>HYPERLINK("http://dx.doi.org/10.1186/s13705-016-0098-4","http://dx.doi.org/10.1186/s13705-016-0098-4")</f>
        <v>http://dx.doi.org/10.1186/s13705-016-0098-4</v>
      </c>
      <c r="BG82" s="1" t="s">
        <v>74</v>
      </c>
      <c r="BH82" s="1" t="s">
        <v>74</v>
      </c>
      <c r="BI82" s="1" t="s">
        <v>74</v>
      </c>
      <c r="BJ82" s="1" t="s">
        <v>74</v>
      </c>
      <c r="BK82" s="1" t="s">
        <v>74</v>
      </c>
      <c r="BL82" s="1" t="s">
        <v>74</v>
      </c>
      <c r="BM82" s="1" t="s">
        <v>74</v>
      </c>
      <c r="BN82" s="1" t="s">
        <v>74</v>
      </c>
      <c r="BO82" s="1" t="s">
        <v>74</v>
      </c>
      <c r="BP82" s="1" t="s">
        <v>74</v>
      </c>
      <c r="BQ82" s="1" t="s">
        <v>74</v>
      </c>
      <c r="BR82" s="1" t="s">
        <v>74</v>
      </c>
      <c r="BS82" s="1" t="s">
        <v>918</v>
      </c>
      <c r="BT82" s="1" t="str">
        <f>HYPERLINK("https%3A%2F%2Fwww.webofscience.com%2Fwos%2Fwoscc%2Ffull-record%2FWOS:000387954600001","View Full Record in Web of Science")</f>
        <v>View Full Record in Web of Science</v>
      </c>
    </row>
    <row r="83" ht="12.75" customHeight="1">
      <c r="A83" s="1" t="s">
        <v>72</v>
      </c>
      <c r="B83" s="1" t="s">
        <v>919</v>
      </c>
      <c r="C83" s="1" t="s">
        <v>74</v>
      </c>
      <c r="D83" s="1" t="s">
        <v>74</v>
      </c>
      <c r="E83" s="1" t="s">
        <v>74</v>
      </c>
      <c r="F83" s="1" t="s">
        <v>920</v>
      </c>
      <c r="G83" s="1" t="s">
        <v>74</v>
      </c>
      <c r="H83" s="1" t="s">
        <v>74</v>
      </c>
      <c r="I83" s="1" t="s">
        <v>921</v>
      </c>
      <c r="J83" s="1" t="s">
        <v>922</v>
      </c>
      <c r="K83" s="1" t="s">
        <v>74</v>
      </c>
      <c r="L83" s="1" t="s">
        <v>74</v>
      </c>
      <c r="M83" s="1" t="s">
        <v>74</v>
      </c>
      <c r="N83" s="1" t="s">
        <v>74</v>
      </c>
      <c r="O83" s="1" t="s">
        <v>923</v>
      </c>
      <c r="P83" s="1">
        <v>2014.0</v>
      </c>
      <c r="Q83" s="1" t="s">
        <v>924</v>
      </c>
      <c r="R83" s="1" t="s">
        <v>74</v>
      </c>
      <c r="S83" s="1" t="s">
        <v>74</v>
      </c>
      <c r="T83" s="1" t="s">
        <v>74</v>
      </c>
      <c r="U83" s="1" t="s">
        <v>74</v>
      </c>
      <c r="V83" s="1" t="s">
        <v>925</v>
      </c>
      <c r="W83" s="1" t="s">
        <v>74</v>
      </c>
      <c r="X83" s="1" t="s">
        <v>74</v>
      </c>
      <c r="Y83" s="1" t="s">
        <v>74</v>
      </c>
      <c r="Z83" s="1" t="s">
        <v>74</v>
      </c>
      <c r="AA83" s="1" t="s">
        <v>926</v>
      </c>
      <c r="AB83" s="1" t="s">
        <v>927</v>
      </c>
      <c r="AC83" s="1" t="s">
        <v>74</v>
      </c>
      <c r="AD83" s="1" t="s">
        <v>74</v>
      </c>
      <c r="AE83" s="1" t="s">
        <v>74</v>
      </c>
      <c r="AF83" s="1" t="s">
        <v>74</v>
      </c>
      <c r="AG83" s="1" t="s">
        <v>74</v>
      </c>
      <c r="AH83" s="1" t="s">
        <v>74</v>
      </c>
      <c r="AI83" s="1" t="s">
        <v>74</v>
      </c>
      <c r="AJ83" s="1" t="s">
        <v>74</v>
      </c>
      <c r="AK83" s="1" t="s">
        <v>74</v>
      </c>
      <c r="AL83" s="1" t="s">
        <v>74</v>
      </c>
      <c r="AM83" s="1" t="s">
        <v>74</v>
      </c>
      <c r="AN83" s="1" t="s">
        <v>74</v>
      </c>
      <c r="AO83" s="1" t="s">
        <v>928</v>
      </c>
      <c r="AP83" s="1" t="s">
        <v>929</v>
      </c>
      <c r="AQ83" s="1" t="s">
        <v>74</v>
      </c>
      <c r="AR83" s="1" t="s">
        <v>74</v>
      </c>
      <c r="AS83" s="1" t="s">
        <v>74</v>
      </c>
      <c r="AT83" s="1" t="s">
        <v>930</v>
      </c>
      <c r="AU83" s="1">
        <v>2016.0</v>
      </c>
      <c r="AV83" s="1">
        <v>33.0</v>
      </c>
      <c r="AW83" s="1">
        <v>4.0</v>
      </c>
      <c r="AX83" s="1" t="s">
        <v>74</v>
      </c>
      <c r="AY83" s="1" t="s">
        <v>74</v>
      </c>
      <c r="AZ83" s="1" t="s">
        <v>74</v>
      </c>
      <c r="BA83" s="1" t="s">
        <v>74</v>
      </c>
      <c r="BB83" s="1">
        <v>743.0</v>
      </c>
      <c r="BC83" s="1">
        <v>752.0</v>
      </c>
      <c r="BD83" s="1" t="s">
        <v>74</v>
      </c>
      <c r="BE83" s="1" t="s">
        <v>931</v>
      </c>
      <c r="BF83" s="2" t="str">
        <f>HYPERLINK("http://dx.doi.org/10.1590/0104-6632.20160334s20150261","http://dx.doi.org/10.1590/0104-6632.20160334s20150261")</f>
        <v>http://dx.doi.org/10.1590/0104-6632.20160334s20150261</v>
      </c>
      <c r="BG83" s="1" t="s">
        <v>74</v>
      </c>
      <c r="BH83" s="1" t="s">
        <v>74</v>
      </c>
      <c r="BI83" s="1" t="s">
        <v>74</v>
      </c>
      <c r="BJ83" s="1" t="s">
        <v>74</v>
      </c>
      <c r="BK83" s="1" t="s">
        <v>74</v>
      </c>
      <c r="BL83" s="1" t="s">
        <v>74</v>
      </c>
      <c r="BM83" s="1" t="s">
        <v>74</v>
      </c>
      <c r="BN83" s="1" t="s">
        <v>74</v>
      </c>
      <c r="BO83" s="1" t="s">
        <v>74</v>
      </c>
      <c r="BP83" s="1" t="s">
        <v>74</v>
      </c>
      <c r="BQ83" s="1" t="s">
        <v>74</v>
      </c>
      <c r="BR83" s="1" t="s">
        <v>74</v>
      </c>
      <c r="BS83" s="1" t="s">
        <v>932</v>
      </c>
      <c r="BT83" s="1" t="str">
        <f>HYPERLINK("https%3A%2F%2Fwww.webofscience.com%2Fwos%2Fwoscc%2Ffull-record%2FWOS:000396935700006","View Full Record in Web of Science")</f>
        <v>View Full Record in Web of Science</v>
      </c>
    </row>
    <row r="84" ht="12.75" customHeight="1">
      <c r="A84" s="1" t="s">
        <v>147</v>
      </c>
      <c r="B84" s="1" t="s">
        <v>933</v>
      </c>
      <c r="C84" s="1" t="s">
        <v>74</v>
      </c>
      <c r="D84" s="1" t="s">
        <v>74</v>
      </c>
      <c r="E84" s="1" t="s">
        <v>793</v>
      </c>
      <c r="F84" s="1" t="s">
        <v>934</v>
      </c>
      <c r="G84" s="1" t="s">
        <v>74</v>
      </c>
      <c r="H84" s="1" t="s">
        <v>74</v>
      </c>
      <c r="I84" s="1" t="s">
        <v>935</v>
      </c>
      <c r="J84" s="1" t="s">
        <v>936</v>
      </c>
      <c r="K84" s="1" t="s">
        <v>937</v>
      </c>
      <c r="L84" s="1" t="s">
        <v>74</v>
      </c>
      <c r="M84" s="1" t="s">
        <v>74</v>
      </c>
      <c r="N84" s="1" t="s">
        <v>74</v>
      </c>
      <c r="O84" s="1" t="s">
        <v>938</v>
      </c>
      <c r="P84" s="1" t="s">
        <v>939</v>
      </c>
      <c r="Q84" s="1" t="s">
        <v>940</v>
      </c>
      <c r="R84" s="1" t="s">
        <v>793</v>
      </c>
      <c r="S84" s="1" t="s">
        <v>74</v>
      </c>
      <c r="T84" s="1" t="s">
        <v>74</v>
      </c>
      <c r="U84" s="1" t="s">
        <v>74</v>
      </c>
      <c r="V84" s="1" t="s">
        <v>941</v>
      </c>
      <c r="W84" s="1" t="s">
        <v>74</v>
      </c>
      <c r="X84" s="1" t="s">
        <v>74</v>
      </c>
      <c r="Y84" s="1" t="s">
        <v>74</v>
      </c>
      <c r="Z84" s="1" t="s">
        <v>74</v>
      </c>
      <c r="AA84" s="1" t="s">
        <v>942</v>
      </c>
      <c r="AB84" s="1" t="s">
        <v>74</v>
      </c>
      <c r="AC84" s="1" t="s">
        <v>74</v>
      </c>
      <c r="AD84" s="1" t="s">
        <v>74</v>
      </c>
      <c r="AE84" s="1" t="s">
        <v>74</v>
      </c>
      <c r="AF84" s="1" t="s">
        <v>74</v>
      </c>
      <c r="AG84" s="1" t="s">
        <v>74</v>
      </c>
      <c r="AH84" s="1" t="s">
        <v>74</v>
      </c>
      <c r="AI84" s="1" t="s">
        <v>74</v>
      </c>
      <c r="AJ84" s="1" t="s">
        <v>74</v>
      </c>
      <c r="AK84" s="1" t="s">
        <v>74</v>
      </c>
      <c r="AL84" s="1" t="s">
        <v>74</v>
      </c>
      <c r="AM84" s="1" t="s">
        <v>74</v>
      </c>
      <c r="AN84" s="1" t="s">
        <v>74</v>
      </c>
      <c r="AO84" s="1" t="s">
        <v>943</v>
      </c>
      <c r="AP84" s="1" t="s">
        <v>74</v>
      </c>
      <c r="AQ84" s="1" t="s">
        <v>944</v>
      </c>
      <c r="AR84" s="1" t="s">
        <v>74</v>
      </c>
      <c r="AS84" s="1" t="s">
        <v>74</v>
      </c>
      <c r="AT84" s="1" t="s">
        <v>74</v>
      </c>
      <c r="AU84" s="1">
        <v>2016.0</v>
      </c>
      <c r="AV84" s="1" t="s">
        <v>74</v>
      </c>
      <c r="AW84" s="1" t="s">
        <v>74</v>
      </c>
      <c r="AX84" s="1" t="s">
        <v>74</v>
      </c>
      <c r="AY84" s="1" t="s">
        <v>74</v>
      </c>
      <c r="AZ84" s="1" t="s">
        <v>74</v>
      </c>
      <c r="BA84" s="1" t="s">
        <v>74</v>
      </c>
      <c r="BB84" s="1" t="s">
        <v>74</v>
      </c>
      <c r="BC84" s="1" t="s">
        <v>74</v>
      </c>
      <c r="BD84" s="1" t="s">
        <v>74</v>
      </c>
      <c r="BE84" s="1" t="s">
        <v>74</v>
      </c>
      <c r="BF84" s="1" t="s">
        <v>74</v>
      </c>
      <c r="BG84" s="1" t="s">
        <v>74</v>
      </c>
      <c r="BH84" s="1" t="s">
        <v>74</v>
      </c>
      <c r="BI84" s="1" t="s">
        <v>74</v>
      </c>
      <c r="BJ84" s="1" t="s">
        <v>74</v>
      </c>
      <c r="BK84" s="1" t="s">
        <v>74</v>
      </c>
      <c r="BL84" s="1" t="s">
        <v>74</v>
      </c>
      <c r="BM84" s="1" t="s">
        <v>74</v>
      </c>
      <c r="BN84" s="1" t="s">
        <v>74</v>
      </c>
      <c r="BO84" s="1" t="s">
        <v>74</v>
      </c>
      <c r="BP84" s="1" t="s">
        <v>74</v>
      </c>
      <c r="BQ84" s="1" t="s">
        <v>74</v>
      </c>
      <c r="BR84" s="1" t="s">
        <v>74</v>
      </c>
      <c r="BS84" s="1" t="s">
        <v>945</v>
      </c>
      <c r="BT84" s="1" t="str">
        <f>HYPERLINK("https%3A%2F%2Fwww.webofscience.com%2Fwos%2Fwoscc%2Ffull-record%2FWOS:000405491400014","View Full Record in Web of Science")</f>
        <v>View Full Record in Web of Science</v>
      </c>
    </row>
    <row r="85" ht="12.75" customHeight="1">
      <c r="A85" s="1" t="s">
        <v>72</v>
      </c>
      <c r="B85" s="1" t="s">
        <v>946</v>
      </c>
      <c r="C85" s="1" t="s">
        <v>74</v>
      </c>
      <c r="D85" s="1" t="s">
        <v>74</v>
      </c>
      <c r="E85" s="1" t="s">
        <v>74</v>
      </c>
      <c r="F85" s="1" t="s">
        <v>947</v>
      </c>
      <c r="G85" s="1" t="s">
        <v>74</v>
      </c>
      <c r="H85" s="1" t="s">
        <v>74</v>
      </c>
      <c r="I85" s="1" t="s">
        <v>948</v>
      </c>
      <c r="J85" s="1" t="s">
        <v>949</v>
      </c>
      <c r="K85" s="1" t="s">
        <v>74</v>
      </c>
      <c r="L85" s="1" t="s">
        <v>74</v>
      </c>
      <c r="M85" s="1" t="s">
        <v>74</v>
      </c>
      <c r="N85" s="1" t="s">
        <v>74</v>
      </c>
      <c r="O85" s="1" t="s">
        <v>74</v>
      </c>
      <c r="P85" s="1" t="s">
        <v>74</v>
      </c>
      <c r="Q85" s="1" t="s">
        <v>74</v>
      </c>
      <c r="R85" s="1" t="s">
        <v>74</v>
      </c>
      <c r="S85" s="1" t="s">
        <v>74</v>
      </c>
      <c r="T85" s="1" t="s">
        <v>74</v>
      </c>
      <c r="U85" s="1" t="s">
        <v>74</v>
      </c>
      <c r="V85" s="1" t="s">
        <v>950</v>
      </c>
      <c r="W85" s="1" t="s">
        <v>74</v>
      </c>
      <c r="X85" s="1" t="s">
        <v>74</v>
      </c>
      <c r="Y85" s="1" t="s">
        <v>74</v>
      </c>
      <c r="Z85" s="1" t="s">
        <v>74</v>
      </c>
      <c r="AA85" s="1" t="s">
        <v>74</v>
      </c>
      <c r="AB85" s="1" t="s">
        <v>74</v>
      </c>
      <c r="AC85" s="1" t="s">
        <v>74</v>
      </c>
      <c r="AD85" s="1" t="s">
        <v>74</v>
      </c>
      <c r="AE85" s="1" t="s">
        <v>74</v>
      </c>
      <c r="AF85" s="1" t="s">
        <v>74</v>
      </c>
      <c r="AG85" s="1" t="s">
        <v>74</v>
      </c>
      <c r="AH85" s="1" t="s">
        <v>74</v>
      </c>
      <c r="AI85" s="1" t="s">
        <v>74</v>
      </c>
      <c r="AJ85" s="1" t="s">
        <v>74</v>
      </c>
      <c r="AK85" s="1" t="s">
        <v>74</v>
      </c>
      <c r="AL85" s="1" t="s">
        <v>74</v>
      </c>
      <c r="AM85" s="1" t="s">
        <v>74</v>
      </c>
      <c r="AN85" s="1" t="s">
        <v>74</v>
      </c>
      <c r="AO85" s="1" t="s">
        <v>951</v>
      </c>
      <c r="AP85" s="1" t="s">
        <v>952</v>
      </c>
      <c r="AQ85" s="1" t="s">
        <v>74</v>
      </c>
      <c r="AR85" s="1" t="s">
        <v>74</v>
      </c>
      <c r="AS85" s="1" t="s">
        <v>74</v>
      </c>
      <c r="AT85" s="1" t="s">
        <v>277</v>
      </c>
      <c r="AU85" s="1">
        <v>2016.0</v>
      </c>
      <c r="AV85" s="1">
        <v>34.0</v>
      </c>
      <c r="AW85" s="1">
        <v>1.0</v>
      </c>
      <c r="AX85" s="1" t="s">
        <v>74</v>
      </c>
      <c r="AY85" s="1" t="s">
        <v>74</v>
      </c>
      <c r="AZ85" s="1" t="s">
        <v>74</v>
      </c>
      <c r="BA85" s="1" t="s">
        <v>74</v>
      </c>
      <c r="BB85" s="1">
        <v>107.0</v>
      </c>
      <c r="BC85" s="1">
        <v>118.0</v>
      </c>
      <c r="BD85" s="1" t="s">
        <v>74</v>
      </c>
      <c r="BE85" s="1" t="s">
        <v>953</v>
      </c>
      <c r="BF85" s="2" t="str">
        <f>HYPERLINK("http://dx.doi.org/10.1111/coep.12120","http://dx.doi.org/10.1111/coep.12120")</f>
        <v>http://dx.doi.org/10.1111/coep.12120</v>
      </c>
      <c r="BG85" s="1" t="s">
        <v>74</v>
      </c>
      <c r="BH85" s="1" t="s">
        <v>74</v>
      </c>
      <c r="BI85" s="1" t="s">
        <v>74</v>
      </c>
      <c r="BJ85" s="1" t="s">
        <v>74</v>
      </c>
      <c r="BK85" s="1" t="s">
        <v>74</v>
      </c>
      <c r="BL85" s="1" t="s">
        <v>74</v>
      </c>
      <c r="BM85" s="1" t="s">
        <v>74</v>
      </c>
      <c r="BN85" s="1" t="s">
        <v>74</v>
      </c>
      <c r="BO85" s="1" t="s">
        <v>74</v>
      </c>
      <c r="BP85" s="1" t="s">
        <v>74</v>
      </c>
      <c r="BQ85" s="1" t="s">
        <v>74</v>
      </c>
      <c r="BR85" s="1" t="s">
        <v>74</v>
      </c>
      <c r="BS85" s="1" t="s">
        <v>954</v>
      </c>
      <c r="BT85" s="1" t="str">
        <f>HYPERLINK("https%3A%2F%2Fwww.webofscience.com%2Fwos%2Fwoscc%2Ffull-record%2FWOS:000369078900007","View Full Record in Web of Science")</f>
        <v>View Full Record in Web of Science</v>
      </c>
    </row>
    <row r="86" ht="12.75" customHeight="1">
      <c r="A86" s="1" t="s">
        <v>72</v>
      </c>
      <c r="B86" s="1" t="s">
        <v>955</v>
      </c>
      <c r="C86" s="1" t="s">
        <v>74</v>
      </c>
      <c r="D86" s="1" t="s">
        <v>74</v>
      </c>
      <c r="E86" s="1" t="s">
        <v>74</v>
      </c>
      <c r="F86" s="1" t="s">
        <v>956</v>
      </c>
      <c r="G86" s="1" t="s">
        <v>74</v>
      </c>
      <c r="H86" s="1" t="s">
        <v>74</v>
      </c>
      <c r="I86" s="1" t="s">
        <v>957</v>
      </c>
      <c r="J86" s="1" t="s">
        <v>958</v>
      </c>
      <c r="K86" s="1" t="s">
        <v>74</v>
      </c>
      <c r="L86" s="1" t="s">
        <v>74</v>
      </c>
      <c r="M86" s="1" t="s">
        <v>74</v>
      </c>
      <c r="N86" s="1" t="s">
        <v>74</v>
      </c>
      <c r="O86" s="1" t="s">
        <v>74</v>
      </c>
      <c r="P86" s="1" t="s">
        <v>74</v>
      </c>
      <c r="Q86" s="1" t="s">
        <v>74</v>
      </c>
      <c r="R86" s="1" t="s">
        <v>74</v>
      </c>
      <c r="S86" s="1" t="s">
        <v>74</v>
      </c>
      <c r="T86" s="1" t="s">
        <v>74</v>
      </c>
      <c r="U86" s="1" t="s">
        <v>74</v>
      </c>
      <c r="V86" s="1" t="s">
        <v>959</v>
      </c>
      <c r="W86" s="1" t="s">
        <v>74</v>
      </c>
      <c r="X86" s="1" t="s">
        <v>74</v>
      </c>
      <c r="Y86" s="1" t="s">
        <v>74</v>
      </c>
      <c r="Z86" s="1" t="s">
        <v>74</v>
      </c>
      <c r="AA86" s="1" t="s">
        <v>960</v>
      </c>
      <c r="AB86" s="1" t="s">
        <v>961</v>
      </c>
      <c r="AC86" s="1" t="s">
        <v>74</v>
      </c>
      <c r="AD86" s="1" t="s">
        <v>74</v>
      </c>
      <c r="AE86" s="1" t="s">
        <v>74</v>
      </c>
      <c r="AF86" s="1" t="s">
        <v>74</v>
      </c>
      <c r="AG86" s="1" t="s">
        <v>74</v>
      </c>
      <c r="AH86" s="1" t="s">
        <v>74</v>
      </c>
      <c r="AI86" s="1" t="s">
        <v>74</v>
      </c>
      <c r="AJ86" s="1" t="s">
        <v>74</v>
      </c>
      <c r="AK86" s="1" t="s">
        <v>74</v>
      </c>
      <c r="AL86" s="1" t="s">
        <v>74</v>
      </c>
      <c r="AM86" s="1" t="s">
        <v>74</v>
      </c>
      <c r="AN86" s="1" t="s">
        <v>74</v>
      </c>
      <c r="AO86" s="1" t="s">
        <v>962</v>
      </c>
      <c r="AP86" s="1" t="s">
        <v>963</v>
      </c>
      <c r="AQ86" s="1" t="s">
        <v>74</v>
      </c>
      <c r="AR86" s="1" t="s">
        <v>74</v>
      </c>
      <c r="AS86" s="1" t="s">
        <v>74</v>
      </c>
      <c r="AT86" s="1" t="s">
        <v>964</v>
      </c>
      <c r="AU86" s="1">
        <v>2015.0</v>
      </c>
      <c r="AV86" s="1">
        <v>50.0</v>
      </c>
      <c r="AW86" s="1">
        <v>1.0</v>
      </c>
      <c r="AX86" s="1" t="s">
        <v>74</v>
      </c>
      <c r="AY86" s="1" t="s">
        <v>74</v>
      </c>
      <c r="AZ86" s="1" t="s">
        <v>74</v>
      </c>
      <c r="BA86" s="1" t="s">
        <v>74</v>
      </c>
      <c r="BB86" s="1">
        <v>75.0</v>
      </c>
      <c r="BC86" s="1">
        <v>90.0</v>
      </c>
      <c r="BD86" s="1" t="s">
        <v>74</v>
      </c>
      <c r="BE86" s="1" t="s">
        <v>965</v>
      </c>
      <c r="BF86" s="2" t="str">
        <f>HYPERLINK("http://dx.doi.org/10.1080/00273171.2014.955604","http://dx.doi.org/10.1080/00273171.2014.955604")</f>
        <v>http://dx.doi.org/10.1080/00273171.2014.955604</v>
      </c>
      <c r="BG86" s="1" t="s">
        <v>74</v>
      </c>
      <c r="BH86" s="1" t="s">
        <v>74</v>
      </c>
      <c r="BI86" s="1" t="s">
        <v>74</v>
      </c>
      <c r="BJ86" s="1" t="s">
        <v>74</v>
      </c>
      <c r="BK86" s="1" t="s">
        <v>74</v>
      </c>
      <c r="BL86" s="1" t="s">
        <v>74</v>
      </c>
      <c r="BM86" s="1" t="s">
        <v>74</v>
      </c>
      <c r="BN86" s="1">
        <v>2.6609744E7</v>
      </c>
      <c r="BO86" s="1" t="s">
        <v>74</v>
      </c>
      <c r="BP86" s="1" t="s">
        <v>74</v>
      </c>
      <c r="BQ86" s="1" t="s">
        <v>74</v>
      </c>
      <c r="BR86" s="1" t="s">
        <v>74</v>
      </c>
      <c r="BS86" s="1" t="s">
        <v>966</v>
      </c>
      <c r="BT86" s="1" t="str">
        <f>HYPERLINK("https%3A%2F%2Fwww.webofscience.com%2Fwos%2Fwoscc%2Ffull-record%2FWOS:000349540600005","View Full Record in Web of Science")</f>
        <v>View Full Record in Web of Science</v>
      </c>
    </row>
    <row r="87" ht="12.75" customHeight="1">
      <c r="A87" s="1" t="s">
        <v>72</v>
      </c>
      <c r="B87" s="1" t="s">
        <v>967</v>
      </c>
      <c r="C87" s="1" t="s">
        <v>74</v>
      </c>
      <c r="D87" s="1" t="s">
        <v>74</v>
      </c>
      <c r="E87" s="1" t="s">
        <v>74</v>
      </c>
      <c r="F87" s="1" t="s">
        <v>968</v>
      </c>
      <c r="G87" s="1" t="s">
        <v>74</v>
      </c>
      <c r="H87" s="1" t="s">
        <v>74</v>
      </c>
      <c r="I87" s="1" t="s">
        <v>969</v>
      </c>
      <c r="J87" s="1" t="s">
        <v>970</v>
      </c>
      <c r="K87" s="1" t="s">
        <v>74</v>
      </c>
      <c r="L87" s="1" t="s">
        <v>74</v>
      </c>
      <c r="M87" s="1" t="s">
        <v>74</v>
      </c>
      <c r="N87" s="1" t="s">
        <v>74</v>
      </c>
      <c r="O87" s="1" t="s">
        <v>74</v>
      </c>
      <c r="P87" s="1" t="s">
        <v>74</v>
      </c>
      <c r="Q87" s="1" t="s">
        <v>74</v>
      </c>
      <c r="R87" s="1" t="s">
        <v>74</v>
      </c>
      <c r="S87" s="1" t="s">
        <v>74</v>
      </c>
      <c r="T87" s="1" t="s">
        <v>74</v>
      </c>
      <c r="U87" s="1" t="s">
        <v>74</v>
      </c>
      <c r="V87" s="1" t="s">
        <v>971</v>
      </c>
      <c r="W87" s="1" t="s">
        <v>74</v>
      </c>
      <c r="X87" s="1" t="s">
        <v>74</v>
      </c>
      <c r="Y87" s="1" t="s">
        <v>74</v>
      </c>
      <c r="Z87" s="1" t="s">
        <v>74</v>
      </c>
      <c r="AA87" s="1" t="s">
        <v>74</v>
      </c>
      <c r="AB87" s="1" t="s">
        <v>74</v>
      </c>
      <c r="AC87" s="1" t="s">
        <v>74</v>
      </c>
      <c r="AD87" s="1" t="s">
        <v>74</v>
      </c>
      <c r="AE87" s="1" t="s">
        <v>74</v>
      </c>
      <c r="AF87" s="1" t="s">
        <v>74</v>
      </c>
      <c r="AG87" s="1" t="s">
        <v>74</v>
      </c>
      <c r="AH87" s="1" t="s">
        <v>74</v>
      </c>
      <c r="AI87" s="1" t="s">
        <v>74</v>
      </c>
      <c r="AJ87" s="1" t="s">
        <v>74</v>
      </c>
      <c r="AK87" s="1" t="s">
        <v>74</v>
      </c>
      <c r="AL87" s="1" t="s">
        <v>74</v>
      </c>
      <c r="AM87" s="1" t="s">
        <v>74</v>
      </c>
      <c r="AN87" s="1" t="s">
        <v>74</v>
      </c>
      <c r="AO87" s="1" t="s">
        <v>972</v>
      </c>
      <c r="AP87" s="1" t="s">
        <v>74</v>
      </c>
      <c r="AQ87" s="1" t="s">
        <v>74</v>
      </c>
      <c r="AR87" s="1" t="s">
        <v>74</v>
      </c>
      <c r="AS87" s="1" t="s">
        <v>74</v>
      </c>
      <c r="AT87" s="1" t="s">
        <v>415</v>
      </c>
      <c r="AU87" s="1">
        <v>2014.0</v>
      </c>
      <c r="AV87" s="1">
        <v>116.0</v>
      </c>
      <c r="AW87" s="1">
        <v>2.0</v>
      </c>
      <c r="AX87" s="1" t="s">
        <v>74</v>
      </c>
      <c r="AY87" s="1" t="s">
        <v>74</v>
      </c>
      <c r="AZ87" s="1" t="s">
        <v>74</v>
      </c>
      <c r="BA87" s="1" t="s">
        <v>74</v>
      </c>
      <c r="BB87" s="1">
        <v>833.0</v>
      </c>
      <c r="BC87" s="1">
        <v>854.0</v>
      </c>
      <c r="BD87" s="1" t="s">
        <v>74</v>
      </c>
      <c r="BE87" s="1" t="s">
        <v>74</v>
      </c>
      <c r="BF87" s="1" t="s">
        <v>74</v>
      </c>
      <c r="BG87" s="1" t="s">
        <v>74</v>
      </c>
      <c r="BH87" s="1" t="s">
        <v>74</v>
      </c>
      <c r="BI87" s="1" t="s">
        <v>74</v>
      </c>
      <c r="BJ87" s="1" t="s">
        <v>74</v>
      </c>
      <c r="BK87" s="1" t="s">
        <v>74</v>
      </c>
      <c r="BL87" s="1" t="s">
        <v>74</v>
      </c>
      <c r="BM87" s="1" t="s">
        <v>74</v>
      </c>
      <c r="BN87" s="1" t="s">
        <v>74</v>
      </c>
      <c r="BO87" s="1" t="s">
        <v>74</v>
      </c>
      <c r="BP87" s="1" t="s">
        <v>74</v>
      </c>
      <c r="BQ87" s="1" t="s">
        <v>74</v>
      </c>
      <c r="BR87" s="1" t="s">
        <v>74</v>
      </c>
      <c r="BS87" s="1" t="s">
        <v>973</v>
      </c>
      <c r="BT87" s="1" t="str">
        <f>HYPERLINK("https%3A%2F%2Fwww.webofscience.com%2Fwos%2Fwoscc%2Ffull-record%2FWOS:000352041300021","View Full Record in Web of Science")</f>
        <v>View Full Record in Web of Science</v>
      </c>
    </row>
    <row r="88" ht="12.75" customHeight="1">
      <c r="A88" s="1" t="s">
        <v>72</v>
      </c>
      <c r="B88" s="1" t="s">
        <v>974</v>
      </c>
      <c r="C88" s="1" t="s">
        <v>74</v>
      </c>
      <c r="D88" s="1" t="s">
        <v>74</v>
      </c>
      <c r="E88" s="1" t="s">
        <v>74</v>
      </c>
      <c r="F88" s="1" t="s">
        <v>975</v>
      </c>
      <c r="G88" s="1" t="s">
        <v>74</v>
      </c>
      <c r="H88" s="1" t="s">
        <v>74</v>
      </c>
      <c r="I88" s="1" t="s">
        <v>976</v>
      </c>
      <c r="J88" s="1" t="s">
        <v>977</v>
      </c>
      <c r="K88" s="1" t="s">
        <v>74</v>
      </c>
      <c r="L88" s="1" t="s">
        <v>74</v>
      </c>
      <c r="M88" s="1" t="s">
        <v>74</v>
      </c>
      <c r="N88" s="1" t="s">
        <v>74</v>
      </c>
      <c r="O88" s="1" t="s">
        <v>74</v>
      </c>
      <c r="P88" s="1" t="s">
        <v>74</v>
      </c>
      <c r="Q88" s="1" t="s">
        <v>74</v>
      </c>
      <c r="R88" s="1" t="s">
        <v>74</v>
      </c>
      <c r="S88" s="1" t="s">
        <v>74</v>
      </c>
      <c r="T88" s="1" t="s">
        <v>74</v>
      </c>
      <c r="U88" s="1" t="s">
        <v>74</v>
      </c>
      <c r="V88" s="1" t="s">
        <v>978</v>
      </c>
      <c r="W88" s="1" t="s">
        <v>74</v>
      </c>
      <c r="X88" s="1" t="s">
        <v>74</v>
      </c>
      <c r="Y88" s="1" t="s">
        <v>74</v>
      </c>
      <c r="Z88" s="1" t="s">
        <v>74</v>
      </c>
      <c r="AA88" s="1" t="s">
        <v>74</v>
      </c>
      <c r="AB88" s="1" t="s">
        <v>979</v>
      </c>
      <c r="AC88" s="1" t="s">
        <v>74</v>
      </c>
      <c r="AD88" s="1" t="s">
        <v>74</v>
      </c>
      <c r="AE88" s="1" t="s">
        <v>74</v>
      </c>
      <c r="AF88" s="1" t="s">
        <v>74</v>
      </c>
      <c r="AG88" s="1" t="s">
        <v>74</v>
      </c>
      <c r="AH88" s="1" t="s">
        <v>74</v>
      </c>
      <c r="AI88" s="1" t="s">
        <v>74</v>
      </c>
      <c r="AJ88" s="1" t="s">
        <v>74</v>
      </c>
      <c r="AK88" s="1" t="s">
        <v>74</v>
      </c>
      <c r="AL88" s="1" t="s">
        <v>74</v>
      </c>
      <c r="AM88" s="1" t="s">
        <v>74</v>
      </c>
      <c r="AN88" s="1" t="s">
        <v>74</v>
      </c>
      <c r="AO88" s="1" t="s">
        <v>980</v>
      </c>
      <c r="AP88" s="1" t="s">
        <v>981</v>
      </c>
      <c r="AQ88" s="1" t="s">
        <v>74</v>
      </c>
      <c r="AR88" s="1" t="s">
        <v>74</v>
      </c>
      <c r="AS88" s="1" t="s">
        <v>74</v>
      </c>
      <c r="AT88" s="1" t="s">
        <v>112</v>
      </c>
      <c r="AU88" s="1">
        <v>2014.0</v>
      </c>
      <c r="AV88" s="1">
        <v>76.0</v>
      </c>
      <c r="AW88" s="1">
        <v>7.0</v>
      </c>
      <c r="AX88" s="1" t="s">
        <v>74</v>
      </c>
      <c r="AY88" s="1" t="s">
        <v>74</v>
      </c>
      <c r="AZ88" s="1" t="s">
        <v>74</v>
      </c>
      <c r="BA88" s="1" t="s">
        <v>74</v>
      </c>
      <c r="BB88" s="1">
        <v>531.0</v>
      </c>
      <c r="BC88" s="1">
        <v>551.0</v>
      </c>
      <c r="BD88" s="1" t="s">
        <v>74</v>
      </c>
      <c r="BE88" s="1" t="s">
        <v>982</v>
      </c>
      <c r="BF88" s="2" t="str">
        <f>HYPERLINK("http://dx.doi.org/10.1177/1748048514538928","http://dx.doi.org/10.1177/1748048514538928")</f>
        <v>http://dx.doi.org/10.1177/1748048514538928</v>
      </c>
      <c r="BG88" s="1" t="s">
        <v>74</v>
      </c>
      <c r="BH88" s="1" t="s">
        <v>74</v>
      </c>
      <c r="BI88" s="1" t="s">
        <v>74</v>
      </c>
      <c r="BJ88" s="1" t="s">
        <v>74</v>
      </c>
      <c r="BK88" s="1" t="s">
        <v>74</v>
      </c>
      <c r="BL88" s="1" t="s">
        <v>74</v>
      </c>
      <c r="BM88" s="1" t="s">
        <v>74</v>
      </c>
      <c r="BN88" s="1" t="s">
        <v>74</v>
      </c>
      <c r="BO88" s="1" t="s">
        <v>74</v>
      </c>
      <c r="BP88" s="1" t="s">
        <v>74</v>
      </c>
      <c r="BQ88" s="1" t="s">
        <v>74</v>
      </c>
      <c r="BR88" s="1" t="s">
        <v>74</v>
      </c>
      <c r="BS88" s="1" t="s">
        <v>983</v>
      </c>
      <c r="BT88" s="1" t="str">
        <f>HYPERLINK("https%3A%2F%2Fwww.webofscience.com%2Fwos%2Fwoscc%2Ffull-record%2FWOS:000354690700001","View Full Record in Web of Science")</f>
        <v>View Full Record in Web of Science</v>
      </c>
    </row>
    <row r="89" ht="12.75" customHeight="1">
      <c r="A89" s="1" t="s">
        <v>72</v>
      </c>
      <c r="B89" s="1" t="s">
        <v>984</v>
      </c>
      <c r="C89" s="1" t="s">
        <v>74</v>
      </c>
      <c r="D89" s="1" t="s">
        <v>74</v>
      </c>
      <c r="E89" s="1" t="s">
        <v>74</v>
      </c>
      <c r="F89" s="1" t="s">
        <v>985</v>
      </c>
      <c r="G89" s="1" t="s">
        <v>74</v>
      </c>
      <c r="H89" s="1" t="s">
        <v>74</v>
      </c>
      <c r="I89" s="1" t="s">
        <v>986</v>
      </c>
      <c r="J89" s="1" t="s">
        <v>987</v>
      </c>
      <c r="K89" s="1" t="s">
        <v>74</v>
      </c>
      <c r="L89" s="1" t="s">
        <v>74</v>
      </c>
      <c r="M89" s="1" t="s">
        <v>74</v>
      </c>
      <c r="N89" s="1" t="s">
        <v>74</v>
      </c>
      <c r="O89" s="1" t="s">
        <v>74</v>
      </c>
      <c r="P89" s="1" t="s">
        <v>74</v>
      </c>
      <c r="Q89" s="1" t="s">
        <v>74</v>
      </c>
      <c r="R89" s="1" t="s">
        <v>74</v>
      </c>
      <c r="S89" s="1" t="s">
        <v>74</v>
      </c>
      <c r="T89" s="1" t="s">
        <v>74</v>
      </c>
      <c r="U89" s="1" t="s">
        <v>74</v>
      </c>
      <c r="V89" s="1" t="s">
        <v>988</v>
      </c>
      <c r="W89" s="1" t="s">
        <v>74</v>
      </c>
      <c r="X89" s="1" t="s">
        <v>74</v>
      </c>
      <c r="Y89" s="1" t="s">
        <v>74</v>
      </c>
      <c r="Z89" s="1" t="s">
        <v>74</v>
      </c>
      <c r="AA89" s="1" t="s">
        <v>989</v>
      </c>
      <c r="AB89" s="1" t="s">
        <v>990</v>
      </c>
      <c r="AC89" s="1" t="s">
        <v>74</v>
      </c>
      <c r="AD89" s="1" t="s">
        <v>74</v>
      </c>
      <c r="AE89" s="1" t="s">
        <v>74</v>
      </c>
      <c r="AF89" s="1" t="s">
        <v>74</v>
      </c>
      <c r="AG89" s="1" t="s">
        <v>74</v>
      </c>
      <c r="AH89" s="1" t="s">
        <v>74</v>
      </c>
      <c r="AI89" s="1" t="s">
        <v>74</v>
      </c>
      <c r="AJ89" s="1" t="s">
        <v>74</v>
      </c>
      <c r="AK89" s="1" t="s">
        <v>74</v>
      </c>
      <c r="AL89" s="1" t="s">
        <v>74</v>
      </c>
      <c r="AM89" s="1" t="s">
        <v>74</v>
      </c>
      <c r="AN89" s="1" t="s">
        <v>74</v>
      </c>
      <c r="AO89" s="1" t="s">
        <v>991</v>
      </c>
      <c r="AP89" s="1" t="s">
        <v>74</v>
      </c>
      <c r="AQ89" s="1" t="s">
        <v>74</v>
      </c>
      <c r="AR89" s="1" t="s">
        <v>74</v>
      </c>
      <c r="AS89" s="1" t="s">
        <v>74</v>
      </c>
      <c r="AT89" s="1" t="s">
        <v>621</v>
      </c>
      <c r="AU89" s="1">
        <v>2014.0</v>
      </c>
      <c r="AV89" s="1">
        <v>59.0</v>
      </c>
      <c r="AW89" s="1">
        <v>2.0</v>
      </c>
      <c r="AX89" s="1" t="s">
        <v>74</v>
      </c>
      <c r="AY89" s="1" t="s">
        <v>74</v>
      </c>
      <c r="AZ89" s="1" t="s">
        <v>74</v>
      </c>
      <c r="BA89" s="1" t="s">
        <v>74</v>
      </c>
      <c r="BB89" s="1">
        <v>2477.0</v>
      </c>
      <c r="BC89" s="1">
        <v>2480.0</v>
      </c>
      <c r="BD89" s="1" t="s">
        <v>74</v>
      </c>
      <c r="BE89" s="1" t="s">
        <v>992</v>
      </c>
      <c r="BF89" s="2" t="str">
        <f>HYPERLINK("http://dx.doi.org/10.4067/S0717-97072014000200017","http://dx.doi.org/10.4067/S0717-97072014000200017")</f>
        <v>http://dx.doi.org/10.4067/S0717-97072014000200017</v>
      </c>
      <c r="BG89" s="1" t="s">
        <v>74</v>
      </c>
      <c r="BH89" s="1" t="s">
        <v>74</v>
      </c>
      <c r="BI89" s="1" t="s">
        <v>74</v>
      </c>
      <c r="BJ89" s="1" t="s">
        <v>74</v>
      </c>
      <c r="BK89" s="1" t="s">
        <v>74</v>
      </c>
      <c r="BL89" s="1" t="s">
        <v>74</v>
      </c>
      <c r="BM89" s="1" t="s">
        <v>74</v>
      </c>
      <c r="BN89" s="1" t="s">
        <v>74</v>
      </c>
      <c r="BO89" s="1" t="s">
        <v>74</v>
      </c>
      <c r="BP89" s="1" t="s">
        <v>74</v>
      </c>
      <c r="BQ89" s="1" t="s">
        <v>74</v>
      </c>
      <c r="BR89" s="1" t="s">
        <v>74</v>
      </c>
      <c r="BS89" s="1" t="s">
        <v>993</v>
      </c>
      <c r="BT89" s="1" t="str">
        <f>HYPERLINK("https%3A%2F%2Fwww.webofscience.com%2Fwos%2Fwoscc%2Ffull-record%2FWOS:000342613100017","View Full Record in Web of Science")</f>
        <v>View Full Record in Web of Science</v>
      </c>
    </row>
    <row r="90" ht="12.75" customHeight="1">
      <c r="A90" s="1" t="s">
        <v>72</v>
      </c>
      <c r="B90" s="1" t="s">
        <v>994</v>
      </c>
      <c r="C90" s="1" t="s">
        <v>74</v>
      </c>
      <c r="D90" s="1" t="s">
        <v>74</v>
      </c>
      <c r="E90" s="1" t="s">
        <v>74</v>
      </c>
      <c r="F90" s="1" t="s">
        <v>995</v>
      </c>
      <c r="G90" s="1" t="s">
        <v>74</v>
      </c>
      <c r="H90" s="1" t="s">
        <v>74</v>
      </c>
      <c r="I90" s="1" t="s">
        <v>996</v>
      </c>
      <c r="J90" s="1" t="s">
        <v>997</v>
      </c>
      <c r="K90" s="1" t="s">
        <v>74</v>
      </c>
      <c r="L90" s="1" t="s">
        <v>74</v>
      </c>
      <c r="M90" s="1" t="s">
        <v>74</v>
      </c>
      <c r="N90" s="1" t="s">
        <v>74</v>
      </c>
      <c r="O90" s="1" t="s">
        <v>74</v>
      </c>
      <c r="P90" s="1" t="s">
        <v>74</v>
      </c>
      <c r="Q90" s="1" t="s">
        <v>74</v>
      </c>
      <c r="R90" s="1" t="s">
        <v>74</v>
      </c>
      <c r="S90" s="1" t="s">
        <v>74</v>
      </c>
      <c r="T90" s="1" t="s">
        <v>74</v>
      </c>
      <c r="U90" s="1" t="s">
        <v>74</v>
      </c>
      <c r="V90" s="1" t="s">
        <v>998</v>
      </c>
      <c r="W90" s="1" t="s">
        <v>74</v>
      </c>
      <c r="X90" s="1" t="s">
        <v>74</v>
      </c>
      <c r="Y90" s="1" t="s">
        <v>74</v>
      </c>
      <c r="Z90" s="1" t="s">
        <v>74</v>
      </c>
      <c r="AA90" s="1" t="s">
        <v>999</v>
      </c>
      <c r="AB90" s="1" t="s">
        <v>74</v>
      </c>
      <c r="AC90" s="1" t="s">
        <v>74</v>
      </c>
      <c r="AD90" s="1" t="s">
        <v>74</v>
      </c>
      <c r="AE90" s="1" t="s">
        <v>74</v>
      </c>
      <c r="AF90" s="1" t="s">
        <v>74</v>
      </c>
      <c r="AG90" s="1" t="s">
        <v>74</v>
      </c>
      <c r="AH90" s="1" t="s">
        <v>74</v>
      </c>
      <c r="AI90" s="1" t="s">
        <v>74</v>
      </c>
      <c r="AJ90" s="1" t="s">
        <v>74</v>
      </c>
      <c r="AK90" s="1" t="s">
        <v>74</v>
      </c>
      <c r="AL90" s="1" t="s">
        <v>74</v>
      </c>
      <c r="AM90" s="1" t="s">
        <v>74</v>
      </c>
      <c r="AN90" s="1" t="s">
        <v>74</v>
      </c>
      <c r="AO90" s="1" t="s">
        <v>1000</v>
      </c>
      <c r="AP90" s="1" t="s">
        <v>1001</v>
      </c>
      <c r="AQ90" s="1" t="s">
        <v>74</v>
      </c>
      <c r="AR90" s="1" t="s">
        <v>74</v>
      </c>
      <c r="AS90" s="1" t="s">
        <v>74</v>
      </c>
      <c r="AT90" s="1" t="s">
        <v>1002</v>
      </c>
      <c r="AU90" s="1">
        <v>2014.0</v>
      </c>
      <c r="AV90" s="1">
        <v>89.0</v>
      </c>
      <c r="AW90" s="1">
        <v>4.0</v>
      </c>
      <c r="AX90" s="1" t="s">
        <v>74</v>
      </c>
      <c r="AY90" s="1" t="s">
        <v>74</v>
      </c>
      <c r="AZ90" s="1" t="s">
        <v>74</v>
      </c>
      <c r="BA90" s="1" t="s">
        <v>74</v>
      </c>
      <c r="BB90" s="1" t="s">
        <v>74</v>
      </c>
      <c r="BC90" s="1" t="s">
        <v>74</v>
      </c>
      <c r="BD90" s="1">
        <v>45017.0</v>
      </c>
      <c r="BE90" s="1" t="s">
        <v>1003</v>
      </c>
      <c r="BF90" s="2" t="str">
        <f>HYPERLINK("http://dx.doi.org/10.1103/PhysRevD.89.045017","http://dx.doi.org/10.1103/PhysRevD.89.045017")</f>
        <v>http://dx.doi.org/10.1103/PhysRevD.89.045017</v>
      </c>
      <c r="BG90" s="1" t="s">
        <v>74</v>
      </c>
      <c r="BH90" s="1" t="s">
        <v>74</v>
      </c>
      <c r="BI90" s="1" t="s">
        <v>74</v>
      </c>
      <c r="BJ90" s="1" t="s">
        <v>74</v>
      </c>
      <c r="BK90" s="1" t="s">
        <v>74</v>
      </c>
      <c r="BL90" s="1" t="s">
        <v>74</v>
      </c>
      <c r="BM90" s="1" t="s">
        <v>74</v>
      </c>
      <c r="BN90" s="1" t="s">
        <v>74</v>
      </c>
      <c r="BO90" s="1" t="s">
        <v>74</v>
      </c>
      <c r="BP90" s="1" t="s">
        <v>74</v>
      </c>
      <c r="BQ90" s="1" t="s">
        <v>74</v>
      </c>
      <c r="BR90" s="1" t="s">
        <v>74</v>
      </c>
      <c r="BS90" s="1" t="s">
        <v>1004</v>
      </c>
      <c r="BT90" s="1" t="str">
        <f>HYPERLINK("https%3A%2F%2Fwww.webofscience.com%2Fwos%2Fwoscc%2Ffull-record%2FWOS:000332172200013","View Full Record in Web of Science")</f>
        <v>View Full Record in Web of Science</v>
      </c>
    </row>
    <row r="91" ht="12.75" customHeight="1">
      <c r="A91" s="1" t="s">
        <v>147</v>
      </c>
      <c r="B91" s="1" t="s">
        <v>1005</v>
      </c>
      <c r="C91" s="1" t="s">
        <v>74</v>
      </c>
      <c r="D91" s="1" t="s">
        <v>74</v>
      </c>
      <c r="E91" s="1" t="s">
        <v>793</v>
      </c>
      <c r="F91" s="1" t="s">
        <v>1006</v>
      </c>
      <c r="G91" s="1" t="s">
        <v>74</v>
      </c>
      <c r="H91" s="1" t="s">
        <v>74</v>
      </c>
      <c r="I91" s="1" t="s">
        <v>1007</v>
      </c>
      <c r="J91" s="1" t="s">
        <v>1008</v>
      </c>
      <c r="K91" s="1" t="s">
        <v>74</v>
      </c>
      <c r="L91" s="1" t="s">
        <v>74</v>
      </c>
      <c r="M91" s="1" t="s">
        <v>74</v>
      </c>
      <c r="N91" s="1" t="s">
        <v>74</v>
      </c>
      <c r="O91" s="1" t="s">
        <v>1009</v>
      </c>
      <c r="P91" s="1" t="s">
        <v>1010</v>
      </c>
      <c r="Q91" s="1" t="s">
        <v>1011</v>
      </c>
      <c r="R91" s="1" t="s">
        <v>74</v>
      </c>
      <c r="S91" s="1" t="s">
        <v>74</v>
      </c>
      <c r="T91" s="1" t="s">
        <v>74</v>
      </c>
      <c r="U91" s="1" t="s">
        <v>74</v>
      </c>
      <c r="V91" s="1" t="s">
        <v>1012</v>
      </c>
      <c r="W91" s="1" t="s">
        <v>74</v>
      </c>
      <c r="X91" s="1" t="s">
        <v>74</v>
      </c>
      <c r="Y91" s="1" t="s">
        <v>74</v>
      </c>
      <c r="Z91" s="1" t="s">
        <v>74</v>
      </c>
      <c r="AA91" s="1" t="s">
        <v>1013</v>
      </c>
      <c r="AB91" s="1" t="s">
        <v>1014</v>
      </c>
      <c r="AC91" s="1" t="s">
        <v>74</v>
      </c>
      <c r="AD91" s="1" t="s">
        <v>74</v>
      </c>
      <c r="AE91" s="1" t="s">
        <v>74</v>
      </c>
      <c r="AF91" s="1" t="s">
        <v>74</v>
      </c>
      <c r="AG91" s="1" t="s">
        <v>74</v>
      </c>
      <c r="AH91" s="1" t="s">
        <v>74</v>
      </c>
      <c r="AI91" s="1" t="s">
        <v>74</v>
      </c>
      <c r="AJ91" s="1" t="s">
        <v>74</v>
      </c>
      <c r="AK91" s="1" t="s">
        <v>74</v>
      </c>
      <c r="AL91" s="1" t="s">
        <v>74</v>
      </c>
      <c r="AM91" s="1" t="s">
        <v>74</v>
      </c>
      <c r="AN91" s="1" t="s">
        <v>74</v>
      </c>
      <c r="AO91" s="1" t="s">
        <v>74</v>
      </c>
      <c r="AP91" s="1" t="s">
        <v>74</v>
      </c>
      <c r="AQ91" s="1" t="s">
        <v>1015</v>
      </c>
      <c r="AR91" s="1" t="s">
        <v>74</v>
      </c>
      <c r="AS91" s="1" t="s">
        <v>74</v>
      </c>
      <c r="AT91" s="1" t="s">
        <v>74</v>
      </c>
      <c r="AU91" s="1">
        <v>2014.0</v>
      </c>
      <c r="AV91" s="1" t="s">
        <v>74</v>
      </c>
      <c r="AW91" s="1" t="s">
        <v>74</v>
      </c>
      <c r="AX91" s="1" t="s">
        <v>74</v>
      </c>
      <c r="AY91" s="1" t="s">
        <v>74</v>
      </c>
      <c r="AZ91" s="1" t="s">
        <v>74</v>
      </c>
      <c r="BA91" s="1" t="s">
        <v>74</v>
      </c>
      <c r="BB91" s="1">
        <v>754.0</v>
      </c>
      <c r="BC91" s="1">
        <v>757.0</v>
      </c>
      <c r="BD91" s="1" t="s">
        <v>74</v>
      </c>
      <c r="BE91" s="1" t="s">
        <v>74</v>
      </c>
      <c r="BF91" s="1" t="s">
        <v>74</v>
      </c>
      <c r="BG91" s="1" t="s">
        <v>74</v>
      </c>
      <c r="BH91" s="1" t="s">
        <v>74</v>
      </c>
      <c r="BI91" s="1" t="s">
        <v>74</v>
      </c>
      <c r="BJ91" s="1" t="s">
        <v>74</v>
      </c>
      <c r="BK91" s="1" t="s">
        <v>74</v>
      </c>
      <c r="BL91" s="1" t="s">
        <v>74</v>
      </c>
      <c r="BM91" s="1" t="s">
        <v>74</v>
      </c>
      <c r="BN91" s="1" t="s">
        <v>74</v>
      </c>
      <c r="BO91" s="1" t="s">
        <v>74</v>
      </c>
      <c r="BP91" s="1" t="s">
        <v>74</v>
      </c>
      <c r="BQ91" s="1" t="s">
        <v>74</v>
      </c>
      <c r="BR91" s="1" t="s">
        <v>74</v>
      </c>
      <c r="BS91" s="1" t="s">
        <v>1016</v>
      </c>
      <c r="BT91" s="1" t="str">
        <f>HYPERLINK("https%3A%2F%2Fwww.webofscience.com%2Fwos%2Fwoscc%2Ffull-record%2FWOS:000354963600141","View Full Record in Web of Science")</f>
        <v>View Full Record in Web of Science</v>
      </c>
    </row>
    <row r="92" ht="12.75" customHeight="1">
      <c r="A92" s="1" t="s">
        <v>147</v>
      </c>
      <c r="B92" s="1" t="s">
        <v>1017</v>
      </c>
      <c r="C92" s="1" t="s">
        <v>74</v>
      </c>
      <c r="D92" s="1" t="s">
        <v>1018</v>
      </c>
      <c r="E92" s="1" t="s">
        <v>74</v>
      </c>
      <c r="F92" s="1" t="s">
        <v>1019</v>
      </c>
      <c r="G92" s="1" t="s">
        <v>74</v>
      </c>
      <c r="H92" s="1" t="s">
        <v>74</v>
      </c>
      <c r="I92" s="1" t="s">
        <v>1020</v>
      </c>
      <c r="J92" s="1" t="s">
        <v>1021</v>
      </c>
      <c r="K92" s="1" t="s">
        <v>1022</v>
      </c>
      <c r="L92" s="1" t="s">
        <v>74</v>
      </c>
      <c r="M92" s="1" t="s">
        <v>74</v>
      </c>
      <c r="N92" s="1" t="s">
        <v>74</v>
      </c>
      <c r="O92" s="1" t="s">
        <v>1023</v>
      </c>
      <c r="P92" s="1" t="s">
        <v>1024</v>
      </c>
      <c r="Q92" s="1" t="s">
        <v>1025</v>
      </c>
      <c r="R92" s="1" t="s">
        <v>74</v>
      </c>
      <c r="S92" s="1" t="s">
        <v>74</v>
      </c>
      <c r="T92" s="1" t="s">
        <v>74</v>
      </c>
      <c r="U92" s="1" t="s">
        <v>74</v>
      </c>
      <c r="V92" s="1" t="s">
        <v>1026</v>
      </c>
      <c r="W92" s="1" t="s">
        <v>74</v>
      </c>
      <c r="X92" s="1" t="s">
        <v>74</v>
      </c>
      <c r="Y92" s="1" t="s">
        <v>74</v>
      </c>
      <c r="Z92" s="1" t="s">
        <v>74</v>
      </c>
      <c r="AA92" s="1" t="s">
        <v>1027</v>
      </c>
      <c r="AB92" s="1" t="s">
        <v>1028</v>
      </c>
      <c r="AC92" s="1" t="s">
        <v>74</v>
      </c>
      <c r="AD92" s="1" t="s">
        <v>74</v>
      </c>
      <c r="AE92" s="1" t="s">
        <v>74</v>
      </c>
      <c r="AF92" s="1" t="s">
        <v>74</v>
      </c>
      <c r="AG92" s="1" t="s">
        <v>74</v>
      </c>
      <c r="AH92" s="1" t="s">
        <v>74</v>
      </c>
      <c r="AI92" s="1" t="s">
        <v>74</v>
      </c>
      <c r="AJ92" s="1" t="s">
        <v>74</v>
      </c>
      <c r="AK92" s="1" t="s">
        <v>74</v>
      </c>
      <c r="AL92" s="1" t="s">
        <v>74</v>
      </c>
      <c r="AM92" s="1" t="s">
        <v>74</v>
      </c>
      <c r="AN92" s="1" t="s">
        <v>74</v>
      </c>
      <c r="AO92" s="1" t="s">
        <v>1029</v>
      </c>
      <c r="AP92" s="1" t="s">
        <v>1030</v>
      </c>
      <c r="AQ92" s="1" t="s">
        <v>1031</v>
      </c>
      <c r="AR92" s="1" t="s">
        <v>74</v>
      </c>
      <c r="AS92" s="1" t="s">
        <v>74</v>
      </c>
      <c r="AT92" s="1" t="s">
        <v>74</v>
      </c>
      <c r="AU92" s="1">
        <v>2013.0</v>
      </c>
      <c r="AV92" s="1">
        <v>172.0</v>
      </c>
      <c r="AW92" s="1" t="s">
        <v>74</v>
      </c>
      <c r="AX92" s="1" t="s">
        <v>74</v>
      </c>
      <c r="AY92" s="1" t="s">
        <v>74</v>
      </c>
      <c r="AZ92" s="1" t="s">
        <v>74</v>
      </c>
      <c r="BA92" s="1" t="s">
        <v>74</v>
      </c>
      <c r="BB92" s="1">
        <v>353.0</v>
      </c>
      <c r="BC92" s="1" t="s">
        <v>265</v>
      </c>
      <c r="BD92" s="1" t="s">
        <v>74</v>
      </c>
      <c r="BE92" s="1" t="s">
        <v>74</v>
      </c>
      <c r="BF92" s="1" t="s">
        <v>74</v>
      </c>
      <c r="BG92" s="1" t="s">
        <v>74</v>
      </c>
      <c r="BH92" s="1" t="s">
        <v>74</v>
      </c>
      <c r="BI92" s="1" t="s">
        <v>74</v>
      </c>
      <c r="BJ92" s="1" t="s">
        <v>74</v>
      </c>
      <c r="BK92" s="1" t="s">
        <v>74</v>
      </c>
      <c r="BL92" s="1" t="s">
        <v>74</v>
      </c>
      <c r="BM92" s="1" t="s">
        <v>74</v>
      </c>
      <c r="BN92" s="1" t="s">
        <v>74</v>
      </c>
      <c r="BO92" s="1" t="s">
        <v>74</v>
      </c>
      <c r="BP92" s="1" t="s">
        <v>74</v>
      </c>
      <c r="BQ92" s="1" t="s">
        <v>74</v>
      </c>
      <c r="BR92" s="1" t="s">
        <v>74</v>
      </c>
      <c r="BS92" s="1" t="s">
        <v>1032</v>
      </c>
      <c r="BT92" s="1" t="str">
        <f>HYPERLINK("https%3A%2F%2Fwww.webofscience.com%2Fwos%2Fwoscc%2Ffull-record%2FWOS:000312508900032","View Full Record in Web of Science")</f>
        <v>View Full Record in Web of Science</v>
      </c>
    </row>
    <row r="93" ht="12.75" customHeight="1">
      <c r="A93" s="1" t="s">
        <v>72</v>
      </c>
      <c r="B93" s="1" t="s">
        <v>1033</v>
      </c>
      <c r="C93" s="1" t="s">
        <v>74</v>
      </c>
      <c r="D93" s="1" t="s">
        <v>74</v>
      </c>
      <c r="E93" s="1" t="s">
        <v>74</v>
      </c>
      <c r="F93" s="1" t="s">
        <v>1034</v>
      </c>
      <c r="G93" s="1" t="s">
        <v>74</v>
      </c>
      <c r="H93" s="1" t="s">
        <v>74</v>
      </c>
      <c r="I93" s="1" t="s">
        <v>1035</v>
      </c>
      <c r="J93" s="1" t="s">
        <v>1036</v>
      </c>
      <c r="K93" s="1" t="s">
        <v>74</v>
      </c>
      <c r="L93" s="1" t="s">
        <v>74</v>
      </c>
      <c r="M93" s="1" t="s">
        <v>74</v>
      </c>
      <c r="N93" s="1" t="s">
        <v>74</v>
      </c>
      <c r="O93" s="1" t="s">
        <v>74</v>
      </c>
      <c r="P93" s="1" t="s">
        <v>74</v>
      </c>
      <c r="Q93" s="1" t="s">
        <v>74</v>
      </c>
      <c r="R93" s="1" t="s">
        <v>74</v>
      </c>
      <c r="S93" s="1" t="s">
        <v>74</v>
      </c>
      <c r="T93" s="1" t="s">
        <v>74</v>
      </c>
      <c r="U93" s="1" t="s">
        <v>74</v>
      </c>
      <c r="V93" s="1" t="s">
        <v>1037</v>
      </c>
      <c r="W93" s="1" t="s">
        <v>74</v>
      </c>
      <c r="X93" s="1" t="s">
        <v>74</v>
      </c>
      <c r="Y93" s="1" t="s">
        <v>74</v>
      </c>
      <c r="Z93" s="1" t="s">
        <v>74</v>
      </c>
      <c r="AA93" s="1" t="s">
        <v>1038</v>
      </c>
      <c r="AB93" s="1" t="s">
        <v>1039</v>
      </c>
      <c r="AC93" s="1" t="s">
        <v>74</v>
      </c>
      <c r="AD93" s="1" t="s">
        <v>74</v>
      </c>
      <c r="AE93" s="1" t="s">
        <v>74</v>
      </c>
      <c r="AF93" s="1" t="s">
        <v>74</v>
      </c>
      <c r="AG93" s="1" t="s">
        <v>74</v>
      </c>
      <c r="AH93" s="1" t="s">
        <v>74</v>
      </c>
      <c r="AI93" s="1" t="s">
        <v>74</v>
      </c>
      <c r="AJ93" s="1" t="s">
        <v>74</v>
      </c>
      <c r="AK93" s="1" t="s">
        <v>74</v>
      </c>
      <c r="AL93" s="1" t="s">
        <v>74</v>
      </c>
      <c r="AM93" s="1" t="s">
        <v>74</v>
      </c>
      <c r="AN93" s="1" t="s">
        <v>74</v>
      </c>
      <c r="AO93" s="1" t="s">
        <v>1040</v>
      </c>
      <c r="AP93" s="1" t="s">
        <v>1041</v>
      </c>
      <c r="AQ93" s="1" t="s">
        <v>74</v>
      </c>
      <c r="AR93" s="1" t="s">
        <v>74</v>
      </c>
      <c r="AS93" s="1" t="s">
        <v>74</v>
      </c>
      <c r="AT93" s="1" t="s">
        <v>112</v>
      </c>
      <c r="AU93" s="1">
        <v>2012.0</v>
      </c>
      <c r="AV93" s="1">
        <v>35.0</v>
      </c>
      <c r="AW93" s="1">
        <v>22.0</v>
      </c>
      <c r="AX93" s="1" t="s">
        <v>74</v>
      </c>
      <c r="AY93" s="1" t="s">
        <v>74</v>
      </c>
      <c r="AZ93" s="1" t="s">
        <v>1042</v>
      </c>
      <c r="BA93" s="1" t="s">
        <v>74</v>
      </c>
      <c r="BB93" s="1">
        <v>3184.0</v>
      </c>
      <c r="BC93" s="1">
        <v>3189.0</v>
      </c>
      <c r="BD93" s="1" t="s">
        <v>74</v>
      </c>
      <c r="BE93" s="1" t="s">
        <v>1043</v>
      </c>
      <c r="BF93" s="2" t="str">
        <f>HYPERLINK("http://dx.doi.org/10.1002/jssc.201200646","http://dx.doi.org/10.1002/jssc.201200646")</f>
        <v>http://dx.doi.org/10.1002/jssc.201200646</v>
      </c>
      <c r="BG93" s="1" t="s">
        <v>74</v>
      </c>
      <c r="BH93" s="1" t="s">
        <v>74</v>
      </c>
      <c r="BI93" s="1" t="s">
        <v>74</v>
      </c>
      <c r="BJ93" s="1" t="s">
        <v>74</v>
      </c>
      <c r="BK93" s="1" t="s">
        <v>74</v>
      </c>
      <c r="BL93" s="1" t="s">
        <v>74</v>
      </c>
      <c r="BM93" s="1" t="s">
        <v>74</v>
      </c>
      <c r="BN93" s="1">
        <v>2.3034895E7</v>
      </c>
      <c r="BO93" s="1" t="s">
        <v>74</v>
      </c>
      <c r="BP93" s="1" t="s">
        <v>74</v>
      </c>
      <c r="BQ93" s="1" t="s">
        <v>74</v>
      </c>
      <c r="BR93" s="1" t="s">
        <v>74</v>
      </c>
      <c r="BS93" s="1" t="s">
        <v>1044</v>
      </c>
      <c r="BT93" s="1" t="str">
        <f>HYPERLINK("https%3A%2F%2Fwww.webofscience.com%2Fwos%2Fwoscc%2Ffull-record%2FWOS:000311415200018","View Full Record in Web of Science")</f>
        <v>View Full Record in Web of Science</v>
      </c>
    </row>
    <row r="94" ht="12.75" customHeight="1">
      <c r="A94" s="1" t="s">
        <v>72</v>
      </c>
      <c r="B94" s="1" t="s">
        <v>1045</v>
      </c>
      <c r="C94" s="1" t="s">
        <v>74</v>
      </c>
      <c r="D94" s="1" t="s">
        <v>74</v>
      </c>
      <c r="E94" s="1" t="s">
        <v>74</v>
      </c>
      <c r="F94" s="1" t="s">
        <v>1046</v>
      </c>
      <c r="G94" s="1" t="s">
        <v>74</v>
      </c>
      <c r="H94" s="1" t="s">
        <v>74</v>
      </c>
      <c r="I94" s="1" t="s">
        <v>1047</v>
      </c>
      <c r="J94" s="1" t="s">
        <v>1048</v>
      </c>
      <c r="K94" s="1" t="s">
        <v>74</v>
      </c>
      <c r="L94" s="1" t="s">
        <v>74</v>
      </c>
      <c r="M94" s="1" t="s">
        <v>74</v>
      </c>
      <c r="N94" s="1" t="s">
        <v>74</v>
      </c>
      <c r="O94" s="1" t="s">
        <v>1049</v>
      </c>
      <c r="P94" s="1" t="s">
        <v>1050</v>
      </c>
      <c r="Q94" s="1" t="s">
        <v>1051</v>
      </c>
      <c r="R94" s="1" t="s">
        <v>1052</v>
      </c>
      <c r="S94" s="1" t="s">
        <v>74</v>
      </c>
      <c r="T94" s="1" t="s">
        <v>74</v>
      </c>
      <c r="U94" s="1" t="s">
        <v>74</v>
      </c>
      <c r="V94" s="1" t="s">
        <v>1053</v>
      </c>
      <c r="W94" s="1" t="s">
        <v>74</v>
      </c>
      <c r="X94" s="1" t="s">
        <v>74</v>
      </c>
      <c r="Y94" s="1" t="s">
        <v>74</v>
      </c>
      <c r="Z94" s="1" t="s">
        <v>74</v>
      </c>
      <c r="AA94" s="1" t="s">
        <v>1054</v>
      </c>
      <c r="AB94" s="1" t="s">
        <v>1055</v>
      </c>
      <c r="AC94" s="1" t="s">
        <v>74</v>
      </c>
      <c r="AD94" s="1" t="s">
        <v>74</v>
      </c>
      <c r="AE94" s="1" t="s">
        <v>74</v>
      </c>
      <c r="AF94" s="1" t="s">
        <v>74</v>
      </c>
      <c r="AG94" s="1" t="s">
        <v>74</v>
      </c>
      <c r="AH94" s="1" t="s">
        <v>74</v>
      </c>
      <c r="AI94" s="1" t="s">
        <v>74</v>
      </c>
      <c r="AJ94" s="1" t="s">
        <v>74</v>
      </c>
      <c r="AK94" s="1" t="s">
        <v>74</v>
      </c>
      <c r="AL94" s="1" t="s">
        <v>74</v>
      </c>
      <c r="AM94" s="1" t="s">
        <v>74</v>
      </c>
      <c r="AN94" s="1" t="s">
        <v>74</v>
      </c>
      <c r="AO94" s="1" t="s">
        <v>1056</v>
      </c>
      <c r="AP94" s="1" t="s">
        <v>1057</v>
      </c>
      <c r="AQ94" s="1" t="s">
        <v>74</v>
      </c>
      <c r="AR94" s="1" t="s">
        <v>74</v>
      </c>
      <c r="AS94" s="1" t="s">
        <v>74</v>
      </c>
      <c r="AT94" s="1" t="s">
        <v>363</v>
      </c>
      <c r="AU94" s="1">
        <v>2012.0</v>
      </c>
      <c r="AV94" s="1">
        <v>97.0</v>
      </c>
      <c r="AW94" s="1">
        <v>10.0</v>
      </c>
      <c r="AX94" s="1" t="s">
        <v>74</v>
      </c>
      <c r="AY94" s="1" t="s">
        <v>74</v>
      </c>
      <c r="AZ94" s="1" t="s">
        <v>1042</v>
      </c>
      <c r="BA94" s="1" t="s">
        <v>74</v>
      </c>
      <c r="BB94" s="1">
        <v>1996.0</v>
      </c>
      <c r="BC94" s="1">
        <v>2001.0</v>
      </c>
      <c r="BD94" s="1" t="s">
        <v>74</v>
      </c>
      <c r="BE94" s="1" t="s">
        <v>1058</v>
      </c>
      <c r="BF94" s="2" t="str">
        <f>HYPERLINK("http://dx.doi.org/10.1016/j.polymdegradstab.2012.06.003","http://dx.doi.org/10.1016/j.polymdegradstab.2012.06.003")</f>
        <v>http://dx.doi.org/10.1016/j.polymdegradstab.2012.06.003</v>
      </c>
      <c r="BG94" s="1" t="s">
        <v>74</v>
      </c>
      <c r="BH94" s="1" t="s">
        <v>74</v>
      </c>
      <c r="BI94" s="1" t="s">
        <v>74</v>
      </c>
      <c r="BJ94" s="1" t="s">
        <v>74</v>
      </c>
      <c r="BK94" s="1" t="s">
        <v>74</v>
      </c>
      <c r="BL94" s="1" t="s">
        <v>74</v>
      </c>
      <c r="BM94" s="1" t="s">
        <v>74</v>
      </c>
      <c r="BN94" s="1" t="s">
        <v>74</v>
      </c>
      <c r="BO94" s="1" t="s">
        <v>74</v>
      </c>
      <c r="BP94" s="1" t="s">
        <v>74</v>
      </c>
      <c r="BQ94" s="1" t="s">
        <v>74</v>
      </c>
      <c r="BR94" s="1" t="s">
        <v>74</v>
      </c>
      <c r="BS94" s="1" t="s">
        <v>1059</v>
      </c>
      <c r="BT94" s="1" t="str">
        <f>HYPERLINK("https%3A%2F%2Fwww.webofscience.com%2Fwos%2Fwoscc%2Ffull-record%2FWOS:000309087900018","View Full Record in Web of Science")</f>
        <v>View Full Record in Web of Science</v>
      </c>
    </row>
    <row r="95" ht="12.75" customHeight="1">
      <c r="A95" s="1" t="s">
        <v>72</v>
      </c>
      <c r="B95" s="1" t="s">
        <v>1060</v>
      </c>
      <c r="C95" s="1" t="s">
        <v>74</v>
      </c>
      <c r="D95" s="1" t="s">
        <v>74</v>
      </c>
      <c r="E95" s="1" t="s">
        <v>74</v>
      </c>
      <c r="F95" s="1" t="s">
        <v>1061</v>
      </c>
      <c r="G95" s="1" t="s">
        <v>74</v>
      </c>
      <c r="H95" s="1" t="s">
        <v>74</v>
      </c>
      <c r="I95" s="1" t="s">
        <v>1062</v>
      </c>
      <c r="J95" s="1" t="s">
        <v>1063</v>
      </c>
      <c r="K95" s="1" t="s">
        <v>74</v>
      </c>
      <c r="L95" s="1" t="s">
        <v>74</v>
      </c>
      <c r="M95" s="1" t="s">
        <v>74</v>
      </c>
      <c r="N95" s="1" t="s">
        <v>74</v>
      </c>
      <c r="O95" s="1" t="s">
        <v>74</v>
      </c>
      <c r="P95" s="1" t="s">
        <v>74</v>
      </c>
      <c r="Q95" s="1" t="s">
        <v>74</v>
      </c>
      <c r="R95" s="1" t="s">
        <v>74</v>
      </c>
      <c r="S95" s="1" t="s">
        <v>74</v>
      </c>
      <c r="T95" s="1" t="s">
        <v>74</v>
      </c>
      <c r="U95" s="1" t="s">
        <v>74</v>
      </c>
      <c r="V95" s="1" t="s">
        <v>74</v>
      </c>
      <c r="W95" s="1" t="s">
        <v>74</v>
      </c>
      <c r="X95" s="1" t="s">
        <v>74</v>
      </c>
      <c r="Y95" s="1" t="s">
        <v>74</v>
      </c>
      <c r="Z95" s="1" t="s">
        <v>74</v>
      </c>
      <c r="AA95" s="1" t="s">
        <v>1064</v>
      </c>
      <c r="AB95" s="1" t="s">
        <v>74</v>
      </c>
      <c r="AC95" s="1" t="s">
        <v>74</v>
      </c>
      <c r="AD95" s="1" t="s">
        <v>74</v>
      </c>
      <c r="AE95" s="1" t="s">
        <v>74</v>
      </c>
      <c r="AF95" s="1" t="s">
        <v>74</v>
      </c>
      <c r="AG95" s="1" t="s">
        <v>74</v>
      </c>
      <c r="AH95" s="1" t="s">
        <v>74</v>
      </c>
      <c r="AI95" s="1" t="s">
        <v>74</v>
      </c>
      <c r="AJ95" s="1" t="s">
        <v>74</v>
      </c>
      <c r="AK95" s="1" t="s">
        <v>74</v>
      </c>
      <c r="AL95" s="1" t="s">
        <v>74</v>
      </c>
      <c r="AM95" s="1" t="s">
        <v>74</v>
      </c>
      <c r="AN95" s="1" t="s">
        <v>74</v>
      </c>
      <c r="AO95" s="1" t="s">
        <v>1065</v>
      </c>
      <c r="AP95" s="1" t="s">
        <v>1066</v>
      </c>
      <c r="AQ95" s="1" t="s">
        <v>74</v>
      </c>
      <c r="AR95" s="1" t="s">
        <v>74</v>
      </c>
      <c r="AS95" s="1" t="s">
        <v>74</v>
      </c>
      <c r="AT95" s="1" t="s">
        <v>379</v>
      </c>
      <c r="AU95" s="1">
        <v>2010.0</v>
      </c>
      <c r="AV95" s="1">
        <v>30.0</v>
      </c>
      <c r="AW95" s="1">
        <v>9.0</v>
      </c>
      <c r="AX95" s="1" t="s">
        <v>74</v>
      </c>
      <c r="AY95" s="1" t="s">
        <v>74</v>
      </c>
      <c r="AZ95" s="1" t="s">
        <v>74</v>
      </c>
      <c r="BA95" s="1" t="s">
        <v>74</v>
      </c>
      <c r="BB95" s="1">
        <v>899.0</v>
      </c>
      <c r="BC95" s="1">
        <v>901.0</v>
      </c>
      <c r="BD95" s="1" t="s">
        <v>74</v>
      </c>
      <c r="BE95" s="1" t="s">
        <v>1067</v>
      </c>
      <c r="BF95" s="2" t="str">
        <f>HYPERLINK("http://dx.doi.org/10.1002/pd.2560","http://dx.doi.org/10.1002/pd.2560")</f>
        <v>http://dx.doi.org/10.1002/pd.2560</v>
      </c>
      <c r="BG95" s="1" t="s">
        <v>74</v>
      </c>
      <c r="BH95" s="1" t="s">
        <v>74</v>
      </c>
      <c r="BI95" s="1" t="s">
        <v>74</v>
      </c>
      <c r="BJ95" s="1" t="s">
        <v>74</v>
      </c>
      <c r="BK95" s="1" t="s">
        <v>74</v>
      </c>
      <c r="BL95" s="1" t="s">
        <v>74</v>
      </c>
      <c r="BM95" s="1" t="s">
        <v>74</v>
      </c>
      <c r="BN95" s="1">
        <v>2.0583327E7</v>
      </c>
      <c r="BO95" s="1" t="s">
        <v>74</v>
      </c>
      <c r="BP95" s="1" t="s">
        <v>74</v>
      </c>
      <c r="BQ95" s="1" t="s">
        <v>74</v>
      </c>
      <c r="BR95" s="1" t="s">
        <v>74</v>
      </c>
      <c r="BS95" s="1" t="s">
        <v>1068</v>
      </c>
      <c r="BT95" s="1" t="str">
        <f>HYPERLINK("https%3A%2F%2Fwww.webofscience.com%2Fwos%2Fwoscc%2Ffull-record%2FWOS:000282079600015","View Full Record in Web of Science")</f>
        <v>View Full Record in Web of Science</v>
      </c>
    </row>
    <row r="96" ht="12.75" customHeight="1">
      <c r="A96" s="1" t="s">
        <v>72</v>
      </c>
      <c r="B96" s="1" t="s">
        <v>1069</v>
      </c>
      <c r="C96" s="1" t="s">
        <v>74</v>
      </c>
      <c r="D96" s="1" t="s">
        <v>74</v>
      </c>
      <c r="E96" s="1" t="s">
        <v>74</v>
      </c>
      <c r="F96" s="1" t="s">
        <v>1070</v>
      </c>
      <c r="G96" s="1" t="s">
        <v>74</v>
      </c>
      <c r="H96" s="1" t="s">
        <v>74</v>
      </c>
      <c r="I96" s="1" t="s">
        <v>1071</v>
      </c>
      <c r="J96" s="1" t="s">
        <v>1072</v>
      </c>
      <c r="K96" s="1" t="s">
        <v>74</v>
      </c>
      <c r="L96" s="1" t="s">
        <v>74</v>
      </c>
      <c r="M96" s="1" t="s">
        <v>74</v>
      </c>
      <c r="N96" s="1" t="s">
        <v>74</v>
      </c>
      <c r="O96" s="1" t="s">
        <v>74</v>
      </c>
      <c r="P96" s="1" t="s">
        <v>74</v>
      </c>
      <c r="Q96" s="1" t="s">
        <v>74</v>
      </c>
      <c r="R96" s="1" t="s">
        <v>74</v>
      </c>
      <c r="S96" s="1" t="s">
        <v>74</v>
      </c>
      <c r="T96" s="1" t="s">
        <v>74</v>
      </c>
      <c r="U96" s="1" t="s">
        <v>74</v>
      </c>
      <c r="V96" s="1" t="s">
        <v>1073</v>
      </c>
      <c r="W96" s="1" t="s">
        <v>74</v>
      </c>
      <c r="X96" s="1" t="s">
        <v>74</v>
      </c>
      <c r="Y96" s="1" t="s">
        <v>74</v>
      </c>
      <c r="Z96" s="1" t="s">
        <v>74</v>
      </c>
      <c r="AA96" s="1" t="s">
        <v>1074</v>
      </c>
      <c r="AB96" s="1" t="s">
        <v>197</v>
      </c>
      <c r="AC96" s="1" t="s">
        <v>74</v>
      </c>
      <c r="AD96" s="1" t="s">
        <v>74</v>
      </c>
      <c r="AE96" s="1" t="s">
        <v>74</v>
      </c>
      <c r="AF96" s="1" t="s">
        <v>74</v>
      </c>
      <c r="AG96" s="1" t="s">
        <v>74</v>
      </c>
      <c r="AH96" s="1" t="s">
        <v>74</v>
      </c>
      <c r="AI96" s="1" t="s">
        <v>74</v>
      </c>
      <c r="AJ96" s="1" t="s">
        <v>74</v>
      </c>
      <c r="AK96" s="1" t="s">
        <v>74</v>
      </c>
      <c r="AL96" s="1" t="s">
        <v>74</v>
      </c>
      <c r="AM96" s="1" t="s">
        <v>74</v>
      </c>
      <c r="AN96" s="1" t="s">
        <v>74</v>
      </c>
      <c r="AO96" s="1" t="s">
        <v>1075</v>
      </c>
      <c r="AP96" s="1" t="s">
        <v>1076</v>
      </c>
      <c r="AQ96" s="1" t="s">
        <v>74</v>
      </c>
      <c r="AR96" s="1" t="s">
        <v>74</v>
      </c>
      <c r="AS96" s="1" t="s">
        <v>74</v>
      </c>
      <c r="AT96" s="1" t="s">
        <v>74</v>
      </c>
      <c r="AU96" s="1">
        <v>2010.0</v>
      </c>
      <c r="AV96" s="1">
        <v>16.0</v>
      </c>
      <c r="AW96" s="1">
        <v>10.0</v>
      </c>
      <c r="AX96" s="1" t="s">
        <v>74</v>
      </c>
      <c r="AY96" s="1" t="s">
        <v>74</v>
      </c>
      <c r="AZ96" s="1" t="s">
        <v>74</v>
      </c>
      <c r="BA96" s="1" t="s">
        <v>74</v>
      </c>
      <c r="BB96" s="1">
        <v>1165.0</v>
      </c>
      <c r="BC96" s="1">
        <v>1178.0</v>
      </c>
      <c r="BD96" s="1" t="s">
        <v>74</v>
      </c>
      <c r="BE96" s="1" t="s">
        <v>1077</v>
      </c>
      <c r="BF96" s="2" t="str">
        <f>HYPERLINK("http://dx.doi.org/10.1080/10236190902791619","http://dx.doi.org/10.1080/10236190902791619")</f>
        <v>http://dx.doi.org/10.1080/10236190902791619</v>
      </c>
      <c r="BG96" s="1" t="s">
        <v>74</v>
      </c>
      <c r="BH96" s="1" t="s">
        <v>74</v>
      </c>
      <c r="BI96" s="1" t="s">
        <v>74</v>
      </c>
      <c r="BJ96" s="1" t="s">
        <v>74</v>
      </c>
      <c r="BK96" s="1" t="s">
        <v>74</v>
      </c>
      <c r="BL96" s="1" t="s">
        <v>74</v>
      </c>
      <c r="BM96" s="1" t="s">
        <v>74</v>
      </c>
      <c r="BN96" s="1" t="s">
        <v>74</v>
      </c>
      <c r="BO96" s="1" t="s">
        <v>74</v>
      </c>
      <c r="BP96" s="1" t="s">
        <v>74</v>
      </c>
      <c r="BQ96" s="1" t="s">
        <v>74</v>
      </c>
      <c r="BR96" s="1" t="s">
        <v>74</v>
      </c>
      <c r="BS96" s="1" t="s">
        <v>1078</v>
      </c>
      <c r="BT96" s="1" t="str">
        <f>HYPERLINK("https%3A%2F%2Fwww.webofscience.com%2Fwos%2Fwoscc%2Ffull-record%2FWOS:000281893900004","View Full Record in Web of Science")</f>
        <v>View Full Record in Web of Science</v>
      </c>
    </row>
    <row r="97" ht="12.75" customHeight="1">
      <c r="A97" s="1" t="s">
        <v>147</v>
      </c>
      <c r="B97" s="1" t="s">
        <v>1079</v>
      </c>
      <c r="C97" s="1" t="s">
        <v>74</v>
      </c>
      <c r="D97" s="1" t="s">
        <v>1080</v>
      </c>
      <c r="E97" s="1" t="s">
        <v>74</v>
      </c>
      <c r="F97" s="1" t="s">
        <v>1081</v>
      </c>
      <c r="G97" s="1" t="s">
        <v>74</v>
      </c>
      <c r="H97" s="1" t="s">
        <v>74</v>
      </c>
      <c r="I97" s="1" t="s">
        <v>1082</v>
      </c>
      <c r="J97" s="1" t="s">
        <v>1083</v>
      </c>
      <c r="K97" s="1" t="s">
        <v>1084</v>
      </c>
      <c r="L97" s="1" t="s">
        <v>74</v>
      </c>
      <c r="M97" s="1" t="s">
        <v>74</v>
      </c>
      <c r="N97" s="1" t="s">
        <v>74</v>
      </c>
      <c r="O97" s="1" t="s">
        <v>1085</v>
      </c>
      <c r="P97" s="1" t="s">
        <v>1086</v>
      </c>
      <c r="Q97" s="1" t="s">
        <v>1087</v>
      </c>
      <c r="R97" s="1" t="s">
        <v>74</v>
      </c>
      <c r="S97" s="1" t="s">
        <v>1088</v>
      </c>
      <c r="T97" s="1" t="s">
        <v>74</v>
      </c>
      <c r="U97" s="1" t="s">
        <v>74</v>
      </c>
      <c r="V97" s="1" t="s">
        <v>1089</v>
      </c>
      <c r="W97" s="1" t="s">
        <v>74</v>
      </c>
      <c r="X97" s="1" t="s">
        <v>74</v>
      </c>
      <c r="Y97" s="1" t="s">
        <v>74</v>
      </c>
      <c r="Z97" s="1" t="s">
        <v>74</v>
      </c>
      <c r="AA97" s="1" t="s">
        <v>1090</v>
      </c>
      <c r="AB97" s="1" t="s">
        <v>1091</v>
      </c>
      <c r="AC97" s="1" t="s">
        <v>74</v>
      </c>
      <c r="AD97" s="1" t="s">
        <v>74</v>
      </c>
      <c r="AE97" s="1" t="s">
        <v>74</v>
      </c>
      <c r="AF97" s="1" t="s">
        <v>74</v>
      </c>
      <c r="AG97" s="1" t="s">
        <v>74</v>
      </c>
      <c r="AH97" s="1" t="s">
        <v>74</v>
      </c>
      <c r="AI97" s="1" t="s">
        <v>74</v>
      </c>
      <c r="AJ97" s="1" t="s">
        <v>74</v>
      </c>
      <c r="AK97" s="1" t="s">
        <v>74</v>
      </c>
      <c r="AL97" s="1" t="s">
        <v>74</v>
      </c>
      <c r="AM97" s="1" t="s">
        <v>74</v>
      </c>
      <c r="AN97" s="1" t="s">
        <v>74</v>
      </c>
      <c r="AO97" s="1" t="s">
        <v>1092</v>
      </c>
      <c r="AP97" s="1" t="s">
        <v>74</v>
      </c>
      <c r="AQ97" s="1" t="s">
        <v>74</v>
      </c>
      <c r="AR97" s="1" t="s">
        <v>74</v>
      </c>
      <c r="AS97" s="1" t="s">
        <v>74</v>
      </c>
      <c r="AT97" s="1" t="s">
        <v>74</v>
      </c>
      <c r="AU97" s="1">
        <v>2010.0</v>
      </c>
      <c r="AV97" s="1">
        <v>3.0</v>
      </c>
      <c r="AW97" s="1">
        <v>1.0</v>
      </c>
      <c r="AX97" s="1" t="s">
        <v>74</v>
      </c>
      <c r="AY97" s="1" t="s">
        <v>74</v>
      </c>
      <c r="AZ97" s="1" t="s">
        <v>74</v>
      </c>
      <c r="BA97" s="1" t="s">
        <v>74</v>
      </c>
      <c r="BB97" s="1">
        <v>873.0</v>
      </c>
      <c r="BC97" s="1">
        <v>881.0</v>
      </c>
      <c r="BD97" s="1" t="s">
        <v>74</v>
      </c>
      <c r="BE97" s="1" t="s">
        <v>1093</v>
      </c>
      <c r="BF97" s="2" t="str">
        <f>HYPERLINK("http://dx.doi.org/10.1016/j.phpro.2010.01.112","http://dx.doi.org/10.1016/j.phpro.2010.01.112")</f>
        <v>http://dx.doi.org/10.1016/j.phpro.2010.01.112</v>
      </c>
      <c r="BG97" s="1" t="s">
        <v>74</v>
      </c>
      <c r="BH97" s="1" t="s">
        <v>74</v>
      </c>
      <c r="BI97" s="1" t="s">
        <v>74</v>
      </c>
      <c r="BJ97" s="1" t="s">
        <v>74</v>
      </c>
      <c r="BK97" s="1" t="s">
        <v>74</v>
      </c>
      <c r="BL97" s="1" t="s">
        <v>74</v>
      </c>
      <c r="BM97" s="1" t="s">
        <v>74</v>
      </c>
      <c r="BN97" s="1" t="s">
        <v>74</v>
      </c>
      <c r="BO97" s="1" t="s">
        <v>74</v>
      </c>
      <c r="BP97" s="1" t="s">
        <v>74</v>
      </c>
      <c r="BQ97" s="1" t="s">
        <v>74</v>
      </c>
      <c r="BR97" s="1" t="s">
        <v>74</v>
      </c>
      <c r="BS97" s="1" t="s">
        <v>1094</v>
      </c>
      <c r="BT97" s="1" t="str">
        <f>HYPERLINK("https%3A%2F%2Fwww.webofscience.com%2Fwos%2Fwoscc%2Ffull-record%2FWOS:000275913100124","View Full Record in Web of Science")</f>
        <v>View Full Record in Web of Science</v>
      </c>
    </row>
    <row r="98" ht="12.75" customHeight="1">
      <c r="A98" s="1" t="s">
        <v>72</v>
      </c>
      <c r="B98" s="1" t="s">
        <v>1095</v>
      </c>
      <c r="C98" s="1" t="s">
        <v>74</v>
      </c>
      <c r="D98" s="1" t="s">
        <v>74</v>
      </c>
      <c r="E98" s="1" t="s">
        <v>74</v>
      </c>
      <c r="F98" s="1" t="s">
        <v>1096</v>
      </c>
      <c r="G98" s="1" t="s">
        <v>74</v>
      </c>
      <c r="H98" s="1" t="s">
        <v>74</v>
      </c>
      <c r="I98" s="1" t="s">
        <v>1097</v>
      </c>
      <c r="J98" s="1" t="s">
        <v>1098</v>
      </c>
      <c r="K98" s="1" t="s">
        <v>74</v>
      </c>
      <c r="L98" s="1" t="s">
        <v>74</v>
      </c>
      <c r="M98" s="1" t="s">
        <v>74</v>
      </c>
      <c r="N98" s="1" t="s">
        <v>74</v>
      </c>
      <c r="O98" s="1" t="s">
        <v>74</v>
      </c>
      <c r="P98" s="1" t="s">
        <v>74</v>
      </c>
      <c r="Q98" s="1" t="s">
        <v>74</v>
      </c>
      <c r="R98" s="1" t="s">
        <v>74</v>
      </c>
      <c r="S98" s="1" t="s">
        <v>74</v>
      </c>
      <c r="T98" s="1" t="s">
        <v>74</v>
      </c>
      <c r="U98" s="1" t="s">
        <v>74</v>
      </c>
      <c r="V98" s="1" t="s">
        <v>74</v>
      </c>
      <c r="W98" s="1" t="s">
        <v>74</v>
      </c>
      <c r="X98" s="1" t="s">
        <v>74</v>
      </c>
      <c r="Y98" s="1" t="s">
        <v>74</v>
      </c>
      <c r="Z98" s="1" t="s">
        <v>74</v>
      </c>
      <c r="AA98" s="1" t="s">
        <v>74</v>
      </c>
      <c r="AB98" s="1" t="s">
        <v>74</v>
      </c>
      <c r="AC98" s="1" t="s">
        <v>74</v>
      </c>
      <c r="AD98" s="1" t="s">
        <v>74</v>
      </c>
      <c r="AE98" s="1" t="s">
        <v>74</v>
      </c>
      <c r="AF98" s="1" t="s">
        <v>74</v>
      </c>
      <c r="AG98" s="1" t="s">
        <v>74</v>
      </c>
      <c r="AH98" s="1" t="s">
        <v>74</v>
      </c>
      <c r="AI98" s="1" t="s">
        <v>74</v>
      </c>
      <c r="AJ98" s="1" t="s">
        <v>74</v>
      </c>
      <c r="AK98" s="1" t="s">
        <v>74</v>
      </c>
      <c r="AL98" s="1" t="s">
        <v>74</v>
      </c>
      <c r="AM98" s="1" t="s">
        <v>74</v>
      </c>
      <c r="AN98" s="1" t="s">
        <v>74</v>
      </c>
      <c r="AO98" s="1" t="s">
        <v>1099</v>
      </c>
      <c r="AP98" s="1" t="s">
        <v>74</v>
      </c>
      <c r="AQ98" s="1" t="s">
        <v>74</v>
      </c>
      <c r="AR98" s="1" t="s">
        <v>74</v>
      </c>
      <c r="AS98" s="1" t="s">
        <v>74</v>
      </c>
      <c r="AT98" s="1" t="s">
        <v>74</v>
      </c>
      <c r="AU98" s="1">
        <v>2010.0</v>
      </c>
      <c r="AV98" s="1">
        <v>66.0</v>
      </c>
      <c r="AW98" s="1" t="s">
        <v>74</v>
      </c>
      <c r="AX98" s="1" t="s">
        <v>74</v>
      </c>
      <c r="AY98" s="1" t="s">
        <v>341</v>
      </c>
      <c r="AZ98" s="1" t="s">
        <v>74</v>
      </c>
      <c r="BA98" s="1" t="s">
        <v>1100</v>
      </c>
      <c r="BB98" s="1" t="s">
        <v>1101</v>
      </c>
      <c r="BC98" s="1" t="s">
        <v>1101</v>
      </c>
      <c r="BD98" s="1" t="s">
        <v>74</v>
      </c>
      <c r="BE98" s="1" t="s">
        <v>1102</v>
      </c>
      <c r="BF98" s="2" t="str">
        <f>HYPERLINK("http://dx.doi.org/10.1107/S0108767310095905","http://dx.doi.org/10.1107/S0108767310095905")</f>
        <v>http://dx.doi.org/10.1107/S0108767310095905</v>
      </c>
      <c r="BG98" s="1" t="s">
        <v>74</v>
      </c>
      <c r="BH98" s="1" t="s">
        <v>74</v>
      </c>
      <c r="BI98" s="1" t="s">
        <v>74</v>
      </c>
      <c r="BJ98" s="1" t="s">
        <v>74</v>
      </c>
      <c r="BK98" s="1" t="s">
        <v>74</v>
      </c>
      <c r="BL98" s="1" t="s">
        <v>74</v>
      </c>
      <c r="BM98" s="1" t="s">
        <v>74</v>
      </c>
      <c r="BN98" s="1" t="s">
        <v>74</v>
      </c>
      <c r="BO98" s="1" t="s">
        <v>74</v>
      </c>
      <c r="BP98" s="1" t="s">
        <v>74</v>
      </c>
      <c r="BQ98" s="1" t="s">
        <v>74</v>
      </c>
      <c r="BR98" s="1" t="s">
        <v>74</v>
      </c>
      <c r="BS98" s="1" t="s">
        <v>1103</v>
      </c>
      <c r="BT98" s="1" t="str">
        <f>HYPERLINK("https%3A%2F%2Fwww.webofscience.com%2Fwos%2Fwoscc%2Ffull-record%2FWOS:000483128900409","View Full Record in Web of Science")</f>
        <v>View Full Record in Web of Science</v>
      </c>
    </row>
    <row r="99" ht="12.75" customHeight="1">
      <c r="A99" s="1" t="s">
        <v>72</v>
      </c>
      <c r="B99" s="1" t="s">
        <v>1104</v>
      </c>
      <c r="C99" s="1" t="s">
        <v>74</v>
      </c>
      <c r="D99" s="1" t="s">
        <v>74</v>
      </c>
      <c r="E99" s="1" t="s">
        <v>74</v>
      </c>
      <c r="F99" s="1" t="s">
        <v>1105</v>
      </c>
      <c r="G99" s="1" t="s">
        <v>74</v>
      </c>
      <c r="H99" s="1" t="s">
        <v>74</v>
      </c>
      <c r="I99" s="1" t="s">
        <v>1106</v>
      </c>
      <c r="J99" s="1" t="s">
        <v>1107</v>
      </c>
      <c r="K99" s="1" t="s">
        <v>74</v>
      </c>
      <c r="L99" s="1" t="s">
        <v>74</v>
      </c>
      <c r="M99" s="1" t="s">
        <v>74</v>
      </c>
      <c r="N99" s="1" t="s">
        <v>74</v>
      </c>
      <c r="O99" s="1" t="s">
        <v>1108</v>
      </c>
      <c r="P99" s="1">
        <v>2007.0</v>
      </c>
      <c r="Q99" s="1" t="s">
        <v>1109</v>
      </c>
      <c r="R99" s="1" t="s">
        <v>74</v>
      </c>
      <c r="S99" s="1" t="s">
        <v>74</v>
      </c>
      <c r="T99" s="1" t="s">
        <v>74</v>
      </c>
      <c r="U99" s="1" t="s">
        <v>74</v>
      </c>
      <c r="V99" s="1" t="s">
        <v>1110</v>
      </c>
      <c r="W99" s="1" t="s">
        <v>74</v>
      </c>
      <c r="X99" s="1" t="s">
        <v>74</v>
      </c>
      <c r="Y99" s="1" t="s">
        <v>74</v>
      </c>
      <c r="Z99" s="1" t="s">
        <v>74</v>
      </c>
      <c r="AA99" s="1" t="s">
        <v>1111</v>
      </c>
      <c r="AB99" s="1" t="s">
        <v>1112</v>
      </c>
      <c r="AC99" s="1" t="s">
        <v>74</v>
      </c>
      <c r="AD99" s="1" t="s">
        <v>74</v>
      </c>
      <c r="AE99" s="1" t="s">
        <v>74</v>
      </c>
      <c r="AF99" s="1" t="s">
        <v>74</v>
      </c>
      <c r="AG99" s="1" t="s">
        <v>74</v>
      </c>
      <c r="AH99" s="1" t="s">
        <v>74</v>
      </c>
      <c r="AI99" s="1" t="s">
        <v>74</v>
      </c>
      <c r="AJ99" s="1" t="s">
        <v>74</v>
      </c>
      <c r="AK99" s="1" t="s">
        <v>74</v>
      </c>
      <c r="AL99" s="1" t="s">
        <v>74</v>
      </c>
      <c r="AM99" s="1" t="s">
        <v>74</v>
      </c>
      <c r="AN99" s="1" t="s">
        <v>74</v>
      </c>
      <c r="AO99" s="1" t="s">
        <v>1113</v>
      </c>
      <c r="AP99" s="1" t="s">
        <v>1114</v>
      </c>
      <c r="AQ99" s="1" t="s">
        <v>74</v>
      </c>
      <c r="AR99" s="1" t="s">
        <v>74</v>
      </c>
      <c r="AS99" s="1" t="s">
        <v>74</v>
      </c>
      <c r="AT99" s="1" t="s">
        <v>1115</v>
      </c>
      <c r="AU99" s="1">
        <v>2009.0</v>
      </c>
      <c r="AV99" s="1">
        <v>220.0</v>
      </c>
      <c r="AW99" s="1" t="s">
        <v>1116</v>
      </c>
      <c r="AX99" s="1" t="s">
        <v>74</v>
      </c>
      <c r="AY99" s="1" t="s">
        <v>74</v>
      </c>
      <c r="AZ99" s="1" t="s">
        <v>74</v>
      </c>
      <c r="BA99" s="1" t="s">
        <v>74</v>
      </c>
      <c r="BB99" s="1">
        <v>1189.0</v>
      </c>
      <c r="BC99" s="1">
        <v>1196.0</v>
      </c>
      <c r="BD99" s="1" t="s">
        <v>74</v>
      </c>
      <c r="BE99" s="1" t="s">
        <v>1117</v>
      </c>
      <c r="BF99" s="2" t="str">
        <f>HYPERLINK("http://dx.doi.org/10.1016/j.ecolmodel.2009.02.015","http://dx.doi.org/10.1016/j.ecolmodel.2009.02.015")</f>
        <v>http://dx.doi.org/10.1016/j.ecolmodel.2009.02.015</v>
      </c>
      <c r="BG99" s="1" t="s">
        <v>74</v>
      </c>
      <c r="BH99" s="1" t="s">
        <v>74</v>
      </c>
      <c r="BI99" s="1" t="s">
        <v>74</v>
      </c>
      <c r="BJ99" s="1" t="s">
        <v>74</v>
      </c>
      <c r="BK99" s="1" t="s">
        <v>74</v>
      </c>
      <c r="BL99" s="1" t="s">
        <v>74</v>
      </c>
      <c r="BM99" s="1" t="s">
        <v>74</v>
      </c>
      <c r="BN99" s="1" t="s">
        <v>74</v>
      </c>
      <c r="BO99" s="1" t="s">
        <v>74</v>
      </c>
      <c r="BP99" s="1" t="s">
        <v>74</v>
      </c>
      <c r="BQ99" s="1" t="s">
        <v>74</v>
      </c>
      <c r="BR99" s="1" t="s">
        <v>74</v>
      </c>
      <c r="BS99" s="1" t="s">
        <v>1118</v>
      </c>
      <c r="BT99" s="1" t="str">
        <f>HYPERLINK("https%3A%2F%2Fwww.webofscience.com%2Fwos%2Fwoscc%2Ffull-record%2FWOS:000265722000002","View Full Record in Web of Science")</f>
        <v>View Full Record in Web of Science</v>
      </c>
    </row>
    <row r="100" ht="12.75" customHeight="1">
      <c r="A100" s="1" t="s">
        <v>72</v>
      </c>
      <c r="B100" s="1" t="s">
        <v>1119</v>
      </c>
      <c r="C100" s="1" t="s">
        <v>74</v>
      </c>
      <c r="D100" s="1" t="s">
        <v>74</v>
      </c>
      <c r="E100" s="1" t="s">
        <v>74</v>
      </c>
      <c r="F100" s="1" t="s">
        <v>1120</v>
      </c>
      <c r="G100" s="1" t="s">
        <v>74</v>
      </c>
      <c r="H100" s="1" t="s">
        <v>74</v>
      </c>
      <c r="I100" s="1" t="s">
        <v>1121</v>
      </c>
      <c r="J100" s="1" t="s">
        <v>649</v>
      </c>
      <c r="K100" s="1" t="s">
        <v>74</v>
      </c>
      <c r="L100" s="1" t="s">
        <v>74</v>
      </c>
      <c r="M100" s="1" t="s">
        <v>74</v>
      </c>
      <c r="N100" s="1" t="s">
        <v>74</v>
      </c>
      <c r="O100" s="1" t="s">
        <v>74</v>
      </c>
      <c r="P100" s="1" t="s">
        <v>74</v>
      </c>
      <c r="Q100" s="1" t="s">
        <v>74</v>
      </c>
      <c r="R100" s="1" t="s">
        <v>74</v>
      </c>
      <c r="S100" s="1" t="s">
        <v>74</v>
      </c>
      <c r="T100" s="1" t="s">
        <v>74</v>
      </c>
      <c r="U100" s="1" t="s">
        <v>74</v>
      </c>
      <c r="V100" s="1" t="s">
        <v>1122</v>
      </c>
      <c r="W100" s="1" t="s">
        <v>74</v>
      </c>
      <c r="X100" s="1" t="s">
        <v>74</v>
      </c>
      <c r="Y100" s="1" t="s">
        <v>74</v>
      </c>
      <c r="Z100" s="1" t="s">
        <v>74</v>
      </c>
      <c r="AA100" s="1" t="s">
        <v>1123</v>
      </c>
      <c r="AB100" s="1" t="s">
        <v>1124</v>
      </c>
      <c r="AC100" s="1" t="s">
        <v>74</v>
      </c>
      <c r="AD100" s="1" t="s">
        <v>74</v>
      </c>
      <c r="AE100" s="1" t="s">
        <v>74</v>
      </c>
      <c r="AF100" s="1" t="s">
        <v>74</v>
      </c>
      <c r="AG100" s="1" t="s">
        <v>74</v>
      </c>
      <c r="AH100" s="1" t="s">
        <v>74</v>
      </c>
      <c r="AI100" s="1" t="s">
        <v>74</v>
      </c>
      <c r="AJ100" s="1" t="s">
        <v>74</v>
      </c>
      <c r="AK100" s="1" t="s">
        <v>74</v>
      </c>
      <c r="AL100" s="1" t="s">
        <v>74</v>
      </c>
      <c r="AM100" s="1" t="s">
        <v>74</v>
      </c>
      <c r="AN100" s="1" t="s">
        <v>74</v>
      </c>
      <c r="AO100" s="1" t="s">
        <v>653</v>
      </c>
      <c r="AP100" s="1" t="s">
        <v>74</v>
      </c>
      <c r="AQ100" s="1" t="s">
        <v>74</v>
      </c>
      <c r="AR100" s="1" t="s">
        <v>74</v>
      </c>
      <c r="AS100" s="1" t="s">
        <v>74</v>
      </c>
      <c r="AT100" s="1" t="s">
        <v>1125</v>
      </c>
      <c r="AU100" s="1">
        <v>2008.0</v>
      </c>
      <c r="AV100" s="1">
        <v>101.0</v>
      </c>
      <c r="AW100" s="1">
        <v>3.0</v>
      </c>
      <c r="AX100" s="1" t="s">
        <v>74</v>
      </c>
      <c r="AY100" s="1" t="s">
        <v>74</v>
      </c>
      <c r="AZ100" s="1" t="s">
        <v>74</v>
      </c>
      <c r="BA100" s="1" t="s">
        <v>74</v>
      </c>
      <c r="BB100" s="1" t="s">
        <v>74</v>
      </c>
      <c r="BC100" s="1" t="s">
        <v>74</v>
      </c>
      <c r="BD100" s="1">
        <v>30403.0</v>
      </c>
      <c r="BE100" s="1" t="s">
        <v>1126</v>
      </c>
      <c r="BF100" s="2" t="str">
        <f>HYPERLINK("http://dx.doi.org/10.1103/PhysRevLett.101.030403","http://dx.doi.org/10.1103/PhysRevLett.101.030403")</f>
        <v>http://dx.doi.org/10.1103/PhysRevLett.101.030403</v>
      </c>
      <c r="BG100" s="1" t="s">
        <v>74</v>
      </c>
      <c r="BH100" s="1" t="s">
        <v>74</v>
      </c>
      <c r="BI100" s="1" t="s">
        <v>74</v>
      </c>
      <c r="BJ100" s="1" t="s">
        <v>74</v>
      </c>
      <c r="BK100" s="1" t="s">
        <v>74</v>
      </c>
      <c r="BL100" s="1" t="s">
        <v>74</v>
      </c>
      <c r="BM100" s="1" t="s">
        <v>74</v>
      </c>
      <c r="BN100" s="1">
        <v>1.876424E7</v>
      </c>
      <c r="BO100" s="1" t="s">
        <v>74</v>
      </c>
      <c r="BP100" s="1" t="s">
        <v>74</v>
      </c>
      <c r="BQ100" s="1" t="s">
        <v>74</v>
      </c>
      <c r="BR100" s="1" t="s">
        <v>74</v>
      </c>
      <c r="BS100" s="1" t="s">
        <v>1127</v>
      </c>
      <c r="BT100" s="1" t="str">
        <f>HYPERLINK("https%3A%2F%2Fwww.webofscience.com%2Fwos%2Fwoscc%2Ffull-record%2FWOS:000258184500003","View Full Record in Web of Science")</f>
        <v>View Full Record in Web of Science</v>
      </c>
    </row>
    <row r="101" ht="12.75" customHeight="1">
      <c r="A101" s="1" t="s">
        <v>72</v>
      </c>
      <c r="B101" s="1" t="s">
        <v>1128</v>
      </c>
      <c r="C101" s="1" t="s">
        <v>74</v>
      </c>
      <c r="D101" s="1" t="s">
        <v>74</v>
      </c>
      <c r="E101" s="1" t="s">
        <v>74</v>
      </c>
      <c r="F101" s="1" t="s">
        <v>1129</v>
      </c>
      <c r="G101" s="1" t="s">
        <v>74</v>
      </c>
      <c r="H101" s="1" t="s">
        <v>74</v>
      </c>
      <c r="I101" s="1" t="s">
        <v>1130</v>
      </c>
      <c r="J101" s="1" t="s">
        <v>1131</v>
      </c>
      <c r="K101" s="1" t="s">
        <v>74</v>
      </c>
      <c r="L101" s="1" t="s">
        <v>74</v>
      </c>
      <c r="M101" s="1" t="s">
        <v>74</v>
      </c>
      <c r="N101" s="1" t="s">
        <v>74</v>
      </c>
      <c r="O101" s="1" t="s">
        <v>1132</v>
      </c>
      <c r="P101" s="1" t="s">
        <v>1133</v>
      </c>
      <c r="Q101" s="1" t="s">
        <v>1134</v>
      </c>
      <c r="R101" s="1" t="s">
        <v>74</v>
      </c>
      <c r="S101" s="1" t="s">
        <v>1135</v>
      </c>
      <c r="T101" s="1" t="s">
        <v>74</v>
      </c>
      <c r="U101" s="1" t="s">
        <v>74</v>
      </c>
      <c r="V101" s="1" t="s">
        <v>1136</v>
      </c>
      <c r="W101" s="1" t="s">
        <v>74</v>
      </c>
      <c r="X101" s="1" t="s">
        <v>74</v>
      </c>
      <c r="Y101" s="1" t="s">
        <v>74</v>
      </c>
      <c r="Z101" s="1" t="s">
        <v>74</v>
      </c>
      <c r="AA101" s="1" t="s">
        <v>1137</v>
      </c>
      <c r="AB101" s="1" t="s">
        <v>74</v>
      </c>
      <c r="AC101" s="1" t="s">
        <v>74</v>
      </c>
      <c r="AD101" s="1" t="s">
        <v>74</v>
      </c>
      <c r="AE101" s="1" t="s">
        <v>74</v>
      </c>
      <c r="AF101" s="1" t="s">
        <v>74</v>
      </c>
      <c r="AG101" s="1" t="s">
        <v>74</v>
      </c>
      <c r="AH101" s="1" t="s">
        <v>74</v>
      </c>
      <c r="AI101" s="1" t="s">
        <v>74</v>
      </c>
      <c r="AJ101" s="1" t="s">
        <v>74</v>
      </c>
      <c r="AK101" s="1" t="s">
        <v>74</v>
      </c>
      <c r="AL101" s="1" t="s">
        <v>74</v>
      </c>
      <c r="AM101" s="1" t="s">
        <v>74</v>
      </c>
      <c r="AN101" s="1" t="s">
        <v>74</v>
      </c>
      <c r="AO101" s="1" t="s">
        <v>1138</v>
      </c>
      <c r="AP101" s="1" t="s">
        <v>1139</v>
      </c>
      <c r="AQ101" s="1" t="s">
        <v>74</v>
      </c>
      <c r="AR101" s="1" t="s">
        <v>74</v>
      </c>
      <c r="AS101" s="1" t="s">
        <v>74</v>
      </c>
      <c r="AT101" s="1" t="s">
        <v>74</v>
      </c>
      <c r="AU101" s="1">
        <v>2007.0</v>
      </c>
      <c r="AV101" s="1">
        <v>14.0</v>
      </c>
      <c r="AW101" s="1">
        <v>5.0</v>
      </c>
      <c r="AX101" s="1" t="s">
        <v>74</v>
      </c>
      <c r="AY101" s="1" t="s">
        <v>74</v>
      </c>
      <c r="AZ101" s="1" t="s">
        <v>1042</v>
      </c>
      <c r="BA101" s="1" t="s">
        <v>74</v>
      </c>
      <c r="BB101" s="1">
        <v>919.0</v>
      </c>
      <c r="BC101" s="1">
        <v>936.0</v>
      </c>
      <c r="BD101" s="1" t="s">
        <v>74</v>
      </c>
      <c r="BE101" s="1" t="s">
        <v>1140</v>
      </c>
      <c r="BF101" s="2" t="str">
        <f>HYPERLINK("http://dx.doi.org/10.36045/bbms/1197908903","http://dx.doi.org/10.36045/bbms/1197908903")</f>
        <v>http://dx.doi.org/10.36045/bbms/1197908903</v>
      </c>
      <c r="BG101" s="1" t="s">
        <v>74</v>
      </c>
      <c r="BH101" s="1" t="s">
        <v>74</v>
      </c>
      <c r="BI101" s="1" t="s">
        <v>74</v>
      </c>
      <c r="BJ101" s="1" t="s">
        <v>74</v>
      </c>
      <c r="BK101" s="1" t="s">
        <v>74</v>
      </c>
      <c r="BL101" s="1" t="s">
        <v>74</v>
      </c>
      <c r="BM101" s="1" t="s">
        <v>74</v>
      </c>
      <c r="BN101" s="1" t="s">
        <v>74</v>
      </c>
      <c r="BO101" s="1" t="s">
        <v>74</v>
      </c>
      <c r="BP101" s="1" t="s">
        <v>74</v>
      </c>
      <c r="BQ101" s="1" t="s">
        <v>74</v>
      </c>
      <c r="BR101" s="1" t="s">
        <v>74</v>
      </c>
      <c r="BS101" s="1" t="s">
        <v>1141</v>
      </c>
      <c r="BT101" s="1" t="str">
        <f>HYPERLINK("https%3A%2F%2Fwww.webofscience.com%2Fwos%2Fwoscc%2Ffull-record%2FWOS:000253418600010","View Full Record in Web of Science")</f>
        <v>View Full Record in Web of Science</v>
      </c>
    </row>
    <row r="102" ht="12.75" customHeight="1">
      <c r="A102" s="1" t="s">
        <v>147</v>
      </c>
      <c r="B102" s="1" t="s">
        <v>1142</v>
      </c>
      <c r="C102" s="1" t="s">
        <v>74</v>
      </c>
      <c r="D102" s="1" t="s">
        <v>1143</v>
      </c>
      <c r="E102" s="1" t="s">
        <v>74</v>
      </c>
      <c r="F102" s="1" t="s">
        <v>1144</v>
      </c>
      <c r="G102" s="1" t="s">
        <v>74</v>
      </c>
      <c r="H102" s="1" t="s">
        <v>74</v>
      </c>
      <c r="I102" s="1" t="s">
        <v>1145</v>
      </c>
      <c r="J102" s="1" t="s">
        <v>1146</v>
      </c>
      <c r="K102" s="1" t="s">
        <v>1147</v>
      </c>
      <c r="L102" s="1" t="s">
        <v>74</v>
      </c>
      <c r="M102" s="1" t="s">
        <v>74</v>
      </c>
      <c r="N102" s="1" t="s">
        <v>74</v>
      </c>
      <c r="O102" s="1" t="s">
        <v>1148</v>
      </c>
      <c r="P102" s="1" t="s">
        <v>1149</v>
      </c>
      <c r="Q102" s="1" t="s">
        <v>1150</v>
      </c>
      <c r="R102" s="1" t="s">
        <v>1151</v>
      </c>
      <c r="S102" s="1" t="s">
        <v>74</v>
      </c>
      <c r="T102" s="1" t="s">
        <v>74</v>
      </c>
      <c r="U102" s="1" t="s">
        <v>74</v>
      </c>
      <c r="V102" s="1" t="s">
        <v>1152</v>
      </c>
      <c r="W102" s="1" t="s">
        <v>74</v>
      </c>
      <c r="X102" s="1" t="s">
        <v>74</v>
      </c>
      <c r="Y102" s="1" t="s">
        <v>74</v>
      </c>
      <c r="Z102" s="1" t="s">
        <v>74</v>
      </c>
      <c r="AA102" s="1" t="s">
        <v>74</v>
      </c>
      <c r="AB102" s="1" t="s">
        <v>510</v>
      </c>
      <c r="AC102" s="1" t="s">
        <v>74</v>
      </c>
      <c r="AD102" s="1" t="s">
        <v>74</v>
      </c>
      <c r="AE102" s="1" t="s">
        <v>74</v>
      </c>
      <c r="AF102" s="1" t="s">
        <v>74</v>
      </c>
      <c r="AG102" s="1" t="s">
        <v>74</v>
      </c>
      <c r="AH102" s="1" t="s">
        <v>74</v>
      </c>
      <c r="AI102" s="1" t="s">
        <v>74</v>
      </c>
      <c r="AJ102" s="1" t="s">
        <v>74</v>
      </c>
      <c r="AK102" s="1" t="s">
        <v>74</v>
      </c>
      <c r="AL102" s="1" t="s">
        <v>74</v>
      </c>
      <c r="AM102" s="1" t="s">
        <v>74</v>
      </c>
      <c r="AN102" s="1" t="s">
        <v>74</v>
      </c>
      <c r="AO102" s="1" t="s">
        <v>74</v>
      </c>
      <c r="AP102" s="1" t="s">
        <v>74</v>
      </c>
      <c r="AQ102" s="1" t="s">
        <v>1153</v>
      </c>
      <c r="AR102" s="1" t="s">
        <v>74</v>
      </c>
      <c r="AS102" s="1" t="s">
        <v>74</v>
      </c>
      <c r="AT102" s="1" t="s">
        <v>74</v>
      </c>
      <c r="AU102" s="1">
        <v>2007.0</v>
      </c>
      <c r="AV102" s="1" t="s">
        <v>74</v>
      </c>
      <c r="AW102" s="1" t="s">
        <v>74</v>
      </c>
      <c r="AX102" s="1" t="s">
        <v>74</v>
      </c>
      <c r="AY102" s="1" t="s">
        <v>74</v>
      </c>
      <c r="AZ102" s="1" t="s">
        <v>74</v>
      </c>
      <c r="BA102" s="1" t="s">
        <v>74</v>
      </c>
      <c r="BB102" s="1">
        <v>578.0</v>
      </c>
      <c r="BC102" s="1" t="s">
        <v>265</v>
      </c>
      <c r="BD102" s="1" t="s">
        <v>74</v>
      </c>
      <c r="BE102" s="1" t="s">
        <v>74</v>
      </c>
      <c r="BF102" s="1" t="s">
        <v>74</v>
      </c>
      <c r="BG102" s="1" t="s">
        <v>74</v>
      </c>
      <c r="BH102" s="1" t="s">
        <v>74</v>
      </c>
      <c r="BI102" s="1" t="s">
        <v>74</v>
      </c>
      <c r="BJ102" s="1" t="s">
        <v>74</v>
      </c>
      <c r="BK102" s="1" t="s">
        <v>74</v>
      </c>
      <c r="BL102" s="1" t="s">
        <v>74</v>
      </c>
      <c r="BM102" s="1" t="s">
        <v>74</v>
      </c>
      <c r="BN102" s="1" t="s">
        <v>74</v>
      </c>
      <c r="BO102" s="1" t="s">
        <v>74</v>
      </c>
      <c r="BP102" s="1" t="s">
        <v>74</v>
      </c>
      <c r="BQ102" s="1" t="s">
        <v>74</v>
      </c>
      <c r="BR102" s="1" t="s">
        <v>74</v>
      </c>
      <c r="BS102" s="1" t="s">
        <v>1154</v>
      </c>
      <c r="BT102" s="1" t="str">
        <f>HYPERLINK("https%3A%2F%2Fwww.webofscience.com%2Fwos%2Fwoscc%2Ffull-record%2FWOS:000249798700101","View Full Record in Web of Science")</f>
        <v>View Full Record in Web of Science</v>
      </c>
    </row>
    <row r="103" ht="12.75" customHeight="1">
      <c r="A103" s="1" t="s">
        <v>72</v>
      </c>
      <c r="B103" s="1" t="s">
        <v>1155</v>
      </c>
      <c r="C103" s="1" t="s">
        <v>74</v>
      </c>
      <c r="D103" s="1" t="s">
        <v>74</v>
      </c>
      <c r="E103" s="1" t="s">
        <v>74</v>
      </c>
      <c r="F103" s="1" t="s">
        <v>1155</v>
      </c>
      <c r="G103" s="1" t="s">
        <v>74</v>
      </c>
      <c r="H103" s="1" t="s">
        <v>74</v>
      </c>
      <c r="I103" s="1" t="s">
        <v>1156</v>
      </c>
      <c r="J103" s="1" t="s">
        <v>1157</v>
      </c>
      <c r="K103" s="1" t="s">
        <v>74</v>
      </c>
      <c r="L103" s="1" t="s">
        <v>74</v>
      </c>
      <c r="M103" s="1" t="s">
        <v>74</v>
      </c>
      <c r="N103" s="1" t="s">
        <v>74</v>
      </c>
      <c r="O103" s="1" t="s">
        <v>74</v>
      </c>
      <c r="P103" s="1" t="s">
        <v>74</v>
      </c>
      <c r="Q103" s="1" t="s">
        <v>74</v>
      </c>
      <c r="R103" s="1" t="s">
        <v>74</v>
      </c>
      <c r="S103" s="1" t="s">
        <v>74</v>
      </c>
      <c r="T103" s="1" t="s">
        <v>74</v>
      </c>
      <c r="U103" s="1" t="s">
        <v>74</v>
      </c>
      <c r="V103" s="1" t="s">
        <v>74</v>
      </c>
      <c r="W103" s="1" t="s">
        <v>74</v>
      </c>
      <c r="X103" s="1" t="s">
        <v>74</v>
      </c>
      <c r="Y103" s="1" t="s">
        <v>74</v>
      </c>
      <c r="Z103" s="1" t="s">
        <v>74</v>
      </c>
      <c r="AA103" s="1" t="s">
        <v>1158</v>
      </c>
      <c r="AB103" s="1" t="s">
        <v>1159</v>
      </c>
      <c r="AC103" s="1" t="s">
        <v>74</v>
      </c>
      <c r="AD103" s="1" t="s">
        <v>74</v>
      </c>
      <c r="AE103" s="1" t="s">
        <v>74</v>
      </c>
      <c r="AF103" s="1" t="s">
        <v>74</v>
      </c>
      <c r="AG103" s="1" t="s">
        <v>74</v>
      </c>
      <c r="AH103" s="1" t="s">
        <v>74</v>
      </c>
      <c r="AI103" s="1" t="s">
        <v>74</v>
      </c>
      <c r="AJ103" s="1" t="s">
        <v>74</v>
      </c>
      <c r="AK103" s="1" t="s">
        <v>74</v>
      </c>
      <c r="AL103" s="1" t="s">
        <v>74</v>
      </c>
      <c r="AM103" s="1" t="s">
        <v>74</v>
      </c>
      <c r="AN103" s="1" t="s">
        <v>74</v>
      </c>
      <c r="AO103" s="1" t="s">
        <v>1160</v>
      </c>
      <c r="AP103" s="1" t="s">
        <v>1161</v>
      </c>
      <c r="AQ103" s="1" t="s">
        <v>74</v>
      </c>
      <c r="AR103" s="1" t="s">
        <v>74</v>
      </c>
      <c r="AS103" s="1" t="s">
        <v>74</v>
      </c>
      <c r="AT103" s="1" t="s">
        <v>277</v>
      </c>
      <c r="AU103" s="1">
        <v>2006.0</v>
      </c>
      <c r="AV103" s="1">
        <v>76.0</v>
      </c>
      <c r="AW103" s="1">
        <v>1.0</v>
      </c>
      <c r="AX103" s="1" t="s">
        <v>74</v>
      </c>
      <c r="AY103" s="1" t="s">
        <v>74</v>
      </c>
      <c r="AZ103" s="1" t="s">
        <v>74</v>
      </c>
      <c r="BA103" s="1" t="s">
        <v>74</v>
      </c>
      <c r="BB103" s="1">
        <v>171.0</v>
      </c>
      <c r="BC103" s="1">
        <v>178.0</v>
      </c>
      <c r="BD103" s="1" t="s">
        <v>74</v>
      </c>
      <c r="BE103" s="1" t="s">
        <v>1162</v>
      </c>
      <c r="BF103" s="2" t="str">
        <f>HYPERLINK("http://dx.doi.org/10.1007/s00128-005-0904-8","http://dx.doi.org/10.1007/s00128-005-0904-8")</f>
        <v>http://dx.doi.org/10.1007/s00128-005-0904-8</v>
      </c>
      <c r="BG103" s="1" t="s">
        <v>74</v>
      </c>
      <c r="BH103" s="1" t="s">
        <v>74</v>
      </c>
      <c r="BI103" s="1" t="s">
        <v>74</v>
      </c>
      <c r="BJ103" s="1" t="s">
        <v>74</v>
      </c>
      <c r="BK103" s="1" t="s">
        <v>74</v>
      </c>
      <c r="BL103" s="1" t="s">
        <v>74</v>
      </c>
      <c r="BM103" s="1" t="s">
        <v>74</v>
      </c>
      <c r="BN103" s="1">
        <v>1.6404676E7</v>
      </c>
      <c r="BO103" s="1" t="s">
        <v>74</v>
      </c>
      <c r="BP103" s="1" t="s">
        <v>74</v>
      </c>
      <c r="BQ103" s="1" t="s">
        <v>74</v>
      </c>
      <c r="BR103" s="1" t="s">
        <v>74</v>
      </c>
      <c r="BS103" s="1" t="s">
        <v>1163</v>
      </c>
      <c r="BT103" s="1" t="str">
        <f>HYPERLINK("https%3A%2F%2Fwww.webofscience.com%2Fwos%2Fwoscc%2Ffull-record%2FWOS:000234344100023","View Full Record in Web of Science")</f>
        <v>View Full Record in Web of Science</v>
      </c>
    </row>
    <row r="104" ht="12.75" customHeight="1">
      <c r="A104" s="1" t="s">
        <v>72</v>
      </c>
      <c r="B104" s="1" t="s">
        <v>1164</v>
      </c>
      <c r="C104" s="1" t="s">
        <v>74</v>
      </c>
      <c r="D104" s="1" t="s">
        <v>74</v>
      </c>
      <c r="E104" s="1" t="s">
        <v>74</v>
      </c>
      <c r="F104" s="1" t="s">
        <v>1164</v>
      </c>
      <c r="G104" s="1" t="s">
        <v>74</v>
      </c>
      <c r="H104" s="1" t="s">
        <v>74</v>
      </c>
      <c r="I104" s="1" t="s">
        <v>1165</v>
      </c>
      <c r="J104" s="1" t="s">
        <v>1166</v>
      </c>
      <c r="K104" s="1" t="s">
        <v>74</v>
      </c>
      <c r="L104" s="1" t="s">
        <v>74</v>
      </c>
      <c r="M104" s="1" t="s">
        <v>74</v>
      </c>
      <c r="N104" s="1" t="s">
        <v>74</v>
      </c>
      <c r="O104" s="1" t="s">
        <v>1167</v>
      </c>
      <c r="P104" s="1" t="s">
        <v>1168</v>
      </c>
      <c r="Q104" s="1" t="s">
        <v>1169</v>
      </c>
      <c r="R104" s="1" t="s">
        <v>74</v>
      </c>
      <c r="S104" s="1" t="s">
        <v>74</v>
      </c>
      <c r="T104" s="1" t="s">
        <v>74</v>
      </c>
      <c r="U104" s="1" t="s">
        <v>74</v>
      </c>
      <c r="V104" s="1" t="s">
        <v>1170</v>
      </c>
      <c r="W104" s="1" t="s">
        <v>74</v>
      </c>
      <c r="X104" s="1" t="s">
        <v>74</v>
      </c>
      <c r="Y104" s="1" t="s">
        <v>74</v>
      </c>
      <c r="Z104" s="1" t="s">
        <v>74</v>
      </c>
      <c r="AA104" s="1" t="s">
        <v>1171</v>
      </c>
      <c r="AB104" s="1" t="s">
        <v>1172</v>
      </c>
      <c r="AC104" s="1" t="s">
        <v>74</v>
      </c>
      <c r="AD104" s="1" t="s">
        <v>74</v>
      </c>
      <c r="AE104" s="1" t="s">
        <v>74</v>
      </c>
      <c r="AF104" s="1" t="s">
        <v>74</v>
      </c>
      <c r="AG104" s="1" t="s">
        <v>74</v>
      </c>
      <c r="AH104" s="1" t="s">
        <v>74</v>
      </c>
      <c r="AI104" s="1" t="s">
        <v>74</v>
      </c>
      <c r="AJ104" s="1" t="s">
        <v>74</v>
      </c>
      <c r="AK104" s="1" t="s">
        <v>74</v>
      </c>
      <c r="AL104" s="1" t="s">
        <v>74</v>
      </c>
      <c r="AM104" s="1" t="s">
        <v>74</v>
      </c>
      <c r="AN104" s="1" t="s">
        <v>74</v>
      </c>
      <c r="AO104" s="1" t="s">
        <v>1173</v>
      </c>
      <c r="AP104" s="1" t="s">
        <v>1174</v>
      </c>
      <c r="AQ104" s="1" t="s">
        <v>74</v>
      </c>
      <c r="AR104" s="1" t="s">
        <v>74</v>
      </c>
      <c r="AS104" s="1" t="s">
        <v>74</v>
      </c>
      <c r="AT104" s="1" t="s">
        <v>1175</v>
      </c>
      <c r="AU104" s="1">
        <v>2005.0</v>
      </c>
      <c r="AV104" s="1">
        <v>47.0</v>
      </c>
      <c r="AW104" s="1" t="s">
        <v>1176</v>
      </c>
      <c r="AX104" s="1" t="s">
        <v>74</v>
      </c>
      <c r="AY104" s="1" t="s">
        <v>74</v>
      </c>
      <c r="AZ104" s="1" t="s">
        <v>74</v>
      </c>
      <c r="BA104" s="1" t="s">
        <v>74</v>
      </c>
      <c r="BB104" s="1">
        <v>451.0</v>
      </c>
      <c r="BC104" s="1">
        <v>469.0</v>
      </c>
      <c r="BD104" s="1" t="s">
        <v>74</v>
      </c>
      <c r="BE104" s="1" t="s">
        <v>1177</v>
      </c>
      <c r="BF104" s="2" t="str">
        <f>HYPERLINK("http://dx.doi.org/10.1002/fld.825","http://dx.doi.org/10.1002/fld.825")</f>
        <v>http://dx.doi.org/10.1002/fld.825</v>
      </c>
      <c r="BG104" s="1" t="s">
        <v>74</v>
      </c>
      <c r="BH104" s="1" t="s">
        <v>74</v>
      </c>
      <c r="BI104" s="1" t="s">
        <v>74</v>
      </c>
      <c r="BJ104" s="1" t="s">
        <v>74</v>
      </c>
      <c r="BK104" s="1" t="s">
        <v>74</v>
      </c>
      <c r="BL104" s="1" t="s">
        <v>74</v>
      </c>
      <c r="BM104" s="1" t="s">
        <v>74</v>
      </c>
      <c r="BN104" s="1" t="s">
        <v>74</v>
      </c>
      <c r="BO104" s="1" t="s">
        <v>74</v>
      </c>
      <c r="BP104" s="1" t="s">
        <v>74</v>
      </c>
      <c r="BQ104" s="1" t="s">
        <v>74</v>
      </c>
      <c r="BR104" s="1" t="s">
        <v>74</v>
      </c>
      <c r="BS104" s="1" t="s">
        <v>1178</v>
      </c>
      <c r="BT104" s="1" t="str">
        <f>HYPERLINK("https%3A%2F%2Fwww.webofscience.com%2Fwos%2Fwoscc%2Ffull-record%2FWOS:000227259800002","View Full Record in Web of Science")</f>
        <v>View Full Record in Web of Science</v>
      </c>
    </row>
    <row r="105" ht="12.75" customHeight="1">
      <c r="A105" s="1" t="s">
        <v>72</v>
      </c>
      <c r="B105" s="1" t="s">
        <v>1179</v>
      </c>
      <c r="C105" s="1" t="s">
        <v>74</v>
      </c>
      <c r="D105" s="1" t="s">
        <v>74</v>
      </c>
      <c r="E105" s="1" t="s">
        <v>74</v>
      </c>
      <c r="F105" s="1" t="s">
        <v>1179</v>
      </c>
      <c r="G105" s="1" t="s">
        <v>74</v>
      </c>
      <c r="H105" s="1" t="s">
        <v>74</v>
      </c>
      <c r="I105" s="1" t="s">
        <v>1180</v>
      </c>
      <c r="J105" s="1" t="s">
        <v>1181</v>
      </c>
      <c r="K105" s="1" t="s">
        <v>74</v>
      </c>
      <c r="L105" s="1" t="s">
        <v>74</v>
      </c>
      <c r="M105" s="1" t="s">
        <v>74</v>
      </c>
      <c r="N105" s="1" t="s">
        <v>74</v>
      </c>
      <c r="O105" s="1" t="s">
        <v>74</v>
      </c>
      <c r="P105" s="1" t="s">
        <v>74</v>
      </c>
      <c r="Q105" s="1" t="s">
        <v>74</v>
      </c>
      <c r="R105" s="1" t="s">
        <v>74</v>
      </c>
      <c r="S105" s="1" t="s">
        <v>74</v>
      </c>
      <c r="T105" s="1" t="s">
        <v>74</v>
      </c>
      <c r="U105" s="1" t="s">
        <v>74</v>
      </c>
      <c r="V105" s="1" t="s">
        <v>1182</v>
      </c>
      <c r="W105" s="1" t="s">
        <v>74</v>
      </c>
      <c r="X105" s="1" t="s">
        <v>74</v>
      </c>
      <c r="Y105" s="1" t="s">
        <v>74</v>
      </c>
      <c r="Z105" s="1" t="s">
        <v>74</v>
      </c>
      <c r="AA105" s="1" t="s">
        <v>1183</v>
      </c>
      <c r="AB105" s="1" t="s">
        <v>1184</v>
      </c>
      <c r="AC105" s="1" t="s">
        <v>74</v>
      </c>
      <c r="AD105" s="1" t="s">
        <v>74</v>
      </c>
      <c r="AE105" s="1" t="s">
        <v>74</v>
      </c>
      <c r="AF105" s="1" t="s">
        <v>74</v>
      </c>
      <c r="AG105" s="1" t="s">
        <v>74</v>
      </c>
      <c r="AH105" s="1" t="s">
        <v>74</v>
      </c>
      <c r="AI105" s="1" t="s">
        <v>74</v>
      </c>
      <c r="AJ105" s="1" t="s">
        <v>74</v>
      </c>
      <c r="AK105" s="1" t="s">
        <v>74</v>
      </c>
      <c r="AL105" s="1" t="s">
        <v>74</v>
      </c>
      <c r="AM105" s="1" t="s">
        <v>74</v>
      </c>
      <c r="AN105" s="1" t="s">
        <v>74</v>
      </c>
      <c r="AO105" s="1" t="s">
        <v>1185</v>
      </c>
      <c r="AP105" s="1" t="s">
        <v>1186</v>
      </c>
      <c r="AQ105" s="1" t="s">
        <v>74</v>
      </c>
      <c r="AR105" s="1" t="s">
        <v>74</v>
      </c>
      <c r="AS105" s="1" t="s">
        <v>74</v>
      </c>
      <c r="AT105" s="1" t="s">
        <v>379</v>
      </c>
      <c r="AU105" s="1">
        <v>2003.0</v>
      </c>
      <c r="AV105" s="1">
        <v>69.0</v>
      </c>
      <c r="AW105" s="1">
        <v>9.0</v>
      </c>
      <c r="AX105" s="1" t="s">
        <v>74</v>
      </c>
      <c r="AY105" s="1" t="s">
        <v>74</v>
      </c>
      <c r="AZ105" s="1" t="s">
        <v>74</v>
      </c>
      <c r="BA105" s="1" t="s">
        <v>74</v>
      </c>
      <c r="BB105" s="1">
        <v>5045.0</v>
      </c>
      <c r="BC105" s="1">
        <v>5050.0</v>
      </c>
      <c r="BD105" s="1" t="s">
        <v>74</v>
      </c>
      <c r="BE105" s="1" t="s">
        <v>1187</v>
      </c>
      <c r="BF105" s="2" t="str">
        <f>HYPERLINK("http://dx.doi.org/10.1128/AEM.69.9.5045-5050.2003","http://dx.doi.org/10.1128/AEM.69.9.5045-5050.2003")</f>
        <v>http://dx.doi.org/10.1128/AEM.69.9.5045-5050.2003</v>
      </c>
      <c r="BG105" s="1" t="s">
        <v>74</v>
      </c>
      <c r="BH105" s="1" t="s">
        <v>74</v>
      </c>
      <c r="BI105" s="1" t="s">
        <v>74</v>
      </c>
      <c r="BJ105" s="1" t="s">
        <v>74</v>
      </c>
      <c r="BK105" s="1" t="s">
        <v>74</v>
      </c>
      <c r="BL105" s="1" t="s">
        <v>74</v>
      </c>
      <c r="BM105" s="1" t="s">
        <v>74</v>
      </c>
      <c r="BN105" s="1">
        <v>1.2957885E7</v>
      </c>
      <c r="BO105" s="1" t="s">
        <v>74</v>
      </c>
      <c r="BP105" s="1" t="s">
        <v>74</v>
      </c>
      <c r="BQ105" s="1" t="s">
        <v>74</v>
      </c>
      <c r="BR105" s="1" t="s">
        <v>74</v>
      </c>
      <c r="BS105" s="1" t="s">
        <v>1188</v>
      </c>
      <c r="BT105" s="1" t="str">
        <f>HYPERLINK("https%3A%2F%2Fwww.webofscience.com%2Fwos%2Fwoscc%2Ffull-record%2FWOS:000185437000002","View Full Record in Web of Science")</f>
        <v>View Full Record in Web of Science</v>
      </c>
    </row>
    <row r="106" ht="12.75" customHeight="1">
      <c r="A106" s="1" t="s">
        <v>72</v>
      </c>
      <c r="B106" s="1" t="s">
        <v>1189</v>
      </c>
      <c r="C106" s="1" t="s">
        <v>74</v>
      </c>
      <c r="D106" s="1" t="s">
        <v>74</v>
      </c>
      <c r="E106" s="1" t="s">
        <v>74</v>
      </c>
      <c r="F106" s="1" t="s">
        <v>1189</v>
      </c>
      <c r="G106" s="1" t="s">
        <v>74</v>
      </c>
      <c r="H106" s="1" t="s">
        <v>74</v>
      </c>
      <c r="I106" s="1" t="s">
        <v>1190</v>
      </c>
      <c r="J106" s="1" t="s">
        <v>1191</v>
      </c>
      <c r="K106" s="1" t="s">
        <v>74</v>
      </c>
      <c r="L106" s="1" t="s">
        <v>74</v>
      </c>
      <c r="M106" s="1" t="s">
        <v>74</v>
      </c>
      <c r="N106" s="1" t="s">
        <v>74</v>
      </c>
      <c r="O106" s="1" t="s">
        <v>74</v>
      </c>
      <c r="P106" s="1" t="s">
        <v>74</v>
      </c>
      <c r="Q106" s="1" t="s">
        <v>74</v>
      </c>
      <c r="R106" s="1" t="s">
        <v>74</v>
      </c>
      <c r="S106" s="1" t="s">
        <v>74</v>
      </c>
      <c r="T106" s="1" t="s">
        <v>74</v>
      </c>
      <c r="U106" s="1" t="s">
        <v>74</v>
      </c>
      <c r="V106" s="1" t="s">
        <v>1192</v>
      </c>
      <c r="W106" s="1" t="s">
        <v>74</v>
      </c>
      <c r="X106" s="1" t="s">
        <v>74</v>
      </c>
      <c r="Y106" s="1" t="s">
        <v>74</v>
      </c>
      <c r="Z106" s="1" t="s">
        <v>74</v>
      </c>
      <c r="AA106" s="1" t="s">
        <v>1193</v>
      </c>
      <c r="AB106" s="1" t="s">
        <v>1194</v>
      </c>
      <c r="AC106" s="1" t="s">
        <v>74</v>
      </c>
      <c r="AD106" s="1" t="s">
        <v>74</v>
      </c>
      <c r="AE106" s="1" t="s">
        <v>74</v>
      </c>
      <c r="AF106" s="1" t="s">
        <v>74</v>
      </c>
      <c r="AG106" s="1" t="s">
        <v>74</v>
      </c>
      <c r="AH106" s="1" t="s">
        <v>74</v>
      </c>
      <c r="AI106" s="1" t="s">
        <v>74</v>
      </c>
      <c r="AJ106" s="1" t="s">
        <v>74</v>
      </c>
      <c r="AK106" s="1" t="s">
        <v>74</v>
      </c>
      <c r="AL106" s="1" t="s">
        <v>74</v>
      </c>
      <c r="AM106" s="1" t="s">
        <v>74</v>
      </c>
      <c r="AN106" s="1" t="s">
        <v>74</v>
      </c>
      <c r="AO106" s="1" t="s">
        <v>1195</v>
      </c>
      <c r="AP106" s="1" t="s">
        <v>74</v>
      </c>
      <c r="AQ106" s="1" t="s">
        <v>74</v>
      </c>
      <c r="AR106" s="1" t="s">
        <v>74</v>
      </c>
      <c r="AS106" s="1" t="s">
        <v>74</v>
      </c>
      <c r="AT106" s="1" t="s">
        <v>122</v>
      </c>
      <c r="AU106" s="1">
        <v>2002.0</v>
      </c>
      <c r="AV106" s="1">
        <v>8.0</v>
      </c>
      <c r="AW106" s="1">
        <v>4.0</v>
      </c>
      <c r="AX106" s="1" t="s">
        <v>74</v>
      </c>
      <c r="AY106" s="1" t="s">
        <v>74</v>
      </c>
      <c r="AZ106" s="1" t="s">
        <v>74</v>
      </c>
      <c r="BA106" s="1" t="s">
        <v>74</v>
      </c>
      <c r="BB106" s="1">
        <v>197.0</v>
      </c>
      <c r="BC106" s="1">
        <v>201.0</v>
      </c>
      <c r="BD106" s="1" t="s">
        <v>74</v>
      </c>
      <c r="BE106" s="1" t="s">
        <v>1196</v>
      </c>
      <c r="BF106" s="2" t="str">
        <f>HYPERLINK("http://dx.doi.org/10.1106/108201302027931","http://dx.doi.org/10.1106/108201302027931")</f>
        <v>http://dx.doi.org/10.1106/108201302027931</v>
      </c>
      <c r="BG106" s="1" t="s">
        <v>74</v>
      </c>
      <c r="BH106" s="1" t="s">
        <v>74</v>
      </c>
      <c r="BI106" s="1" t="s">
        <v>74</v>
      </c>
      <c r="BJ106" s="1" t="s">
        <v>74</v>
      </c>
      <c r="BK106" s="1" t="s">
        <v>74</v>
      </c>
      <c r="BL106" s="1" t="s">
        <v>74</v>
      </c>
      <c r="BM106" s="1" t="s">
        <v>74</v>
      </c>
      <c r="BN106" s="1" t="s">
        <v>74</v>
      </c>
      <c r="BO106" s="1" t="s">
        <v>74</v>
      </c>
      <c r="BP106" s="1" t="s">
        <v>74</v>
      </c>
      <c r="BQ106" s="1" t="s">
        <v>74</v>
      </c>
      <c r="BR106" s="1" t="s">
        <v>74</v>
      </c>
      <c r="BS106" s="1" t="s">
        <v>1197</v>
      </c>
      <c r="BT106" s="1" t="str">
        <f>HYPERLINK("https%3A%2F%2Fwww.webofscience.com%2Fwos%2Fwoscc%2Ffull-record%2FWOS:000178902400002","View Full Record in Web of Science")</f>
        <v>View Full Record in Web of Science</v>
      </c>
    </row>
    <row r="107" ht="12.75" customHeight="1">
      <c r="A107" s="1" t="s">
        <v>72</v>
      </c>
      <c r="B107" s="1" t="s">
        <v>1198</v>
      </c>
      <c r="C107" s="1" t="s">
        <v>74</v>
      </c>
      <c r="D107" s="1" t="s">
        <v>74</v>
      </c>
      <c r="E107" s="1" t="s">
        <v>74</v>
      </c>
      <c r="F107" s="1" t="s">
        <v>1198</v>
      </c>
      <c r="G107" s="1" t="s">
        <v>74</v>
      </c>
      <c r="H107" s="1" t="s">
        <v>74</v>
      </c>
      <c r="I107" s="1" t="s">
        <v>1199</v>
      </c>
      <c r="J107" s="1" t="s">
        <v>1200</v>
      </c>
      <c r="K107" s="1" t="s">
        <v>74</v>
      </c>
      <c r="L107" s="1" t="s">
        <v>74</v>
      </c>
      <c r="M107" s="1" t="s">
        <v>74</v>
      </c>
      <c r="N107" s="1" t="s">
        <v>74</v>
      </c>
      <c r="O107" s="1" t="s">
        <v>74</v>
      </c>
      <c r="P107" s="1" t="s">
        <v>74</v>
      </c>
      <c r="Q107" s="1" t="s">
        <v>74</v>
      </c>
      <c r="R107" s="1" t="s">
        <v>74</v>
      </c>
      <c r="S107" s="1" t="s">
        <v>74</v>
      </c>
      <c r="T107" s="1" t="s">
        <v>74</v>
      </c>
      <c r="U107" s="1" t="s">
        <v>74</v>
      </c>
      <c r="V107" s="1" t="s">
        <v>1201</v>
      </c>
      <c r="W107" s="1" t="s">
        <v>74</v>
      </c>
      <c r="X107" s="1" t="s">
        <v>74</v>
      </c>
      <c r="Y107" s="1" t="s">
        <v>74</v>
      </c>
      <c r="Z107" s="1" t="s">
        <v>74</v>
      </c>
      <c r="AA107" s="1" t="s">
        <v>1202</v>
      </c>
      <c r="AB107" s="1" t="s">
        <v>1203</v>
      </c>
      <c r="AC107" s="1" t="s">
        <v>74</v>
      </c>
      <c r="AD107" s="1" t="s">
        <v>74</v>
      </c>
      <c r="AE107" s="1" t="s">
        <v>74</v>
      </c>
      <c r="AF107" s="1" t="s">
        <v>74</v>
      </c>
      <c r="AG107" s="1" t="s">
        <v>74</v>
      </c>
      <c r="AH107" s="1" t="s">
        <v>74</v>
      </c>
      <c r="AI107" s="1" t="s">
        <v>74</v>
      </c>
      <c r="AJ107" s="1" t="s">
        <v>74</v>
      </c>
      <c r="AK107" s="1" t="s">
        <v>74</v>
      </c>
      <c r="AL107" s="1" t="s">
        <v>74</v>
      </c>
      <c r="AM107" s="1" t="s">
        <v>74</v>
      </c>
      <c r="AN107" s="1" t="s">
        <v>74</v>
      </c>
      <c r="AO107" s="1" t="s">
        <v>1204</v>
      </c>
      <c r="AP107" s="1" t="s">
        <v>1205</v>
      </c>
      <c r="AQ107" s="1" t="s">
        <v>74</v>
      </c>
      <c r="AR107" s="1" t="s">
        <v>74</v>
      </c>
      <c r="AS107" s="1" t="s">
        <v>74</v>
      </c>
      <c r="AT107" s="1" t="s">
        <v>144</v>
      </c>
      <c r="AU107" s="1">
        <v>2002.0</v>
      </c>
      <c r="AV107" s="1">
        <v>14.0</v>
      </c>
      <c r="AW107" s="1">
        <v>5.0</v>
      </c>
      <c r="AX107" s="1" t="s">
        <v>74</v>
      </c>
      <c r="AY107" s="1" t="s">
        <v>74</v>
      </c>
      <c r="AZ107" s="1" t="s">
        <v>74</v>
      </c>
      <c r="BA107" s="1" t="s">
        <v>74</v>
      </c>
      <c r="BB107" s="1">
        <v>356.0</v>
      </c>
      <c r="BC107" s="1">
        <v>362.0</v>
      </c>
      <c r="BD107" s="1" t="s">
        <v>74</v>
      </c>
      <c r="BE107" s="1" t="s">
        <v>1206</v>
      </c>
      <c r="BF107" s="2" t="str">
        <f>HYPERLINK("http://dx.doi.org/10.1002/1521-4109(200203)14:5&lt;356::AID-ELAN356&gt;3.0.CO;2-U","http://dx.doi.org/10.1002/1521-4109(200203)14:5&lt;356::AID-ELAN356&gt;3.0.CO;2-U")</f>
        <v>http://dx.doi.org/10.1002/1521-4109(200203)14:5&lt;356::AID-ELAN356&gt;3.0.CO;2-U</v>
      </c>
      <c r="BG107" s="1" t="s">
        <v>74</v>
      </c>
      <c r="BH107" s="1" t="s">
        <v>74</v>
      </c>
      <c r="BI107" s="1" t="s">
        <v>74</v>
      </c>
      <c r="BJ107" s="1" t="s">
        <v>74</v>
      </c>
      <c r="BK107" s="1" t="s">
        <v>74</v>
      </c>
      <c r="BL107" s="1" t="s">
        <v>74</v>
      </c>
      <c r="BM107" s="1" t="s">
        <v>74</v>
      </c>
      <c r="BN107" s="1" t="s">
        <v>74</v>
      </c>
      <c r="BO107" s="1" t="s">
        <v>74</v>
      </c>
      <c r="BP107" s="1" t="s">
        <v>74</v>
      </c>
      <c r="BQ107" s="1" t="s">
        <v>74</v>
      </c>
      <c r="BR107" s="1" t="s">
        <v>74</v>
      </c>
      <c r="BS107" s="1" t="s">
        <v>1207</v>
      </c>
      <c r="BT107" s="1" t="str">
        <f>HYPERLINK("https%3A%2F%2Fwww.webofscience.com%2Fwos%2Fwoscc%2Ffull-record%2FWOS:000174771300006","View Full Record in Web of Science")</f>
        <v>View Full Record in Web of Science</v>
      </c>
    </row>
    <row r="108" ht="12.75" customHeight="1">
      <c r="A108" s="1" t="s">
        <v>72</v>
      </c>
      <c r="B108" s="1" t="s">
        <v>1208</v>
      </c>
      <c r="C108" s="1" t="s">
        <v>74</v>
      </c>
      <c r="D108" s="1" t="s">
        <v>74</v>
      </c>
      <c r="E108" s="1" t="s">
        <v>74</v>
      </c>
      <c r="F108" s="1" t="s">
        <v>1208</v>
      </c>
      <c r="G108" s="1" t="s">
        <v>74</v>
      </c>
      <c r="H108" s="1" t="s">
        <v>74</v>
      </c>
      <c r="I108" s="1" t="s">
        <v>1209</v>
      </c>
      <c r="J108" s="1" t="s">
        <v>1210</v>
      </c>
      <c r="K108" s="1" t="s">
        <v>74</v>
      </c>
      <c r="L108" s="1" t="s">
        <v>74</v>
      </c>
      <c r="M108" s="1" t="s">
        <v>74</v>
      </c>
      <c r="N108" s="1" t="s">
        <v>74</v>
      </c>
      <c r="O108" s="1" t="s">
        <v>74</v>
      </c>
      <c r="P108" s="1" t="s">
        <v>74</v>
      </c>
      <c r="Q108" s="1" t="s">
        <v>74</v>
      </c>
      <c r="R108" s="1" t="s">
        <v>74</v>
      </c>
      <c r="S108" s="1" t="s">
        <v>74</v>
      </c>
      <c r="T108" s="1" t="s">
        <v>74</v>
      </c>
      <c r="U108" s="1" t="s">
        <v>74</v>
      </c>
      <c r="V108" s="1" t="s">
        <v>1211</v>
      </c>
      <c r="W108" s="1" t="s">
        <v>74</v>
      </c>
      <c r="X108" s="1" t="s">
        <v>74</v>
      </c>
      <c r="Y108" s="1" t="s">
        <v>74</v>
      </c>
      <c r="Z108" s="1" t="s">
        <v>74</v>
      </c>
      <c r="AA108" s="1" t="s">
        <v>1212</v>
      </c>
      <c r="AB108" s="1" t="s">
        <v>74</v>
      </c>
      <c r="AC108" s="1" t="s">
        <v>74</v>
      </c>
      <c r="AD108" s="1" t="s">
        <v>74</v>
      </c>
      <c r="AE108" s="1" t="s">
        <v>74</v>
      </c>
      <c r="AF108" s="1" t="s">
        <v>74</v>
      </c>
      <c r="AG108" s="1" t="s">
        <v>74</v>
      </c>
      <c r="AH108" s="1" t="s">
        <v>74</v>
      </c>
      <c r="AI108" s="1" t="s">
        <v>74</v>
      </c>
      <c r="AJ108" s="1" t="s">
        <v>74</v>
      </c>
      <c r="AK108" s="1" t="s">
        <v>74</v>
      </c>
      <c r="AL108" s="1" t="s">
        <v>74</v>
      </c>
      <c r="AM108" s="1" t="s">
        <v>74</v>
      </c>
      <c r="AN108" s="1" t="s">
        <v>74</v>
      </c>
      <c r="AO108" s="1" t="s">
        <v>1213</v>
      </c>
      <c r="AP108" s="1" t="s">
        <v>74</v>
      </c>
      <c r="AQ108" s="1" t="s">
        <v>74</v>
      </c>
      <c r="AR108" s="1" t="s">
        <v>74</v>
      </c>
      <c r="AS108" s="1" t="s">
        <v>74</v>
      </c>
      <c r="AT108" s="1" t="s">
        <v>1214</v>
      </c>
      <c r="AU108" s="1">
        <v>2000.0</v>
      </c>
      <c r="AV108" s="1">
        <v>57.0</v>
      </c>
      <c r="AW108" s="1">
        <v>486.0</v>
      </c>
      <c r="AX108" s="1" t="s">
        <v>74</v>
      </c>
      <c r="AY108" s="1" t="s">
        <v>74</v>
      </c>
      <c r="AZ108" s="1" t="s">
        <v>74</v>
      </c>
      <c r="BA108" s="1" t="s">
        <v>74</v>
      </c>
      <c r="BB108" s="1">
        <v>135.0</v>
      </c>
      <c r="BC108" s="1">
        <v>138.0</v>
      </c>
      <c r="BD108" s="1" t="s">
        <v>74</v>
      </c>
      <c r="BE108" s="1" t="s">
        <v>74</v>
      </c>
      <c r="BF108" s="1" t="s">
        <v>74</v>
      </c>
      <c r="BG108" s="1" t="s">
        <v>74</v>
      </c>
      <c r="BH108" s="1" t="s">
        <v>74</v>
      </c>
      <c r="BI108" s="1" t="s">
        <v>74</v>
      </c>
      <c r="BJ108" s="1" t="s">
        <v>74</v>
      </c>
      <c r="BK108" s="1" t="s">
        <v>74</v>
      </c>
      <c r="BL108" s="1" t="s">
        <v>74</v>
      </c>
      <c r="BM108" s="1" t="s">
        <v>74</v>
      </c>
      <c r="BN108" s="1" t="s">
        <v>74</v>
      </c>
      <c r="BO108" s="1" t="s">
        <v>74</v>
      </c>
      <c r="BP108" s="1" t="s">
        <v>74</v>
      </c>
      <c r="BQ108" s="1" t="s">
        <v>74</v>
      </c>
      <c r="BR108" s="1" t="s">
        <v>74</v>
      </c>
      <c r="BS108" s="1" t="s">
        <v>1215</v>
      </c>
      <c r="BT108" s="1" t="str">
        <f>HYPERLINK("https%3A%2F%2Fwww.webofscience.com%2Fwos%2Fwoscc%2Ffull-record%2FWOS:000087561400010","View Full Record in Web of Science")</f>
        <v>View Full Record in Web of Science</v>
      </c>
    </row>
    <row r="109" ht="12.75" customHeight="1">
      <c r="A109" s="1" t="s">
        <v>72</v>
      </c>
      <c r="B109" s="1" t="s">
        <v>1216</v>
      </c>
      <c r="C109" s="1" t="s">
        <v>74</v>
      </c>
      <c r="D109" s="1" t="s">
        <v>74</v>
      </c>
      <c r="E109" s="1" t="s">
        <v>74</v>
      </c>
      <c r="F109" s="1" t="s">
        <v>1216</v>
      </c>
      <c r="G109" s="1" t="s">
        <v>74</v>
      </c>
      <c r="H109" s="1" t="s">
        <v>74</v>
      </c>
      <c r="I109" s="1" t="s">
        <v>1217</v>
      </c>
      <c r="J109" s="1" t="s">
        <v>1218</v>
      </c>
      <c r="K109" s="1" t="s">
        <v>74</v>
      </c>
      <c r="L109" s="1" t="s">
        <v>74</v>
      </c>
      <c r="M109" s="1" t="s">
        <v>74</v>
      </c>
      <c r="N109" s="1" t="s">
        <v>74</v>
      </c>
      <c r="O109" s="1" t="s">
        <v>74</v>
      </c>
      <c r="P109" s="1" t="s">
        <v>74</v>
      </c>
      <c r="Q109" s="1" t="s">
        <v>74</v>
      </c>
      <c r="R109" s="1" t="s">
        <v>74</v>
      </c>
      <c r="S109" s="1" t="s">
        <v>74</v>
      </c>
      <c r="T109" s="1" t="s">
        <v>74</v>
      </c>
      <c r="U109" s="1" t="s">
        <v>74</v>
      </c>
      <c r="V109" s="1" t="s">
        <v>1219</v>
      </c>
      <c r="W109" s="1" t="s">
        <v>74</v>
      </c>
      <c r="X109" s="1" t="s">
        <v>74</v>
      </c>
      <c r="Y109" s="1" t="s">
        <v>74</v>
      </c>
      <c r="Z109" s="1" t="s">
        <v>74</v>
      </c>
      <c r="AA109" s="1" t="s">
        <v>74</v>
      </c>
      <c r="AB109" s="1" t="s">
        <v>1220</v>
      </c>
      <c r="AC109" s="1" t="s">
        <v>74</v>
      </c>
      <c r="AD109" s="1" t="s">
        <v>74</v>
      </c>
      <c r="AE109" s="1" t="s">
        <v>74</v>
      </c>
      <c r="AF109" s="1" t="s">
        <v>74</v>
      </c>
      <c r="AG109" s="1" t="s">
        <v>74</v>
      </c>
      <c r="AH109" s="1" t="s">
        <v>74</v>
      </c>
      <c r="AI109" s="1" t="s">
        <v>74</v>
      </c>
      <c r="AJ109" s="1" t="s">
        <v>74</v>
      </c>
      <c r="AK109" s="1" t="s">
        <v>74</v>
      </c>
      <c r="AL109" s="1" t="s">
        <v>74</v>
      </c>
      <c r="AM109" s="1" t="s">
        <v>74</v>
      </c>
      <c r="AN109" s="1" t="s">
        <v>74</v>
      </c>
      <c r="AO109" s="1" t="s">
        <v>1221</v>
      </c>
      <c r="AP109" s="1" t="s">
        <v>74</v>
      </c>
      <c r="AQ109" s="1" t="s">
        <v>74</v>
      </c>
      <c r="AR109" s="1" t="s">
        <v>74</v>
      </c>
      <c r="AS109" s="1" t="s">
        <v>74</v>
      </c>
      <c r="AT109" s="1" t="s">
        <v>277</v>
      </c>
      <c r="AU109" s="1">
        <v>2000.0</v>
      </c>
      <c r="AV109" s="1">
        <v>53.0</v>
      </c>
      <c r="AW109" s="1">
        <v>1.0</v>
      </c>
      <c r="AX109" s="1" t="s">
        <v>74</v>
      </c>
      <c r="AY109" s="1" t="s">
        <v>74</v>
      </c>
      <c r="AZ109" s="1" t="s">
        <v>74</v>
      </c>
      <c r="BA109" s="1" t="s">
        <v>74</v>
      </c>
      <c r="BB109" s="1">
        <v>81.0</v>
      </c>
      <c r="BC109" s="1">
        <v>86.0</v>
      </c>
      <c r="BD109" s="1" t="s">
        <v>74</v>
      </c>
      <c r="BE109" s="1" t="s">
        <v>1222</v>
      </c>
      <c r="BF109" s="2" t="str">
        <f>HYPERLINK("http://dx.doi.org/10.1016/S0031-9422(99)00461-6","http://dx.doi.org/10.1016/S0031-9422(99)00461-6")</f>
        <v>http://dx.doi.org/10.1016/S0031-9422(99)00461-6</v>
      </c>
      <c r="BG109" s="1" t="s">
        <v>74</v>
      </c>
      <c r="BH109" s="1" t="s">
        <v>74</v>
      </c>
      <c r="BI109" s="1" t="s">
        <v>74</v>
      </c>
      <c r="BJ109" s="1" t="s">
        <v>74</v>
      </c>
      <c r="BK109" s="1" t="s">
        <v>74</v>
      </c>
      <c r="BL109" s="1" t="s">
        <v>74</v>
      </c>
      <c r="BM109" s="1" t="s">
        <v>74</v>
      </c>
      <c r="BN109" s="1">
        <v>1.0656412E7</v>
      </c>
      <c r="BO109" s="1" t="s">
        <v>74</v>
      </c>
      <c r="BP109" s="1" t="s">
        <v>74</v>
      </c>
      <c r="BQ109" s="1" t="s">
        <v>74</v>
      </c>
      <c r="BR109" s="1" t="s">
        <v>74</v>
      </c>
      <c r="BS109" s="1" t="s">
        <v>1223</v>
      </c>
      <c r="BT109" s="1" t="str">
        <f>HYPERLINK("https%3A%2F%2Fwww.webofscience.com%2Fwos%2Fwoscc%2Ffull-record%2FWOS:000084912900013","View Full Record in Web of Science")</f>
        <v>View Full Record in Web of Science</v>
      </c>
    </row>
    <row r="110" ht="12.75" customHeight="1">
      <c r="A110" s="1" t="s">
        <v>72</v>
      </c>
      <c r="B110" s="1" t="s">
        <v>1224</v>
      </c>
      <c r="C110" s="1" t="s">
        <v>74</v>
      </c>
      <c r="D110" s="1" t="s">
        <v>74</v>
      </c>
      <c r="E110" s="1" t="s">
        <v>74</v>
      </c>
      <c r="F110" s="1" t="s">
        <v>1224</v>
      </c>
      <c r="G110" s="1" t="s">
        <v>74</v>
      </c>
      <c r="H110" s="1" t="s">
        <v>74</v>
      </c>
      <c r="I110" s="1" t="s">
        <v>1225</v>
      </c>
      <c r="J110" s="1" t="s">
        <v>752</v>
      </c>
      <c r="K110" s="1" t="s">
        <v>74</v>
      </c>
      <c r="L110" s="1" t="s">
        <v>74</v>
      </c>
      <c r="M110" s="1" t="s">
        <v>74</v>
      </c>
      <c r="N110" s="1" t="s">
        <v>74</v>
      </c>
      <c r="O110" s="1" t="s">
        <v>1226</v>
      </c>
      <c r="P110" s="1" t="s">
        <v>1227</v>
      </c>
      <c r="Q110" s="1" t="s">
        <v>1228</v>
      </c>
      <c r="R110" s="1" t="s">
        <v>74</v>
      </c>
      <c r="S110" s="1" t="s">
        <v>74</v>
      </c>
      <c r="T110" s="1" t="s">
        <v>74</v>
      </c>
      <c r="U110" s="1" t="s">
        <v>74</v>
      </c>
      <c r="V110" s="1" t="s">
        <v>1229</v>
      </c>
      <c r="W110" s="1" t="s">
        <v>74</v>
      </c>
      <c r="X110" s="1" t="s">
        <v>74</v>
      </c>
      <c r="Y110" s="1" t="s">
        <v>74</v>
      </c>
      <c r="Z110" s="1" t="s">
        <v>74</v>
      </c>
      <c r="AA110" s="1" t="s">
        <v>74</v>
      </c>
      <c r="AB110" s="1" t="s">
        <v>1230</v>
      </c>
      <c r="AC110" s="1" t="s">
        <v>74</v>
      </c>
      <c r="AD110" s="1" t="s">
        <v>74</v>
      </c>
      <c r="AE110" s="1" t="s">
        <v>74</v>
      </c>
      <c r="AF110" s="1" t="s">
        <v>74</v>
      </c>
      <c r="AG110" s="1" t="s">
        <v>74</v>
      </c>
      <c r="AH110" s="1" t="s">
        <v>74</v>
      </c>
      <c r="AI110" s="1" t="s">
        <v>74</v>
      </c>
      <c r="AJ110" s="1" t="s">
        <v>74</v>
      </c>
      <c r="AK110" s="1" t="s">
        <v>74</v>
      </c>
      <c r="AL110" s="1" t="s">
        <v>74</v>
      </c>
      <c r="AM110" s="1" t="s">
        <v>74</v>
      </c>
      <c r="AN110" s="1" t="s">
        <v>74</v>
      </c>
      <c r="AO110" s="1" t="s">
        <v>756</v>
      </c>
      <c r="AP110" s="1" t="s">
        <v>74</v>
      </c>
      <c r="AQ110" s="1" t="s">
        <v>74</v>
      </c>
      <c r="AR110" s="1" t="s">
        <v>74</v>
      </c>
      <c r="AS110" s="1" t="s">
        <v>74</v>
      </c>
      <c r="AT110" s="1" t="s">
        <v>122</v>
      </c>
      <c r="AU110" s="1">
        <v>1999.0</v>
      </c>
      <c r="AV110" s="1">
        <v>48.0</v>
      </c>
      <c r="AW110" s="1">
        <v>8.0</v>
      </c>
      <c r="AX110" s="1" t="s">
        <v>74</v>
      </c>
      <c r="AY110" s="1" t="s">
        <v>74</v>
      </c>
      <c r="AZ110" s="1" t="s">
        <v>74</v>
      </c>
      <c r="BA110" s="1" t="s">
        <v>74</v>
      </c>
      <c r="BB110" s="1">
        <v>681.0</v>
      </c>
      <c r="BC110" s="1">
        <v>684.0</v>
      </c>
      <c r="BD110" s="1" t="s">
        <v>74</v>
      </c>
      <c r="BE110" s="1" t="s">
        <v>1231</v>
      </c>
      <c r="BF110" s="2" t="str">
        <f>HYPERLINK("http://dx.doi.org/10.1002/(SICI)1097-0126(199908)48:8&lt;681::AID-PI199&gt;3.3.CO;2-G","http://dx.doi.org/10.1002/(SICI)1097-0126(199908)48:8&lt;681::AID-PI199&gt;3.3.CO;2-G")</f>
        <v>http://dx.doi.org/10.1002/(SICI)1097-0126(199908)48:8&lt;681::AID-PI199&gt;3.3.CO;2-G</v>
      </c>
      <c r="BG110" s="1" t="s">
        <v>74</v>
      </c>
      <c r="BH110" s="1" t="s">
        <v>74</v>
      </c>
      <c r="BI110" s="1" t="s">
        <v>74</v>
      </c>
      <c r="BJ110" s="1" t="s">
        <v>74</v>
      </c>
      <c r="BK110" s="1" t="s">
        <v>74</v>
      </c>
      <c r="BL110" s="1" t="s">
        <v>74</v>
      </c>
      <c r="BM110" s="1" t="s">
        <v>74</v>
      </c>
      <c r="BN110" s="1" t="s">
        <v>74</v>
      </c>
      <c r="BO110" s="1" t="s">
        <v>74</v>
      </c>
      <c r="BP110" s="1" t="s">
        <v>74</v>
      </c>
      <c r="BQ110" s="1" t="s">
        <v>74</v>
      </c>
      <c r="BR110" s="1" t="s">
        <v>74</v>
      </c>
      <c r="BS110" s="1" t="s">
        <v>1232</v>
      </c>
      <c r="BT110" s="1" t="str">
        <f>HYPERLINK("https%3A%2F%2Fwww.webofscience.com%2Fwos%2Fwoscc%2Ffull-record%2FWOS:000081831500010","View Full Record in Web of Science")</f>
        <v>View Full Record in Web of Science</v>
      </c>
    </row>
    <row r="111" ht="12.75" customHeight="1">
      <c r="A111" s="1" t="s">
        <v>72</v>
      </c>
      <c r="B111" s="1" t="s">
        <v>1233</v>
      </c>
      <c r="C111" s="1" t="s">
        <v>74</v>
      </c>
      <c r="D111" s="1" t="s">
        <v>74</v>
      </c>
      <c r="E111" s="1" t="s">
        <v>74</v>
      </c>
      <c r="F111" s="1" t="s">
        <v>1233</v>
      </c>
      <c r="G111" s="1" t="s">
        <v>74</v>
      </c>
      <c r="H111" s="1" t="s">
        <v>74</v>
      </c>
      <c r="I111" s="1" t="s">
        <v>1234</v>
      </c>
      <c r="J111" s="1" t="s">
        <v>375</v>
      </c>
      <c r="K111" s="1" t="s">
        <v>74</v>
      </c>
      <c r="L111" s="1" t="s">
        <v>74</v>
      </c>
      <c r="M111" s="1" t="s">
        <v>74</v>
      </c>
      <c r="N111" s="1" t="s">
        <v>74</v>
      </c>
      <c r="O111" s="1" t="s">
        <v>1235</v>
      </c>
      <c r="P111" s="1" t="s">
        <v>1236</v>
      </c>
      <c r="Q111" s="1" t="s">
        <v>1237</v>
      </c>
      <c r="R111" s="1" t="s">
        <v>74</v>
      </c>
      <c r="S111" s="1" t="s">
        <v>74</v>
      </c>
      <c r="T111" s="1" t="s">
        <v>74</v>
      </c>
      <c r="U111" s="1" t="s">
        <v>74</v>
      </c>
      <c r="V111" s="1" t="s">
        <v>1238</v>
      </c>
      <c r="W111" s="1" t="s">
        <v>74</v>
      </c>
      <c r="X111" s="1" t="s">
        <v>74</v>
      </c>
      <c r="Y111" s="1" t="s">
        <v>74</v>
      </c>
      <c r="Z111" s="1" t="s">
        <v>74</v>
      </c>
      <c r="AA111" s="1" t="s">
        <v>74</v>
      </c>
      <c r="AB111" s="1" t="s">
        <v>1239</v>
      </c>
      <c r="AC111" s="1" t="s">
        <v>74</v>
      </c>
      <c r="AD111" s="1" t="s">
        <v>74</v>
      </c>
      <c r="AE111" s="1" t="s">
        <v>74</v>
      </c>
      <c r="AF111" s="1" t="s">
        <v>74</v>
      </c>
      <c r="AG111" s="1" t="s">
        <v>74</v>
      </c>
      <c r="AH111" s="1" t="s">
        <v>74</v>
      </c>
      <c r="AI111" s="1" t="s">
        <v>74</v>
      </c>
      <c r="AJ111" s="1" t="s">
        <v>74</v>
      </c>
      <c r="AK111" s="1" t="s">
        <v>74</v>
      </c>
      <c r="AL111" s="1" t="s">
        <v>74</v>
      </c>
      <c r="AM111" s="1" t="s">
        <v>74</v>
      </c>
      <c r="AN111" s="1" t="s">
        <v>74</v>
      </c>
      <c r="AO111" s="1" t="s">
        <v>378</v>
      </c>
      <c r="AP111" s="1" t="s">
        <v>74</v>
      </c>
      <c r="AQ111" s="1" t="s">
        <v>74</v>
      </c>
      <c r="AR111" s="1" t="s">
        <v>74</v>
      </c>
      <c r="AS111" s="1" t="s">
        <v>74</v>
      </c>
      <c r="AT111" s="1" t="s">
        <v>415</v>
      </c>
      <c r="AU111" s="1">
        <v>1998.0</v>
      </c>
      <c r="AV111" s="1">
        <v>41.0</v>
      </c>
      <c r="AW111" s="1">
        <v>6.0</v>
      </c>
      <c r="AX111" s="1" t="s">
        <v>74</v>
      </c>
      <c r="AY111" s="1" t="s">
        <v>74</v>
      </c>
      <c r="AZ111" s="1" t="s">
        <v>74</v>
      </c>
      <c r="BA111" s="1" t="s">
        <v>74</v>
      </c>
      <c r="BB111" s="1">
        <v>669.0</v>
      </c>
      <c r="BC111" s="1">
        <v>673.0</v>
      </c>
      <c r="BD111" s="1" t="s">
        <v>74</v>
      </c>
      <c r="BE111" s="1" t="s">
        <v>1240</v>
      </c>
      <c r="BF111" s="2" t="str">
        <f>HYPERLINK("http://dx.doi.org/10.1007/s002890050416","http://dx.doi.org/10.1007/s002890050416")</f>
        <v>http://dx.doi.org/10.1007/s002890050416</v>
      </c>
      <c r="BG111" s="1" t="s">
        <v>74</v>
      </c>
      <c r="BH111" s="1" t="s">
        <v>74</v>
      </c>
      <c r="BI111" s="1" t="s">
        <v>74</v>
      </c>
      <c r="BJ111" s="1" t="s">
        <v>74</v>
      </c>
      <c r="BK111" s="1" t="s">
        <v>74</v>
      </c>
      <c r="BL111" s="1" t="s">
        <v>74</v>
      </c>
      <c r="BM111" s="1" t="s">
        <v>74</v>
      </c>
      <c r="BN111" s="1" t="s">
        <v>74</v>
      </c>
      <c r="BO111" s="1" t="s">
        <v>74</v>
      </c>
      <c r="BP111" s="1" t="s">
        <v>74</v>
      </c>
      <c r="BQ111" s="1" t="s">
        <v>74</v>
      </c>
      <c r="BR111" s="1" t="s">
        <v>74</v>
      </c>
      <c r="BS111" s="1" t="s">
        <v>1241</v>
      </c>
      <c r="BT111" s="1" t="str">
        <f>HYPERLINK("https%3A%2F%2Fwww.webofscience.com%2Fwos%2Fwoscc%2Ffull-record%2FWOS:000077865200004","View Full Record in Web of Science")</f>
        <v>View Full Record in Web of Science</v>
      </c>
    </row>
    <row r="112" ht="12.75" customHeight="1">
      <c r="A112" s="1" t="s">
        <v>72</v>
      </c>
      <c r="B112" s="1" t="s">
        <v>1242</v>
      </c>
      <c r="C112" s="1" t="s">
        <v>74</v>
      </c>
      <c r="D112" s="1" t="s">
        <v>74</v>
      </c>
      <c r="E112" s="1" t="s">
        <v>74</v>
      </c>
      <c r="F112" s="1" t="s">
        <v>1242</v>
      </c>
      <c r="G112" s="1" t="s">
        <v>74</v>
      </c>
      <c r="H112" s="1" t="s">
        <v>74</v>
      </c>
      <c r="I112" s="1" t="s">
        <v>1243</v>
      </c>
      <c r="J112" s="1" t="s">
        <v>375</v>
      </c>
      <c r="K112" s="1" t="s">
        <v>74</v>
      </c>
      <c r="L112" s="1" t="s">
        <v>74</v>
      </c>
      <c r="M112" s="1" t="s">
        <v>74</v>
      </c>
      <c r="N112" s="1" t="s">
        <v>74</v>
      </c>
      <c r="O112" s="1" t="s">
        <v>1244</v>
      </c>
      <c r="P112" s="1" t="s">
        <v>1245</v>
      </c>
      <c r="Q112" s="1" t="s">
        <v>1246</v>
      </c>
      <c r="R112" s="1" t="s">
        <v>74</v>
      </c>
      <c r="S112" s="1" t="s">
        <v>74</v>
      </c>
      <c r="T112" s="1" t="s">
        <v>74</v>
      </c>
      <c r="U112" s="1" t="s">
        <v>74</v>
      </c>
      <c r="V112" s="1" t="s">
        <v>1247</v>
      </c>
      <c r="W112" s="1" t="s">
        <v>74</v>
      </c>
      <c r="X112" s="1" t="s">
        <v>74</v>
      </c>
      <c r="Y112" s="1" t="s">
        <v>74</v>
      </c>
      <c r="Z112" s="1" t="s">
        <v>74</v>
      </c>
      <c r="AA112" s="1" t="s">
        <v>74</v>
      </c>
      <c r="AB112" s="1" t="s">
        <v>1248</v>
      </c>
      <c r="AC112" s="1" t="s">
        <v>74</v>
      </c>
      <c r="AD112" s="1" t="s">
        <v>74</v>
      </c>
      <c r="AE112" s="1" t="s">
        <v>74</v>
      </c>
      <c r="AF112" s="1" t="s">
        <v>74</v>
      </c>
      <c r="AG112" s="1" t="s">
        <v>74</v>
      </c>
      <c r="AH112" s="1" t="s">
        <v>74</v>
      </c>
      <c r="AI112" s="1" t="s">
        <v>74</v>
      </c>
      <c r="AJ112" s="1" t="s">
        <v>74</v>
      </c>
      <c r="AK112" s="1" t="s">
        <v>74</v>
      </c>
      <c r="AL112" s="1" t="s">
        <v>74</v>
      </c>
      <c r="AM112" s="1" t="s">
        <v>74</v>
      </c>
      <c r="AN112" s="1" t="s">
        <v>74</v>
      </c>
      <c r="AO112" s="1" t="s">
        <v>378</v>
      </c>
      <c r="AP112" s="1" t="s">
        <v>74</v>
      </c>
      <c r="AQ112" s="1" t="s">
        <v>74</v>
      </c>
      <c r="AR112" s="1" t="s">
        <v>74</v>
      </c>
      <c r="AS112" s="1" t="s">
        <v>74</v>
      </c>
      <c r="AT112" s="1" t="s">
        <v>277</v>
      </c>
      <c r="AU112" s="1">
        <v>1998.0</v>
      </c>
      <c r="AV112" s="1">
        <v>40.0</v>
      </c>
      <c r="AW112" s="1">
        <v>1.0</v>
      </c>
      <c r="AX112" s="1" t="s">
        <v>74</v>
      </c>
      <c r="AY112" s="1" t="s">
        <v>74</v>
      </c>
      <c r="AZ112" s="1" t="s">
        <v>74</v>
      </c>
      <c r="BA112" s="1" t="s">
        <v>74</v>
      </c>
      <c r="BB112" s="1">
        <v>27.0</v>
      </c>
      <c r="BC112" s="1">
        <v>34.0</v>
      </c>
      <c r="BD112" s="1" t="s">
        <v>74</v>
      </c>
      <c r="BE112" s="1" t="s">
        <v>1249</v>
      </c>
      <c r="BF112" s="2" t="str">
        <f>HYPERLINK("http://dx.doi.org/10.1007/s002890050219","http://dx.doi.org/10.1007/s002890050219")</f>
        <v>http://dx.doi.org/10.1007/s002890050219</v>
      </c>
      <c r="BG112" s="1" t="s">
        <v>74</v>
      </c>
      <c r="BH112" s="1" t="s">
        <v>74</v>
      </c>
      <c r="BI112" s="1" t="s">
        <v>74</v>
      </c>
      <c r="BJ112" s="1" t="s">
        <v>74</v>
      </c>
      <c r="BK112" s="1" t="s">
        <v>74</v>
      </c>
      <c r="BL112" s="1" t="s">
        <v>74</v>
      </c>
      <c r="BM112" s="1" t="s">
        <v>74</v>
      </c>
      <c r="BN112" s="1" t="s">
        <v>74</v>
      </c>
      <c r="BO112" s="1" t="s">
        <v>74</v>
      </c>
      <c r="BP112" s="1" t="s">
        <v>74</v>
      </c>
      <c r="BQ112" s="1" t="s">
        <v>74</v>
      </c>
      <c r="BR112" s="1" t="s">
        <v>74</v>
      </c>
      <c r="BS112" s="1" t="s">
        <v>1250</v>
      </c>
      <c r="BT112" s="1" t="str">
        <f>HYPERLINK("https%3A%2F%2Fwww.webofscience.com%2Fwos%2Fwoscc%2Ffull-record%2FWOS:000071773400005","View Full Record in Web of Science")</f>
        <v>View Full Record in Web of Science</v>
      </c>
    </row>
    <row r="113" ht="12.75" customHeight="1">
      <c r="A113" s="1" t="s">
        <v>72</v>
      </c>
      <c r="B113" s="1" t="s">
        <v>1251</v>
      </c>
      <c r="C113" s="1" t="s">
        <v>74</v>
      </c>
      <c r="D113" s="1" t="s">
        <v>74</v>
      </c>
      <c r="E113" s="1" t="s">
        <v>74</v>
      </c>
      <c r="F113" s="1" t="s">
        <v>1251</v>
      </c>
      <c r="G113" s="1" t="s">
        <v>74</v>
      </c>
      <c r="H113" s="1" t="s">
        <v>74</v>
      </c>
      <c r="I113" s="1" t="s">
        <v>1252</v>
      </c>
      <c r="J113" s="1" t="s">
        <v>1218</v>
      </c>
      <c r="K113" s="1" t="s">
        <v>74</v>
      </c>
      <c r="L113" s="1" t="s">
        <v>74</v>
      </c>
      <c r="M113" s="1" t="s">
        <v>74</v>
      </c>
      <c r="N113" s="1" t="s">
        <v>74</v>
      </c>
      <c r="O113" s="1" t="s">
        <v>74</v>
      </c>
      <c r="P113" s="1" t="s">
        <v>74</v>
      </c>
      <c r="Q113" s="1" t="s">
        <v>74</v>
      </c>
      <c r="R113" s="1" t="s">
        <v>74</v>
      </c>
      <c r="S113" s="1" t="s">
        <v>74</v>
      </c>
      <c r="T113" s="1" t="s">
        <v>74</v>
      </c>
      <c r="U113" s="1" t="s">
        <v>74</v>
      </c>
      <c r="V113" s="1" t="s">
        <v>1253</v>
      </c>
      <c r="W113" s="1" t="s">
        <v>74</v>
      </c>
      <c r="X113" s="1" t="s">
        <v>74</v>
      </c>
      <c r="Y113" s="1" t="s">
        <v>74</v>
      </c>
      <c r="Z113" s="1" t="s">
        <v>74</v>
      </c>
      <c r="AA113" s="1" t="s">
        <v>1254</v>
      </c>
      <c r="AB113" s="1" t="s">
        <v>1255</v>
      </c>
      <c r="AC113" s="1" t="s">
        <v>74</v>
      </c>
      <c r="AD113" s="1" t="s">
        <v>74</v>
      </c>
      <c r="AE113" s="1" t="s">
        <v>74</v>
      </c>
      <c r="AF113" s="1" t="s">
        <v>74</v>
      </c>
      <c r="AG113" s="1" t="s">
        <v>74</v>
      </c>
      <c r="AH113" s="1" t="s">
        <v>74</v>
      </c>
      <c r="AI113" s="1" t="s">
        <v>74</v>
      </c>
      <c r="AJ113" s="1" t="s">
        <v>74</v>
      </c>
      <c r="AK113" s="1" t="s">
        <v>74</v>
      </c>
      <c r="AL113" s="1" t="s">
        <v>74</v>
      </c>
      <c r="AM113" s="1" t="s">
        <v>74</v>
      </c>
      <c r="AN113" s="1" t="s">
        <v>74</v>
      </c>
      <c r="AO113" s="1" t="s">
        <v>1221</v>
      </c>
      <c r="AP113" s="1" t="s">
        <v>74</v>
      </c>
      <c r="AQ113" s="1" t="s">
        <v>74</v>
      </c>
      <c r="AR113" s="1" t="s">
        <v>74</v>
      </c>
      <c r="AS113" s="1" t="s">
        <v>74</v>
      </c>
      <c r="AT113" s="1" t="s">
        <v>621</v>
      </c>
      <c r="AU113" s="1">
        <v>1995.0</v>
      </c>
      <c r="AV113" s="1">
        <v>39.0</v>
      </c>
      <c r="AW113" s="1">
        <v>5.0</v>
      </c>
      <c r="AX113" s="1" t="s">
        <v>74</v>
      </c>
      <c r="AY113" s="1" t="s">
        <v>74</v>
      </c>
      <c r="AZ113" s="1" t="s">
        <v>74</v>
      </c>
      <c r="BA113" s="1" t="s">
        <v>74</v>
      </c>
      <c r="BB113" s="1">
        <v>1023.0</v>
      </c>
      <c r="BC113" s="1">
        <v>1026.0</v>
      </c>
      <c r="BD113" s="1" t="s">
        <v>74</v>
      </c>
      <c r="BE113" s="1" t="s">
        <v>1256</v>
      </c>
      <c r="BF113" s="2" t="str">
        <f>HYPERLINK("http://dx.doi.org/10.1016/0031-9422(95)00065-F","http://dx.doi.org/10.1016/0031-9422(95)00065-F")</f>
        <v>http://dx.doi.org/10.1016/0031-9422(95)00065-F</v>
      </c>
      <c r="BG113" s="1" t="s">
        <v>74</v>
      </c>
      <c r="BH113" s="1" t="s">
        <v>74</v>
      </c>
      <c r="BI113" s="1" t="s">
        <v>74</v>
      </c>
      <c r="BJ113" s="1" t="s">
        <v>74</v>
      </c>
      <c r="BK113" s="1" t="s">
        <v>74</v>
      </c>
      <c r="BL113" s="1" t="s">
        <v>74</v>
      </c>
      <c r="BM113" s="1" t="s">
        <v>74</v>
      </c>
      <c r="BN113" s="1" t="s">
        <v>74</v>
      </c>
      <c r="BO113" s="1" t="s">
        <v>74</v>
      </c>
      <c r="BP113" s="1" t="s">
        <v>74</v>
      </c>
      <c r="BQ113" s="1" t="s">
        <v>74</v>
      </c>
      <c r="BR113" s="1" t="s">
        <v>74</v>
      </c>
      <c r="BS113" s="1" t="s">
        <v>1257</v>
      </c>
      <c r="BT113" s="1" t="str">
        <f>HYPERLINK("https%3A%2F%2Fwww.webofscience.com%2Fwos%2Fwoscc%2Ffull-record%2FWOS:A1995RN58900012","View Full Record in Web of Science")</f>
        <v>View Full Record in Web of Science</v>
      </c>
    </row>
    <row r="114" ht="12.75" customHeight="1">
      <c r="A114" s="1" t="s">
        <v>72</v>
      </c>
      <c r="B114" s="1" t="s">
        <v>1258</v>
      </c>
      <c r="C114" s="1" t="s">
        <v>74</v>
      </c>
      <c r="D114" s="1" t="s">
        <v>74</v>
      </c>
      <c r="E114" s="1" t="s">
        <v>74</v>
      </c>
      <c r="F114" s="1" t="s">
        <v>1258</v>
      </c>
      <c r="G114" s="1" t="s">
        <v>74</v>
      </c>
      <c r="H114" s="1" t="s">
        <v>74</v>
      </c>
      <c r="I114" s="1" t="s">
        <v>1259</v>
      </c>
      <c r="J114" s="1" t="s">
        <v>1260</v>
      </c>
      <c r="K114" s="1" t="s">
        <v>74</v>
      </c>
      <c r="L114" s="1" t="s">
        <v>74</v>
      </c>
      <c r="M114" s="1" t="s">
        <v>74</v>
      </c>
      <c r="N114" s="1" t="s">
        <v>74</v>
      </c>
      <c r="O114" s="1" t="s">
        <v>74</v>
      </c>
      <c r="P114" s="1" t="s">
        <v>74</v>
      </c>
      <c r="Q114" s="1" t="s">
        <v>74</v>
      </c>
      <c r="R114" s="1" t="s">
        <v>74</v>
      </c>
      <c r="S114" s="1" t="s">
        <v>74</v>
      </c>
      <c r="T114" s="1" t="s">
        <v>74</v>
      </c>
      <c r="U114" s="1" t="s">
        <v>74</v>
      </c>
      <c r="V114" s="1" t="s">
        <v>1261</v>
      </c>
      <c r="W114" s="1" t="s">
        <v>74</v>
      </c>
      <c r="X114" s="1" t="s">
        <v>74</v>
      </c>
      <c r="Y114" s="1" t="s">
        <v>74</v>
      </c>
      <c r="Z114" s="1" t="s">
        <v>74</v>
      </c>
      <c r="AA114" s="1" t="s">
        <v>74</v>
      </c>
      <c r="AB114" s="1" t="s">
        <v>74</v>
      </c>
      <c r="AC114" s="1" t="s">
        <v>74</v>
      </c>
      <c r="AD114" s="1" t="s">
        <v>74</v>
      </c>
      <c r="AE114" s="1" t="s">
        <v>74</v>
      </c>
      <c r="AF114" s="1" t="s">
        <v>74</v>
      </c>
      <c r="AG114" s="1" t="s">
        <v>74</v>
      </c>
      <c r="AH114" s="1" t="s">
        <v>74</v>
      </c>
      <c r="AI114" s="1" t="s">
        <v>74</v>
      </c>
      <c r="AJ114" s="1" t="s">
        <v>74</v>
      </c>
      <c r="AK114" s="1" t="s">
        <v>74</v>
      </c>
      <c r="AL114" s="1" t="s">
        <v>74</v>
      </c>
      <c r="AM114" s="1" t="s">
        <v>74</v>
      </c>
      <c r="AN114" s="1" t="s">
        <v>74</v>
      </c>
      <c r="AO114" s="1" t="s">
        <v>1262</v>
      </c>
      <c r="AP114" s="1" t="s">
        <v>74</v>
      </c>
      <c r="AQ114" s="1" t="s">
        <v>74</v>
      </c>
      <c r="AR114" s="1" t="s">
        <v>74</v>
      </c>
      <c r="AS114" s="1" t="s">
        <v>74</v>
      </c>
      <c r="AT114" s="1" t="s">
        <v>841</v>
      </c>
      <c r="AU114" s="1">
        <v>1994.0</v>
      </c>
      <c r="AV114" s="1">
        <v>104.0</v>
      </c>
      <c r="AW114" s="1">
        <v>1.0</v>
      </c>
      <c r="AX114" s="1" t="s">
        <v>74</v>
      </c>
      <c r="AY114" s="1" t="s">
        <v>74</v>
      </c>
      <c r="AZ114" s="1" t="s">
        <v>74</v>
      </c>
      <c r="BA114" s="1" t="s">
        <v>74</v>
      </c>
      <c r="BB114" s="1">
        <v>1.0</v>
      </c>
      <c r="BC114" s="1">
        <v>7.0</v>
      </c>
      <c r="BD114" s="1" t="s">
        <v>74</v>
      </c>
      <c r="BE114" s="1" t="s">
        <v>74</v>
      </c>
      <c r="BF114" s="1" t="s">
        <v>74</v>
      </c>
      <c r="BG114" s="1" t="s">
        <v>74</v>
      </c>
      <c r="BH114" s="1" t="s">
        <v>74</v>
      </c>
      <c r="BI114" s="1" t="s">
        <v>74</v>
      </c>
      <c r="BJ114" s="1" t="s">
        <v>74</v>
      </c>
      <c r="BK114" s="1" t="s">
        <v>74</v>
      </c>
      <c r="BL114" s="1" t="s">
        <v>74</v>
      </c>
      <c r="BM114" s="1" t="s">
        <v>74</v>
      </c>
      <c r="BN114" s="1" t="s">
        <v>74</v>
      </c>
      <c r="BO114" s="1" t="s">
        <v>74</v>
      </c>
      <c r="BP114" s="1" t="s">
        <v>74</v>
      </c>
      <c r="BQ114" s="1" t="s">
        <v>74</v>
      </c>
      <c r="BR114" s="1" t="s">
        <v>74</v>
      </c>
      <c r="BS114" s="1" t="s">
        <v>1263</v>
      </c>
      <c r="BT114" s="1" t="str">
        <f>HYPERLINK("https%3A%2F%2Fwww.webofscience.com%2Fwos%2Fwoscc%2Ffull-record%2FWOS:A1994NC96100001","View Full Record in Web of Science")</f>
        <v>View Full Record in Web of Science</v>
      </c>
    </row>
    <row r="115" ht="12.75" customHeight="1">
      <c r="A115" s="1" t="s">
        <v>72</v>
      </c>
      <c r="B115" s="1" t="s">
        <v>1264</v>
      </c>
      <c r="C115" s="1" t="s">
        <v>74</v>
      </c>
      <c r="D115" s="1" t="s">
        <v>74</v>
      </c>
      <c r="E115" s="1" t="s">
        <v>74</v>
      </c>
      <c r="F115" s="1" t="s">
        <v>1264</v>
      </c>
      <c r="G115" s="1" t="s">
        <v>74</v>
      </c>
      <c r="H115" s="1" t="s">
        <v>74</v>
      </c>
      <c r="I115" s="1" t="s">
        <v>1265</v>
      </c>
      <c r="J115" s="1" t="s">
        <v>1266</v>
      </c>
      <c r="K115" s="1" t="s">
        <v>74</v>
      </c>
      <c r="L115" s="1" t="s">
        <v>74</v>
      </c>
      <c r="M115" s="1" t="s">
        <v>74</v>
      </c>
      <c r="N115" s="1" t="s">
        <v>74</v>
      </c>
      <c r="O115" s="1" t="s">
        <v>74</v>
      </c>
      <c r="P115" s="1" t="s">
        <v>74</v>
      </c>
      <c r="Q115" s="1" t="s">
        <v>74</v>
      </c>
      <c r="R115" s="1" t="s">
        <v>74</v>
      </c>
      <c r="S115" s="1" t="s">
        <v>74</v>
      </c>
      <c r="T115" s="1" t="s">
        <v>74</v>
      </c>
      <c r="U115" s="1" t="s">
        <v>74</v>
      </c>
      <c r="V115" s="1" t="s">
        <v>1267</v>
      </c>
      <c r="W115" s="1" t="s">
        <v>74</v>
      </c>
      <c r="X115" s="1" t="s">
        <v>74</v>
      </c>
      <c r="Y115" s="1" t="s">
        <v>74</v>
      </c>
      <c r="Z115" s="1" t="s">
        <v>74</v>
      </c>
      <c r="AA115" s="1" t="s">
        <v>74</v>
      </c>
      <c r="AB115" s="1" t="s">
        <v>74</v>
      </c>
      <c r="AC115" s="1" t="s">
        <v>74</v>
      </c>
      <c r="AD115" s="1" t="s">
        <v>74</v>
      </c>
      <c r="AE115" s="1" t="s">
        <v>74</v>
      </c>
      <c r="AF115" s="1" t="s">
        <v>74</v>
      </c>
      <c r="AG115" s="1" t="s">
        <v>74</v>
      </c>
      <c r="AH115" s="1" t="s">
        <v>74</v>
      </c>
      <c r="AI115" s="1" t="s">
        <v>74</v>
      </c>
      <c r="AJ115" s="1" t="s">
        <v>74</v>
      </c>
      <c r="AK115" s="1" t="s">
        <v>74</v>
      </c>
      <c r="AL115" s="1" t="s">
        <v>74</v>
      </c>
      <c r="AM115" s="1" t="s">
        <v>74</v>
      </c>
      <c r="AN115" s="1" t="s">
        <v>74</v>
      </c>
      <c r="AO115" s="1" t="s">
        <v>1268</v>
      </c>
      <c r="AP115" s="1" t="s">
        <v>74</v>
      </c>
      <c r="AQ115" s="1" t="s">
        <v>74</v>
      </c>
      <c r="AR115" s="1" t="s">
        <v>74</v>
      </c>
      <c r="AS115" s="1" t="s">
        <v>74</v>
      </c>
      <c r="AT115" s="1" t="s">
        <v>74</v>
      </c>
      <c r="AU115" s="1">
        <v>1991.0</v>
      </c>
      <c r="AV115" s="1">
        <v>27.0</v>
      </c>
      <c r="AW115" s="1">
        <v>8.0</v>
      </c>
      <c r="AX115" s="1" t="s">
        <v>74</v>
      </c>
      <c r="AY115" s="1" t="s">
        <v>74</v>
      </c>
      <c r="AZ115" s="1" t="s">
        <v>74</v>
      </c>
      <c r="BA115" s="1" t="s">
        <v>74</v>
      </c>
      <c r="BB115" s="1">
        <v>751.0</v>
      </c>
      <c r="BC115" s="1">
        <v>759.0</v>
      </c>
      <c r="BD115" s="1" t="s">
        <v>74</v>
      </c>
      <c r="BE115" s="1" t="s">
        <v>1269</v>
      </c>
      <c r="BF115" s="2" t="str">
        <f>HYPERLINK("http://dx.doi.org/10.1016/0014-3057(91)90003-7","http://dx.doi.org/10.1016/0014-3057(91)90003-7")</f>
        <v>http://dx.doi.org/10.1016/0014-3057(91)90003-7</v>
      </c>
      <c r="BG115" s="1" t="s">
        <v>74</v>
      </c>
      <c r="BH115" s="1" t="s">
        <v>74</v>
      </c>
      <c r="BI115" s="1" t="s">
        <v>74</v>
      </c>
      <c r="BJ115" s="1" t="s">
        <v>74</v>
      </c>
      <c r="BK115" s="1" t="s">
        <v>74</v>
      </c>
      <c r="BL115" s="1" t="s">
        <v>74</v>
      </c>
      <c r="BM115" s="1" t="s">
        <v>74</v>
      </c>
      <c r="BN115" s="1" t="s">
        <v>74</v>
      </c>
      <c r="BO115" s="1" t="s">
        <v>74</v>
      </c>
      <c r="BP115" s="1" t="s">
        <v>74</v>
      </c>
      <c r="BQ115" s="1" t="s">
        <v>74</v>
      </c>
      <c r="BR115" s="1" t="s">
        <v>74</v>
      </c>
      <c r="BS115" s="1" t="s">
        <v>1270</v>
      </c>
      <c r="BT115" s="1" t="str">
        <f>HYPERLINK("https%3A%2F%2Fwww.webofscience.com%2Fwos%2Fwoscc%2Ffull-record%2FWOS:A1991GB18700003","View Full Record in Web of Science")</f>
        <v>View Full Record in Web of Science</v>
      </c>
    </row>
    <row r="116" ht="12.75" customHeight="1">
      <c r="A116" s="1" t="s">
        <v>72</v>
      </c>
      <c r="B116" s="1" t="s">
        <v>1271</v>
      </c>
      <c r="C116" s="1" t="s">
        <v>74</v>
      </c>
      <c r="D116" s="1" t="s">
        <v>74</v>
      </c>
      <c r="E116" s="1" t="s">
        <v>74</v>
      </c>
      <c r="F116" s="1" t="s">
        <v>1271</v>
      </c>
      <c r="G116" s="1" t="s">
        <v>74</v>
      </c>
      <c r="H116" s="1" t="s">
        <v>74</v>
      </c>
      <c r="I116" s="1" t="s">
        <v>1272</v>
      </c>
      <c r="J116" s="1" t="s">
        <v>375</v>
      </c>
      <c r="K116" s="1" t="s">
        <v>74</v>
      </c>
      <c r="L116" s="1" t="s">
        <v>74</v>
      </c>
      <c r="M116" s="1" t="s">
        <v>74</v>
      </c>
      <c r="N116" s="1" t="s">
        <v>74</v>
      </c>
      <c r="O116" s="1" t="s">
        <v>74</v>
      </c>
      <c r="P116" s="1" t="s">
        <v>74</v>
      </c>
      <c r="Q116" s="1" t="s">
        <v>74</v>
      </c>
      <c r="R116" s="1" t="s">
        <v>74</v>
      </c>
      <c r="S116" s="1" t="s">
        <v>74</v>
      </c>
      <c r="T116" s="1" t="s">
        <v>74</v>
      </c>
      <c r="U116" s="1" t="s">
        <v>74</v>
      </c>
      <c r="V116" s="1" t="s">
        <v>74</v>
      </c>
      <c r="W116" s="1" t="s">
        <v>74</v>
      </c>
      <c r="X116" s="1" t="s">
        <v>74</v>
      </c>
      <c r="Y116" s="1" t="s">
        <v>74</v>
      </c>
      <c r="Z116" s="1" t="s">
        <v>74</v>
      </c>
      <c r="AA116" s="1" t="s">
        <v>74</v>
      </c>
      <c r="AB116" s="1" t="s">
        <v>74</v>
      </c>
      <c r="AC116" s="1" t="s">
        <v>74</v>
      </c>
      <c r="AD116" s="1" t="s">
        <v>74</v>
      </c>
      <c r="AE116" s="1" t="s">
        <v>74</v>
      </c>
      <c r="AF116" s="1" t="s">
        <v>74</v>
      </c>
      <c r="AG116" s="1" t="s">
        <v>74</v>
      </c>
      <c r="AH116" s="1" t="s">
        <v>74</v>
      </c>
      <c r="AI116" s="1" t="s">
        <v>74</v>
      </c>
      <c r="AJ116" s="1" t="s">
        <v>74</v>
      </c>
      <c r="AK116" s="1" t="s">
        <v>74</v>
      </c>
      <c r="AL116" s="1" t="s">
        <v>74</v>
      </c>
      <c r="AM116" s="1" t="s">
        <v>74</v>
      </c>
      <c r="AN116" s="1" t="s">
        <v>74</v>
      </c>
      <c r="AO116" s="1" t="s">
        <v>378</v>
      </c>
      <c r="AP116" s="1" t="s">
        <v>74</v>
      </c>
      <c r="AQ116" s="1" t="s">
        <v>74</v>
      </c>
      <c r="AR116" s="1" t="s">
        <v>74</v>
      </c>
      <c r="AS116" s="1" t="s">
        <v>74</v>
      </c>
      <c r="AT116" s="1" t="s">
        <v>421</v>
      </c>
      <c r="AU116" s="1">
        <v>1990.0</v>
      </c>
      <c r="AV116" s="1">
        <v>23.0</v>
      </c>
      <c r="AW116" s="1">
        <v>5.0</v>
      </c>
      <c r="AX116" s="1" t="s">
        <v>74</v>
      </c>
      <c r="AY116" s="1" t="s">
        <v>74</v>
      </c>
      <c r="AZ116" s="1" t="s">
        <v>74</v>
      </c>
      <c r="BA116" s="1" t="s">
        <v>74</v>
      </c>
      <c r="BB116" s="1">
        <v>483.0</v>
      </c>
      <c r="BC116" s="1">
        <v>489.0</v>
      </c>
      <c r="BD116" s="1" t="s">
        <v>74</v>
      </c>
      <c r="BE116" s="1" t="s">
        <v>1273</v>
      </c>
      <c r="BF116" s="2" t="str">
        <f>HYPERLINK("http://dx.doi.org/10.1007/BF00419966","http://dx.doi.org/10.1007/BF00419966")</f>
        <v>http://dx.doi.org/10.1007/BF00419966</v>
      </c>
      <c r="BG116" s="1" t="s">
        <v>74</v>
      </c>
      <c r="BH116" s="1" t="s">
        <v>74</v>
      </c>
      <c r="BI116" s="1" t="s">
        <v>74</v>
      </c>
      <c r="BJ116" s="1" t="s">
        <v>74</v>
      </c>
      <c r="BK116" s="1" t="s">
        <v>74</v>
      </c>
      <c r="BL116" s="1" t="s">
        <v>74</v>
      </c>
      <c r="BM116" s="1" t="s">
        <v>74</v>
      </c>
      <c r="BN116" s="1" t="s">
        <v>74</v>
      </c>
      <c r="BO116" s="1" t="s">
        <v>74</v>
      </c>
      <c r="BP116" s="1" t="s">
        <v>74</v>
      </c>
      <c r="BQ116" s="1" t="s">
        <v>74</v>
      </c>
      <c r="BR116" s="1" t="s">
        <v>74</v>
      </c>
      <c r="BS116" s="1" t="s">
        <v>1274</v>
      </c>
      <c r="BT116" s="1" t="str">
        <f>HYPERLINK("https%3A%2F%2Fwww.webofscience.com%2Fwos%2Fwoscc%2Ffull-record%2FWOS:A1990DB54000004","View Full Record in Web of Science")</f>
        <v>View Full Record in Web of Science</v>
      </c>
    </row>
    <row r="117" ht="12.75" customHeight="1">
      <c r="A117" s="1" t="s">
        <v>72</v>
      </c>
      <c r="B117" s="1" t="s">
        <v>1275</v>
      </c>
      <c r="C117" s="1" t="s">
        <v>74</v>
      </c>
      <c r="D117" s="1" t="s">
        <v>74</v>
      </c>
      <c r="E117" s="1" t="s">
        <v>74</v>
      </c>
      <c r="F117" s="1" t="s">
        <v>1275</v>
      </c>
      <c r="G117" s="1" t="s">
        <v>74</v>
      </c>
      <c r="H117" s="1" t="s">
        <v>74</v>
      </c>
      <c r="I117" s="1" t="s">
        <v>1276</v>
      </c>
      <c r="J117" s="1" t="s">
        <v>1277</v>
      </c>
      <c r="K117" s="1" t="s">
        <v>74</v>
      </c>
      <c r="L117" s="1" t="s">
        <v>74</v>
      </c>
      <c r="M117" s="1" t="s">
        <v>74</v>
      </c>
      <c r="N117" s="1" t="s">
        <v>74</v>
      </c>
      <c r="O117" s="1" t="s">
        <v>74</v>
      </c>
      <c r="P117" s="1" t="s">
        <v>74</v>
      </c>
      <c r="Q117" s="1" t="s">
        <v>74</v>
      </c>
      <c r="R117" s="1" t="s">
        <v>74</v>
      </c>
      <c r="S117" s="1" t="s">
        <v>74</v>
      </c>
      <c r="T117" s="1" t="s">
        <v>74</v>
      </c>
      <c r="U117" s="1" t="s">
        <v>74</v>
      </c>
      <c r="V117" s="1" t="s">
        <v>74</v>
      </c>
      <c r="W117" s="1" t="s">
        <v>74</v>
      </c>
      <c r="X117" s="1" t="s">
        <v>74</v>
      </c>
      <c r="Y117" s="1" t="s">
        <v>74</v>
      </c>
      <c r="Z117" s="1" t="s">
        <v>74</v>
      </c>
      <c r="AA117" s="1" t="s">
        <v>74</v>
      </c>
      <c r="AB117" s="1" t="s">
        <v>74</v>
      </c>
      <c r="AC117" s="1" t="s">
        <v>74</v>
      </c>
      <c r="AD117" s="1" t="s">
        <v>74</v>
      </c>
      <c r="AE117" s="1" t="s">
        <v>74</v>
      </c>
      <c r="AF117" s="1" t="s">
        <v>74</v>
      </c>
      <c r="AG117" s="1" t="s">
        <v>74</v>
      </c>
      <c r="AH117" s="1" t="s">
        <v>74</v>
      </c>
      <c r="AI117" s="1" t="s">
        <v>74</v>
      </c>
      <c r="AJ117" s="1" t="s">
        <v>74</v>
      </c>
      <c r="AK117" s="1" t="s">
        <v>74</v>
      </c>
      <c r="AL117" s="1" t="s">
        <v>74</v>
      </c>
      <c r="AM117" s="1" t="s">
        <v>74</v>
      </c>
      <c r="AN117" s="1" t="s">
        <v>74</v>
      </c>
      <c r="AO117" s="1" t="s">
        <v>1278</v>
      </c>
      <c r="AP117" s="1" t="s">
        <v>74</v>
      </c>
      <c r="AQ117" s="1" t="s">
        <v>74</v>
      </c>
      <c r="AR117" s="1" t="s">
        <v>74</v>
      </c>
      <c r="AS117" s="1" t="s">
        <v>74</v>
      </c>
      <c r="AT117" s="1" t="s">
        <v>74</v>
      </c>
      <c r="AU117" s="1">
        <v>1981.0</v>
      </c>
      <c r="AV117" s="1">
        <v>79.0</v>
      </c>
      <c r="AW117" s="1">
        <v>2.0</v>
      </c>
      <c r="AX117" s="1" t="s">
        <v>74</v>
      </c>
      <c r="AY117" s="1" t="s">
        <v>74</v>
      </c>
      <c r="AZ117" s="1" t="s">
        <v>74</v>
      </c>
      <c r="BA117" s="1" t="s">
        <v>74</v>
      </c>
      <c r="BB117" s="1">
        <v>589.0</v>
      </c>
      <c r="BC117" s="1">
        <v>589.0</v>
      </c>
      <c r="BD117" s="1" t="s">
        <v>74</v>
      </c>
      <c r="BE117" s="1" t="s">
        <v>1279</v>
      </c>
      <c r="BF117" s="2" t="str">
        <f>HYPERLINK("http://dx.doi.org/10.1016/0021-9797(81)90112-0","http://dx.doi.org/10.1016/0021-9797(81)90112-0")</f>
        <v>http://dx.doi.org/10.1016/0021-9797(81)90112-0</v>
      </c>
      <c r="BG117" s="1" t="s">
        <v>74</v>
      </c>
      <c r="BH117" s="1" t="s">
        <v>74</v>
      </c>
      <c r="BI117" s="1" t="s">
        <v>74</v>
      </c>
      <c r="BJ117" s="1" t="s">
        <v>74</v>
      </c>
      <c r="BK117" s="1" t="s">
        <v>74</v>
      </c>
      <c r="BL117" s="1" t="s">
        <v>74</v>
      </c>
      <c r="BM117" s="1" t="s">
        <v>74</v>
      </c>
      <c r="BN117" s="1" t="s">
        <v>74</v>
      </c>
      <c r="BO117" s="1" t="s">
        <v>74</v>
      </c>
      <c r="BP117" s="1" t="s">
        <v>74</v>
      </c>
      <c r="BQ117" s="1" t="s">
        <v>74</v>
      </c>
      <c r="BR117" s="1" t="s">
        <v>74</v>
      </c>
      <c r="BS117" s="1" t="s">
        <v>1280</v>
      </c>
      <c r="BT117" s="1" t="str">
        <f>HYPERLINK("https%3A%2F%2Fwww.webofscience.com%2Fwos%2Fwoscc%2Ffull-record%2FWOS:A1981LC81500032","View Full Record in Web of Science")</f>
        <v>View Full Record in Web of Science</v>
      </c>
    </row>
    <row r="118" ht="12.75" customHeight="1">
      <c r="A118" s="1" t="s">
        <v>72</v>
      </c>
      <c r="B118" s="1" t="s">
        <v>1281</v>
      </c>
      <c r="C118" s="1" t="s">
        <v>74</v>
      </c>
      <c r="D118" s="1" t="s">
        <v>74</v>
      </c>
      <c r="E118" s="1" t="s">
        <v>74</v>
      </c>
      <c r="F118" s="1" t="s">
        <v>1281</v>
      </c>
      <c r="G118" s="1" t="s">
        <v>74</v>
      </c>
      <c r="H118" s="1" t="s">
        <v>74</v>
      </c>
      <c r="I118" s="1" t="s">
        <v>1282</v>
      </c>
      <c r="J118" s="1" t="s">
        <v>1283</v>
      </c>
      <c r="K118" s="1" t="s">
        <v>74</v>
      </c>
      <c r="L118" s="1" t="s">
        <v>74</v>
      </c>
      <c r="M118" s="1" t="s">
        <v>74</v>
      </c>
      <c r="N118" s="1" t="s">
        <v>74</v>
      </c>
      <c r="O118" s="1" t="s">
        <v>74</v>
      </c>
      <c r="P118" s="1" t="s">
        <v>74</v>
      </c>
      <c r="Q118" s="1" t="s">
        <v>74</v>
      </c>
      <c r="R118" s="1" t="s">
        <v>74</v>
      </c>
      <c r="S118" s="1" t="s">
        <v>74</v>
      </c>
      <c r="T118" s="1" t="s">
        <v>74</v>
      </c>
      <c r="U118" s="1" t="s">
        <v>74</v>
      </c>
      <c r="V118" s="1" t="s">
        <v>74</v>
      </c>
      <c r="W118" s="1" t="s">
        <v>74</v>
      </c>
      <c r="X118" s="1" t="s">
        <v>74</v>
      </c>
      <c r="Y118" s="1" t="s">
        <v>74</v>
      </c>
      <c r="Z118" s="1" t="s">
        <v>74</v>
      </c>
      <c r="AA118" s="1" t="s">
        <v>74</v>
      </c>
      <c r="AB118" s="1" t="s">
        <v>74</v>
      </c>
      <c r="AC118" s="1" t="s">
        <v>74</v>
      </c>
      <c r="AD118" s="1" t="s">
        <v>74</v>
      </c>
      <c r="AE118" s="1" t="s">
        <v>74</v>
      </c>
      <c r="AF118" s="1" t="s">
        <v>74</v>
      </c>
      <c r="AG118" s="1" t="s">
        <v>74</v>
      </c>
      <c r="AH118" s="1" t="s">
        <v>74</v>
      </c>
      <c r="AI118" s="1" t="s">
        <v>74</v>
      </c>
      <c r="AJ118" s="1" t="s">
        <v>74</v>
      </c>
      <c r="AK118" s="1" t="s">
        <v>74</v>
      </c>
      <c r="AL118" s="1" t="s">
        <v>74</v>
      </c>
      <c r="AM118" s="1" t="s">
        <v>74</v>
      </c>
      <c r="AN118" s="1" t="s">
        <v>74</v>
      </c>
      <c r="AO118" s="1" t="s">
        <v>1284</v>
      </c>
      <c r="AP118" s="1" t="s">
        <v>74</v>
      </c>
      <c r="AQ118" s="1" t="s">
        <v>74</v>
      </c>
      <c r="AR118" s="1" t="s">
        <v>74</v>
      </c>
      <c r="AS118" s="1" t="s">
        <v>74</v>
      </c>
      <c r="AT118" s="1" t="s">
        <v>74</v>
      </c>
      <c r="AU118" s="1">
        <v>1976.0</v>
      </c>
      <c r="AV118" s="1">
        <v>102.0</v>
      </c>
      <c r="AW118" s="1">
        <v>1.0</v>
      </c>
      <c r="AX118" s="1" t="s">
        <v>74</v>
      </c>
      <c r="AY118" s="1" t="s">
        <v>74</v>
      </c>
      <c r="AZ118" s="1" t="s">
        <v>74</v>
      </c>
      <c r="BA118" s="1" t="s">
        <v>74</v>
      </c>
      <c r="BB118" s="1">
        <v>41.0</v>
      </c>
      <c r="BC118" s="1">
        <v>56.0</v>
      </c>
      <c r="BD118" s="1" t="s">
        <v>74</v>
      </c>
      <c r="BE118" s="1" t="s">
        <v>74</v>
      </c>
      <c r="BF118" s="1" t="s">
        <v>74</v>
      </c>
      <c r="BG118" s="1" t="s">
        <v>74</v>
      </c>
      <c r="BH118" s="1" t="s">
        <v>74</v>
      </c>
      <c r="BI118" s="1" t="s">
        <v>74</v>
      </c>
      <c r="BJ118" s="1" t="s">
        <v>74</v>
      </c>
      <c r="BK118" s="1" t="s">
        <v>74</v>
      </c>
      <c r="BL118" s="1" t="s">
        <v>74</v>
      </c>
      <c r="BM118" s="1" t="s">
        <v>74</v>
      </c>
      <c r="BN118" s="1" t="s">
        <v>74</v>
      </c>
      <c r="BO118" s="1" t="s">
        <v>74</v>
      </c>
      <c r="BP118" s="1" t="s">
        <v>74</v>
      </c>
      <c r="BQ118" s="1" t="s">
        <v>74</v>
      </c>
      <c r="BR118" s="1" t="s">
        <v>74</v>
      </c>
      <c r="BS118" s="1" t="s">
        <v>1285</v>
      </c>
      <c r="BT118" s="1" t="str">
        <f>HYPERLINK("https%3A%2F%2Fwww.webofscience.com%2Fwos%2Fwoscc%2Ffull-record%2FWOS:A1976BE81800004","View Full Record in Web of Science")</f>
        <v>View Full Record in Web of Science</v>
      </c>
    </row>
    <row r="119" ht="12.75" customHeight="1">
      <c r="A119" s="1" t="s">
        <v>72</v>
      </c>
      <c r="B119" s="1" t="s">
        <v>1286</v>
      </c>
      <c r="C119" s="1" t="s">
        <v>74</v>
      </c>
      <c r="D119" s="1" t="s">
        <v>74</v>
      </c>
      <c r="E119" s="1" t="s">
        <v>74</v>
      </c>
      <c r="F119" s="1" t="s">
        <v>1287</v>
      </c>
      <c r="G119" s="1" t="s">
        <v>74</v>
      </c>
      <c r="H119" s="1" t="s">
        <v>74</v>
      </c>
      <c r="I119" s="1" t="s">
        <v>1288</v>
      </c>
      <c r="J119" s="1" t="s">
        <v>1289</v>
      </c>
      <c r="K119" s="1" t="s">
        <v>74</v>
      </c>
      <c r="L119" s="1" t="s">
        <v>74</v>
      </c>
      <c r="M119" s="1" t="s">
        <v>74</v>
      </c>
      <c r="N119" s="1" t="s">
        <v>74</v>
      </c>
      <c r="O119" s="1" t="s">
        <v>74</v>
      </c>
      <c r="P119" s="1" t="s">
        <v>74</v>
      </c>
      <c r="Q119" s="1" t="s">
        <v>74</v>
      </c>
      <c r="R119" s="1" t="s">
        <v>74</v>
      </c>
      <c r="S119" s="1" t="s">
        <v>74</v>
      </c>
      <c r="T119" s="1" t="s">
        <v>74</v>
      </c>
      <c r="U119" s="1" t="s">
        <v>74</v>
      </c>
      <c r="V119" s="1" t="s">
        <v>1290</v>
      </c>
      <c r="W119" s="1" t="s">
        <v>74</v>
      </c>
      <c r="X119" s="1" t="s">
        <v>74</v>
      </c>
      <c r="Y119" s="1" t="s">
        <v>74</v>
      </c>
      <c r="Z119" s="1" t="s">
        <v>74</v>
      </c>
      <c r="AA119" s="1" t="s">
        <v>1291</v>
      </c>
      <c r="AB119" s="1" t="s">
        <v>1292</v>
      </c>
      <c r="AC119" s="1" t="s">
        <v>74</v>
      </c>
      <c r="AD119" s="1" t="s">
        <v>74</v>
      </c>
      <c r="AE119" s="1" t="s">
        <v>74</v>
      </c>
      <c r="AF119" s="1" t="s">
        <v>74</v>
      </c>
      <c r="AG119" s="1" t="s">
        <v>74</v>
      </c>
      <c r="AH119" s="1" t="s">
        <v>74</v>
      </c>
      <c r="AI119" s="1" t="s">
        <v>74</v>
      </c>
      <c r="AJ119" s="1" t="s">
        <v>74</v>
      </c>
      <c r="AK119" s="1" t="s">
        <v>74</v>
      </c>
      <c r="AL119" s="1" t="s">
        <v>74</v>
      </c>
      <c r="AM119" s="1" t="s">
        <v>74</v>
      </c>
      <c r="AN119" s="1" t="s">
        <v>74</v>
      </c>
      <c r="AO119" s="1" t="s">
        <v>74</v>
      </c>
      <c r="AP119" s="1" t="s">
        <v>1293</v>
      </c>
      <c r="AQ119" s="1" t="s">
        <v>74</v>
      </c>
      <c r="AR119" s="1" t="s">
        <v>74</v>
      </c>
      <c r="AS119" s="1" t="s">
        <v>74</v>
      </c>
      <c r="AT119" s="1" t="s">
        <v>144</v>
      </c>
      <c r="AU119" s="1">
        <v>2025.0</v>
      </c>
      <c r="AV119" s="1">
        <v>13.0</v>
      </c>
      <c r="AW119" s="1">
        <v>5.0</v>
      </c>
      <c r="AX119" s="1" t="s">
        <v>74</v>
      </c>
      <c r="AY119" s="1" t="s">
        <v>74</v>
      </c>
      <c r="AZ119" s="1" t="s">
        <v>74</v>
      </c>
      <c r="BA119" s="1" t="s">
        <v>74</v>
      </c>
      <c r="BB119" s="1" t="s">
        <v>74</v>
      </c>
      <c r="BC119" s="1" t="s">
        <v>74</v>
      </c>
      <c r="BD119" s="1">
        <v>529.0</v>
      </c>
      <c r="BE119" s="1" t="s">
        <v>1294</v>
      </c>
      <c r="BF119" s="2" t="str">
        <f>HYPERLINK("http://dx.doi.org/10.3390/healthcare13050529","http://dx.doi.org/10.3390/healthcare13050529")</f>
        <v>http://dx.doi.org/10.3390/healthcare13050529</v>
      </c>
      <c r="BG119" s="1" t="s">
        <v>74</v>
      </c>
      <c r="BH119" s="1" t="s">
        <v>74</v>
      </c>
      <c r="BI119" s="1" t="s">
        <v>74</v>
      </c>
      <c r="BJ119" s="1" t="s">
        <v>74</v>
      </c>
      <c r="BK119" s="1" t="s">
        <v>74</v>
      </c>
      <c r="BL119" s="1" t="s">
        <v>74</v>
      </c>
      <c r="BM119" s="1" t="s">
        <v>74</v>
      </c>
      <c r="BN119" s="1">
        <v>4.0077091E7</v>
      </c>
      <c r="BO119" s="1" t="s">
        <v>74</v>
      </c>
      <c r="BP119" s="1" t="s">
        <v>74</v>
      </c>
      <c r="BQ119" s="1" t="s">
        <v>74</v>
      </c>
      <c r="BR119" s="1" t="s">
        <v>74</v>
      </c>
      <c r="BS119" s="1" t="s">
        <v>1295</v>
      </c>
      <c r="BT119" s="1" t="str">
        <f>HYPERLINK("https%3A%2F%2Fwww.webofscience.com%2Fwos%2Fwoscc%2Ffull-record%2FWOS:001442347500001","View Full Record in Web of Science")</f>
        <v>View Full Record in Web of Science</v>
      </c>
    </row>
    <row r="120" ht="12.75" customHeight="1">
      <c r="A120" s="1" t="s">
        <v>72</v>
      </c>
      <c r="B120" s="1" t="s">
        <v>1296</v>
      </c>
      <c r="C120" s="1" t="s">
        <v>74</v>
      </c>
      <c r="D120" s="1" t="s">
        <v>74</v>
      </c>
      <c r="E120" s="1" t="s">
        <v>74</v>
      </c>
      <c r="F120" s="1" t="s">
        <v>1297</v>
      </c>
      <c r="G120" s="1" t="s">
        <v>74</v>
      </c>
      <c r="H120" s="1" t="s">
        <v>74</v>
      </c>
      <c r="I120" s="1" t="s">
        <v>1298</v>
      </c>
      <c r="J120" s="1" t="s">
        <v>1299</v>
      </c>
      <c r="K120" s="1" t="s">
        <v>74</v>
      </c>
      <c r="L120" s="1" t="s">
        <v>74</v>
      </c>
      <c r="M120" s="1" t="s">
        <v>74</v>
      </c>
      <c r="N120" s="1" t="s">
        <v>74</v>
      </c>
      <c r="O120" s="1" t="s">
        <v>74</v>
      </c>
      <c r="P120" s="1" t="s">
        <v>74</v>
      </c>
      <c r="Q120" s="1" t="s">
        <v>74</v>
      </c>
      <c r="R120" s="1" t="s">
        <v>74</v>
      </c>
      <c r="S120" s="1" t="s">
        <v>74</v>
      </c>
      <c r="T120" s="1" t="s">
        <v>74</v>
      </c>
      <c r="U120" s="1" t="s">
        <v>74</v>
      </c>
      <c r="V120" s="1" t="s">
        <v>1300</v>
      </c>
      <c r="W120" s="1" t="s">
        <v>74</v>
      </c>
      <c r="X120" s="1" t="s">
        <v>74</v>
      </c>
      <c r="Y120" s="1" t="s">
        <v>74</v>
      </c>
      <c r="Z120" s="1" t="s">
        <v>74</v>
      </c>
      <c r="AA120" s="1" t="s">
        <v>1301</v>
      </c>
      <c r="AB120" s="1" t="s">
        <v>1302</v>
      </c>
      <c r="AC120" s="1" t="s">
        <v>74</v>
      </c>
      <c r="AD120" s="1" t="s">
        <v>74</v>
      </c>
      <c r="AE120" s="1" t="s">
        <v>74</v>
      </c>
      <c r="AF120" s="1" t="s">
        <v>74</v>
      </c>
      <c r="AG120" s="1" t="s">
        <v>74</v>
      </c>
      <c r="AH120" s="1" t="s">
        <v>74</v>
      </c>
      <c r="AI120" s="1" t="s">
        <v>74</v>
      </c>
      <c r="AJ120" s="1" t="s">
        <v>74</v>
      </c>
      <c r="AK120" s="1" t="s">
        <v>74</v>
      </c>
      <c r="AL120" s="1" t="s">
        <v>74</v>
      </c>
      <c r="AM120" s="1" t="s">
        <v>74</v>
      </c>
      <c r="AN120" s="1" t="s">
        <v>74</v>
      </c>
      <c r="AO120" s="1" t="s">
        <v>74</v>
      </c>
      <c r="AP120" s="1" t="s">
        <v>1303</v>
      </c>
      <c r="AQ120" s="1" t="s">
        <v>74</v>
      </c>
      <c r="AR120" s="1" t="s">
        <v>74</v>
      </c>
      <c r="AS120" s="1" t="s">
        <v>74</v>
      </c>
      <c r="AT120" s="1" t="s">
        <v>389</v>
      </c>
      <c r="AU120" s="1">
        <v>2025.0</v>
      </c>
      <c r="AV120" s="1">
        <v>15.0</v>
      </c>
      <c r="AW120" s="1">
        <v>2.0</v>
      </c>
      <c r="AX120" s="1" t="s">
        <v>74</v>
      </c>
      <c r="AY120" s="1" t="s">
        <v>74</v>
      </c>
      <c r="AZ120" s="1" t="s">
        <v>74</v>
      </c>
      <c r="BA120" s="1" t="s">
        <v>74</v>
      </c>
      <c r="BB120" s="1" t="s">
        <v>74</v>
      </c>
      <c r="BC120" s="1" t="s">
        <v>74</v>
      </c>
      <c r="BD120" s="1">
        <v>167.0</v>
      </c>
      <c r="BE120" s="1" t="s">
        <v>1304</v>
      </c>
      <c r="BF120" s="2" t="str">
        <f>HYPERLINK("http://dx.doi.org/10.3390/min15020167","http://dx.doi.org/10.3390/min15020167")</f>
        <v>http://dx.doi.org/10.3390/min15020167</v>
      </c>
      <c r="BG120" s="1" t="s">
        <v>74</v>
      </c>
      <c r="BH120" s="1" t="s">
        <v>74</v>
      </c>
      <c r="BI120" s="1" t="s">
        <v>74</v>
      </c>
      <c r="BJ120" s="1" t="s">
        <v>74</v>
      </c>
      <c r="BK120" s="1" t="s">
        <v>74</v>
      </c>
      <c r="BL120" s="1" t="s">
        <v>74</v>
      </c>
      <c r="BM120" s="1" t="s">
        <v>74</v>
      </c>
      <c r="BN120" s="1" t="s">
        <v>74</v>
      </c>
      <c r="BO120" s="1" t="s">
        <v>74</v>
      </c>
      <c r="BP120" s="1" t="s">
        <v>74</v>
      </c>
      <c r="BQ120" s="1" t="s">
        <v>74</v>
      </c>
      <c r="BR120" s="1" t="s">
        <v>74</v>
      </c>
      <c r="BS120" s="1" t="s">
        <v>1305</v>
      </c>
      <c r="BT120" s="1" t="str">
        <f>HYPERLINK("https%3A%2F%2Fwww.webofscience.com%2Fwos%2Fwoscc%2Ffull-record%2FWOS:001430273400001","View Full Record in Web of Science")</f>
        <v>View Full Record in Web of Science</v>
      </c>
    </row>
    <row r="121" ht="12.75" customHeight="1">
      <c r="A121" s="1" t="s">
        <v>72</v>
      </c>
      <c r="B121" s="1" t="s">
        <v>1306</v>
      </c>
      <c r="C121" s="1" t="s">
        <v>74</v>
      </c>
      <c r="D121" s="1" t="s">
        <v>74</v>
      </c>
      <c r="E121" s="1" t="s">
        <v>74</v>
      </c>
      <c r="F121" s="1" t="s">
        <v>1307</v>
      </c>
      <c r="G121" s="1" t="s">
        <v>74</v>
      </c>
      <c r="H121" s="1" t="s">
        <v>74</v>
      </c>
      <c r="I121" s="1" t="s">
        <v>1308</v>
      </c>
      <c r="J121" s="1" t="s">
        <v>1309</v>
      </c>
      <c r="K121" s="1" t="s">
        <v>74</v>
      </c>
      <c r="L121" s="1" t="s">
        <v>74</v>
      </c>
      <c r="M121" s="1" t="s">
        <v>74</v>
      </c>
      <c r="N121" s="1" t="s">
        <v>74</v>
      </c>
      <c r="O121" s="1" t="s">
        <v>74</v>
      </c>
      <c r="P121" s="1" t="s">
        <v>74</v>
      </c>
      <c r="Q121" s="1" t="s">
        <v>74</v>
      </c>
      <c r="R121" s="1" t="s">
        <v>74</v>
      </c>
      <c r="S121" s="1" t="s">
        <v>74</v>
      </c>
      <c r="T121" s="1" t="s">
        <v>74</v>
      </c>
      <c r="U121" s="1" t="s">
        <v>74</v>
      </c>
      <c r="V121" s="1" t="s">
        <v>1310</v>
      </c>
      <c r="W121" s="1" t="s">
        <v>74</v>
      </c>
      <c r="X121" s="1" t="s">
        <v>74</v>
      </c>
      <c r="Y121" s="1" t="s">
        <v>74</v>
      </c>
      <c r="Z121" s="1" t="s">
        <v>74</v>
      </c>
      <c r="AA121" s="1" t="s">
        <v>74</v>
      </c>
      <c r="AB121" s="1" t="s">
        <v>1311</v>
      </c>
      <c r="AC121" s="1" t="s">
        <v>74</v>
      </c>
      <c r="AD121" s="1" t="s">
        <v>74</v>
      </c>
      <c r="AE121" s="1" t="s">
        <v>74</v>
      </c>
      <c r="AF121" s="1" t="s">
        <v>74</v>
      </c>
      <c r="AG121" s="1" t="s">
        <v>74</v>
      </c>
      <c r="AH121" s="1" t="s">
        <v>74</v>
      </c>
      <c r="AI121" s="1" t="s">
        <v>74</v>
      </c>
      <c r="AJ121" s="1" t="s">
        <v>74</v>
      </c>
      <c r="AK121" s="1" t="s">
        <v>74</v>
      </c>
      <c r="AL121" s="1" t="s">
        <v>74</v>
      </c>
      <c r="AM121" s="1" t="s">
        <v>74</v>
      </c>
      <c r="AN121" s="1" t="s">
        <v>74</v>
      </c>
      <c r="AO121" s="1" t="s">
        <v>1312</v>
      </c>
      <c r="AP121" s="1" t="s">
        <v>1313</v>
      </c>
      <c r="AQ121" s="1" t="s">
        <v>74</v>
      </c>
      <c r="AR121" s="1" t="s">
        <v>74</v>
      </c>
      <c r="AS121" s="1" t="s">
        <v>74</v>
      </c>
      <c r="AT121" s="1" t="s">
        <v>415</v>
      </c>
      <c r="AU121" s="1">
        <v>2024.0</v>
      </c>
      <c r="AV121" s="1">
        <v>8.0</v>
      </c>
      <c r="AW121" s="1">
        <v>2.0</v>
      </c>
      <c r="AX121" s="1" t="s">
        <v>74</v>
      </c>
      <c r="AY121" s="1" t="s">
        <v>74</v>
      </c>
      <c r="AZ121" s="1" t="s">
        <v>74</v>
      </c>
      <c r="BA121" s="1" t="s">
        <v>74</v>
      </c>
      <c r="BB121" s="1">
        <v>502.0</v>
      </c>
      <c r="BC121" s="1">
        <v>526.0</v>
      </c>
      <c r="BD121" s="1" t="s">
        <v>74</v>
      </c>
      <c r="BE121" s="1" t="s">
        <v>1314</v>
      </c>
      <c r="BF121" s="2" t="str">
        <f>HYPERLINK("http://dx.doi.org/10.1007/s41603-024-00255-8","http://dx.doi.org/10.1007/s41603-024-00255-8")</f>
        <v>http://dx.doi.org/10.1007/s41603-024-00255-8</v>
      </c>
      <c r="BG121" s="1" t="s">
        <v>74</v>
      </c>
      <c r="BH121" s="1" t="s">
        <v>467</v>
      </c>
      <c r="BI121" s="1" t="s">
        <v>74</v>
      </c>
      <c r="BJ121" s="1" t="s">
        <v>74</v>
      </c>
      <c r="BK121" s="1" t="s">
        <v>74</v>
      </c>
      <c r="BL121" s="1" t="s">
        <v>74</v>
      </c>
      <c r="BM121" s="1" t="s">
        <v>74</v>
      </c>
      <c r="BN121" s="1" t="s">
        <v>74</v>
      </c>
      <c r="BO121" s="1" t="s">
        <v>74</v>
      </c>
      <c r="BP121" s="1" t="s">
        <v>74</v>
      </c>
      <c r="BQ121" s="1" t="s">
        <v>74</v>
      </c>
      <c r="BR121" s="1" t="s">
        <v>74</v>
      </c>
      <c r="BS121" s="1" t="s">
        <v>1315</v>
      </c>
      <c r="BT121" s="1" t="str">
        <f>HYPERLINK("https%3A%2F%2Fwww.webofscience.com%2Fwos%2Fwoscc%2Ffull-record%2FWOS:001357697300001","View Full Record in Web of Science")</f>
        <v>View Full Record in Web of Science</v>
      </c>
    </row>
    <row r="122" ht="12.75" customHeight="1">
      <c r="A122" s="1" t="s">
        <v>72</v>
      </c>
      <c r="B122" s="1" t="s">
        <v>1316</v>
      </c>
      <c r="C122" s="1" t="s">
        <v>74</v>
      </c>
      <c r="D122" s="1" t="s">
        <v>74</v>
      </c>
      <c r="E122" s="1" t="s">
        <v>74</v>
      </c>
      <c r="F122" s="1" t="s">
        <v>1317</v>
      </c>
      <c r="G122" s="1" t="s">
        <v>74</v>
      </c>
      <c r="H122" s="1" t="s">
        <v>74</v>
      </c>
      <c r="I122" s="1" t="s">
        <v>1318</v>
      </c>
      <c r="J122" s="1" t="s">
        <v>1319</v>
      </c>
      <c r="K122" s="1" t="s">
        <v>74</v>
      </c>
      <c r="L122" s="1" t="s">
        <v>74</v>
      </c>
      <c r="M122" s="1" t="s">
        <v>74</v>
      </c>
      <c r="N122" s="1" t="s">
        <v>74</v>
      </c>
      <c r="O122" s="1" t="s">
        <v>74</v>
      </c>
      <c r="P122" s="1" t="s">
        <v>74</v>
      </c>
      <c r="Q122" s="1" t="s">
        <v>74</v>
      </c>
      <c r="R122" s="1" t="s">
        <v>74</v>
      </c>
      <c r="S122" s="1" t="s">
        <v>74</v>
      </c>
      <c r="T122" s="1" t="s">
        <v>74</v>
      </c>
      <c r="U122" s="1" t="s">
        <v>74</v>
      </c>
      <c r="V122" s="1" t="s">
        <v>1320</v>
      </c>
      <c r="W122" s="1" t="s">
        <v>74</v>
      </c>
      <c r="X122" s="1" t="s">
        <v>74</v>
      </c>
      <c r="Y122" s="1" t="s">
        <v>74</v>
      </c>
      <c r="Z122" s="1" t="s">
        <v>74</v>
      </c>
      <c r="AA122" s="1" t="s">
        <v>1321</v>
      </c>
      <c r="AB122" s="1" t="s">
        <v>1322</v>
      </c>
      <c r="AC122" s="1" t="s">
        <v>74</v>
      </c>
      <c r="AD122" s="1" t="s">
        <v>74</v>
      </c>
      <c r="AE122" s="1" t="s">
        <v>74</v>
      </c>
      <c r="AF122" s="1" t="s">
        <v>74</v>
      </c>
      <c r="AG122" s="1" t="s">
        <v>74</v>
      </c>
      <c r="AH122" s="1" t="s">
        <v>74</v>
      </c>
      <c r="AI122" s="1" t="s">
        <v>74</v>
      </c>
      <c r="AJ122" s="1" t="s">
        <v>74</v>
      </c>
      <c r="AK122" s="1" t="s">
        <v>74</v>
      </c>
      <c r="AL122" s="1" t="s">
        <v>74</v>
      </c>
      <c r="AM122" s="1" t="s">
        <v>74</v>
      </c>
      <c r="AN122" s="1" t="s">
        <v>74</v>
      </c>
      <c r="AO122" s="1" t="s">
        <v>74</v>
      </c>
      <c r="AP122" s="1" t="s">
        <v>1323</v>
      </c>
      <c r="AQ122" s="1" t="s">
        <v>74</v>
      </c>
      <c r="AR122" s="1" t="s">
        <v>74</v>
      </c>
      <c r="AS122" s="1" t="s">
        <v>74</v>
      </c>
      <c r="AT122" s="1" t="s">
        <v>379</v>
      </c>
      <c r="AU122" s="1">
        <v>2024.0</v>
      </c>
      <c r="AV122" s="1">
        <v>16.0</v>
      </c>
      <c r="AW122" s="1">
        <v>9.0</v>
      </c>
      <c r="AX122" s="1" t="s">
        <v>74</v>
      </c>
      <c r="AY122" s="1" t="s">
        <v>74</v>
      </c>
      <c r="AZ122" s="1" t="s">
        <v>74</v>
      </c>
      <c r="BA122" s="1" t="s">
        <v>74</v>
      </c>
      <c r="BB122" s="1" t="s">
        <v>74</v>
      </c>
      <c r="BC122" s="1" t="s">
        <v>74</v>
      </c>
      <c r="BD122" s="1">
        <v>1114.0</v>
      </c>
      <c r="BE122" s="1" t="s">
        <v>1324</v>
      </c>
      <c r="BF122" s="2" t="str">
        <f>HYPERLINK("http://dx.doi.org/10.3390/sym16091114","http://dx.doi.org/10.3390/sym16091114")</f>
        <v>http://dx.doi.org/10.3390/sym16091114</v>
      </c>
      <c r="BG122" s="1" t="s">
        <v>74</v>
      </c>
      <c r="BH122" s="1" t="s">
        <v>74</v>
      </c>
      <c r="BI122" s="1" t="s">
        <v>74</v>
      </c>
      <c r="BJ122" s="1" t="s">
        <v>74</v>
      </c>
      <c r="BK122" s="1" t="s">
        <v>74</v>
      </c>
      <c r="BL122" s="1" t="s">
        <v>74</v>
      </c>
      <c r="BM122" s="1" t="s">
        <v>74</v>
      </c>
      <c r="BN122" s="1" t="s">
        <v>74</v>
      </c>
      <c r="BO122" s="1" t="s">
        <v>74</v>
      </c>
      <c r="BP122" s="1" t="s">
        <v>74</v>
      </c>
      <c r="BQ122" s="1" t="s">
        <v>74</v>
      </c>
      <c r="BR122" s="1" t="s">
        <v>74</v>
      </c>
      <c r="BS122" s="1" t="s">
        <v>1325</v>
      </c>
      <c r="BT122" s="1" t="str">
        <f>HYPERLINK("https%3A%2F%2Fwww.webofscience.com%2Fwos%2Fwoscc%2Ffull-record%2FWOS:001323293300001","View Full Record in Web of Science")</f>
        <v>View Full Record in Web of Science</v>
      </c>
    </row>
    <row r="123" ht="12.75" customHeight="1">
      <c r="A123" s="1" t="s">
        <v>72</v>
      </c>
      <c r="B123" s="1" t="s">
        <v>1326</v>
      </c>
      <c r="C123" s="1" t="s">
        <v>74</v>
      </c>
      <c r="D123" s="1" t="s">
        <v>74</v>
      </c>
      <c r="E123" s="1" t="s">
        <v>74</v>
      </c>
      <c r="F123" s="1" t="s">
        <v>1327</v>
      </c>
      <c r="G123" s="1" t="s">
        <v>74</v>
      </c>
      <c r="H123" s="1" t="s">
        <v>74</v>
      </c>
      <c r="I123" s="1" t="s">
        <v>1328</v>
      </c>
      <c r="J123" s="1" t="s">
        <v>553</v>
      </c>
      <c r="K123" s="1" t="s">
        <v>74</v>
      </c>
      <c r="L123" s="1" t="s">
        <v>74</v>
      </c>
      <c r="M123" s="1" t="s">
        <v>74</v>
      </c>
      <c r="N123" s="1" t="s">
        <v>74</v>
      </c>
      <c r="O123" s="1" t="s">
        <v>74</v>
      </c>
      <c r="P123" s="1" t="s">
        <v>74</v>
      </c>
      <c r="Q123" s="1" t="s">
        <v>74</v>
      </c>
      <c r="R123" s="1" t="s">
        <v>74</v>
      </c>
      <c r="S123" s="1" t="s">
        <v>74</v>
      </c>
      <c r="T123" s="1" t="s">
        <v>74</v>
      </c>
      <c r="U123" s="1" t="s">
        <v>74</v>
      </c>
      <c r="V123" s="1" t="s">
        <v>1329</v>
      </c>
      <c r="W123" s="1" t="s">
        <v>74</v>
      </c>
      <c r="X123" s="1" t="s">
        <v>74</v>
      </c>
      <c r="Y123" s="1" t="s">
        <v>74</v>
      </c>
      <c r="Z123" s="1" t="s">
        <v>74</v>
      </c>
      <c r="AA123" s="1" t="s">
        <v>1330</v>
      </c>
      <c r="AB123" s="1" t="s">
        <v>1331</v>
      </c>
      <c r="AC123" s="1" t="s">
        <v>74</v>
      </c>
      <c r="AD123" s="1" t="s">
        <v>74</v>
      </c>
      <c r="AE123" s="1" t="s">
        <v>74</v>
      </c>
      <c r="AF123" s="1" t="s">
        <v>74</v>
      </c>
      <c r="AG123" s="1" t="s">
        <v>74</v>
      </c>
      <c r="AH123" s="1" t="s">
        <v>74</v>
      </c>
      <c r="AI123" s="1" t="s">
        <v>74</v>
      </c>
      <c r="AJ123" s="1" t="s">
        <v>74</v>
      </c>
      <c r="AK123" s="1" t="s">
        <v>74</v>
      </c>
      <c r="AL123" s="1" t="s">
        <v>74</v>
      </c>
      <c r="AM123" s="1" t="s">
        <v>74</v>
      </c>
      <c r="AN123" s="1" t="s">
        <v>74</v>
      </c>
      <c r="AO123" s="1" t="s">
        <v>74</v>
      </c>
      <c r="AP123" s="1" t="s">
        <v>557</v>
      </c>
      <c r="AQ123" s="1" t="s">
        <v>74</v>
      </c>
      <c r="AR123" s="1" t="s">
        <v>74</v>
      </c>
      <c r="AS123" s="1" t="s">
        <v>74</v>
      </c>
      <c r="AT123" s="1" t="s">
        <v>289</v>
      </c>
      <c r="AU123" s="1">
        <v>2024.0</v>
      </c>
      <c r="AV123" s="1">
        <v>16.0</v>
      </c>
      <c r="AW123" s="1">
        <v>11.0</v>
      </c>
      <c r="AX123" s="1" t="s">
        <v>74</v>
      </c>
      <c r="AY123" s="1" t="s">
        <v>74</v>
      </c>
      <c r="AZ123" s="1" t="s">
        <v>74</v>
      </c>
      <c r="BA123" s="1" t="s">
        <v>74</v>
      </c>
      <c r="BB123" s="1" t="s">
        <v>74</v>
      </c>
      <c r="BC123" s="1" t="s">
        <v>74</v>
      </c>
      <c r="BD123" s="1">
        <v>1559.0</v>
      </c>
      <c r="BE123" s="1" t="s">
        <v>1332</v>
      </c>
      <c r="BF123" s="2" t="str">
        <f>HYPERLINK("http://dx.doi.org/10.3390/polym16111559","http://dx.doi.org/10.3390/polym16111559")</f>
        <v>http://dx.doi.org/10.3390/polym16111559</v>
      </c>
      <c r="BG123" s="1" t="s">
        <v>74</v>
      </c>
      <c r="BH123" s="1" t="s">
        <v>74</v>
      </c>
      <c r="BI123" s="1" t="s">
        <v>74</v>
      </c>
      <c r="BJ123" s="1" t="s">
        <v>74</v>
      </c>
      <c r="BK123" s="1" t="s">
        <v>74</v>
      </c>
      <c r="BL123" s="1" t="s">
        <v>74</v>
      </c>
      <c r="BM123" s="1" t="s">
        <v>74</v>
      </c>
      <c r="BN123" s="1">
        <v>3.8891503E7</v>
      </c>
      <c r="BO123" s="1" t="s">
        <v>74</v>
      </c>
      <c r="BP123" s="1" t="s">
        <v>74</v>
      </c>
      <c r="BQ123" s="1" t="s">
        <v>74</v>
      </c>
      <c r="BR123" s="1" t="s">
        <v>74</v>
      </c>
      <c r="BS123" s="1" t="s">
        <v>1333</v>
      </c>
      <c r="BT123" s="1" t="str">
        <f>HYPERLINK("https%3A%2F%2Fwww.webofscience.com%2Fwos%2Fwoscc%2Ffull-record%2FWOS:001252150900001","View Full Record in Web of Science")</f>
        <v>View Full Record in Web of Science</v>
      </c>
    </row>
    <row r="124" ht="12.75" customHeight="1">
      <c r="A124" s="1" t="s">
        <v>86</v>
      </c>
      <c r="B124" s="1" t="s">
        <v>1334</v>
      </c>
      <c r="C124" s="1" t="s">
        <v>74</v>
      </c>
      <c r="D124" s="1" t="s">
        <v>1335</v>
      </c>
      <c r="E124" s="1" t="s">
        <v>74</v>
      </c>
      <c r="F124" s="1" t="s">
        <v>1336</v>
      </c>
      <c r="G124" s="1" t="s">
        <v>74</v>
      </c>
      <c r="H124" s="1" t="s">
        <v>74</v>
      </c>
      <c r="I124" s="1" t="s">
        <v>1337</v>
      </c>
      <c r="J124" s="1" t="s">
        <v>1338</v>
      </c>
      <c r="K124" s="1" t="s">
        <v>74</v>
      </c>
      <c r="L124" s="1" t="s">
        <v>74</v>
      </c>
      <c r="M124" s="1" t="s">
        <v>74</v>
      </c>
      <c r="N124" s="1" t="s">
        <v>74</v>
      </c>
      <c r="O124" s="1" t="s">
        <v>74</v>
      </c>
      <c r="P124" s="1" t="s">
        <v>74</v>
      </c>
      <c r="Q124" s="1" t="s">
        <v>74</v>
      </c>
      <c r="R124" s="1" t="s">
        <v>74</v>
      </c>
      <c r="S124" s="1" t="s">
        <v>74</v>
      </c>
      <c r="T124" s="1" t="s">
        <v>74</v>
      </c>
      <c r="U124" s="1" t="s">
        <v>74</v>
      </c>
      <c r="V124" s="1" t="s">
        <v>74</v>
      </c>
      <c r="W124" s="1" t="s">
        <v>74</v>
      </c>
      <c r="X124" s="1" t="s">
        <v>74</v>
      </c>
      <c r="Y124" s="1" t="s">
        <v>74</v>
      </c>
      <c r="Z124" s="1" t="s">
        <v>74</v>
      </c>
      <c r="AA124" s="1" t="s">
        <v>1339</v>
      </c>
      <c r="AB124" s="1" t="s">
        <v>74</v>
      </c>
      <c r="AC124" s="1" t="s">
        <v>74</v>
      </c>
      <c r="AD124" s="1" t="s">
        <v>74</v>
      </c>
      <c r="AE124" s="1" t="s">
        <v>74</v>
      </c>
      <c r="AF124" s="1" t="s">
        <v>74</v>
      </c>
      <c r="AG124" s="1" t="s">
        <v>74</v>
      </c>
      <c r="AH124" s="1" t="s">
        <v>74</v>
      </c>
      <c r="AI124" s="1" t="s">
        <v>74</v>
      </c>
      <c r="AJ124" s="1" t="s">
        <v>74</v>
      </c>
      <c r="AK124" s="1" t="s">
        <v>74</v>
      </c>
      <c r="AL124" s="1" t="s">
        <v>74</v>
      </c>
      <c r="AM124" s="1" t="s">
        <v>74</v>
      </c>
      <c r="AN124" s="1" t="s">
        <v>74</v>
      </c>
      <c r="AO124" s="1" t="s">
        <v>74</v>
      </c>
      <c r="AP124" s="1" t="s">
        <v>74</v>
      </c>
      <c r="AQ124" s="1" t="s">
        <v>1340</v>
      </c>
      <c r="AR124" s="1" t="s">
        <v>74</v>
      </c>
      <c r="AS124" s="1" t="s">
        <v>74</v>
      </c>
      <c r="AT124" s="1" t="s">
        <v>74</v>
      </c>
      <c r="AU124" s="1">
        <v>2024.0</v>
      </c>
      <c r="AV124" s="1" t="s">
        <v>74</v>
      </c>
      <c r="AW124" s="1" t="s">
        <v>74</v>
      </c>
      <c r="AX124" s="1" t="s">
        <v>74</v>
      </c>
      <c r="AY124" s="1" t="s">
        <v>74</v>
      </c>
      <c r="AZ124" s="1" t="s">
        <v>74</v>
      </c>
      <c r="BA124" s="1" t="s">
        <v>74</v>
      </c>
      <c r="BB124" s="1">
        <v>79.0</v>
      </c>
      <c r="BC124" s="1">
        <v>96.0</v>
      </c>
      <c r="BD124" s="1" t="s">
        <v>74</v>
      </c>
      <c r="BE124" s="1" t="s">
        <v>74</v>
      </c>
      <c r="BF124" s="1" t="s">
        <v>74</v>
      </c>
      <c r="BG124" s="1" t="s">
        <v>1341</v>
      </c>
      <c r="BH124" s="1" t="s">
        <v>74</v>
      </c>
      <c r="BI124" s="1" t="s">
        <v>74</v>
      </c>
      <c r="BJ124" s="1" t="s">
        <v>74</v>
      </c>
      <c r="BK124" s="1" t="s">
        <v>74</v>
      </c>
      <c r="BL124" s="1" t="s">
        <v>74</v>
      </c>
      <c r="BM124" s="1" t="s">
        <v>74</v>
      </c>
      <c r="BN124" s="1" t="s">
        <v>74</v>
      </c>
      <c r="BO124" s="1" t="s">
        <v>74</v>
      </c>
      <c r="BP124" s="1" t="s">
        <v>74</v>
      </c>
      <c r="BQ124" s="1" t="s">
        <v>74</v>
      </c>
      <c r="BR124" s="1" t="s">
        <v>74</v>
      </c>
      <c r="BS124" s="1" t="s">
        <v>1342</v>
      </c>
      <c r="BT124" s="1" t="str">
        <f>HYPERLINK("https%3A%2F%2Fwww.webofscience.com%2Fwos%2Fwoscc%2Ffull-record%2FWOS:001356039600006","View Full Record in Web of Science")</f>
        <v>View Full Record in Web of Science</v>
      </c>
    </row>
    <row r="125" ht="12.75" customHeight="1">
      <c r="A125" s="1" t="s">
        <v>72</v>
      </c>
      <c r="B125" s="1" t="s">
        <v>1343</v>
      </c>
      <c r="C125" s="1" t="s">
        <v>74</v>
      </c>
      <c r="D125" s="1" t="s">
        <v>74</v>
      </c>
      <c r="E125" s="1" t="s">
        <v>74</v>
      </c>
      <c r="F125" s="1" t="s">
        <v>1344</v>
      </c>
      <c r="G125" s="1" t="s">
        <v>74</v>
      </c>
      <c r="H125" s="1" t="s">
        <v>74</v>
      </c>
      <c r="I125" s="1" t="s">
        <v>1345</v>
      </c>
      <c r="J125" s="1" t="s">
        <v>1346</v>
      </c>
      <c r="K125" s="1" t="s">
        <v>74</v>
      </c>
      <c r="L125" s="1" t="s">
        <v>74</v>
      </c>
      <c r="M125" s="1" t="s">
        <v>74</v>
      </c>
      <c r="N125" s="1" t="s">
        <v>74</v>
      </c>
      <c r="O125" s="1" t="s">
        <v>74</v>
      </c>
      <c r="P125" s="1" t="s">
        <v>74</v>
      </c>
      <c r="Q125" s="1" t="s">
        <v>74</v>
      </c>
      <c r="R125" s="1" t="s">
        <v>74</v>
      </c>
      <c r="S125" s="1" t="s">
        <v>74</v>
      </c>
      <c r="T125" s="1" t="s">
        <v>74</v>
      </c>
      <c r="U125" s="1" t="s">
        <v>74</v>
      </c>
      <c r="V125" s="1" t="s">
        <v>1347</v>
      </c>
      <c r="W125" s="1" t="s">
        <v>74</v>
      </c>
      <c r="X125" s="1" t="s">
        <v>74</v>
      </c>
      <c r="Y125" s="1" t="s">
        <v>74</v>
      </c>
      <c r="Z125" s="1" t="s">
        <v>74</v>
      </c>
      <c r="AA125" s="1" t="s">
        <v>74</v>
      </c>
      <c r="AB125" s="1" t="s">
        <v>74</v>
      </c>
      <c r="AC125" s="1" t="s">
        <v>74</v>
      </c>
      <c r="AD125" s="1" t="s">
        <v>74</v>
      </c>
      <c r="AE125" s="1" t="s">
        <v>74</v>
      </c>
      <c r="AF125" s="1" t="s">
        <v>74</v>
      </c>
      <c r="AG125" s="1" t="s">
        <v>74</v>
      </c>
      <c r="AH125" s="1" t="s">
        <v>74</v>
      </c>
      <c r="AI125" s="1" t="s">
        <v>74</v>
      </c>
      <c r="AJ125" s="1" t="s">
        <v>74</v>
      </c>
      <c r="AK125" s="1" t="s">
        <v>74</v>
      </c>
      <c r="AL125" s="1" t="s">
        <v>74</v>
      </c>
      <c r="AM125" s="1" t="s">
        <v>74</v>
      </c>
      <c r="AN125" s="1" t="s">
        <v>74</v>
      </c>
      <c r="AO125" s="1" t="s">
        <v>74</v>
      </c>
      <c r="AP125" s="1" t="s">
        <v>1348</v>
      </c>
      <c r="AQ125" s="1" t="s">
        <v>74</v>
      </c>
      <c r="AR125" s="1" t="s">
        <v>74</v>
      </c>
      <c r="AS125" s="1" t="s">
        <v>74</v>
      </c>
      <c r="AT125" s="1" t="s">
        <v>112</v>
      </c>
      <c r="AU125" s="1">
        <v>2023.0</v>
      </c>
      <c r="AV125" s="1">
        <v>9.0</v>
      </c>
      <c r="AW125" s="1">
        <v>11.0</v>
      </c>
      <c r="AX125" s="1" t="s">
        <v>74</v>
      </c>
      <c r="AY125" s="1" t="s">
        <v>74</v>
      </c>
      <c r="AZ125" s="1" t="s">
        <v>74</v>
      </c>
      <c r="BA125" s="1" t="s">
        <v>74</v>
      </c>
      <c r="BB125" s="1" t="s">
        <v>74</v>
      </c>
      <c r="BC125" s="1" t="s">
        <v>74</v>
      </c>
      <c r="BD125" s="1" t="s">
        <v>1349</v>
      </c>
      <c r="BE125" s="1" t="s">
        <v>1350</v>
      </c>
      <c r="BF125" s="2" t="str">
        <f>HYPERLINK("http://dx.doi.org/10.1016/j.heliyon.2023.e22377","http://dx.doi.org/10.1016/j.heliyon.2023.e22377")</f>
        <v>http://dx.doi.org/10.1016/j.heliyon.2023.e22377</v>
      </c>
      <c r="BG125" s="1" t="s">
        <v>74</v>
      </c>
      <c r="BH125" s="1" t="s">
        <v>535</v>
      </c>
      <c r="BI125" s="1" t="s">
        <v>74</v>
      </c>
      <c r="BJ125" s="1" t="s">
        <v>74</v>
      </c>
      <c r="BK125" s="1" t="s">
        <v>74</v>
      </c>
      <c r="BL125" s="1" t="s">
        <v>74</v>
      </c>
      <c r="BM125" s="1" t="s">
        <v>74</v>
      </c>
      <c r="BN125" s="1">
        <v>3.8058636E7</v>
      </c>
      <c r="BO125" s="1" t="s">
        <v>74</v>
      </c>
      <c r="BP125" s="1" t="s">
        <v>74</v>
      </c>
      <c r="BQ125" s="1" t="s">
        <v>74</v>
      </c>
      <c r="BR125" s="1" t="s">
        <v>74</v>
      </c>
      <c r="BS125" s="1" t="s">
        <v>1351</v>
      </c>
      <c r="BT125" s="1" t="str">
        <f>HYPERLINK("https%3A%2F%2Fwww.webofscience.com%2Fwos%2Fwoscc%2Ffull-record%2FWOS:001141277200001","View Full Record in Web of Science")</f>
        <v>View Full Record in Web of Science</v>
      </c>
    </row>
    <row r="126" ht="12.75" customHeight="1">
      <c r="A126" s="1" t="s">
        <v>72</v>
      </c>
      <c r="B126" s="1" t="s">
        <v>1352</v>
      </c>
      <c r="C126" s="1" t="s">
        <v>74</v>
      </c>
      <c r="D126" s="1" t="s">
        <v>74</v>
      </c>
      <c r="E126" s="1" t="s">
        <v>74</v>
      </c>
      <c r="F126" s="1" t="s">
        <v>1353</v>
      </c>
      <c r="G126" s="1" t="s">
        <v>74</v>
      </c>
      <c r="H126" s="1" t="s">
        <v>74</v>
      </c>
      <c r="I126" s="1" t="s">
        <v>1354</v>
      </c>
      <c r="J126" s="1" t="s">
        <v>1355</v>
      </c>
      <c r="K126" s="1" t="s">
        <v>74</v>
      </c>
      <c r="L126" s="1" t="s">
        <v>74</v>
      </c>
      <c r="M126" s="1" t="s">
        <v>74</v>
      </c>
      <c r="N126" s="1" t="s">
        <v>74</v>
      </c>
      <c r="O126" s="1" t="s">
        <v>74</v>
      </c>
      <c r="P126" s="1" t="s">
        <v>74</v>
      </c>
      <c r="Q126" s="1" t="s">
        <v>74</v>
      </c>
      <c r="R126" s="1" t="s">
        <v>74</v>
      </c>
      <c r="S126" s="1" t="s">
        <v>74</v>
      </c>
      <c r="T126" s="1" t="s">
        <v>74</v>
      </c>
      <c r="U126" s="1" t="s">
        <v>74</v>
      </c>
      <c r="V126" s="1" t="s">
        <v>1356</v>
      </c>
      <c r="W126" s="1" t="s">
        <v>74</v>
      </c>
      <c r="X126" s="1" t="s">
        <v>74</v>
      </c>
      <c r="Y126" s="1" t="s">
        <v>74</v>
      </c>
      <c r="Z126" s="1" t="s">
        <v>74</v>
      </c>
      <c r="AA126" s="1" t="s">
        <v>1357</v>
      </c>
      <c r="AB126" s="1" t="s">
        <v>1358</v>
      </c>
      <c r="AC126" s="1" t="s">
        <v>74</v>
      </c>
      <c r="AD126" s="1" t="s">
        <v>74</v>
      </c>
      <c r="AE126" s="1" t="s">
        <v>74</v>
      </c>
      <c r="AF126" s="1" t="s">
        <v>74</v>
      </c>
      <c r="AG126" s="1" t="s">
        <v>74</v>
      </c>
      <c r="AH126" s="1" t="s">
        <v>74</v>
      </c>
      <c r="AI126" s="1" t="s">
        <v>74</v>
      </c>
      <c r="AJ126" s="1" t="s">
        <v>74</v>
      </c>
      <c r="AK126" s="1" t="s">
        <v>74</v>
      </c>
      <c r="AL126" s="1" t="s">
        <v>74</v>
      </c>
      <c r="AM126" s="1" t="s">
        <v>74</v>
      </c>
      <c r="AN126" s="1" t="s">
        <v>74</v>
      </c>
      <c r="AO126" s="1" t="s">
        <v>1359</v>
      </c>
      <c r="AP126" s="1" t="s">
        <v>1360</v>
      </c>
      <c r="AQ126" s="1" t="s">
        <v>74</v>
      </c>
      <c r="AR126" s="1" t="s">
        <v>74</v>
      </c>
      <c r="AS126" s="1" t="s">
        <v>74</v>
      </c>
      <c r="AT126" s="1" t="s">
        <v>1361</v>
      </c>
      <c r="AU126" s="1">
        <v>2023.0</v>
      </c>
      <c r="AV126" s="1">
        <v>174.0</v>
      </c>
      <c r="AW126" s="1" t="s">
        <v>74</v>
      </c>
      <c r="AX126" s="1" t="s">
        <v>74</v>
      </c>
      <c r="AY126" s="1" t="s">
        <v>74</v>
      </c>
      <c r="AZ126" s="1" t="s">
        <v>74</v>
      </c>
      <c r="BA126" s="1" t="s">
        <v>74</v>
      </c>
      <c r="BB126" s="1" t="s">
        <v>74</v>
      </c>
      <c r="BC126" s="1" t="s">
        <v>74</v>
      </c>
      <c r="BD126" s="1">
        <v>114419.0</v>
      </c>
      <c r="BE126" s="1" t="s">
        <v>1362</v>
      </c>
      <c r="BF126" s="2" t="str">
        <f>HYPERLINK("http://dx.doi.org/10.1016/j.lwt.2022.114419","http://dx.doi.org/10.1016/j.lwt.2022.114419")</f>
        <v>http://dx.doi.org/10.1016/j.lwt.2022.114419</v>
      </c>
      <c r="BG126" s="1" t="s">
        <v>74</v>
      </c>
      <c r="BH126" s="1" t="s">
        <v>582</v>
      </c>
      <c r="BI126" s="1" t="s">
        <v>74</v>
      </c>
      <c r="BJ126" s="1" t="s">
        <v>74</v>
      </c>
      <c r="BK126" s="1" t="s">
        <v>74</v>
      </c>
      <c r="BL126" s="1" t="s">
        <v>74</v>
      </c>
      <c r="BM126" s="1" t="s">
        <v>74</v>
      </c>
      <c r="BN126" s="1" t="s">
        <v>74</v>
      </c>
      <c r="BO126" s="1" t="s">
        <v>74</v>
      </c>
      <c r="BP126" s="1" t="s">
        <v>74</v>
      </c>
      <c r="BQ126" s="1" t="s">
        <v>74</v>
      </c>
      <c r="BR126" s="1" t="s">
        <v>74</v>
      </c>
      <c r="BS126" s="1" t="s">
        <v>1363</v>
      </c>
      <c r="BT126" s="1" t="str">
        <f>HYPERLINK("https%3A%2F%2Fwww.webofscience.com%2Fwos%2Fwoscc%2Ffull-record%2FWOS:000979490600001","View Full Record in Web of Science")</f>
        <v>View Full Record in Web of Science</v>
      </c>
    </row>
    <row r="127" ht="12.75" customHeight="1">
      <c r="A127" s="1" t="s">
        <v>72</v>
      </c>
      <c r="B127" s="1" t="s">
        <v>1364</v>
      </c>
      <c r="C127" s="1" t="s">
        <v>74</v>
      </c>
      <c r="D127" s="1" t="s">
        <v>74</v>
      </c>
      <c r="E127" s="1" t="s">
        <v>74</v>
      </c>
      <c r="F127" s="1" t="s">
        <v>1365</v>
      </c>
      <c r="G127" s="1" t="s">
        <v>74</v>
      </c>
      <c r="H127" s="1" t="s">
        <v>74</v>
      </c>
      <c r="I127" s="1" t="s">
        <v>1366</v>
      </c>
      <c r="J127" s="1" t="s">
        <v>1367</v>
      </c>
      <c r="K127" s="1" t="s">
        <v>74</v>
      </c>
      <c r="L127" s="1" t="s">
        <v>74</v>
      </c>
      <c r="M127" s="1" t="s">
        <v>74</v>
      </c>
      <c r="N127" s="1" t="s">
        <v>74</v>
      </c>
      <c r="O127" s="1" t="s">
        <v>74</v>
      </c>
      <c r="P127" s="1" t="s">
        <v>74</v>
      </c>
      <c r="Q127" s="1" t="s">
        <v>74</v>
      </c>
      <c r="R127" s="1" t="s">
        <v>74</v>
      </c>
      <c r="S127" s="1" t="s">
        <v>74</v>
      </c>
      <c r="T127" s="1" t="s">
        <v>74</v>
      </c>
      <c r="U127" s="1" t="s">
        <v>74</v>
      </c>
      <c r="V127" s="1" t="s">
        <v>1368</v>
      </c>
      <c r="W127" s="1" t="s">
        <v>74</v>
      </c>
      <c r="X127" s="1" t="s">
        <v>74</v>
      </c>
      <c r="Y127" s="1" t="s">
        <v>74</v>
      </c>
      <c r="Z127" s="1" t="s">
        <v>74</v>
      </c>
      <c r="AA127" s="1" t="s">
        <v>1369</v>
      </c>
      <c r="AB127" s="1" t="s">
        <v>1370</v>
      </c>
      <c r="AC127" s="1" t="s">
        <v>74</v>
      </c>
      <c r="AD127" s="1" t="s">
        <v>74</v>
      </c>
      <c r="AE127" s="1" t="s">
        <v>74</v>
      </c>
      <c r="AF127" s="1" t="s">
        <v>74</v>
      </c>
      <c r="AG127" s="1" t="s">
        <v>74</v>
      </c>
      <c r="AH127" s="1" t="s">
        <v>74</v>
      </c>
      <c r="AI127" s="1" t="s">
        <v>74</v>
      </c>
      <c r="AJ127" s="1" t="s">
        <v>74</v>
      </c>
      <c r="AK127" s="1" t="s">
        <v>74</v>
      </c>
      <c r="AL127" s="1" t="s">
        <v>74</v>
      </c>
      <c r="AM127" s="1" t="s">
        <v>74</v>
      </c>
      <c r="AN127" s="1" t="s">
        <v>74</v>
      </c>
      <c r="AO127" s="1" t="s">
        <v>1371</v>
      </c>
      <c r="AP127" s="1" t="s">
        <v>1372</v>
      </c>
      <c r="AQ127" s="1" t="s">
        <v>74</v>
      </c>
      <c r="AR127" s="1" t="s">
        <v>74</v>
      </c>
      <c r="AS127" s="1" t="s">
        <v>74</v>
      </c>
      <c r="AT127" s="1" t="s">
        <v>533</v>
      </c>
      <c r="AU127" s="1">
        <v>2023.0</v>
      </c>
      <c r="AV127" s="1">
        <v>329.0</v>
      </c>
      <c r="AW127" s="1" t="s">
        <v>74</v>
      </c>
      <c r="AX127" s="1" t="s">
        <v>74</v>
      </c>
      <c r="AY127" s="1" t="s">
        <v>74</v>
      </c>
      <c r="AZ127" s="1" t="s">
        <v>74</v>
      </c>
      <c r="BA127" s="1" t="s">
        <v>74</v>
      </c>
      <c r="BB127" s="1" t="s">
        <v>74</v>
      </c>
      <c r="BC127" s="1" t="s">
        <v>74</v>
      </c>
      <c r="BD127" s="1">
        <v>120226.0</v>
      </c>
      <c r="BE127" s="1" t="s">
        <v>1373</v>
      </c>
      <c r="BF127" s="2" t="str">
        <f>HYPERLINK("http://dx.doi.org/10.1016/j.apenergy.2022.120226","http://dx.doi.org/10.1016/j.apenergy.2022.120226")</f>
        <v>http://dx.doi.org/10.1016/j.apenergy.2022.120226</v>
      </c>
      <c r="BG127" s="1" t="s">
        <v>74</v>
      </c>
      <c r="BH127" s="1" t="s">
        <v>1374</v>
      </c>
      <c r="BI127" s="1" t="s">
        <v>74</v>
      </c>
      <c r="BJ127" s="1" t="s">
        <v>74</v>
      </c>
      <c r="BK127" s="1" t="s">
        <v>74</v>
      </c>
      <c r="BL127" s="1" t="s">
        <v>74</v>
      </c>
      <c r="BM127" s="1" t="s">
        <v>74</v>
      </c>
      <c r="BN127" s="1" t="s">
        <v>74</v>
      </c>
      <c r="BO127" s="1" t="s">
        <v>74</v>
      </c>
      <c r="BP127" s="1" t="s">
        <v>74</v>
      </c>
      <c r="BQ127" s="1" t="s">
        <v>74</v>
      </c>
      <c r="BR127" s="1" t="s">
        <v>74</v>
      </c>
      <c r="BS127" s="1" t="s">
        <v>1375</v>
      </c>
      <c r="BT127" s="1" t="str">
        <f>HYPERLINK("https%3A%2F%2Fwww.webofscience.com%2Fwos%2Fwoscc%2Ffull-record%2FWOS:000890536800005","View Full Record in Web of Science")</f>
        <v>View Full Record in Web of Science</v>
      </c>
    </row>
    <row r="128" ht="12.75" customHeight="1">
      <c r="A128" s="1" t="s">
        <v>72</v>
      </c>
      <c r="B128" s="1" t="s">
        <v>1376</v>
      </c>
      <c r="C128" s="1" t="s">
        <v>74</v>
      </c>
      <c r="D128" s="1" t="s">
        <v>74</v>
      </c>
      <c r="E128" s="1" t="s">
        <v>74</v>
      </c>
      <c r="F128" s="1" t="s">
        <v>1377</v>
      </c>
      <c r="G128" s="1" t="s">
        <v>74</v>
      </c>
      <c r="H128" s="1" t="s">
        <v>74</v>
      </c>
      <c r="I128" s="1" t="s">
        <v>1378</v>
      </c>
      <c r="J128" s="1" t="s">
        <v>1379</v>
      </c>
      <c r="K128" s="1" t="s">
        <v>74</v>
      </c>
      <c r="L128" s="1" t="s">
        <v>74</v>
      </c>
      <c r="M128" s="1" t="s">
        <v>74</v>
      </c>
      <c r="N128" s="1" t="s">
        <v>74</v>
      </c>
      <c r="O128" s="1" t="s">
        <v>74</v>
      </c>
      <c r="P128" s="1" t="s">
        <v>74</v>
      </c>
      <c r="Q128" s="1" t="s">
        <v>74</v>
      </c>
      <c r="R128" s="1" t="s">
        <v>74</v>
      </c>
      <c r="S128" s="1" t="s">
        <v>74</v>
      </c>
      <c r="T128" s="1" t="s">
        <v>74</v>
      </c>
      <c r="U128" s="1" t="s">
        <v>74</v>
      </c>
      <c r="V128" s="1" t="s">
        <v>1380</v>
      </c>
      <c r="W128" s="1" t="s">
        <v>74</v>
      </c>
      <c r="X128" s="1" t="s">
        <v>74</v>
      </c>
      <c r="Y128" s="1" t="s">
        <v>74</v>
      </c>
      <c r="Z128" s="1" t="s">
        <v>74</v>
      </c>
      <c r="AA128" s="1" t="s">
        <v>74</v>
      </c>
      <c r="AB128" s="1" t="s">
        <v>74</v>
      </c>
      <c r="AC128" s="1" t="s">
        <v>74</v>
      </c>
      <c r="AD128" s="1" t="s">
        <v>74</v>
      </c>
      <c r="AE128" s="1" t="s">
        <v>74</v>
      </c>
      <c r="AF128" s="1" t="s">
        <v>74</v>
      </c>
      <c r="AG128" s="1" t="s">
        <v>74</v>
      </c>
      <c r="AH128" s="1" t="s">
        <v>74</v>
      </c>
      <c r="AI128" s="1" t="s">
        <v>74</v>
      </c>
      <c r="AJ128" s="1" t="s">
        <v>74</v>
      </c>
      <c r="AK128" s="1" t="s">
        <v>74</v>
      </c>
      <c r="AL128" s="1" t="s">
        <v>74</v>
      </c>
      <c r="AM128" s="1" t="s">
        <v>74</v>
      </c>
      <c r="AN128" s="1" t="s">
        <v>74</v>
      </c>
      <c r="AO128" s="1" t="s">
        <v>1381</v>
      </c>
      <c r="AP128" s="1" t="s">
        <v>1382</v>
      </c>
      <c r="AQ128" s="1" t="s">
        <v>74</v>
      </c>
      <c r="AR128" s="1" t="s">
        <v>74</v>
      </c>
      <c r="AS128" s="1" t="s">
        <v>74</v>
      </c>
      <c r="AT128" s="1" t="s">
        <v>1383</v>
      </c>
      <c r="AU128" s="1">
        <v>2022.0</v>
      </c>
      <c r="AV128" s="1">
        <v>79.0</v>
      </c>
      <c r="AW128" s="1">
        <v>6.0</v>
      </c>
      <c r="AX128" s="1" t="s">
        <v>74</v>
      </c>
      <c r="AY128" s="1" t="s">
        <v>74</v>
      </c>
      <c r="AZ128" s="1" t="s">
        <v>74</v>
      </c>
      <c r="BA128" s="1" t="s">
        <v>74</v>
      </c>
      <c r="BB128" s="1">
        <v>350.0</v>
      </c>
      <c r="BC128" s="1">
        <v>356.0</v>
      </c>
      <c r="BD128" s="1" t="s">
        <v>74</v>
      </c>
      <c r="BE128" s="1" t="s">
        <v>1384</v>
      </c>
      <c r="BF128" s="2" t="str">
        <f>HYPERLINK("http://dx.doi.org/10.24875/BMHIM.22000017","http://dx.doi.org/10.24875/BMHIM.22000017")</f>
        <v>http://dx.doi.org/10.24875/BMHIM.22000017</v>
      </c>
      <c r="BG128" s="1" t="s">
        <v>74</v>
      </c>
      <c r="BH128" s="1" t="s">
        <v>74</v>
      </c>
      <c r="BI128" s="1" t="s">
        <v>74</v>
      </c>
      <c r="BJ128" s="1" t="s">
        <v>74</v>
      </c>
      <c r="BK128" s="1" t="s">
        <v>74</v>
      </c>
      <c r="BL128" s="1" t="s">
        <v>74</v>
      </c>
      <c r="BM128" s="1" t="s">
        <v>74</v>
      </c>
      <c r="BN128" s="1">
        <v>3.6477712E7</v>
      </c>
      <c r="BO128" s="1" t="s">
        <v>74</v>
      </c>
      <c r="BP128" s="1" t="s">
        <v>74</v>
      </c>
      <c r="BQ128" s="1" t="s">
        <v>74</v>
      </c>
      <c r="BR128" s="1" t="s">
        <v>74</v>
      </c>
      <c r="BS128" s="1" t="s">
        <v>1385</v>
      </c>
      <c r="BT128" s="1" t="str">
        <f>HYPERLINK("https%3A%2F%2Fwww.webofscience.com%2Fwos%2Fwoscc%2Ffull-record%2FWOS:000918318100002","View Full Record in Web of Science")</f>
        <v>View Full Record in Web of Science</v>
      </c>
    </row>
    <row r="129" ht="12.75" customHeight="1">
      <c r="A129" s="1" t="s">
        <v>147</v>
      </c>
      <c r="B129" s="1" t="s">
        <v>1386</v>
      </c>
      <c r="C129" s="1" t="s">
        <v>74</v>
      </c>
      <c r="D129" s="1" t="s">
        <v>74</v>
      </c>
      <c r="E129" s="1" t="s">
        <v>793</v>
      </c>
      <c r="F129" s="1" t="s">
        <v>1387</v>
      </c>
      <c r="G129" s="1" t="s">
        <v>74</v>
      </c>
      <c r="H129" s="1" t="s">
        <v>74</v>
      </c>
      <c r="I129" s="1" t="s">
        <v>1388</v>
      </c>
      <c r="J129" s="1" t="s">
        <v>1389</v>
      </c>
      <c r="K129" s="1" t="s">
        <v>74</v>
      </c>
      <c r="L129" s="1" t="s">
        <v>74</v>
      </c>
      <c r="M129" s="1" t="s">
        <v>74</v>
      </c>
      <c r="N129" s="1" t="s">
        <v>74</v>
      </c>
      <c r="O129" s="1" t="s">
        <v>1390</v>
      </c>
      <c r="P129" s="1" t="s">
        <v>1391</v>
      </c>
      <c r="Q129" s="1" t="s">
        <v>1392</v>
      </c>
      <c r="R129" s="1" t="s">
        <v>74</v>
      </c>
      <c r="S129" s="1" t="s">
        <v>74</v>
      </c>
      <c r="T129" s="1" t="s">
        <v>74</v>
      </c>
      <c r="U129" s="1" t="s">
        <v>74</v>
      </c>
      <c r="V129" s="1" t="s">
        <v>1393</v>
      </c>
      <c r="W129" s="1" t="s">
        <v>74</v>
      </c>
      <c r="X129" s="1" t="s">
        <v>74</v>
      </c>
      <c r="Y129" s="1" t="s">
        <v>74</v>
      </c>
      <c r="Z129" s="1" t="s">
        <v>74</v>
      </c>
      <c r="AA129" s="1" t="s">
        <v>1394</v>
      </c>
      <c r="AB129" s="1" t="s">
        <v>74</v>
      </c>
      <c r="AC129" s="1" t="s">
        <v>74</v>
      </c>
      <c r="AD129" s="1" t="s">
        <v>74</v>
      </c>
      <c r="AE129" s="1" t="s">
        <v>74</v>
      </c>
      <c r="AF129" s="1" t="s">
        <v>74</v>
      </c>
      <c r="AG129" s="1" t="s">
        <v>74</v>
      </c>
      <c r="AH129" s="1" t="s">
        <v>74</v>
      </c>
      <c r="AI129" s="1" t="s">
        <v>74</v>
      </c>
      <c r="AJ129" s="1" t="s">
        <v>74</v>
      </c>
      <c r="AK129" s="1" t="s">
        <v>74</v>
      </c>
      <c r="AL129" s="1" t="s">
        <v>74</v>
      </c>
      <c r="AM129" s="1" t="s">
        <v>74</v>
      </c>
      <c r="AN129" s="1" t="s">
        <v>74</v>
      </c>
      <c r="AO129" s="1" t="s">
        <v>74</v>
      </c>
      <c r="AP129" s="1" t="s">
        <v>74</v>
      </c>
      <c r="AQ129" s="1" t="s">
        <v>1395</v>
      </c>
      <c r="AR129" s="1" t="s">
        <v>74</v>
      </c>
      <c r="AS129" s="1" t="s">
        <v>74</v>
      </c>
      <c r="AT129" s="1" t="s">
        <v>74</v>
      </c>
      <c r="AU129" s="1">
        <v>2022.0</v>
      </c>
      <c r="AV129" s="1" t="s">
        <v>74</v>
      </c>
      <c r="AW129" s="1" t="s">
        <v>74</v>
      </c>
      <c r="AX129" s="1" t="s">
        <v>74</v>
      </c>
      <c r="AY129" s="1" t="s">
        <v>74</v>
      </c>
      <c r="AZ129" s="1" t="s">
        <v>74</v>
      </c>
      <c r="BA129" s="1" t="s">
        <v>74</v>
      </c>
      <c r="BB129" s="1">
        <v>732.0</v>
      </c>
      <c r="BC129" s="1">
        <v>737.0</v>
      </c>
      <c r="BD129" s="1" t="s">
        <v>74</v>
      </c>
      <c r="BE129" s="1" t="s">
        <v>1396</v>
      </c>
      <c r="BF129" s="2" t="str">
        <f>HYPERLINK("http://dx.doi.org/10.1109/CSNDSP54353.2022.9907932","http://dx.doi.org/10.1109/CSNDSP54353.2022.9907932")</f>
        <v>http://dx.doi.org/10.1109/CSNDSP54353.2022.9907932</v>
      </c>
      <c r="BG129" s="1" t="s">
        <v>74</v>
      </c>
      <c r="BH129" s="1" t="s">
        <v>74</v>
      </c>
      <c r="BI129" s="1" t="s">
        <v>74</v>
      </c>
      <c r="BJ129" s="1" t="s">
        <v>74</v>
      </c>
      <c r="BK129" s="1" t="s">
        <v>74</v>
      </c>
      <c r="BL129" s="1" t="s">
        <v>74</v>
      </c>
      <c r="BM129" s="1" t="s">
        <v>74</v>
      </c>
      <c r="BN129" s="1" t="s">
        <v>74</v>
      </c>
      <c r="BO129" s="1" t="s">
        <v>74</v>
      </c>
      <c r="BP129" s="1" t="s">
        <v>74</v>
      </c>
      <c r="BQ129" s="1" t="s">
        <v>74</v>
      </c>
      <c r="BR129" s="1" t="s">
        <v>74</v>
      </c>
      <c r="BS129" s="1" t="s">
        <v>1397</v>
      </c>
      <c r="BT129" s="1" t="str">
        <f>HYPERLINK("https%3A%2F%2Fwww.webofscience.com%2Fwos%2Fwoscc%2Ffull-record%2FWOS:001331792600140","View Full Record in Web of Science")</f>
        <v>View Full Record in Web of Science</v>
      </c>
    </row>
    <row r="130" ht="12.75" customHeight="1">
      <c r="A130" s="1" t="s">
        <v>72</v>
      </c>
      <c r="B130" s="1" t="s">
        <v>1398</v>
      </c>
      <c r="C130" s="1" t="s">
        <v>74</v>
      </c>
      <c r="D130" s="1" t="s">
        <v>74</v>
      </c>
      <c r="E130" s="1" t="s">
        <v>74</v>
      </c>
      <c r="F130" s="1" t="s">
        <v>1399</v>
      </c>
      <c r="G130" s="1" t="s">
        <v>74</v>
      </c>
      <c r="H130" s="1" t="s">
        <v>74</v>
      </c>
      <c r="I130" s="1" t="s">
        <v>1400</v>
      </c>
      <c r="J130" s="1" t="s">
        <v>1401</v>
      </c>
      <c r="K130" s="1" t="s">
        <v>74</v>
      </c>
      <c r="L130" s="1" t="s">
        <v>74</v>
      </c>
      <c r="M130" s="1" t="s">
        <v>74</v>
      </c>
      <c r="N130" s="1" t="s">
        <v>74</v>
      </c>
      <c r="O130" s="1" t="s">
        <v>74</v>
      </c>
      <c r="P130" s="1" t="s">
        <v>74</v>
      </c>
      <c r="Q130" s="1" t="s">
        <v>74</v>
      </c>
      <c r="R130" s="1" t="s">
        <v>74</v>
      </c>
      <c r="S130" s="1" t="s">
        <v>74</v>
      </c>
      <c r="T130" s="1" t="s">
        <v>74</v>
      </c>
      <c r="U130" s="1" t="s">
        <v>74</v>
      </c>
      <c r="V130" s="1" t="s">
        <v>1402</v>
      </c>
      <c r="W130" s="1" t="s">
        <v>74</v>
      </c>
      <c r="X130" s="1" t="s">
        <v>74</v>
      </c>
      <c r="Y130" s="1" t="s">
        <v>74</v>
      </c>
      <c r="Z130" s="1" t="s">
        <v>74</v>
      </c>
      <c r="AA130" s="1" t="s">
        <v>1403</v>
      </c>
      <c r="AB130" s="1" t="s">
        <v>1404</v>
      </c>
      <c r="AC130" s="1" t="s">
        <v>74</v>
      </c>
      <c r="AD130" s="1" t="s">
        <v>74</v>
      </c>
      <c r="AE130" s="1" t="s">
        <v>74</v>
      </c>
      <c r="AF130" s="1" t="s">
        <v>74</v>
      </c>
      <c r="AG130" s="1" t="s">
        <v>74</v>
      </c>
      <c r="AH130" s="1" t="s">
        <v>74</v>
      </c>
      <c r="AI130" s="1" t="s">
        <v>74</v>
      </c>
      <c r="AJ130" s="1" t="s">
        <v>74</v>
      </c>
      <c r="AK130" s="1" t="s">
        <v>74</v>
      </c>
      <c r="AL130" s="1" t="s">
        <v>74</v>
      </c>
      <c r="AM130" s="1" t="s">
        <v>74</v>
      </c>
      <c r="AN130" s="1" t="s">
        <v>74</v>
      </c>
      <c r="AO130" s="1" t="s">
        <v>74</v>
      </c>
      <c r="AP130" s="1" t="s">
        <v>1405</v>
      </c>
      <c r="AQ130" s="1" t="s">
        <v>74</v>
      </c>
      <c r="AR130" s="1" t="s">
        <v>74</v>
      </c>
      <c r="AS130" s="1" t="s">
        <v>74</v>
      </c>
      <c r="AT130" s="1" t="s">
        <v>74</v>
      </c>
      <c r="AU130" s="1">
        <v>2022.0</v>
      </c>
      <c r="AV130" s="1">
        <v>7.0</v>
      </c>
      <c r="AW130" s="1">
        <v>8.0</v>
      </c>
      <c r="AX130" s="1" t="s">
        <v>74</v>
      </c>
      <c r="AY130" s="1" t="s">
        <v>74</v>
      </c>
      <c r="AZ130" s="1" t="s">
        <v>74</v>
      </c>
      <c r="BA130" s="1" t="s">
        <v>74</v>
      </c>
      <c r="BB130" s="1">
        <v>14444.0</v>
      </c>
      <c r="BC130" s="1">
        <v>14459.0</v>
      </c>
      <c r="BD130" s="1" t="s">
        <v>74</v>
      </c>
      <c r="BE130" s="1" t="s">
        <v>1406</v>
      </c>
      <c r="BF130" s="2" t="str">
        <f>HYPERLINK("http://dx.doi.org/10.3934/math.2022796","http://dx.doi.org/10.3934/math.2022796")</f>
        <v>http://dx.doi.org/10.3934/math.2022796</v>
      </c>
      <c r="BG130" s="1" t="s">
        <v>74</v>
      </c>
      <c r="BH130" s="1" t="s">
        <v>74</v>
      </c>
      <c r="BI130" s="1" t="s">
        <v>74</v>
      </c>
      <c r="BJ130" s="1" t="s">
        <v>74</v>
      </c>
      <c r="BK130" s="1" t="s">
        <v>74</v>
      </c>
      <c r="BL130" s="1" t="s">
        <v>74</v>
      </c>
      <c r="BM130" s="1" t="s">
        <v>74</v>
      </c>
      <c r="BN130" s="1" t="s">
        <v>74</v>
      </c>
      <c r="BO130" s="1" t="s">
        <v>74</v>
      </c>
      <c r="BP130" s="1" t="s">
        <v>74</v>
      </c>
      <c r="BQ130" s="1" t="s">
        <v>74</v>
      </c>
      <c r="BR130" s="1" t="s">
        <v>74</v>
      </c>
      <c r="BS130" s="1" t="s">
        <v>1407</v>
      </c>
      <c r="BT130" s="1" t="str">
        <f>HYPERLINK("https%3A%2F%2Fwww.webofscience.com%2Fwos%2Fwoscc%2Ffull-record%2FWOS:000823103000005","View Full Record in Web of Science")</f>
        <v>View Full Record in Web of Science</v>
      </c>
    </row>
    <row r="131" ht="12.75" customHeight="1">
      <c r="A131" s="1" t="s">
        <v>72</v>
      </c>
      <c r="B131" s="1" t="s">
        <v>1408</v>
      </c>
      <c r="C131" s="1" t="s">
        <v>74</v>
      </c>
      <c r="D131" s="1" t="s">
        <v>74</v>
      </c>
      <c r="E131" s="1" t="s">
        <v>74</v>
      </c>
      <c r="F131" s="1" t="s">
        <v>1409</v>
      </c>
      <c r="G131" s="1" t="s">
        <v>74</v>
      </c>
      <c r="H131" s="1" t="s">
        <v>74</v>
      </c>
      <c r="I131" s="1" t="s">
        <v>1410</v>
      </c>
      <c r="J131" s="1" t="s">
        <v>1411</v>
      </c>
      <c r="K131" s="1" t="s">
        <v>74</v>
      </c>
      <c r="L131" s="1" t="s">
        <v>74</v>
      </c>
      <c r="M131" s="1" t="s">
        <v>74</v>
      </c>
      <c r="N131" s="1" t="s">
        <v>74</v>
      </c>
      <c r="O131" s="1" t="s">
        <v>74</v>
      </c>
      <c r="P131" s="1" t="s">
        <v>74</v>
      </c>
      <c r="Q131" s="1" t="s">
        <v>74</v>
      </c>
      <c r="R131" s="1" t="s">
        <v>74</v>
      </c>
      <c r="S131" s="1" t="s">
        <v>74</v>
      </c>
      <c r="T131" s="1" t="s">
        <v>74</v>
      </c>
      <c r="U131" s="1" t="s">
        <v>74</v>
      </c>
      <c r="V131" s="1" t="s">
        <v>1412</v>
      </c>
      <c r="W131" s="1" t="s">
        <v>74</v>
      </c>
      <c r="X131" s="1" t="s">
        <v>74</v>
      </c>
      <c r="Y131" s="1" t="s">
        <v>74</v>
      </c>
      <c r="Z131" s="1" t="s">
        <v>74</v>
      </c>
      <c r="AA131" s="1" t="s">
        <v>1413</v>
      </c>
      <c r="AB131" s="1" t="s">
        <v>1414</v>
      </c>
      <c r="AC131" s="1" t="s">
        <v>74</v>
      </c>
      <c r="AD131" s="1" t="s">
        <v>74</v>
      </c>
      <c r="AE131" s="1" t="s">
        <v>74</v>
      </c>
      <c r="AF131" s="1" t="s">
        <v>74</v>
      </c>
      <c r="AG131" s="1" t="s">
        <v>74</v>
      </c>
      <c r="AH131" s="1" t="s">
        <v>74</v>
      </c>
      <c r="AI131" s="1" t="s">
        <v>74</v>
      </c>
      <c r="AJ131" s="1" t="s">
        <v>74</v>
      </c>
      <c r="AK131" s="1" t="s">
        <v>74</v>
      </c>
      <c r="AL131" s="1" t="s">
        <v>74</v>
      </c>
      <c r="AM131" s="1" t="s">
        <v>74</v>
      </c>
      <c r="AN131" s="1" t="s">
        <v>74</v>
      </c>
      <c r="AO131" s="1" t="s">
        <v>1415</v>
      </c>
      <c r="AP131" s="1" t="s">
        <v>74</v>
      </c>
      <c r="AQ131" s="1" t="s">
        <v>74</v>
      </c>
      <c r="AR131" s="1" t="s">
        <v>74</v>
      </c>
      <c r="AS131" s="1" t="s">
        <v>74</v>
      </c>
      <c r="AT131" s="1" t="s">
        <v>1416</v>
      </c>
      <c r="AU131" s="1">
        <v>2021.0</v>
      </c>
      <c r="AV131" s="1">
        <v>9.0</v>
      </c>
      <c r="AW131" s="1" t="s">
        <v>74</v>
      </c>
      <c r="AX131" s="1" t="s">
        <v>74</v>
      </c>
      <c r="AY131" s="1" t="s">
        <v>74</v>
      </c>
      <c r="AZ131" s="1" t="s">
        <v>74</v>
      </c>
      <c r="BA131" s="1" t="s">
        <v>74</v>
      </c>
      <c r="BB131" s="1" t="s">
        <v>74</v>
      </c>
      <c r="BC131" s="1" t="s">
        <v>74</v>
      </c>
      <c r="BD131" s="1">
        <v>710035.0</v>
      </c>
      <c r="BE131" s="1" t="s">
        <v>1417</v>
      </c>
      <c r="BF131" s="2" t="str">
        <f>HYPERLINK("http://dx.doi.org/10.3389/fbioe.2021.710035","http://dx.doi.org/10.3389/fbioe.2021.710035")</f>
        <v>http://dx.doi.org/10.3389/fbioe.2021.710035</v>
      </c>
      <c r="BG131" s="1" t="s">
        <v>74</v>
      </c>
      <c r="BH131" s="1" t="s">
        <v>74</v>
      </c>
      <c r="BI131" s="1" t="s">
        <v>74</v>
      </c>
      <c r="BJ131" s="1" t="s">
        <v>74</v>
      </c>
      <c r="BK131" s="1" t="s">
        <v>74</v>
      </c>
      <c r="BL131" s="1" t="s">
        <v>74</v>
      </c>
      <c r="BM131" s="1" t="s">
        <v>74</v>
      </c>
      <c r="BN131" s="1">
        <v>3.4458243E7</v>
      </c>
      <c r="BO131" s="1" t="s">
        <v>74</v>
      </c>
      <c r="BP131" s="1" t="s">
        <v>74</v>
      </c>
      <c r="BQ131" s="1" t="s">
        <v>74</v>
      </c>
      <c r="BR131" s="1" t="s">
        <v>74</v>
      </c>
      <c r="BS131" s="1" t="s">
        <v>1418</v>
      </c>
      <c r="BT131" s="1" t="str">
        <f>HYPERLINK("https%3A%2F%2Fwww.webofscience.com%2Fwos%2Fwoscc%2Ffull-record%2FWOS:000716725200001","View Full Record in Web of Science")</f>
        <v>View Full Record in Web of Science</v>
      </c>
    </row>
    <row r="132" ht="12.75" customHeight="1">
      <c r="A132" s="1" t="s">
        <v>72</v>
      </c>
      <c r="B132" s="1" t="s">
        <v>1419</v>
      </c>
      <c r="C132" s="1" t="s">
        <v>74</v>
      </c>
      <c r="D132" s="1" t="s">
        <v>74</v>
      </c>
      <c r="E132" s="1" t="s">
        <v>74</v>
      </c>
      <c r="F132" s="1" t="s">
        <v>1420</v>
      </c>
      <c r="G132" s="1" t="s">
        <v>74</v>
      </c>
      <c r="H132" s="1" t="s">
        <v>74</v>
      </c>
      <c r="I132" s="1" t="s">
        <v>1421</v>
      </c>
      <c r="J132" s="1" t="s">
        <v>1422</v>
      </c>
      <c r="K132" s="1" t="s">
        <v>74</v>
      </c>
      <c r="L132" s="1" t="s">
        <v>74</v>
      </c>
      <c r="M132" s="1" t="s">
        <v>74</v>
      </c>
      <c r="N132" s="1" t="s">
        <v>74</v>
      </c>
      <c r="O132" s="1" t="s">
        <v>74</v>
      </c>
      <c r="P132" s="1" t="s">
        <v>74</v>
      </c>
      <c r="Q132" s="1" t="s">
        <v>74</v>
      </c>
      <c r="R132" s="1" t="s">
        <v>74</v>
      </c>
      <c r="S132" s="1" t="s">
        <v>74</v>
      </c>
      <c r="T132" s="1" t="s">
        <v>74</v>
      </c>
      <c r="U132" s="1" t="s">
        <v>74</v>
      </c>
      <c r="V132" s="1" t="s">
        <v>1423</v>
      </c>
      <c r="W132" s="1" t="s">
        <v>74</v>
      </c>
      <c r="X132" s="1" t="s">
        <v>74</v>
      </c>
      <c r="Y132" s="1" t="s">
        <v>74</v>
      </c>
      <c r="Z132" s="1" t="s">
        <v>74</v>
      </c>
      <c r="AA132" s="1" t="s">
        <v>1424</v>
      </c>
      <c r="AB132" s="1" t="s">
        <v>1425</v>
      </c>
      <c r="AC132" s="1" t="s">
        <v>74</v>
      </c>
      <c r="AD132" s="1" t="s">
        <v>74</v>
      </c>
      <c r="AE132" s="1" t="s">
        <v>74</v>
      </c>
      <c r="AF132" s="1" t="s">
        <v>74</v>
      </c>
      <c r="AG132" s="1" t="s">
        <v>74</v>
      </c>
      <c r="AH132" s="1" t="s">
        <v>74</v>
      </c>
      <c r="AI132" s="1" t="s">
        <v>74</v>
      </c>
      <c r="AJ132" s="1" t="s">
        <v>74</v>
      </c>
      <c r="AK132" s="1" t="s">
        <v>74</v>
      </c>
      <c r="AL132" s="1" t="s">
        <v>74</v>
      </c>
      <c r="AM132" s="1" t="s">
        <v>74</v>
      </c>
      <c r="AN132" s="1" t="s">
        <v>74</v>
      </c>
      <c r="AO132" s="1" t="s">
        <v>1426</v>
      </c>
      <c r="AP132" s="1" t="s">
        <v>1427</v>
      </c>
      <c r="AQ132" s="1" t="s">
        <v>74</v>
      </c>
      <c r="AR132" s="1" t="s">
        <v>74</v>
      </c>
      <c r="AS132" s="1" t="s">
        <v>74</v>
      </c>
      <c r="AT132" s="1" t="s">
        <v>289</v>
      </c>
      <c r="AU132" s="1">
        <v>2021.0</v>
      </c>
      <c r="AV132" s="1">
        <v>79.0</v>
      </c>
      <c r="AW132" s="1">
        <v>3.0</v>
      </c>
      <c r="AX132" s="1" t="s">
        <v>74</v>
      </c>
      <c r="AY132" s="1" t="s">
        <v>74</v>
      </c>
      <c r="AZ132" s="1" t="s">
        <v>74</v>
      </c>
      <c r="BA132" s="1" t="s">
        <v>74</v>
      </c>
      <c r="BB132" s="1">
        <v>397.0</v>
      </c>
      <c r="BC132" s="1">
        <v>411.0</v>
      </c>
      <c r="BD132" s="1" t="s">
        <v>74</v>
      </c>
      <c r="BE132" s="1" t="s">
        <v>1428</v>
      </c>
      <c r="BF132" s="2" t="str">
        <f>HYPERLINK("http://dx.doi.org/10.33225/pec/21.79.397","http://dx.doi.org/10.33225/pec/21.79.397")</f>
        <v>http://dx.doi.org/10.33225/pec/21.79.397</v>
      </c>
      <c r="BG132" s="1" t="s">
        <v>74</v>
      </c>
      <c r="BH132" s="1" t="s">
        <v>74</v>
      </c>
      <c r="BI132" s="1" t="s">
        <v>74</v>
      </c>
      <c r="BJ132" s="1" t="s">
        <v>74</v>
      </c>
      <c r="BK132" s="1" t="s">
        <v>74</v>
      </c>
      <c r="BL132" s="1" t="s">
        <v>74</v>
      </c>
      <c r="BM132" s="1" t="s">
        <v>74</v>
      </c>
      <c r="BN132" s="1" t="s">
        <v>74</v>
      </c>
      <c r="BO132" s="1" t="s">
        <v>74</v>
      </c>
      <c r="BP132" s="1" t="s">
        <v>74</v>
      </c>
      <c r="BQ132" s="1" t="s">
        <v>74</v>
      </c>
      <c r="BR132" s="1" t="s">
        <v>74</v>
      </c>
      <c r="BS132" s="1" t="s">
        <v>1429</v>
      </c>
      <c r="BT132" s="1" t="str">
        <f>HYPERLINK("https%3A%2F%2Fwww.webofscience.com%2Fwos%2Fwoscc%2Ffull-record%2FWOS:000661695800005","View Full Record in Web of Science")</f>
        <v>View Full Record in Web of Science</v>
      </c>
    </row>
    <row r="133" ht="12.75" customHeight="1">
      <c r="A133" s="1" t="s">
        <v>72</v>
      </c>
      <c r="B133" s="1" t="s">
        <v>1430</v>
      </c>
      <c r="C133" s="1" t="s">
        <v>74</v>
      </c>
      <c r="D133" s="1" t="s">
        <v>74</v>
      </c>
      <c r="E133" s="1" t="s">
        <v>74</v>
      </c>
      <c r="F133" s="1" t="s">
        <v>1431</v>
      </c>
      <c r="G133" s="1" t="s">
        <v>74</v>
      </c>
      <c r="H133" s="1" t="s">
        <v>74</v>
      </c>
      <c r="I133" s="1" t="s">
        <v>1432</v>
      </c>
      <c r="J133" s="1" t="s">
        <v>1433</v>
      </c>
      <c r="K133" s="1" t="s">
        <v>74</v>
      </c>
      <c r="L133" s="1" t="s">
        <v>74</v>
      </c>
      <c r="M133" s="1" t="s">
        <v>74</v>
      </c>
      <c r="N133" s="1" t="s">
        <v>74</v>
      </c>
      <c r="O133" s="1" t="s">
        <v>74</v>
      </c>
      <c r="P133" s="1" t="s">
        <v>74</v>
      </c>
      <c r="Q133" s="1" t="s">
        <v>74</v>
      </c>
      <c r="R133" s="1" t="s">
        <v>74</v>
      </c>
      <c r="S133" s="1" t="s">
        <v>74</v>
      </c>
      <c r="T133" s="1" t="s">
        <v>74</v>
      </c>
      <c r="U133" s="1" t="s">
        <v>74</v>
      </c>
      <c r="V133" s="1" t="s">
        <v>1434</v>
      </c>
      <c r="W133" s="1" t="s">
        <v>74</v>
      </c>
      <c r="X133" s="1" t="s">
        <v>74</v>
      </c>
      <c r="Y133" s="1" t="s">
        <v>74</v>
      </c>
      <c r="Z133" s="1" t="s">
        <v>74</v>
      </c>
      <c r="AA133" s="1" t="s">
        <v>1435</v>
      </c>
      <c r="AB133" s="1" t="s">
        <v>1436</v>
      </c>
      <c r="AC133" s="1" t="s">
        <v>74</v>
      </c>
      <c r="AD133" s="1" t="s">
        <v>74</v>
      </c>
      <c r="AE133" s="1" t="s">
        <v>74</v>
      </c>
      <c r="AF133" s="1" t="s">
        <v>74</v>
      </c>
      <c r="AG133" s="1" t="s">
        <v>74</v>
      </c>
      <c r="AH133" s="1" t="s">
        <v>74</v>
      </c>
      <c r="AI133" s="1" t="s">
        <v>74</v>
      </c>
      <c r="AJ133" s="1" t="s">
        <v>74</v>
      </c>
      <c r="AK133" s="1" t="s">
        <v>74</v>
      </c>
      <c r="AL133" s="1" t="s">
        <v>74</v>
      </c>
      <c r="AM133" s="1" t="s">
        <v>74</v>
      </c>
      <c r="AN133" s="1" t="s">
        <v>74</v>
      </c>
      <c r="AO133" s="1" t="s">
        <v>1437</v>
      </c>
      <c r="AP133" s="1" t="s">
        <v>74</v>
      </c>
      <c r="AQ133" s="1" t="s">
        <v>74</v>
      </c>
      <c r="AR133" s="1" t="s">
        <v>74</v>
      </c>
      <c r="AS133" s="1" t="s">
        <v>74</v>
      </c>
      <c r="AT133" s="1" t="s">
        <v>421</v>
      </c>
      <c r="AU133" s="1">
        <v>2021.0</v>
      </c>
      <c r="AV133" s="1">
        <v>21.0</v>
      </c>
      <c r="AW133" s="1">
        <v>4.0</v>
      </c>
      <c r="AX133" s="1" t="s">
        <v>74</v>
      </c>
      <c r="AY133" s="1" t="s">
        <v>74</v>
      </c>
      <c r="AZ133" s="1" t="s">
        <v>74</v>
      </c>
      <c r="BA133" s="1" t="s">
        <v>74</v>
      </c>
      <c r="BB133" s="1" t="s">
        <v>74</v>
      </c>
      <c r="BC133" s="1" t="s">
        <v>74</v>
      </c>
      <c r="BD133" s="1" t="s">
        <v>1438</v>
      </c>
      <c r="BE133" s="1" t="s">
        <v>1439</v>
      </c>
      <c r="BF133" s="2" t="str">
        <f>HYPERLINK("http://dx.doi.org/10.5867/medwave.2021.04.8198","http://dx.doi.org/10.5867/medwave.2021.04.8198")</f>
        <v>http://dx.doi.org/10.5867/medwave.2021.04.8198</v>
      </c>
      <c r="BG133" s="1" t="s">
        <v>74</v>
      </c>
      <c r="BH133" s="1" t="s">
        <v>74</v>
      </c>
      <c r="BI133" s="1" t="s">
        <v>74</v>
      </c>
      <c r="BJ133" s="1" t="s">
        <v>74</v>
      </c>
      <c r="BK133" s="1" t="s">
        <v>74</v>
      </c>
      <c r="BL133" s="1" t="s">
        <v>74</v>
      </c>
      <c r="BM133" s="1" t="s">
        <v>74</v>
      </c>
      <c r="BN133" s="1">
        <v>3.4213514E7</v>
      </c>
      <c r="BO133" s="1" t="s">
        <v>74</v>
      </c>
      <c r="BP133" s="1" t="s">
        <v>74</v>
      </c>
      <c r="BQ133" s="1" t="s">
        <v>74</v>
      </c>
      <c r="BR133" s="1" t="s">
        <v>74</v>
      </c>
      <c r="BS133" s="1" t="s">
        <v>1440</v>
      </c>
      <c r="BT133" s="1" t="str">
        <f>HYPERLINK("https%3A%2F%2Fwww.webofscience.com%2Fwos%2Fwoscc%2Ffull-record%2FWOS:000655427700006","View Full Record in Web of Science")</f>
        <v>View Full Record in Web of Science</v>
      </c>
    </row>
    <row r="134" ht="12.75" customHeight="1">
      <c r="A134" s="1" t="s">
        <v>72</v>
      </c>
      <c r="B134" s="1" t="s">
        <v>1441</v>
      </c>
      <c r="C134" s="1" t="s">
        <v>74</v>
      </c>
      <c r="D134" s="1" t="s">
        <v>74</v>
      </c>
      <c r="E134" s="1" t="s">
        <v>74</v>
      </c>
      <c r="F134" s="1" t="s">
        <v>1442</v>
      </c>
      <c r="G134" s="1" t="s">
        <v>74</v>
      </c>
      <c r="H134" s="1" t="s">
        <v>74</v>
      </c>
      <c r="I134" s="1" t="s">
        <v>1443</v>
      </c>
      <c r="J134" s="1" t="s">
        <v>118</v>
      </c>
      <c r="K134" s="1" t="s">
        <v>74</v>
      </c>
      <c r="L134" s="1" t="s">
        <v>74</v>
      </c>
      <c r="M134" s="1" t="s">
        <v>74</v>
      </c>
      <c r="N134" s="1" t="s">
        <v>74</v>
      </c>
      <c r="O134" s="1" t="s">
        <v>74</v>
      </c>
      <c r="P134" s="1" t="s">
        <v>74</v>
      </c>
      <c r="Q134" s="1" t="s">
        <v>74</v>
      </c>
      <c r="R134" s="1" t="s">
        <v>74</v>
      </c>
      <c r="S134" s="1" t="s">
        <v>74</v>
      </c>
      <c r="T134" s="1" t="s">
        <v>74</v>
      </c>
      <c r="U134" s="1" t="s">
        <v>74</v>
      </c>
      <c r="V134" s="1" t="s">
        <v>1444</v>
      </c>
      <c r="W134" s="1" t="s">
        <v>74</v>
      </c>
      <c r="X134" s="1" t="s">
        <v>74</v>
      </c>
      <c r="Y134" s="1" t="s">
        <v>74</v>
      </c>
      <c r="Z134" s="1" t="s">
        <v>74</v>
      </c>
      <c r="AA134" s="1" t="s">
        <v>1445</v>
      </c>
      <c r="AB134" s="1" t="s">
        <v>1446</v>
      </c>
      <c r="AC134" s="1" t="s">
        <v>74</v>
      </c>
      <c r="AD134" s="1" t="s">
        <v>74</v>
      </c>
      <c r="AE134" s="1" t="s">
        <v>74</v>
      </c>
      <c r="AF134" s="1" t="s">
        <v>74</v>
      </c>
      <c r="AG134" s="1" t="s">
        <v>74</v>
      </c>
      <c r="AH134" s="1" t="s">
        <v>74</v>
      </c>
      <c r="AI134" s="1" t="s">
        <v>74</v>
      </c>
      <c r="AJ134" s="1" t="s">
        <v>74</v>
      </c>
      <c r="AK134" s="1" t="s">
        <v>74</v>
      </c>
      <c r="AL134" s="1" t="s">
        <v>74</v>
      </c>
      <c r="AM134" s="1" t="s">
        <v>74</v>
      </c>
      <c r="AN134" s="1" t="s">
        <v>74</v>
      </c>
      <c r="AO134" s="1" t="s">
        <v>120</v>
      </c>
      <c r="AP134" s="1" t="s">
        <v>121</v>
      </c>
      <c r="AQ134" s="1" t="s">
        <v>74</v>
      </c>
      <c r="AR134" s="1" t="s">
        <v>74</v>
      </c>
      <c r="AS134" s="1" t="s">
        <v>74</v>
      </c>
      <c r="AT134" s="1" t="s">
        <v>363</v>
      </c>
      <c r="AU134" s="1">
        <v>2020.0</v>
      </c>
      <c r="AV134" s="1">
        <v>15.0</v>
      </c>
      <c r="AW134" s="1">
        <v>5.0</v>
      </c>
      <c r="AX134" s="1" t="s">
        <v>74</v>
      </c>
      <c r="AY134" s="1" t="s">
        <v>74</v>
      </c>
      <c r="AZ134" s="1" t="s">
        <v>74</v>
      </c>
      <c r="BA134" s="1" t="s">
        <v>74</v>
      </c>
      <c r="BB134" s="1" t="s">
        <v>74</v>
      </c>
      <c r="BC134" s="1" t="s">
        <v>74</v>
      </c>
      <c r="BD134" s="1">
        <v>3879.0</v>
      </c>
      <c r="BE134" s="1" t="s">
        <v>1447</v>
      </c>
      <c r="BF134" s="2" t="str">
        <f>HYPERLINK("http://dx.doi.org/10.15837/ijccc.2020.5.3879","http://dx.doi.org/10.15837/ijccc.2020.5.3879")</f>
        <v>http://dx.doi.org/10.15837/ijccc.2020.5.3879</v>
      </c>
      <c r="BG134" s="1" t="s">
        <v>74</v>
      </c>
      <c r="BH134" s="1" t="s">
        <v>74</v>
      </c>
      <c r="BI134" s="1" t="s">
        <v>74</v>
      </c>
      <c r="BJ134" s="1" t="s">
        <v>74</v>
      </c>
      <c r="BK134" s="1" t="s">
        <v>74</v>
      </c>
      <c r="BL134" s="1" t="s">
        <v>74</v>
      </c>
      <c r="BM134" s="1" t="s">
        <v>74</v>
      </c>
      <c r="BN134" s="1" t="s">
        <v>74</v>
      </c>
      <c r="BO134" s="1" t="s">
        <v>74</v>
      </c>
      <c r="BP134" s="1" t="s">
        <v>74</v>
      </c>
      <c r="BQ134" s="1" t="s">
        <v>74</v>
      </c>
      <c r="BR134" s="1" t="s">
        <v>74</v>
      </c>
      <c r="BS134" s="1" t="s">
        <v>1448</v>
      </c>
      <c r="BT134" s="1" t="str">
        <f>HYPERLINK("https%3A%2F%2Fwww.webofscience.com%2Fwos%2Fwoscc%2Ffull-record%2FWOS:000569021200002","View Full Record in Web of Science")</f>
        <v>View Full Record in Web of Science</v>
      </c>
    </row>
    <row r="135" ht="12.75" customHeight="1">
      <c r="A135" s="1" t="s">
        <v>72</v>
      </c>
      <c r="B135" s="1" t="s">
        <v>1449</v>
      </c>
      <c r="C135" s="1" t="s">
        <v>74</v>
      </c>
      <c r="D135" s="1" t="s">
        <v>74</v>
      </c>
      <c r="E135" s="1" t="s">
        <v>74</v>
      </c>
      <c r="F135" s="1" t="s">
        <v>1450</v>
      </c>
      <c r="G135" s="1" t="s">
        <v>74</v>
      </c>
      <c r="H135" s="1" t="s">
        <v>74</v>
      </c>
      <c r="I135" s="1" t="s">
        <v>1451</v>
      </c>
      <c r="J135" s="1" t="s">
        <v>1452</v>
      </c>
      <c r="K135" s="1" t="s">
        <v>74</v>
      </c>
      <c r="L135" s="1" t="s">
        <v>74</v>
      </c>
      <c r="M135" s="1" t="s">
        <v>74</v>
      </c>
      <c r="N135" s="1" t="s">
        <v>74</v>
      </c>
      <c r="O135" s="1" t="s">
        <v>74</v>
      </c>
      <c r="P135" s="1" t="s">
        <v>74</v>
      </c>
      <c r="Q135" s="1" t="s">
        <v>74</v>
      </c>
      <c r="R135" s="1" t="s">
        <v>74</v>
      </c>
      <c r="S135" s="1" t="s">
        <v>74</v>
      </c>
      <c r="T135" s="1" t="s">
        <v>74</v>
      </c>
      <c r="U135" s="1" t="s">
        <v>74</v>
      </c>
      <c r="V135" s="1" t="s">
        <v>1453</v>
      </c>
      <c r="W135" s="1" t="s">
        <v>74</v>
      </c>
      <c r="X135" s="1" t="s">
        <v>74</v>
      </c>
      <c r="Y135" s="1" t="s">
        <v>74</v>
      </c>
      <c r="Z135" s="1" t="s">
        <v>74</v>
      </c>
      <c r="AA135" s="1" t="s">
        <v>1454</v>
      </c>
      <c r="AB135" s="1" t="s">
        <v>1455</v>
      </c>
      <c r="AC135" s="1" t="s">
        <v>74</v>
      </c>
      <c r="AD135" s="1" t="s">
        <v>74</v>
      </c>
      <c r="AE135" s="1" t="s">
        <v>74</v>
      </c>
      <c r="AF135" s="1" t="s">
        <v>74</v>
      </c>
      <c r="AG135" s="1" t="s">
        <v>74</v>
      </c>
      <c r="AH135" s="1" t="s">
        <v>74</v>
      </c>
      <c r="AI135" s="1" t="s">
        <v>74</v>
      </c>
      <c r="AJ135" s="1" t="s">
        <v>74</v>
      </c>
      <c r="AK135" s="1" t="s">
        <v>74</v>
      </c>
      <c r="AL135" s="1" t="s">
        <v>74</v>
      </c>
      <c r="AM135" s="1" t="s">
        <v>74</v>
      </c>
      <c r="AN135" s="1" t="s">
        <v>74</v>
      </c>
      <c r="AO135" s="1" t="s">
        <v>1456</v>
      </c>
      <c r="AP135" s="1" t="s">
        <v>1457</v>
      </c>
      <c r="AQ135" s="1" t="s">
        <v>74</v>
      </c>
      <c r="AR135" s="1" t="s">
        <v>74</v>
      </c>
      <c r="AS135" s="1" t="s">
        <v>74</v>
      </c>
      <c r="AT135" s="1" t="s">
        <v>1458</v>
      </c>
      <c r="AU135" s="1">
        <v>2020.0</v>
      </c>
      <c r="AV135" s="1">
        <v>517.0</v>
      </c>
      <c r="AW135" s="1" t="s">
        <v>74</v>
      </c>
      <c r="AX135" s="1" t="s">
        <v>74</v>
      </c>
      <c r="AY135" s="1" t="s">
        <v>74</v>
      </c>
      <c r="AZ135" s="1" t="s">
        <v>74</v>
      </c>
      <c r="BA135" s="1" t="s">
        <v>74</v>
      </c>
      <c r="BB135" s="1" t="s">
        <v>74</v>
      </c>
      <c r="BC135" s="1" t="s">
        <v>74</v>
      </c>
      <c r="BD135" s="1">
        <v>112616.0</v>
      </c>
      <c r="BE135" s="1" t="s">
        <v>1459</v>
      </c>
      <c r="BF135" s="2" t="str">
        <f>HYPERLINK("http://dx.doi.org/10.1016/j.fluid.2020.112616","http://dx.doi.org/10.1016/j.fluid.2020.112616")</f>
        <v>http://dx.doi.org/10.1016/j.fluid.2020.112616</v>
      </c>
      <c r="BG135" s="1" t="s">
        <v>74</v>
      </c>
      <c r="BH135" s="1" t="s">
        <v>74</v>
      </c>
      <c r="BI135" s="1" t="s">
        <v>74</v>
      </c>
      <c r="BJ135" s="1" t="s">
        <v>74</v>
      </c>
      <c r="BK135" s="1" t="s">
        <v>74</v>
      </c>
      <c r="BL135" s="1" t="s">
        <v>74</v>
      </c>
      <c r="BM135" s="1" t="s">
        <v>74</v>
      </c>
      <c r="BN135" s="1" t="s">
        <v>74</v>
      </c>
      <c r="BO135" s="1" t="s">
        <v>74</v>
      </c>
      <c r="BP135" s="1" t="s">
        <v>74</v>
      </c>
      <c r="BQ135" s="1" t="s">
        <v>74</v>
      </c>
      <c r="BR135" s="1" t="s">
        <v>74</v>
      </c>
      <c r="BS135" s="1" t="s">
        <v>1460</v>
      </c>
      <c r="BT135" s="1" t="str">
        <f>HYPERLINK("https%3A%2F%2Fwww.webofscience.com%2Fwos%2Fwoscc%2Ffull-record%2FWOS:000538573000008","View Full Record in Web of Science")</f>
        <v>View Full Record in Web of Science</v>
      </c>
    </row>
    <row r="136" ht="12.75" customHeight="1">
      <c r="A136" s="1" t="s">
        <v>72</v>
      </c>
      <c r="B136" s="1" t="s">
        <v>1461</v>
      </c>
      <c r="C136" s="1" t="s">
        <v>74</v>
      </c>
      <c r="D136" s="1" t="s">
        <v>74</v>
      </c>
      <c r="E136" s="1" t="s">
        <v>74</v>
      </c>
      <c r="F136" s="1" t="s">
        <v>1462</v>
      </c>
      <c r="G136" s="1" t="s">
        <v>74</v>
      </c>
      <c r="H136" s="1" t="s">
        <v>74</v>
      </c>
      <c r="I136" s="1" t="s">
        <v>1463</v>
      </c>
      <c r="J136" s="1" t="s">
        <v>1464</v>
      </c>
      <c r="K136" s="1" t="s">
        <v>74</v>
      </c>
      <c r="L136" s="1" t="s">
        <v>74</v>
      </c>
      <c r="M136" s="1" t="s">
        <v>74</v>
      </c>
      <c r="N136" s="1" t="s">
        <v>74</v>
      </c>
      <c r="O136" s="1" t="s">
        <v>74</v>
      </c>
      <c r="P136" s="1" t="s">
        <v>74</v>
      </c>
      <c r="Q136" s="1" t="s">
        <v>74</v>
      </c>
      <c r="R136" s="1" t="s">
        <v>74</v>
      </c>
      <c r="S136" s="1" t="s">
        <v>74</v>
      </c>
      <c r="T136" s="1" t="s">
        <v>74</v>
      </c>
      <c r="U136" s="1" t="s">
        <v>74</v>
      </c>
      <c r="V136" s="1" t="s">
        <v>1465</v>
      </c>
      <c r="W136" s="1" t="s">
        <v>74</v>
      </c>
      <c r="X136" s="1" t="s">
        <v>74</v>
      </c>
      <c r="Y136" s="1" t="s">
        <v>74</v>
      </c>
      <c r="Z136" s="1" t="s">
        <v>74</v>
      </c>
      <c r="AA136" s="1" t="s">
        <v>1466</v>
      </c>
      <c r="AB136" s="1" t="s">
        <v>1467</v>
      </c>
      <c r="AC136" s="1" t="s">
        <v>74</v>
      </c>
      <c r="AD136" s="1" t="s">
        <v>74</v>
      </c>
      <c r="AE136" s="1" t="s">
        <v>74</v>
      </c>
      <c r="AF136" s="1" t="s">
        <v>74</v>
      </c>
      <c r="AG136" s="1" t="s">
        <v>74</v>
      </c>
      <c r="AH136" s="1" t="s">
        <v>74</v>
      </c>
      <c r="AI136" s="1" t="s">
        <v>74</v>
      </c>
      <c r="AJ136" s="1" t="s">
        <v>74</v>
      </c>
      <c r="AK136" s="1" t="s">
        <v>74</v>
      </c>
      <c r="AL136" s="1" t="s">
        <v>74</v>
      </c>
      <c r="AM136" s="1" t="s">
        <v>74</v>
      </c>
      <c r="AN136" s="1" t="s">
        <v>74</v>
      </c>
      <c r="AO136" s="1" t="s">
        <v>74</v>
      </c>
      <c r="AP136" s="1" t="s">
        <v>1468</v>
      </c>
      <c r="AQ136" s="1" t="s">
        <v>74</v>
      </c>
      <c r="AR136" s="1" t="s">
        <v>74</v>
      </c>
      <c r="AS136" s="1" t="s">
        <v>74</v>
      </c>
      <c r="AT136" s="1" t="s">
        <v>144</v>
      </c>
      <c r="AU136" s="1">
        <v>2020.0</v>
      </c>
      <c r="AV136" s="1">
        <v>13.0</v>
      </c>
      <c r="AW136" s="1">
        <v>6.0</v>
      </c>
      <c r="AX136" s="1" t="s">
        <v>74</v>
      </c>
      <c r="AY136" s="1" t="s">
        <v>74</v>
      </c>
      <c r="AZ136" s="1" t="s">
        <v>74</v>
      </c>
      <c r="BA136" s="1" t="s">
        <v>74</v>
      </c>
      <c r="BB136" s="1" t="s">
        <v>74</v>
      </c>
      <c r="BC136" s="1" t="s">
        <v>74</v>
      </c>
      <c r="BD136" s="1">
        <v>1527.0</v>
      </c>
      <c r="BE136" s="1" t="s">
        <v>1469</v>
      </c>
      <c r="BF136" s="2" t="str">
        <f>HYPERLINK("http://dx.doi.org/10.3390/en13061527","http://dx.doi.org/10.3390/en13061527")</f>
        <v>http://dx.doi.org/10.3390/en13061527</v>
      </c>
      <c r="BG136" s="1" t="s">
        <v>74</v>
      </c>
      <c r="BH136" s="1" t="s">
        <v>74</v>
      </c>
      <c r="BI136" s="1" t="s">
        <v>74</v>
      </c>
      <c r="BJ136" s="1" t="s">
        <v>74</v>
      </c>
      <c r="BK136" s="1" t="s">
        <v>74</v>
      </c>
      <c r="BL136" s="1" t="s">
        <v>74</v>
      </c>
      <c r="BM136" s="1" t="s">
        <v>74</v>
      </c>
      <c r="BN136" s="1" t="s">
        <v>74</v>
      </c>
      <c r="BO136" s="1" t="s">
        <v>74</v>
      </c>
      <c r="BP136" s="1" t="s">
        <v>74</v>
      </c>
      <c r="BQ136" s="1" t="s">
        <v>74</v>
      </c>
      <c r="BR136" s="1" t="s">
        <v>74</v>
      </c>
      <c r="BS136" s="1" t="s">
        <v>1470</v>
      </c>
      <c r="BT136" s="1" t="str">
        <f>HYPERLINK("https%3A%2F%2Fwww.webofscience.com%2Fwos%2Fwoscc%2Ffull-record%2FWOS:000524096800075","View Full Record in Web of Science")</f>
        <v>View Full Record in Web of Science</v>
      </c>
    </row>
    <row r="137" ht="12.75" customHeight="1">
      <c r="A137" s="1" t="s">
        <v>72</v>
      </c>
      <c r="B137" s="1" t="s">
        <v>1471</v>
      </c>
      <c r="C137" s="1" t="s">
        <v>74</v>
      </c>
      <c r="D137" s="1" t="s">
        <v>74</v>
      </c>
      <c r="E137" s="1" t="s">
        <v>74</v>
      </c>
      <c r="F137" s="1" t="s">
        <v>1472</v>
      </c>
      <c r="G137" s="1" t="s">
        <v>74</v>
      </c>
      <c r="H137" s="1" t="s">
        <v>74</v>
      </c>
      <c r="I137" s="1" t="s">
        <v>1473</v>
      </c>
      <c r="J137" s="1" t="s">
        <v>1474</v>
      </c>
      <c r="K137" s="1" t="s">
        <v>74</v>
      </c>
      <c r="L137" s="1" t="s">
        <v>74</v>
      </c>
      <c r="M137" s="1" t="s">
        <v>74</v>
      </c>
      <c r="N137" s="1" t="s">
        <v>74</v>
      </c>
      <c r="O137" s="1" t="s">
        <v>74</v>
      </c>
      <c r="P137" s="1" t="s">
        <v>74</v>
      </c>
      <c r="Q137" s="1" t="s">
        <v>74</v>
      </c>
      <c r="R137" s="1" t="s">
        <v>74</v>
      </c>
      <c r="S137" s="1" t="s">
        <v>74</v>
      </c>
      <c r="T137" s="1" t="s">
        <v>74</v>
      </c>
      <c r="U137" s="1" t="s">
        <v>74</v>
      </c>
      <c r="V137" s="1" t="s">
        <v>74</v>
      </c>
      <c r="W137" s="1" t="s">
        <v>74</v>
      </c>
      <c r="X137" s="1" t="s">
        <v>74</v>
      </c>
      <c r="Y137" s="1" t="s">
        <v>74</v>
      </c>
      <c r="Z137" s="1" t="s">
        <v>74</v>
      </c>
      <c r="AA137" s="1" t="s">
        <v>1475</v>
      </c>
      <c r="AB137" s="1" t="s">
        <v>1476</v>
      </c>
      <c r="AC137" s="1" t="s">
        <v>74</v>
      </c>
      <c r="AD137" s="1" t="s">
        <v>74</v>
      </c>
      <c r="AE137" s="1" t="s">
        <v>74</v>
      </c>
      <c r="AF137" s="1" t="s">
        <v>74</v>
      </c>
      <c r="AG137" s="1" t="s">
        <v>74</v>
      </c>
      <c r="AH137" s="1" t="s">
        <v>74</v>
      </c>
      <c r="AI137" s="1" t="s">
        <v>74</v>
      </c>
      <c r="AJ137" s="1" t="s">
        <v>74</v>
      </c>
      <c r="AK137" s="1" t="s">
        <v>74</v>
      </c>
      <c r="AL137" s="1" t="s">
        <v>74</v>
      </c>
      <c r="AM137" s="1" t="s">
        <v>74</v>
      </c>
      <c r="AN137" s="1" t="s">
        <v>74</v>
      </c>
      <c r="AO137" s="1" t="s">
        <v>1477</v>
      </c>
      <c r="AP137" s="1" t="s">
        <v>74</v>
      </c>
      <c r="AQ137" s="1" t="s">
        <v>74</v>
      </c>
      <c r="AR137" s="1" t="s">
        <v>74</v>
      </c>
      <c r="AS137" s="1" t="s">
        <v>74</v>
      </c>
      <c r="AT137" s="1" t="s">
        <v>1478</v>
      </c>
      <c r="AU137" s="1">
        <v>2020.0</v>
      </c>
      <c r="AV137" s="1" t="s">
        <v>74</v>
      </c>
      <c r="AW137" s="1">
        <v>52.0</v>
      </c>
      <c r="AX137" s="1" t="s">
        <v>74</v>
      </c>
      <c r="AY137" s="1" t="s">
        <v>74</v>
      </c>
      <c r="AZ137" s="1" t="s">
        <v>74</v>
      </c>
      <c r="BA137" s="1" t="s">
        <v>74</v>
      </c>
      <c r="BB137" s="1">
        <v>79.0</v>
      </c>
      <c r="BC137" s="1">
        <v>81.0</v>
      </c>
      <c r="BD137" s="1" t="s">
        <v>74</v>
      </c>
      <c r="BE137" s="1" t="s">
        <v>74</v>
      </c>
      <c r="BF137" s="1" t="s">
        <v>74</v>
      </c>
      <c r="BG137" s="1" t="s">
        <v>74</v>
      </c>
      <c r="BH137" s="1" t="s">
        <v>74</v>
      </c>
      <c r="BI137" s="1" t="s">
        <v>74</v>
      </c>
      <c r="BJ137" s="1" t="s">
        <v>74</v>
      </c>
      <c r="BK137" s="1" t="s">
        <v>74</v>
      </c>
      <c r="BL137" s="1" t="s">
        <v>74</v>
      </c>
      <c r="BM137" s="1" t="s">
        <v>74</v>
      </c>
      <c r="BN137" s="1" t="s">
        <v>74</v>
      </c>
      <c r="BO137" s="1" t="s">
        <v>74</v>
      </c>
      <c r="BP137" s="1" t="s">
        <v>74</v>
      </c>
      <c r="BQ137" s="1" t="s">
        <v>74</v>
      </c>
      <c r="BR137" s="1" t="s">
        <v>74</v>
      </c>
      <c r="BS137" s="1" t="s">
        <v>1479</v>
      </c>
      <c r="BT137" s="1" t="str">
        <f>HYPERLINK("https%3A%2F%2Fwww.webofscience.com%2Fwos%2Fwoscc%2Ffull-record%2FWOS:000583142900007","View Full Record in Web of Science")</f>
        <v>View Full Record in Web of Science</v>
      </c>
    </row>
    <row r="138" ht="12.75" customHeight="1">
      <c r="A138" s="1" t="s">
        <v>72</v>
      </c>
      <c r="B138" s="1" t="s">
        <v>1480</v>
      </c>
      <c r="C138" s="1" t="s">
        <v>74</v>
      </c>
      <c r="D138" s="1" t="s">
        <v>74</v>
      </c>
      <c r="E138" s="1" t="s">
        <v>74</v>
      </c>
      <c r="F138" s="1" t="s">
        <v>1481</v>
      </c>
      <c r="G138" s="1" t="s">
        <v>74</v>
      </c>
      <c r="H138" s="1" t="s">
        <v>74</v>
      </c>
      <c r="I138" s="1" t="s">
        <v>1482</v>
      </c>
      <c r="J138" s="1" t="s">
        <v>1483</v>
      </c>
      <c r="K138" s="1" t="s">
        <v>74</v>
      </c>
      <c r="L138" s="1" t="s">
        <v>74</v>
      </c>
      <c r="M138" s="1" t="s">
        <v>74</v>
      </c>
      <c r="N138" s="1" t="s">
        <v>74</v>
      </c>
      <c r="O138" s="1" t="s">
        <v>74</v>
      </c>
      <c r="P138" s="1" t="s">
        <v>74</v>
      </c>
      <c r="Q138" s="1" t="s">
        <v>74</v>
      </c>
      <c r="R138" s="1" t="s">
        <v>74</v>
      </c>
      <c r="S138" s="1" t="s">
        <v>74</v>
      </c>
      <c r="T138" s="1" t="s">
        <v>74</v>
      </c>
      <c r="U138" s="1" t="s">
        <v>74</v>
      </c>
      <c r="V138" s="1" t="s">
        <v>1484</v>
      </c>
      <c r="W138" s="1" t="s">
        <v>74</v>
      </c>
      <c r="X138" s="1" t="s">
        <v>74</v>
      </c>
      <c r="Y138" s="1" t="s">
        <v>74</v>
      </c>
      <c r="Z138" s="1" t="s">
        <v>74</v>
      </c>
      <c r="AA138" s="1" t="s">
        <v>1485</v>
      </c>
      <c r="AB138" s="1" t="s">
        <v>74</v>
      </c>
      <c r="AC138" s="1" t="s">
        <v>74</v>
      </c>
      <c r="AD138" s="1" t="s">
        <v>74</v>
      </c>
      <c r="AE138" s="1" t="s">
        <v>74</v>
      </c>
      <c r="AF138" s="1" t="s">
        <v>74</v>
      </c>
      <c r="AG138" s="1" t="s">
        <v>74</v>
      </c>
      <c r="AH138" s="1" t="s">
        <v>74</v>
      </c>
      <c r="AI138" s="1" t="s">
        <v>74</v>
      </c>
      <c r="AJ138" s="1" t="s">
        <v>74</v>
      </c>
      <c r="AK138" s="1" t="s">
        <v>74</v>
      </c>
      <c r="AL138" s="1" t="s">
        <v>74</v>
      </c>
      <c r="AM138" s="1" t="s">
        <v>74</v>
      </c>
      <c r="AN138" s="1" t="s">
        <v>74</v>
      </c>
      <c r="AO138" s="1" t="s">
        <v>1486</v>
      </c>
      <c r="AP138" s="1" t="s">
        <v>1487</v>
      </c>
      <c r="AQ138" s="1" t="s">
        <v>74</v>
      </c>
      <c r="AR138" s="1" t="s">
        <v>74</v>
      </c>
      <c r="AS138" s="1" t="s">
        <v>74</v>
      </c>
      <c r="AT138" s="1" t="s">
        <v>1488</v>
      </c>
      <c r="AU138" s="1">
        <v>2020.0</v>
      </c>
      <c r="AV138" s="1">
        <v>82.0</v>
      </c>
      <c r="AW138" s="1">
        <v>1.0</v>
      </c>
      <c r="AX138" s="1" t="s">
        <v>74</v>
      </c>
      <c r="AY138" s="1" t="s">
        <v>74</v>
      </c>
      <c r="AZ138" s="1" t="s">
        <v>74</v>
      </c>
      <c r="BA138" s="1" t="s">
        <v>74</v>
      </c>
      <c r="BB138" s="1">
        <v>141.0</v>
      </c>
      <c r="BC138" s="1">
        <v>160.0</v>
      </c>
      <c r="BD138" s="1" t="s">
        <v>74</v>
      </c>
      <c r="BE138" s="1" t="s">
        <v>1489</v>
      </c>
      <c r="BF138" s="2" t="str">
        <f>HYPERLINK("http://dx.doi.org/10.35362/rie8213660","http://dx.doi.org/10.35362/rie8213660")</f>
        <v>http://dx.doi.org/10.35362/rie8213660</v>
      </c>
      <c r="BG138" s="1" t="s">
        <v>74</v>
      </c>
      <c r="BH138" s="1" t="s">
        <v>74</v>
      </c>
      <c r="BI138" s="1" t="s">
        <v>74</v>
      </c>
      <c r="BJ138" s="1" t="s">
        <v>74</v>
      </c>
      <c r="BK138" s="1" t="s">
        <v>74</v>
      </c>
      <c r="BL138" s="1" t="s">
        <v>74</v>
      </c>
      <c r="BM138" s="1" t="s">
        <v>74</v>
      </c>
      <c r="BN138" s="1" t="s">
        <v>74</v>
      </c>
      <c r="BO138" s="1" t="s">
        <v>74</v>
      </c>
      <c r="BP138" s="1" t="s">
        <v>74</v>
      </c>
      <c r="BQ138" s="1" t="s">
        <v>74</v>
      </c>
      <c r="BR138" s="1" t="s">
        <v>74</v>
      </c>
      <c r="BS138" s="1" t="s">
        <v>1490</v>
      </c>
      <c r="BT138" s="1" t="str">
        <f>HYPERLINK("https%3A%2F%2Fwww.webofscience.com%2Fwos%2Fwoscc%2Ffull-record%2FWOS:000508019600008","View Full Record in Web of Science")</f>
        <v>View Full Record in Web of Science</v>
      </c>
    </row>
    <row r="139" ht="12.75" customHeight="1">
      <c r="A139" s="1" t="s">
        <v>147</v>
      </c>
      <c r="B139" s="1" t="s">
        <v>1491</v>
      </c>
      <c r="C139" s="1" t="s">
        <v>74</v>
      </c>
      <c r="D139" s="1" t="s">
        <v>1492</v>
      </c>
      <c r="E139" s="1" t="s">
        <v>74</v>
      </c>
      <c r="F139" s="1" t="s">
        <v>1493</v>
      </c>
      <c r="G139" s="1" t="s">
        <v>74</v>
      </c>
      <c r="H139" s="1" t="s">
        <v>74</v>
      </c>
      <c r="I139" s="1" t="s">
        <v>1494</v>
      </c>
      <c r="J139" s="1" t="s">
        <v>1495</v>
      </c>
      <c r="K139" s="1" t="s">
        <v>1496</v>
      </c>
      <c r="L139" s="1" t="s">
        <v>74</v>
      </c>
      <c r="M139" s="1" t="s">
        <v>74</v>
      </c>
      <c r="N139" s="1" t="s">
        <v>74</v>
      </c>
      <c r="O139" s="1" t="s">
        <v>1497</v>
      </c>
      <c r="P139" s="1" t="s">
        <v>1498</v>
      </c>
      <c r="Q139" s="1" t="s">
        <v>1499</v>
      </c>
      <c r="R139" s="1" t="s">
        <v>1500</v>
      </c>
      <c r="S139" s="1" t="s">
        <v>74</v>
      </c>
      <c r="T139" s="1" t="s">
        <v>74</v>
      </c>
      <c r="U139" s="1" t="s">
        <v>74</v>
      </c>
      <c r="V139" s="1" t="s">
        <v>1501</v>
      </c>
      <c r="W139" s="1" t="s">
        <v>74</v>
      </c>
      <c r="X139" s="1" t="s">
        <v>74</v>
      </c>
      <c r="Y139" s="1" t="s">
        <v>74</v>
      </c>
      <c r="Z139" s="1" t="s">
        <v>74</v>
      </c>
      <c r="AA139" s="1" t="s">
        <v>1502</v>
      </c>
      <c r="AB139" s="1" t="s">
        <v>1503</v>
      </c>
      <c r="AC139" s="1" t="s">
        <v>74</v>
      </c>
      <c r="AD139" s="1" t="s">
        <v>74</v>
      </c>
      <c r="AE139" s="1" t="s">
        <v>74</v>
      </c>
      <c r="AF139" s="1" t="s">
        <v>74</v>
      </c>
      <c r="AG139" s="1" t="s">
        <v>74</v>
      </c>
      <c r="AH139" s="1" t="s">
        <v>74</v>
      </c>
      <c r="AI139" s="1" t="s">
        <v>74</v>
      </c>
      <c r="AJ139" s="1" t="s">
        <v>74</v>
      </c>
      <c r="AK139" s="1" t="s">
        <v>74</v>
      </c>
      <c r="AL139" s="1" t="s">
        <v>74</v>
      </c>
      <c r="AM139" s="1" t="s">
        <v>74</v>
      </c>
      <c r="AN139" s="1" t="s">
        <v>74</v>
      </c>
      <c r="AO139" s="1" t="s">
        <v>1504</v>
      </c>
      <c r="AP139" s="1" t="s">
        <v>74</v>
      </c>
      <c r="AQ139" s="1" t="s">
        <v>1505</v>
      </c>
      <c r="AR139" s="1" t="s">
        <v>74</v>
      </c>
      <c r="AS139" s="1" t="s">
        <v>74</v>
      </c>
      <c r="AT139" s="1" t="s">
        <v>74</v>
      </c>
      <c r="AU139" s="1">
        <v>2020.0</v>
      </c>
      <c r="AV139" s="1" t="s">
        <v>74</v>
      </c>
      <c r="AW139" s="1" t="s">
        <v>74</v>
      </c>
      <c r="AX139" s="1" t="s">
        <v>74</v>
      </c>
      <c r="AY139" s="1" t="s">
        <v>74</v>
      </c>
      <c r="AZ139" s="1" t="s">
        <v>74</v>
      </c>
      <c r="BA139" s="1" t="s">
        <v>74</v>
      </c>
      <c r="BB139" s="1">
        <v>149.0</v>
      </c>
      <c r="BC139" s="1">
        <v>157.0</v>
      </c>
      <c r="BD139" s="1" t="s">
        <v>74</v>
      </c>
      <c r="BE139" s="1" t="s">
        <v>1506</v>
      </c>
      <c r="BF139" s="2" t="str">
        <f>HYPERLINK("http://dx.doi.org/10.2478/9788366675162-016","http://dx.doi.org/10.2478/9788366675162-016")</f>
        <v>http://dx.doi.org/10.2478/9788366675162-016</v>
      </c>
      <c r="BG139" s="1" t="s">
        <v>74</v>
      </c>
      <c r="BH139" s="1" t="s">
        <v>74</v>
      </c>
      <c r="BI139" s="1" t="s">
        <v>74</v>
      </c>
      <c r="BJ139" s="1" t="s">
        <v>74</v>
      </c>
      <c r="BK139" s="1" t="s">
        <v>74</v>
      </c>
      <c r="BL139" s="1" t="s">
        <v>74</v>
      </c>
      <c r="BM139" s="1" t="s">
        <v>74</v>
      </c>
      <c r="BN139" s="1" t="s">
        <v>74</v>
      </c>
      <c r="BO139" s="1" t="s">
        <v>74</v>
      </c>
      <c r="BP139" s="1" t="s">
        <v>74</v>
      </c>
      <c r="BQ139" s="1" t="s">
        <v>74</v>
      </c>
      <c r="BR139" s="1" t="s">
        <v>74</v>
      </c>
      <c r="BS139" s="1" t="s">
        <v>1507</v>
      </c>
      <c r="BT139" s="1" t="str">
        <f>HYPERLINK("https%3A%2F%2Fwww.webofscience.com%2Fwos%2Fwoscc%2Ffull-record%2FWOS:000763773400015","View Full Record in Web of Science")</f>
        <v>View Full Record in Web of Science</v>
      </c>
    </row>
    <row r="140" ht="12.75" customHeight="1">
      <c r="A140" s="1" t="s">
        <v>72</v>
      </c>
      <c r="B140" s="1" t="s">
        <v>1508</v>
      </c>
      <c r="C140" s="1" t="s">
        <v>74</v>
      </c>
      <c r="D140" s="1" t="s">
        <v>74</v>
      </c>
      <c r="E140" s="1" t="s">
        <v>74</v>
      </c>
      <c r="F140" s="1" t="s">
        <v>1509</v>
      </c>
      <c r="G140" s="1" t="s">
        <v>74</v>
      </c>
      <c r="H140" s="1" t="s">
        <v>74</v>
      </c>
      <c r="I140" s="1" t="s">
        <v>1510</v>
      </c>
      <c r="J140" s="1" t="s">
        <v>1511</v>
      </c>
      <c r="K140" s="1" t="s">
        <v>74</v>
      </c>
      <c r="L140" s="1" t="s">
        <v>74</v>
      </c>
      <c r="M140" s="1" t="s">
        <v>74</v>
      </c>
      <c r="N140" s="1" t="s">
        <v>74</v>
      </c>
      <c r="O140" s="1" t="s">
        <v>74</v>
      </c>
      <c r="P140" s="1" t="s">
        <v>74</v>
      </c>
      <c r="Q140" s="1" t="s">
        <v>74</v>
      </c>
      <c r="R140" s="1" t="s">
        <v>74</v>
      </c>
      <c r="S140" s="1" t="s">
        <v>74</v>
      </c>
      <c r="T140" s="1" t="s">
        <v>74</v>
      </c>
      <c r="U140" s="1" t="s">
        <v>74</v>
      </c>
      <c r="V140" s="1" t="s">
        <v>1512</v>
      </c>
      <c r="W140" s="1" t="s">
        <v>74</v>
      </c>
      <c r="X140" s="1" t="s">
        <v>74</v>
      </c>
      <c r="Y140" s="1" t="s">
        <v>74</v>
      </c>
      <c r="Z140" s="1" t="s">
        <v>74</v>
      </c>
      <c r="AA140" s="1" t="s">
        <v>1513</v>
      </c>
      <c r="AB140" s="1" t="s">
        <v>1514</v>
      </c>
      <c r="AC140" s="1" t="s">
        <v>74</v>
      </c>
      <c r="AD140" s="1" t="s">
        <v>74</v>
      </c>
      <c r="AE140" s="1" t="s">
        <v>74</v>
      </c>
      <c r="AF140" s="1" t="s">
        <v>74</v>
      </c>
      <c r="AG140" s="1" t="s">
        <v>74</v>
      </c>
      <c r="AH140" s="1" t="s">
        <v>74</v>
      </c>
      <c r="AI140" s="1" t="s">
        <v>74</v>
      </c>
      <c r="AJ140" s="1" t="s">
        <v>74</v>
      </c>
      <c r="AK140" s="1" t="s">
        <v>74</v>
      </c>
      <c r="AL140" s="1" t="s">
        <v>74</v>
      </c>
      <c r="AM140" s="1" t="s">
        <v>74</v>
      </c>
      <c r="AN140" s="1" t="s">
        <v>74</v>
      </c>
      <c r="AO140" s="1" t="s">
        <v>1515</v>
      </c>
      <c r="AP140" s="1" t="s">
        <v>1516</v>
      </c>
      <c r="AQ140" s="1" t="s">
        <v>74</v>
      </c>
      <c r="AR140" s="1" t="s">
        <v>74</v>
      </c>
      <c r="AS140" s="1" t="s">
        <v>74</v>
      </c>
      <c r="AT140" s="1" t="s">
        <v>415</v>
      </c>
      <c r="AU140" s="1">
        <v>2019.0</v>
      </c>
      <c r="AV140" s="1">
        <v>101.0</v>
      </c>
      <c r="AW140" s="1">
        <v>5.0</v>
      </c>
      <c r="AX140" s="1" t="s">
        <v>74</v>
      </c>
      <c r="AY140" s="1" t="s">
        <v>74</v>
      </c>
      <c r="AZ140" s="1" t="s">
        <v>74</v>
      </c>
      <c r="BA140" s="1" t="s">
        <v>74</v>
      </c>
      <c r="BB140" s="1">
        <v>853.0</v>
      </c>
      <c r="BC140" s="1">
        <v>864.0</v>
      </c>
      <c r="BD140" s="1" t="s">
        <v>74</v>
      </c>
      <c r="BE140" s="1" t="s">
        <v>1517</v>
      </c>
      <c r="BF140" s="2" t="str">
        <f>HYPERLINK("http://dx.doi.org/10.1162/rest_a_00789","http://dx.doi.org/10.1162/rest_a_00789")</f>
        <v>http://dx.doi.org/10.1162/rest_a_00789</v>
      </c>
      <c r="BG140" s="1" t="s">
        <v>74</v>
      </c>
      <c r="BH140" s="1" t="s">
        <v>74</v>
      </c>
      <c r="BI140" s="1" t="s">
        <v>74</v>
      </c>
      <c r="BJ140" s="1" t="s">
        <v>74</v>
      </c>
      <c r="BK140" s="1" t="s">
        <v>74</v>
      </c>
      <c r="BL140" s="1" t="s">
        <v>74</v>
      </c>
      <c r="BM140" s="1" t="s">
        <v>74</v>
      </c>
      <c r="BN140" s="1" t="s">
        <v>74</v>
      </c>
      <c r="BO140" s="1" t="s">
        <v>74</v>
      </c>
      <c r="BP140" s="1" t="s">
        <v>74</v>
      </c>
      <c r="BQ140" s="1" t="s">
        <v>74</v>
      </c>
      <c r="BR140" s="1" t="s">
        <v>74</v>
      </c>
      <c r="BS140" s="1" t="s">
        <v>1518</v>
      </c>
      <c r="BT140" s="1" t="str">
        <f>HYPERLINK("https%3A%2F%2Fwww.webofscience.com%2Fwos%2Fwoscc%2Ffull-record%2FWOS:000502338900008","View Full Record in Web of Science")</f>
        <v>View Full Record in Web of Science</v>
      </c>
    </row>
    <row r="141" ht="12.75" customHeight="1">
      <c r="A141" s="1" t="s">
        <v>72</v>
      </c>
      <c r="B141" s="1" t="s">
        <v>1519</v>
      </c>
      <c r="C141" s="1" t="s">
        <v>74</v>
      </c>
      <c r="D141" s="1" t="s">
        <v>74</v>
      </c>
      <c r="E141" s="1" t="s">
        <v>74</v>
      </c>
      <c r="F141" s="1" t="s">
        <v>1520</v>
      </c>
      <c r="G141" s="1" t="s">
        <v>74</v>
      </c>
      <c r="H141" s="1" t="s">
        <v>74</v>
      </c>
      <c r="I141" s="1" t="s">
        <v>1521</v>
      </c>
      <c r="J141" s="1" t="s">
        <v>1522</v>
      </c>
      <c r="K141" s="1" t="s">
        <v>74</v>
      </c>
      <c r="L141" s="1" t="s">
        <v>74</v>
      </c>
      <c r="M141" s="1" t="s">
        <v>74</v>
      </c>
      <c r="N141" s="1" t="s">
        <v>74</v>
      </c>
      <c r="O141" s="1" t="s">
        <v>74</v>
      </c>
      <c r="P141" s="1" t="s">
        <v>74</v>
      </c>
      <c r="Q141" s="1" t="s">
        <v>74</v>
      </c>
      <c r="R141" s="1" t="s">
        <v>74</v>
      </c>
      <c r="S141" s="1" t="s">
        <v>74</v>
      </c>
      <c r="T141" s="1" t="s">
        <v>74</v>
      </c>
      <c r="U141" s="1" t="s">
        <v>74</v>
      </c>
      <c r="V141" s="1" t="s">
        <v>1523</v>
      </c>
      <c r="W141" s="1" t="s">
        <v>74</v>
      </c>
      <c r="X141" s="1" t="s">
        <v>74</v>
      </c>
      <c r="Y141" s="1" t="s">
        <v>74</v>
      </c>
      <c r="Z141" s="1" t="s">
        <v>74</v>
      </c>
      <c r="AA141" s="1" t="s">
        <v>1524</v>
      </c>
      <c r="AB141" s="1" t="s">
        <v>74</v>
      </c>
      <c r="AC141" s="1" t="s">
        <v>74</v>
      </c>
      <c r="AD141" s="1" t="s">
        <v>74</v>
      </c>
      <c r="AE141" s="1" t="s">
        <v>74</v>
      </c>
      <c r="AF141" s="1" t="s">
        <v>74</v>
      </c>
      <c r="AG141" s="1" t="s">
        <v>74</v>
      </c>
      <c r="AH141" s="1" t="s">
        <v>74</v>
      </c>
      <c r="AI141" s="1" t="s">
        <v>74</v>
      </c>
      <c r="AJ141" s="1" t="s">
        <v>74</v>
      </c>
      <c r="AK141" s="1" t="s">
        <v>74</v>
      </c>
      <c r="AL141" s="1" t="s">
        <v>74</v>
      </c>
      <c r="AM141" s="1" t="s">
        <v>74</v>
      </c>
      <c r="AN141" s="1" t="s">
        <v>74</v>
      </c>
      <c r="AO141" s="1" t="s">
        <v>1525</v>
      </c>
      <c r="AP141" s="1" t="s">
        <v>74</v>
      </c>
      <c r="AQ141" s="1" t="s">
        <v>74</v>
      </c>
      <c r="AR141" s="1" t="s">
        <v>74</v>
      </c>
      <c r="AS141" s="1" t="s">
        <v>74</v>
      </c>
      <c r="AT141" s="1" t="s">
        <v>1526</v>
      </c>
      <c r="AU141" s="1">
        <v>2019.0</v>
      </c>
      <c r="AV141" s="1" t="s">
        <v>74</v>
      </c>
      <c r="AW141" s="1" t="s">
        <v>74</v>
      </c>
      <c r="AX141" s="1" t="s">
        <v>74</v>
      </c>
      <c r="AY141" s="1" t="s">
        <v>74</v>
      </c>
      <c r="AZ141" s="1" t="s">
        <v>74</v>
      </c>
      <c r="BA141" s="1" t="s">
        <v>74</v>
      </c>
      <c r="BB141" s="1" t="s">
        <v>74</v>
      </c>
      <c r="BC141" s="1" t="s">
        <v>74</v>
      </c>
      <c r="BD141" s="1">
        <v>105.0</v>
      </c>
      <c r="BE141" s="1" t="s">
        <v>1527</v>
      </c>
      <c r="BF141" s="2" t="str">
        <f>HYPERLINK("http://dx.doi.org/10.1186/s13662-019-2053-0","http://dx.doi.org/10.1186/s13662-019-2053-0")</f>
        <v>http://dx.doi.org/10.1186/s13662-019-2053-0</v>
      </c>
      <c r="BG141" s="1" t="s">
        <v>74</v>
      </c>
      <c r="BH141" s="1" t="s">
        <v>74</v>
      </c>
      <c r="BI141" s="1" t="s">
        <v>74</v>
      </c>
      <c r="BJ141" s="1" t="s">
        <v>74</v>
      </c>
      <c r="BK141" s="1" t="s">
        <v>74</v>
      </c>
      <c r="BL141" s="1" t="s">
        <v>74</v>
      </c>
      <c r="BM141" s="1" t="s">
        <v>74</v>
      </c>
      <c r="BN141" s="1" t="s">
        <v>74</v>
      </c>
      <c r="BO141" s="1" t="s">
        <v>74</v>
      </c>
      <c r="BP141" s="1" t="s">
        <v>74</v>
      </c>
      <c r="BQ141" s="1" t="s">
        <v>74</v>
      </c>
      <c r="BR141" s="1" t="s">
        <v>74</v>
      </c>
      <c r="BS141" s="1" t="s">
        <v>1528</v>
      </c>
      <c r="BT141" s="1" t="str">
        <f>HYPERLINK("https%3A%2F%2Fwww.webofscience.com%2Fwos%2Fwoscc%2Ffull-record%2FWOS:000461525300001","View Full Record in Web of Science")</f>
        <v>View Full Record in Web of Science</v>
      </c>
    </row>
    <row r="142" ht="12.75" customHeight="1">
      <c r="A142" s="1" t="s">
        <v>72</v>
      </c>
      <c r="B142" s="1" t="s">
        <v>1529</v>
      </c>
      <c r="C142" s="1" t="s">
        <v>74</v>
      </c>
      <c r="D142" s="1" t="s">
        <v>74</v>
      </c>
      <c r="E142" s="1" t="s">
        <v>74</v>
      </c>
      <c r="F142" s="1" t="s">
        <v>1530</v>
      </c>
      <c r="G142" s="1" t="s">
        <v>74</v>
      </c>
      <c r="H142" s="1" t="s">
        <v>74</v>
      </c>
      <c r="I142" s="1" t="s">
        <v>1531</v>
      </c>
      <c r="J142" s="1" t="s">
        <v>1532</v>
      </c>
      <c r="K142" s="1" t="s">
        <v>74</v>
      </c>
      <c r="L142" s="1" t="s">
        <v>74</v>
      </c>
      <c r="M142" s="1" t="s">
        <v>74</v>
      </c>
      <c r="N142" s="1" t="s">
        <v>74</v>
      </c>
      <c r="O142" s="1" t="s">
        <v>74</v>
      </c>
      <c r="P142" s="1" t="s">
        <v>74</v>
      </c>
      <c r="Q142" s="1" t="s">
        <v>74</v>
      </c>
      <c r="R142" s="1" t="s">
        <v>74</v>
      </c>
      <c r="S142" s="1" t="s">
        <v>74</v>
      </c>
      <c r="T142" s="1" t="s">
        <v>74</v>
      </c>
      <c r="U142" s="1" t="s">
        <v>74</v>
      </c>
      <c r="V142" s="1" t="s">
        <v>1533</v>
      </c>
      <c r="W142" s="1" t="s">
        <v>74</v>
      </c>
      <c r="X142" s="1" t="s">
        <v>74</v>
      </c>
      <c r="Y142" s="1" t="s">
        <v>74</v>
      </c>
      <c r="Z142" s="1" t="s">
        <v>74</v>
      </c>
      <c r="AA142" s="1" t="s">
        <v>74</v>
      </c>
      <c r="AB142" s="1" t="s">
        <v>1534</v>
      </c>
      <c r="AC142" s="1" t="s">
        <v>74</v>
      </c>
      <c r="AD142" s="1" t="s">
        <v>74</v>
      </c>
      <c r="AE142" s="1" t="s">
        <v>74</v>
      </c>
      <c r="AF142" s="1" t="s">
        <v>74</v>
      </c>
      <c r="AG142" s="1" t="s">
        <v>74</v>
      </c>
      <c r="AH142" s="1" t="s">
        <v>74</v>
      </c>
      <c r="AI142" s="1" t="s">
        <v>74</v>
      </c>
      <c r="AJ142" s="1" t="s">
        <v>74</v>
      </c>
      <c r="AK142" s="1" t="s">
        <v>74</v>
      </c>
      <c r="AL142" s="1" t="s">
        <v>74</v>
      </c>
      <c r="AM142" s="1" t="s">
        <v>74</v>
      </c>
      <c r="AN142" s="1" t="s">
        <v>74</v>
      </c>
      <c r="AO142" s="1" t="s">
        <v>1535</v>
      </c>
      <c r="AP142" s="1" t="s">
        <v>74</v>
      </c>
      <c r="AQ142" s="1" t="s">
        <v>74</v>
      </c>
      <c r="AR142" s="1" t="s">
        <v>74</v>
      </c>
      <c r="AS142" s="1" t="s">
        <v>74</v>
      </c>
      <c r="AT142" s="1" t="s">
        <v>1536</v>
      </c>
      <c r="AU142" s="1">
        <v>2018.0</v>
      </c>
      <c r="AV142" s="1">
        <v>25.0</v>
      </c>
      <c r="AW142" s="1">
        <v>4.0</v>
      </c>
      <c r="AX142" s="1" t="s">
        <v>74</v>
      </c>
      <c r="AY142" s="1" t="s">
        <v>74</v>
      </c>
      <c r="AZ142" s="1" t="s">
        <v>74</v>
      </c>
      <c r="BA142" s="1" t="s">
        <v>74</v>
      </c>
      <c r="BB142" s="1" t="s">
        <v>74</v>
      </c>
      <c r="BC142" s="1" t="s">
        <v>74</v>
      </c>
      <c r="BD142" s="1" t="s">
        <v>1537</v>
      </c>
      <c r="BE142" s="1" t="s">
        <v>74</v>
      </c>
      <c r="BF142" s="1" t="s">
        <v>74</v>
      </c>
      <c r="BG142" s="1" t="s">
        <v>74</v>
      </c>
      <c r="BH142" s="1" t="s">
        <v>74</v>
      </c>
      <c r="BI142" s="1" t="s">
        <v>74</v>
      </c>
      <c r="BJ142" s="1" t="s">
        <v>74</v>
      </c>
      <c r="BK142" s="1" t="s">
        <v>74</v>
      </c>
      <c r="BL142" s="1" t="s">
        <v>74</v>
      </c>
      <c r="BM142" s="1" t="s">
        <v>74</v>
      </c>
      <c r="BN142" s="1" t="s">
        <v>74</v>
      </c>
      <c r="BO142" s="1" t="s">
        <v>74</v>
      </c>
      <c r="BP142" s="1" t="s">
        <v>74</v>
      </c>
      <c r="BQ142" s="1" t="s">
        <v>74</v>
      </c>
      <c r="BR142" s="1" t="s">
        <v>74</v>
      </c>
      <c r="BS142" s="1" t="s">
        <v>1538</v>
      </c>
      <c r="BT142" s="1" t="str">
        <f>HYPERLINK("https%3A%2F%2Fwww.webofscience.com%2Fwos%2Fwoscc%2Ffull-record%2FWOS:000449337100009","View Full Record in Web of Science")</f>
        <v>View Full Record in Web of Science</v>
      </c>
    </row>
    <row r="143" ht="12.75" customHeight="1">
      <c r="A143" s="1" t="s">
        <v>72</v>
      </c>
      <c r="B143" s="1" t="s">
        <v>1539</v>
      </c>
      <c r="C143" s="1" t="s">
        <v>74</v>
      </c>
      <c r="D143" s="1" t="s">
        <v>74</v>
      </c>
      <c r="E143" s="1" t="s">
        <v>74</v>
      </c>
      <c r="F143" s="1" t="s">
        <v>1540</v>
      </c>
      <c r="G143" s="1" t="s">
        <v>74</v>
      </c>
      <c r="H143" s="1" t="s">
        <v>74</v>
      </c>
      <c r="I143" s="1" t="s">
        <v>1541</v>
      </c>
      <c r="J143" s="1" t="s">
        <v>1542</v>
      </c>
      <c r="K143" s="1" t="s">
        <v>74</v>
      </c>
      <c r="L143" s="1" t="s">
        <v>74</v>
      </c>
      <c r="M143" s="1" t="s">
        <v>74</v>
      </c>
      <c r="N143" s="1" t="s">
        <v>74</v>
      </c>
      <c r="O143" s="1" t="s">
        <v>74</v>
      </c>
      <c r="P143" s="1" t="s">
        <v>74</v>
      </c>
      <c r="Q143" s="1" t="s">
        <v>74</v>
      </c>
      <c r="R143" s="1" t="s">
        <v>74</v>
      </c>
      <c r="S143" s="1" t="s">
        <v>74</v>
      </c>
      <c r="T143" s="1" t="s">
        <v>74</v>
      </c>
      <c r="U143" s="1" t="s">
        <v>74</v>
      </c>
      <c r="V143" s="1" t="s">
        <v>1543</v>
      </c>
      <c r="W143" s="1" t="s">
        <v>74</v>
      </c>
      <c r="X143" s="1" t="s">
        <v>74</v>
      </c>
      <c r="Y143" s="1" t="s">
        <v>74</v>
      </c>
      <c r="Z143" s="1" t="s">
        <v>74</v>
      </c>
      <c r="AA143" s="1" t="s">
        <v>1544</v>
      </c>
      <c r="AB143" s="1" t="s">
        <v>1545</v>
      </c>
      <c r="AC143" s="1" t="s">
        <v>74</v>
      </c>
      <c r="AD143" s="1" t="s">
        <v>74</v>
      </c>
      <c r="AE143" s="1" t="s">
        <v>74</v>
      </c>
      <c r="AF143" s="1" t="s">
        <v>74</v>
      </c>
      <c r="AG143" s="1" t="s">
        <v>74</v>
      </c>
      <c r="AH143" s="1" t="s">
        <v>74</v>
      </c>
      <c r="AI143" s="1" t="s">
        <v>74</v>
      </c>
      <c r="AJ143" s="1" t="s">
        <v>74</v>
      </c>
      <c r="AK143" s="1" t="s">
        <v>74</v>
      </c>
      <c r="AL143" s="1" t="s">
        <v>74</v>
      </c>
      <c r="AM143" s="1" t="s">
        <v>74</v>
      </c>
      <c r="AN143" s="1" t="s">
        <v>74</v>
      </c>
      <c r="AO143" s="1" t="s">
        <v>1546</v>
      </c>
      <c r="AP143" s="1" t="s">
        <v>1547</v>
      </c>
      <c r="AQ143" s="1" t="s">
        <v>74</v>
      </c>
      <c r="AR143" s="1" t="s">
        <v>74</v>
      </c>
      <c r="AS143" s="1" t="s">
        <v>74</v>
      </c>
      <c r="AT143" s="1" t="s">
        <v>1548</v>
      </c>
      <c r="AU143" s="1">
        <v>2018.0</v>
      </c>
      <c r="AV143" s="1">
        <v>78.0</v>
      </c>
      <c r="AW143" s="1">
        <v>7.0</v>
      </c>
      <c r="AX143" s="1" t="s">
        <v>74</v>
      </c>
      <c r="AY143" s="1" t="s">
        <v>74</v>
      </c>
      <c r="AZ143" s="1" t="s">
        <v>74</v>
      </c>
      <c r="BA143" s="1" t="s">
        <v>74</v>
      </c>
      <c r="BB143" s="1" t="s">
        <v>74</v>
      </c>
      <c r="BC143" s="1" t="s">
        <v>74</v>
      </c>
      <c r="BD143" s="1">
        <v>591.0</v>
      </c>
      <c r="BE143" s="1" t="s">
        <v>1549</v>
      </c>
      <c r="BF143" s="2" t="str">
        <f>HYPERLINK("http://dx.doi.org/10.1140/epjc/s10052-018-6066-8","http://dx.doi.org/10.1140/epjc/s10052-018-6066-8")</f>
        <v>http://dx.doi.org/10.1140/epjc/s10052-018-6066-8</v>
      </c>
      <c r="BG143" s="1" t="s">
        <v>74</v>
      </c>
      <c r="BH143" s="1" t="s">
        <v>74</v>
      </c>
      <c r="BI143" s="1" t="s">
        <v>74</v>
      </c>
      <c r="BJ143" s="1" t="s">
        <v>74</v>
      </c>
      <c r="BK143" s="1" t="s">
        <v>74</v>
      </c>
      <c r="BL143" s="1" t="s">
        <v>74</v>
      </c>
      <c r="BM143" s="1" t="s">
        <v>74</v>
      </c>
      <c r="BN143" s="1" t="s">
        <v>74</v>
      </c>
      <c r="BO143" s="1" t="s">
        <v>74</v>
      </c>
      <c r="BP143" s="1" t="s">
        <v>74</v>
      </c>
      <c r="BQ143" s="1" t="s">
        <v>74</v>
      </c>
      <c r="BR143" s="1" t="s">
        <v>74</v>
      </c>
      <c r="BS143" s="1" t="s">
        <v>1550</v>
      </c>
      <c r="BT143" s="1" t="str">
        <f>HYPERLINK("https%3A%2F%2Fwww.webofscience.com%2Fwos%2Fwoscc%2Ffull-record%2FWOS:000439512600002","View Full Record in Web of Science")</f>
        <v>View Full Record in Web of Science</v>
      </c>
    </row>
    <row r="144" ht="12.75" customHeight="1">
      <c r="A144" s="1" t="s">
        <v>72</v>
      </c>
      <c r="B144" s="1" t="s">
        <v>1551</v>
      </c>
      <c r="C144" s="1" t="s">
        <v>74</v>
      </c>
      <c r="D144" s="1" t="s">
        <v>74</v>
      </c>
      <c r="E144" s="1" t="s">
        <v>74</v>
      </c>
      <c r="F144" s="1" t="s">
        <v>1552</v>
      </c>
      <c r="G144" s="1" t="s">
        <v>74</v>
      </c>
      <c r="H144" s="1" t="s">
        <v>74</v>
      </c>
      <c r="I144" s="1" t="s">
        <v>1553</v>
      </c>
      <c r="J144" s="1" t="s">
        <v>1554</v>
      </c>
      <c r="K144" s="1" t="s">
        <v>74</v>
      </c>
      <c r="L144" s="1" t="s">
        <v>74</v>
      </c>
      <c r="M144" s="1" t="s">
        <v>74</v>
      </c>
      <c r="N144" s="1" t="s">
        <v>74</v>
      </c>
      <c r="O144" s="1" t="s">
        <v>74</v>
      </c>
      <c r="P144" s="1" t="s">
        <v>74</v>
      </c>
      <c r="Q144" s="1" t="s">
        <v>74</v>
      </c>
      <c r="R144" s="1" t="s">
        <v>74</v>
      </c>
      <c r="S144" s="1" t="s">
        <v>74</v>
      </c>
      <c r="T144" s="1" t="s">
        <v>74</v>
      </c>
      <c r="U144" s="1" t="s">
        <v>74</v>
      </c>
      <c r="V144" s="1" t="s">
        <v>1555</v>
      </c>
      <c r="W144" s="1" t="s">
        <v>74</v>
      </c>
      <c r="X144" s="1" t="s">
        <v>74</v>
      </c>
      <c r="Y144" s="1" t="s">
        <v>74</v>
      </c>
      <c r="Z144" s="1" t="s">
        <v>74</v>
      </c>
      <c r="AA144" s="1" t="s">
        <v>74</v>
      </c>
      <c r="AB144" s="1" t="s">
        <v>1556</v>
      </c>
      <c r="AC144" s="1" t="s">
        <v>74</v>
      </c>
      <c r="AD144" s="1" t="s">
        <v>74</v>
      </c>
      <c r="AE144" s="1" t="s">
        <v>74</v>
      </c>
      <c r="AF144" s="1" t="s">
        <v>74</v>
      </c>
      <c r="AG144" s="1" t="s">
        <v>74</v>
      </c>
      <c r="AH144" s="1" t="s">
        <v>74</v>
      </c>
      <c r="AI144" s="1" t="s">
        <v>74</v>
      </c>
      <c r="AJ144" s="1" t="s">
        <v>74</v>
      </c>
      <c r="AK144" s="1" t="s">
        <v>74</v>
      </c>
      <c r="AL144" s="1" t="s">
        <v>74</v>
      </c>
      <c r="AM144" s="1" t="s">
        <v>74</v>
      </c>
      <c r="AN144" s="1" t="s">
        <v>74</v>
      </c>
      <c r="AO144" s="1" t="s">
        <v>1557</v>
      </c>
      <c r="AP144" s="1" t="s">
        <v>1558</v>
      </c>
      <c r="AQ144" s="1" t="s">
        <v>74</v>
      </c>
      <c r="AR144" s="1" t="s">
        <v>74</v>
      </c>
      <c r="AS144" s="1" t="s">
        <v>74</v>
      </c>
      <c r="AT144" s="1" t="s">
        <v>389</v>
      </c>
      <c r="AU144" s="1">
        <v>2018.0</v>
      </c>
      <c r="AV144" s="1">
        <v>54.0</v>
      </c>
      <c r="AW144" s="1">
        <v>2.0</v>
      </c>
      <c r="AX144" s="1" t="s">
        <v>74</v>
      </c>
      <c r="AY144" s="1" t="s">
        <v>74</v>
      </c>
      <c r="AZ144" s="1" t="s">
        <v>74</v>
      </c>
      <c r="BA144" s="1" t="s">
        <v>74</v>
      </c>
      <c r="BB144" s="1">
        <v>287.0</v>
      </c>
      <c r="BC144" s="1">
        <v>314.0</v>
      </c>
      <c r="BD144" s="1" t="s">
        <v>74</v>
      </c>
      <c r="BE144" s="1" t="s">
        <v>1559</v>
      </c>
      <c r="BF144" s="2" t="str">
        <f>HYPERLINK("http://dx.doi.org/10.1007/s10115-017-1063-z","http://dx.doi.org/10.1007/s10115-017-1063-z")</f>
        <v>http://dx.doi.org/10.1007/s10115-017-1063-z</v>
      </c>
      <c r="BG144" s="1" t="s">
        <v>74</v>
      </c>
      <c r="BH144" s="1" t="s">
        <v>74</v>
      </c>
      <c r="BI144" s="1" t="s">
        <v>74</v>
      </c>
      <c r="BJ144" s="1" t="s">
        <v>74</v>
      </c>
      <c r="BK144" s="1" t="s">
        <v>74</v>
      </c>
      <c r="BL144" s="1" t="s">
        <v>74</v>
      </c>
      <c r="BM144" s="1" t="s">
        <v>74</v>
      </c>
      <c r="BN144" s="1" t="s">
        <v>74</v>
      </c>
      <c r="BO144" s="1" t="s">
        <v>74</v>
      </c>
      <c r="BP144" s="1" t="s">
        <v>74</v>
      </c>
      <c r="BQ144" s="1" t="s">
        <v>74</v>
      </c>
      <c r="BR144" s="1" t="s">
        <v>74</v>
      </c>
      <c r="BS144" s="1" t="s">
        <v>1560</v>
      </c>
      <c r="BT144" s="1" t="str">
        <f>HYPERLINK("https%3A%2F%2Fwww.webofscience.com%2Fwos%2Fwoscc%2Ffull-record%2FWOS:000423156100002","View Full Record in Web of Science")</f>
        <v>View Full Record in Web of Science</v>
      </c>
    </row>
    <row r="145" ht="12.75" customHeight="1">
      <c r="A145" s="1" t="s">
        <v>86</v>
      </c>
      <c r="B145" s="1" t="s">
        <v>1561</v>
      </c>
      <c r="C145" s="1" t="s">
        <v>74</v>
      </c>
      <c r="D145" s="1" t="s">
        <v>1562</v>
      </c>
      <c r="E145" s="1" t="s">
        <v>74</v>
      </c>
      <c r="F145" s="1" t="s">
        <v>1563</v>
      </c>
      <c r="G145" s="1" t="s">
        <v>74</v>
      </c>
      <c r="H145" s="1" t="s">
        <v>74</v>
      </c>
      <c r="I145" s="1" t="s">
        <v>1564</v>
      </c>
      <c r="J145" s="1" t="s">
        <v>1565</v>
      </c>
      <c r="K145" s="1" t="s">
        <v>74</v>
      </c>
      <c r="L145" s="1" t="s">
        <v>74</v>
      </c>
      <c r="M145" s="1" t="s">
        <v>74</v>
      </c>
      <c r="N145" s="1" t="s">
        <v>74</v>
      </c>
      <c r="O145" s="1" t="s">
        <v>74</v>
      </c>
      <c r="P145" s="1" t="s">
        <v>74</v>
      </c>
      <c r="Q145" s="1" t="s">
        <v>74</v>
      </c>
      <c r="R145" s="1" t="s">
        <v>74</v>
      </c>
      <c r="S145" s="1" t="s">
        <v>74</v>
      </c>
      <c r="T145" s="1" t="s">
        <v>74</v>
      </c>
      <c r="U145" s="1" t="s">
        <v>74</v>
      </c>
      <c r="V145" s="1" t="s">
        <v>74</v>
      </c>
      <c r="W145" s="1" t="s">
        <v>74</v>
      </c>
      <c r="X145" s="1" t="s">
        <v>74</v>
      </c>
      <c r="Y145" s="1" t="s">
        <v>74</v>
      </c>
      <c r="Z145" s="1" t="s">
        <v>74</v>
      </c>
      <c r="AA145" s="1" t="s">
        <v>74</v>
      </c>
      <c r="AB145" s="1" t="s">
        <v>74</v>
      </c>
      <c r="AC145" s="1" t="s">
        <v>74</v>
      </c>
      <c r="AD145" s="1" t="s">
        <v>74</v>
      </c>
      <c r="AE145" s="1" t="s">
        <v>74</v>
      </c>
      <c r="AF145" s="1" t="s">
        <v>74</v>
      </c>
      <c r="AG145" s="1" t="s">
        <v>74</v>
      </c>
      <c r="AH145" s="1" t="s">
        <v>74</v>
      </c>
      <c r="AI145" s="1" t="s">
        <v>74</v>
      </c>
      <c r="AJ145" s="1" t="s">
        <v>74</v>
      </c>
      <c r="AK145" s="1" t="s">
        <v>74</v>
      </c>
      <c r="AL145" s="1" t="s">
        <v>74</v>
      </c>
      <c r="AM145" s="1" t="s">
        <v>74</v>
      </c>
      <c r="AN145" s="1" t="s">
        <v>74</v>
      </c>
      <c r="AO145" s="1" t="s">
        <v>74</v>
      </c>
      <c r="AP145" s="1" t="s">
        <v>74</v>
      </c>
      <c r="AQ145" s="1" t="s">
        <v>1566</v>
      </c>
      <c r="AR145" s="1" t="s">
        <v>74</v>
      </c>
      <c r="AS145" s="1" t="s">
        <v>74</v>
      </c>
      <c r="AT145" s="1" t="s">
        <v>74</v>
      </c>
      <c r="AU145" s="1">
        <v>2018.0</v>
      </c>
      <c r="AV145" s="1" t="s">
        <v>74</v>
      </c>
      <c r="AW145" s="1" t="s">
        <v>74</v>
      </c>
      <c r="AX145" s="1" t="s">
        <v>74</v>
      </c>
      <c r="AY145" s="1" t="s">
        <v>74</v>
      </c>
      <c r="AZ145" s="1" t="s">
        <v>74</v>
      </c>
      <c r="BA145" s="1" t="s">
        <v>74</v>
      </c>
      <c r="BB145" s="1">
        <v>163.0</v>
      </c>
      <c r="BC145" s="1">
        <v>188.0</v>
      </c>
      <c r="BD145" s="1" t="s">
        <v>74</v>
      </c>
      <c r="BE145" s="1" t="s">
        <v>74</v>
      </c>
      <c r="BF145" s="1" t="s">
        <v>74</v>
      </c>
      <c r="BG145" s="1" t="s">
        <v>74</v>
      </c>
      <c r="BH145" s="1" t="s">
        <v>74</v>
      </c>
      <c r="BI145" s="1" t="s">
        <v>74</v>
      </c>
      <c r="BJ145" s="1" t="s">
        <v>74</v>
      </c>
      <c r="BK145" s="1" t="s">
        <v>74</v>
      </c>
      <c r="BL145" s="1" t="s">
        <v>74</v>
      </c>
      <c r="BM145" s="1" t="s">
        <v>74</v>
      </c>
      <c r="BN145" s="1" t="s">
        <v>74</v>
      </c>
      <c r="BO145" s="1" t="s">
        <v>74</v>
      </c>
      <c r="BP145" s="1" t="s">
        <v>74</v>
      </c>
      <c r="BQ145" s="1" t="s">
        <v>74</v>
      </c>
      <c r="BR145" s="1" t="s">
        <v>74</v>
      </c>
      <c r="BS145" s="1" t="s">
        <v>1567</v>
      </c>
      <c r="BT145" s="1" t="str">
        <f>HYPERLINK("https%3A%2F%2Fwww.webofscience.com%2Fwos%2Fwoscc%2Ffull-record%2FWOS:000462868900011","View Full Record in Web of Science")</f>
        <v>View Full Record in Web of Science</v>
      </c>
    </row>
    <row r="146" ht="12.75" customHeight="1">
      <c r="A146" s="1" t="s">
        <v>86</v>
      </c>
      <c r="B146" s="1" t="s">
        <v>1568</v>
      </c>
      <c r="C146" s="1" t="s">
        <v>74</v>
      </c>
      <c r="D146" s="1" t="s">
        <v>1562</v>
      </c>
      <c r="E146" s="1" t="s">
        <v>74</v>
      </c>
      <c r="F146" s="1" t="s">
        <v>1569</v>
      </c>
      <c r="G146" s="1" t="s">
        <v>74</v>
      </c>
      <c r="H146" s="1" t="s">
        <v>74</v>
      </c>
      <c r="I146" s="1" t="s">
        <v>1570</v>
      </c>
      <c r="J146" s="1" t="s">
        <v>1565</v>
      </c>
      <c r="K146" s="1" t="s">
        <v>74</v>
      </c>
      <c r="L146" s="1" t="s">
        <v>74</v>
      </c>
      <c r="M146" s="1" t="s">
        <v>74</v>
      </c>
      <c r="N146" s="1" t="s">
        <v>74</v>
      </c>
      <c r="O146" s="1" t="s">
        <v>74</v>
      </c>
      <c r="P146" s="1" t="s">
        <v>74</v>
      </c>
      <c r="Q146" s="1" t="s">
        <v>74</v>
      </c>
      <c r="R146" s="1" t="s">
        <v>74</v>
      </c>
      <c r="S146" s="1" t="s">
        <v>74</v>
      </c>
      <c r="T146" s="1" t="s">
        <v>74</v>
      </c>
      <c r="U146" s="1" t="s">
        <v>74</v>
      </c>
      <c r="V146" s="1" t="s">
        <v>74</v>
      </c>
      <c r="W146" s="1" t="s">
        <v>74</v>
      </c>
      <c r="X146" s="1" t="s">
        <v>74</v>
      </c>
      <c r="Y146" s="1" t="s">
        <v>74</v>
      </c>
      <c r="Z146" s="1" t="s">
        <v>74</v>
      </c>
      <c r="AA146" s="1" t="s">
        <v>1571</v>
      </c>
      <c r="AB146" s="1" t="s">
        <v>74</v>
      </c>
      <c r="AC146" s="1" t="s">
        <v>74</v>
      </c>
      <c r="AD146" s="1" t="s">
        <v>74</v>
      </c>
      <c r="AE146" s="1" t="s">
        <v>74</v>
      </c>
      <c r="AF146" s="1" t="s">
        <v>74</v>
      </c>
      <c r="AG146" s="1" t="s">
        <v>74</v>
      </c>
      <c r="AH146" s="1" t="s">
        <v>74</v>
      </c>
      <c r="AI146" s="1" t="s">
        <v>74</v>
      </c>
      <c r="AJ146" s="1" t="s">
        <v>74</v>
      </c>
      <c r="AK146" s="1" t="s">
        <v>74</v>
      </c>
      <c r="AL146" s="1" t="s">
        <v>74</v>
      </c>
      <c r="AM146" s="1" t="s">
        <v>74</v>
      </c>
      <c r="AN146" s="1" t="s">
        <v>74</v>
      </c>
      <c r="AO146" s="1" t="s">
        <v>74</v>
      </c>
      <c r="AP146" s="1" t="s">
        <v>74</v>
      </c>
      <c r="AQ146" s="1" t="s">
        <v>1566</v>
      </c>
      <c r="AR146" s="1" t="s">
        <v>74</v>
      </c>
      <c r="AS146" s="1" t="s">
        <v>74</v>
      </c>
      <c r="AT146" s="1" t="s">
        <v>74</v>
      </c>
      <c r="AU146" s="1">
        <v>2018.0</v>
      </c>
      <c r="AV146" s="1" t="s">
        <v>74</v>
      </c>
      <c r="AW146" s="1" t="s">
        <v>74</v>
      </c>
      <c r="AX146" s="1" t="s">
        <v>74</v>
      </c>
      <c r="AY146" s="1" t="s">
        <v>74</v>
      </c>
      <c r="AZ146" s="1" t="s">
        <v>74</v>
      </c>
      <c r="BA146" s="1" t="s">
        <v>74</v>
      </c>
      <c r="BB146" s="1">
        <v>137.0</v>
      </c>
      <c r="BC146" s="1">
        <v>150.0</v>
      </c>
      <c r="BD146" s="1" t="s">
        <v>74</v>
      </c>
      <c r="BE146" s="1" t="s">
        <v>74</v>
      </c>
      <c r="BF146" s="1" t="s">
        <v>74</v>
      </c>
      <c r="BG146" s="1" t="s">
        <v>74</v>
      </c>
      <c r="BH146" s="1" t="s">
        <v>74</v>
      </c>
      <c r="BI146" s="1" t="s">
        <v>74</v>
      </c>
      <c r="BJ146" s="1" t="s">
        <v>74</v>
      </c>
      <c r="BK146" s="1" t="s">
        <v>74</v>
      </c>
      <c r="BL146" s="1" t="s">
        <v>74</v>
      </c>
      <c r="BM146" s="1" t="s">
        <v>74</v>
      </c>
      <c r="BN146" s="1" t="s">
        <v>74</v>
      </c>
      <c r="BO146" s="1" t="s">
        <v>74</v>
      </c>
      <c r="BP146" s="1" t="s">
        <v>74</v>
      </c>
      <c r="BQ146" s="1" t="s">
        <v>74</v>
      </c>
      <c r="BR146" s="1" t="s">
        <v>74</v>
      </c>
      <c r="BS146" s="1" t="s">
        <v>1572</v>
      </c>
      <c r="BT146" s="1" t="str">
        <f>HYPERLINK("https%3A%2F%2Fwww.webofscience.com%2Fwos%2Fwoscc%2Ffull-record%2FWOS:000462868900009","View Full Record in Web of Science")</f>
        <v>View Full Record in Web of Science</v>
      </c>
    </row>
    <row r="147" ht="12.75" customHeight="1">
      <c r="A147" s="1" t="s">
        <v>72</v>
      </c>
      <c r="B147" s="1" t="s">
        <v>1573</v>
      </c>
      <c r="C147" s="1" t="s">
        <v>74</v>
      </c>
      <c r="D147" s="1" t="s">
        <v>74</v>
      </c>
      <c r="E147" s="1" t="s">
        <v>74</v>
      </c>
      <c r="F147" s="1" t="s">
        <v>1574</v>
      </c>
      <c r="G147" s="1" t="s">
        <v>74</v>
      </c>
      <c r="H147" s="1" t="s">
        <v>74</v>
      </c>
      <c r="I147" s="1" t="s">
        <v>1575</v>
      </c>
      <c r="J147" s="1" t="s">
        <v>1576</v>
      </c>
      <c r="K147" s="1" t="s">
        <v>74</v>
      </c>
      <c r="L147" s="1" t="s">
        <v>74</v>
      </c>
      <c r="M147" s="1" t="s">
        <v>74</v>
      </c>
      <c r="N147" s="1" t="s">
        <v>74</v>
      </c>
      <c r="O147" s="1" t="s">
        <v>74</v>
      </c>
      <c r="P147" s="1" t="s">
        <v>74</v>
      </c>
      <c r="Q147" s="1" t="s">
        <v>74</v>
      </c>
      <c r="R147" s="1" t="s">
        <v>74</v>
      </c>
      <c r="S147" s="1" t="s">
        <v>74</v>
      </c>
      <c r="T147" s="1" t="s">
        <v>74</v>
      </c>
      <c r="U147" s="1" t="s">
        <v>74</v>
      </c>
      <c r="V147" s="1" t="s">
        <v>1577</v>
      </c>
      <c r="W147" s="1" t="s">
        <v>74</v>
      </c>
      <c r="X147" s="1" t="s">
        <v>74</v>
      </c>
      <c r="Y147" s="1" t="s">
        <v>74</v>
      </c>
      <c r="Z147" s="1" t="s">
        <v>74</v>
      </c>
      <c r="AA147" s="1" t="s">
        <v>1578</v>
      </c>
      <c r="AB147" s="1" t="s">
        <v>1579</v>
      </c>
      <c r="AC147" s="1" t="s">
        <v>74</v>
      </c>
      <c r="AD147" s="1" t="s">
        <v>74</v>
      </c>
      <c r="AE147" s="1" t="s">
        <v>74</v>
      </c>
      <c r="AF147" s="1" t="s">
        <v>74</v>
      </c>
      <c r="AG147" s="1" t="s">
        <v>74</v>
      </c>
      <c r="AH147" s="1" t="s">
        <v>74</v>
      </c>
      <c r="AI147" s="1" t="s">
        <v>74</v>
      </c>
      <c r="AJ147" s="1" t="s">
        <v>74</v>
      </c>
      <c r="AK147" s="1" t="s">
        <v>74</v>
      </c>
      <c r="AL147" s="1" t="s">
        <v>74</v>
      </c>
      <c r="AM147" s="1" t="s">
        <v>74</v>
      </c>
      <c r="AN147" s="1" t="s">
        <v>74</v>
      </c>
      <c r="AO147" s="1" t="s">
        <v>1580</v>
      </c>
      <c r="AP147" s="1" t="s">
        <v>1581</v>
      </c>
      <c r="AQ147" s="1" t="s">
        <v>74</v>
      </c>
      <c r="AR147" s="1" t="s">
        <v>74</v>
      </c>
      <c r="AS147" s="1" t="s">
        <v>74</v>
      </c>
      <c r="AT147" s="1" t="s">
        <v>379</v>
      </c>
      <c r="AU147" s="1">
        <v>2017.0</v>
      </c>
      <c r="AV147" s="1">
        <v>19.0</v>
      </c>
      <c r="AW147" s="1">
        <v>5.0</v>
      </c>
      <c r="AX147" s="1" t="s">
        <v>74</v>
      </c>
      <c r="AY147" s="1" t="s">
        <v>74</v>
      </c>
      <c r="AZ147" s="1" t="s">
        <v>74</v>
      </c>
      <c r="BA147" s="1" t="s">
        <v>74</v>
      </c>
      <c r="BB147" s="1">
        <v>1722.0</v>
      </c>
      <c r="BC147" s="1">
        <v>1730.0</v>
      </c>
      <c r="BD147" s="1" t="s">
        <v>74</v>
      </c>
      <c r="BE147" s="1" t="s">
        <v>1582</v>
      </c>
      <c r="BF147" s="2" t="str">
        <f>HYPERLINK("http://dx.doi.org/10.1002/asjc.1496","http://dx.doi.org/10.1002/asjc.1496")</f>
        <v>http://dx.doi.org/10.1002/asjc.1496</v>
      </c>
      <c r="BG147" s="1" t="s">
        <v>74</v>
      </c>
      <c r="BH147" s="1" t="s">
        <v>74</v>
      </c>
      <c r="BI147" s="1" t="s">
        <v>74</v>
      </c>
      <c r="BJ147" s="1" t="s">
        <v>74</v>
      </c>
      <c r="BK147" s="1" t="s">
        <v>74</v>
      </c>
      <c r="BL147" s="1" t="s">
        <v>74</v>
      </c>
      <c r="BM147" s="1" t="s">
        <v>74</v>
      </c>
      <c r="BN147" s="1" t="s">
        <v>74</v>
      </c>
      <c r="BO147" s="1" t="s">
        <v>74</v>
      </c>
      <c r="BP147" s="1" t="s">
        <v>74</v>
      </c>
      <c r="BQ147" s="1" t="s">
        <v>74</v>
      </c>
      <c r="BR147" s="1" t="s">
        <v>74</v>
      </c>
      <c r="BS147" s="1" t="s">
        <v>1583</v>
      </c>
      <c r="BT147" s="1" t="str">
        <f>HYPERLINK("https%3A%2F%2Fwww.webofscience.com%2Fwos%2Fwoscc%2Ffull-record%2FWOS:000409931800006","View Full Record in Web of Science")</f>
        <v>View Full Record in Web of Science</v>
      </c>
    </row>
    <row r="148" ht="12.75" customHeight="1">
      <c r="A148" s="1" t="s">
        <v>72</v>
      </c>
      <c r="B148" s="1" t="s">
        <v>1584</v>
      </c>
      <c r="C148" s="1" t="s">
        <v>74</v>
      </c>
      <c r="D148" s="1" t="s">
        <v>74</v>
      </c>
      <c r="E148" s="1" t="s">
        <v>74</v>
      </c>
      <c r="F148" s="1" t="s">
        <v>1585</v>
      </c>
      <c r="G148" s="1" t="s">
        <v>74</v>
      </c>
      <c r="H148" s="1" t="s">
        <v>74</v>
      </c>
      <c r="I148" s="1" t="s">
        <v>1586</v>
      </c>
      <c r="J148" s="1" t="s">
        <v>1587</v>
      </c>
      <c r="K148" s="1" t="s">
        <v>74</v>
      </c>
      <c r="L148" s="1" t="s">
        <v>74</v>
      </c>
      <c r="M148" s="1" t="s">
        <v>74</v>
      </c>
      <c r="N148" s="1" t="s">
        <v>74</v>
      </c>
      <c r="O148" s="1" t="s">
        <v>74</v>
      </c>
      <c r="P148" s="1" t="s">
        <v>74</v>
      </c>
      <c r="Q148" s="1" t="s">
        <v>74</v>
      </c>
      <c r="R148" s="1" t="s">
        <v>74</v>
      </c>
      <c r="S148" s="1" t="s">
        <v>74</v>
      </c>
      <c r="T148" s="1" t="s">
        <v>74</v>
      </c>
      <c r="U148" s="1" t="s">
        <v>74</v>
      </c>
      <c r="V148" s="1" t="s">
        <v>1588</v>
      </c>
      <c r="W148" s="1" t="s">
        <v>74</v>
      </c>
      <c r="X148" s="1" t="s">
        <v>74</v>
      </c>
      <c r="Y148" s="1" t="s">
        <v>74</v>
      </c>
      <c r="Z148" s="1" t="s">
        <v>74</v>
      </c>
      <c r="AA148" s="1" t="s">
        <v>1589</v>
      </c>
      <c r="AB148" s="1" t="s">
        <v>1590</v>
      </c>
      <c r="AC148" s="1" t="s">
        <v>74</v>
      </c>
      <c r="AD148" s="1" t="s">
        <v>74</v>
      </c>
      <c r="AE148" s="1" t="s">
        <v>74</v>
      </c>
      <c r="AF148" s="1" t="s">
        <v>74</v>
      </c>
      <c r="AG148" s="1" t="s">
        <v>74</v>
      </c>
      <c r="AH148" s="1" t="s">
        <v>74</v>
      </c>
      <c r="AI148" s="1" t="s">
        <v>74</v>
      </c>
      <c r="AJ148" s="1" t="s">
        <v>74</v>
      </c>
      <c r="AK148" s="1" t="s">
        <v>74</v>
      </c>
      <c r="AL148" s="1" t="s">
        <v>74</v>
      </c>
      <c r="AM148" s="1" t="s">
        <v>74</v>
      </c>
      <c r="AN148" s="1" t="s">
        <v>74</v>
      </c>
      <c r="AO148" s="1" t="s">
        <v>74</v>
      </c>
      <c r="AP148" s="1" t="s">
        <v>1591</v>
      </c>
      <c r="AQ148" s="1" t="s">
        <v>74</v>
      </c>
      <c r="AR148" s="1" t="s">
        <v>74</v>
      </c>
      <c r="AS148" s="1" t="s">
        <v>74</v>
      </c>
      <c r="AT148" s="1" t="s">
        <v>379</v>
      </c>
      <c r="AU148" s="1">
        <v>2017.0</v>
      </c>
      <c r="AV148" s="1">
        <v>5.0</v>
      </c>
      <c r="AW148" s="1">
        <v>3.0</v>
      </c>
      <c r="AX148" s="1" t="s">
        <v>74</v>
      </c>
      <c r="AY148" s="1" t="s">
        <v>74</v>
      </c>
      <c r="AZ148" s="1" t="s">
        <v>74</v>
      </c>
      <c r="BA148" s="1" t="s">
        <v>74</v>
      </c>
      <c r="BB148" s="1" t="s">
        <v>74</v>
      </c>
      <c r="BC148" s="1" t="s">
        <v>74</v>
      </c>
      <c r="BD148" s="1">
        <v>25.0</v>
      </c>
      <c r="BE148" s="1" t="s">
        <v>1592</v>
      </c>
      <c r="BF148" s="2" t="str">
        <f>HYPERLINK("http://dx.doi.org/10.3390/chemosensors5030025","http://dx.doi.org/10.3390/chemosensors5030025")</f>
        <v>http://dx.doi.org/10.3390/chemosensors5030025</v>
      </c>
      <c r="BG148" s="1" t="s">
        <v>74</v>
      </c>
      <c r="BH148" s="1" t="s">
        <v>74</v>
      </c>
      <c r="BI148" s="1" t="s">
        <v>74</v>
      </c>
      <c r="BJ148" s="1" t="s">
        <v>74</v>
      </c>
      <c r="BK148" s="1" t="s">
        <v>74</v>
      </c>
      <c r="BL148" s="1" t="s">
        <v>74</v>
      </c>
      <c r="BM148" s="1" t="s">
        <v>74</v>
      </c>
      <c r="BN148" s="1" t="s">
        <v>74</v>
      </c>
      <c r="BO148" s="1" t="s">
        <v>74</v>
      </c>
      <c r="BP148" s="1" t="s">
        <v>74</v>
      </c>
      <c r="BQ148" s="1" t="s">
        <v>74</v>
      </c>
      <c r="BR148" s="1" t="s">
        <v>74</v>
      </c>
      <c r="BS148" s="1" t="s">
        <v>1593</v>
      </c>
      <c r="BT148" s="1" t="str">
        <f>HYPERLINK("https%3A%2F%2Fwww.webofscience.com%2Fwos%2Fwoscc%2Ffull-record%2FWOS:000412052300006","View Full Record in Web of Science")</f>
        <v>View Full Record in Web of Science</v>
      </c>
    </row>
    <row r="149" ht="12.75" customHeight="1">
      <c r="A149" s="1" t="s">
        <v>72</v>
      </c>
      <c r="B149" s="1" t="s">
        <v>1594</v>
      </c>
      <c r="C149" s="1" t="s">
        <v>74</v>
      </c>
      <c r="D149" s="1" t="s">
        <v>74</v>
      </c>
      <c r="E149" s="1" t="s">
        <v>74</v>
      </c>
      <c r="F149" s="1" t="s">
        <v>1595</v>
      </c>
      <c r="G149" s="1" t="s">
        <v>74</v>
      </c>
      <c r="H149" s="1" t="s">
        <v>74</v>
      </c>
      <c r="I149" s="1" t="s">
        <v>1596</v>
      </c>
      <c r="J149" s="1" t="s">
        <v>1597</v>
      </c>
      <c r="K149" s="1" t="s">
        <v>74</v>
      </c>
      <c r="L149" s="1" t="s">
        <v>74</v>
      </c>
      <c r="M149" s="1" t="s">
        <v>74</v>
      </c>
      <c r="N149" s="1" t="s">
        <v>74</v>
      </c>
      <c r="O149" s="1" t="s">
        <v>74</v>
      </c>
      <c r="P149" s="1" t="s">
        <v>74</v>
      </c>
      <c r="Q149" s="1" t="s">
        <v>74</v>
      </c>
      <c r="R149" s="1" t="s">
        <v>74</v>
      </c>
      <c r="S149" s="1" t="s">
        <v>74</v>
      </c>
      <c r="T149" s="1" t="s">
        <v>74</v>
      </c>
      <c r="U149" s="1" t="s">
        <v>74</v>
      </c>
      <c r="V149" s="1" t="s">
        <v>1598</v>
      </c>
      <c r="W149" s="1" t="s">
        <v>74</v>
      </c>
      <c r="X149" s="1" t="s">
        <v>74</v>
      </c>
      <c r="Y149" s="1" t="s">
        <v>74</v>
      </c>
      <c r="Z149" s="1" t="s">
        <v>74</v>
      </c>
      <c r="AA149" s="1" t="s">
        <v>1599</v>
      </c>
      <c r="AB149" s="1" t="s">
        <v>142</v>
      </c>
      <c r="AC149" s="1" t="s">
        <v>74</v>
      </c>
      <c r="AD149" s="1" t="s">
        <v>74</v>
      </c>
      <c r="AE149" s="1" t="s">
        <v>74</v>
      </c>
      <c r="AF149" s="1" t="s">
        <v>74</v>
      </c>
      <c r="AG149" s="1" t="s">
        <v>74</v>
      </c>
      <c r="AH149" s="1" t="s">
        <v>74</v>
      </c>
      <c r="AI149" s="1" t="s">
        <v>74</v>
      </c>
      <c r="AJ149" s="1" t="s">
        <v>74</v>
      </c>
      <c r="AK149" s="1" t="s">
        <v>74</v>
      </c>
      <c r="AL149" s="1" t="s">
        <v>74</v>
      </c>
      <c r="AM149" s="1" t="s">
        <v>74</v>
      </c>
      <c r="AN149" s="1" t="s">
        <v>74</v>
      </c>
      <c r="AO149" s="1" t="s">
        <v>1600</v>
      </c>
      <c r="AP149" s="1" t="s">
        <v>1601</v>
      </c>
      <c r="AQ149" s="1" t="s">
        <v>74</v>
      </c>
      <c r="AR149" s="1" t="s">
        <v>74</v>
      </c>
      <c r="AS149" s="1" t="s">
        <v>74</v>
      </c>
      <c r="AT149" s="1" t="s">
        <v>144</v>
      </c>
      <c r="AU149" s="1">
        <v>2017.0</v>
      </c>
      <c r="AV149" s="1">
        <v>12.0</v>
      </c>
      <c r="AW149" s="1">
        <v>2.0</v>
      </c>
      <c r="AX149" s="1" t="s">
        <v>74</v>
      </c>
      <c r="AY149" s="1" t="s">
        <v>74</v>
      </c>
      <c r="AZ149" s="1" t="s">
        <v>74</v>
      </c>
      <c r="BA149" s="1" t="s">
        <v>74</v>
      </c>
      <c r="BB149" s="1">
        <v>926.0</v>
      </c>
      <c r="BC149" s="1">
        <v>936.0</v>
      </c>
      <c r="BD149" s="1" t="s">
        <v>74</v>
      </c>
      <c r="BE149" s="1" t="s">
        <v>1602</v>
      </c>
      <c r="BF149" s="2" t="str">
        <f>HYPERLINK("http://dx.doi.org/10.5370/JEET.2017.12.2.926","http://dx.doi.org/10.5370/JEET.2017.12.2.926")</f>
        <v>http://dx.doi.org/10.5370/JEET.2017.12.2.926</v>
      </c>
      <c r="BG149" s="1" t="s">
        <v>74</v>
      </c>
      <c r="BH149" s="1" t="s">
        <v>74</v>
      </c>
      <c r="BI149" s="1" t="s">
        <v>74</v>
      </c>
      <c r="BJ149" s="1" t="s">
        <v>74</v>
      </c>
      <c r="BK149" s="1" t="s">
        <v>74</v>
      </c>
      <c r="BL149" s="1" t="s">
        <v>74</v>
      </c>
      <c r="BM149" s="1" t="s">
        <v>74</v>
      </c>
      <c r="BN149" s="1" t="s">
        <v>74</v>
      </c>
      <c r="BO149" s="1" t="s">
        <v>74</v>
      </c>
      <c r="BP149" s="1" t="s">
        <v>74</v>
      </c>
      <c r="BQ149" s="1" t="s">
        <v>74</v>
      </c>
      <c r="BR149" s="1" t="s">
        <v>74</v>
      </c>
      <c r="BS149" s="1" t="s">
        <v>1603</v>
      </c>
      <c r="BT149" s="1" t="str">
        <f>HYPERLINK("https%3A%2F%2Fwww.webofscience.com%2Fwos%2Fwoscc%2Ffull-record%2FWOS:000401717800049","View Full Record in Web of Science")</f>
        <v>View Full Record in Web of Science</v>
      </c>
    </row>
    <row r="150" ht="12.75" customHeight="1">
      <c r="A150" s="1" t="s">
        <v>72</v>
      </c>
      <c r="B150" s="1" t="s">
        <v>1604</v>
      </c>
      <c r="C150" s="1" t="s">
        <v>74</v>
      </c>
      <c r="D150" s="1" t="s">
        <v>74</v>
      </c>
      <c r="E150" s="1" t="s">
        <v>74</v>
      </c>
      <c r="F150" s="1" t="s">
        <v>1605</v>
      </c>
      <c r="G150" s="1" t="s">
        <v>74</v>
      </c>
      <c r="H150" s="1" t="s">
        <v>74</v>
      </c>
      <c r="I150" s="1" t="s">
        <v>1606</v>
      </c>
      <c r="J150" s="1" t="s">
        <v>1607</v>
      </c>
      <c r="K150" s="1" t="s">
        <v>74</v>
      </c>
      <c r="L150" s="1" t="s">
        <v>74</v>
      </c>
      <c r="M150" s="1" t="s">
        <v>74</v>
      </c>
      <c r="N150" s="1" t="s">
        <v>74</v>
      </c>
      <c r="O150" s="1" t="s">
        <v>74</v>
      </c>
      <c r="P150" s="1" t="s">
        <v>74</v>
      </c>
      <c r="Q150" s="1" t="s">
        <v>74</v>
      </c>
      <c r="R150" s="1" t="s">
        <v>74</v>
      </c>
      <c r="S150" s="1" t="s">
        <v>74</v>
      </c>
      <c r="T150" s="1" t="s">
        <v>74</v>
      </c>
      <c r="U150" s="1" t="s">
        <v>74</v>
      </c>
      <c r="V150" s="1" t="s">
        <v>1608</v>
      </c>
      <c r="W150" s="1" t="s">
        <v>74</v>
      </c>
      <c r="X150" s="1" t="s">
        <v>74</v>
      </c>
      <c r="Y150" s="1" t="s">
        <v>74</v>
      </c>
      <c r="Z150" s="1" t="s">
        <v>74</v>
      </c>
      <c r="AA150" s="1" t="s">
        <v>1609</v>
      </c>
      <c r="AB150" s="1" t="s">
        <v>1610</v>
      </c>
      <c r="AC150" s="1" t="s">
        <v>74</v>
      </c>
      <c r="AD150" s="1" t="s">
        <v>74</v>
      </c>
      <c r="AE150" s="1" t="s">
        <v>74</v>
      </c>
      <c r="AF150" s="1" t="s">
        <v>74</v>
      </c>
      <c r="AG150" s="1" t="s">
        <v>74</v>
      </c>
      <c r="AH150" s="1" t="s">
        <v>74</v>
      </c>
      <c r="AI150" s="1" t="s">
        <v>74</v>
      </c>
      <c r="AJ150" s="1" t="s">
        <v>74</v>
      </c>
      <c r="AK150" s="1" t="s">
        <v>74</v>
      </c>
      <c r="AL150" s="1" t="s">
        <v>74</v>
      </c>
      <c r="AM150" s="1" t="s">
        <v>74</v>
      </c>
      <c r="AN150" s="1" t="s">
        <v>74</v>
      </c>
      <c r="AO150" s="1" t="s">
        <v>1611</v>
      </c>
      <c r="AP150" s="1" t="s">
        <v>1612</v>
      </c>
      <c r="AQ150" s="1" t="s">
        <v>74</v>
      </c>
      <c r="AR150" s="1" t="s">
        <v>74</v>
      </c>
      <c r="AS150" s="1" t="s">
        <v>74</v>
      </c>
      <c r="AT150" s="1" t="s">
        <v>389</v>
      </c>
      <c r="AU150" s="1">
        <v>2017.0</v>
      </c>
      <c r="AV150" s="1">
        <v>189.0</v>
      </c>
      <c r="AW150" s="1">
        <v>2.0</v>
      </c>
      <c r="AX150" s="1" t="s">
        <v>74</v>
      </c>
      <c r="AY150" s="1" t="s">
        <v>74</v>
      </c>
      <c r="AZ150" s="1" t="s">
        <v>74</v>
      </c>
      <c r="BA150" s="1" t="s">
        <v>74</v>
      </c>
      <c r="BB150" s="1">
        <v>105.0</v>
      </c>
      <c r="BC150" s="1">
        <v>120.0</v>
      </c>
      <c r="BD150" s="1" t="s">
        <v>74</v>
      </c>
      <c r="BE150" s="1" t="s">
        <v>1613</v>
      </c>
      <c r="BF150" s="2" t="str">
        <f>HYPERLINK("http://dx.doi.org/10.1086/689891","http://dx.doi.org/10.1086/689891")</f>
        <v>http://dx.doi.org/10.1086/689891</v>
      </c>
      <c r="BG150" s="1" t="s">
        <v>74</v>
      </c>
      <c r="BH150" s="1" t="s">
        <v>74</v>
      </c>
      <c r="BI150" s="1" t="s">
        <v>74</v>
      </c>
      <c r="BJ150" s="1" t="s">
        <v>74</v>
      </c>
      <c r="BK150" s="1" t="s">
        <v>74</v>
      </c>
      <c r="BL150" s="1" t="s">
        <v>74</v>
      </c>
      <c r="BM150" s="1" t="s">
        <v>74</v>
      </c>
      <c r="BN150" s="1">
        <v>2.8107053E7</v>
      </c>
      <c r="BO150" s="1" t="s">
        <v>74</v>
      </c>
      <c r="BP150" s="1" t="s">
        <v>74</v>
      </c>
      <c r="BQ150" s="1" t="s">
        <v>74</v>
      </c>
      <c r="BR150" s="1" t="s">
        <v>74</v>
      </c>
      <c r="BS150" s="1" t="s">
        <v>1614</v>
      </c>
      <c r="BT150" s="1" t="str">
        <f>HYPERLINK("https%3A%2F%2Fwww.webofscience.com%2Fwos%2Fwoscc%2Ffull-record%2FWOS:000392385900004","View Full Record in Web of Science")</f>
        <v>View Full Record in Web of Science</v>
      </c>
    </row>
    <row r="151" ht="12.75" customHeight="1">
      <c r="A151" s="1" t="s">
        <v>147</v>
      </c>
      <c r="B151" s="1" t="s">
        <v>1615</v>
      </c>
      <c r="C151" s="1" t="s">
        <v>74</v>
      </c>
      <c r="D151" s="1" t="s">
        <v>1616</v>
      </c>
      <c r="E151" s="1" t="s">
        <v>74</v>
      </c>
      <c r="F151" s="1" t="s">
        <v>1617</v>
      </c>
      <c r="G151" s="1" t="s">
        <v>74</v>
      </c>
      <c r="H151" s="1" t="s">
        <v>74</v>
      </c>
      <c r="I151" s="1" t="s">
        <v>1618</v>
      </c>
      <c r="J151" s="1" t="s">
        <v>1619</v>
      </c>
      <c r="K151" s="1" t="s">
        <v>74</v>
      </c>
      <c r="L151" s="1" t="s">
        <v>74</v>
      </c>
      <c r="M151" s="1" t="s">
        <v>74</v>
      </c>
      <c r="N151" s="1" t="s">
        <v>74</v>
      </c>
      <c r="O151" s="1" t="s">
        <v>1620</v>
      </c>
      <c r="P151" s="1" t="s">
        <v>1621</v>
      </c>
      <c r="Q151" s="1" t="s">
        <v>1622</v>
      </c>
      <c r="R151" s="1" t="s">
        <v>1623</v>
      </c>
      <c r="S151" s="1" t="s">
        <v>74</v>
      </c>
      <c r="T151" s="1" t="s">
        <v>74</v>
      </c>
      <c r="U151" s="1" t="s">
        <v>74</v>
      </c>
      <c r="V151" s="1" t="s">
        <v>1624</v>
      </c>
      <c r="W151" s="1" t="s">
        <v>74</v>
      </c>
      <c r="X151" s="1" t="s">
        <v>74</v>
      </c>
      <c r="Y151" s="1" t="s">
        <v>74</v>
      </c>
      <c r="Z151" s="1" t="s">
        <v>74</v>
      </c>
      <c r="AA151" s="1" t="s">
        <v>1625</v>
      </c>
      <c r="AB151" s="1" t="s">
        <v>74</v>
      </c>
      <c r="AC151" s="1" t="s">
        <v>74</v>
      </c>
      <c r="AD151" s="1" t="s">
        <v>74</v>
      </c>
      <c r="AE151" s="1" t="s">
        <v>74</v>
      </c>
      <c r="AF151" s="1" t="s">
        <v>74</v>
      </c>
      <c r="AG151" s="1" t="s">
        <v>74</v>
      </c>
      <c r="AH151" s="1" t="s">
        <v>74</v>
      </c>
      <c r="AI151" s="1" t="s">
        <v>74</v>
      </c>
      <c r="AJ151" s="1" t="s">
        <v>74</v>
      </c>
      <c r="AK151" s="1" t="s">
        <v>74</v>
      </c>
      <c r="AL151" s="1" t="s">
        <v>74</v>
      </c>
      <c r="AM151" s="1" t="s">
        <v>74</v>
      </c>
      <c r="AN151" s="1" t="s">
        <v>74</v>
      </c>
      <c r="AO151" s="1" t="s">
        <v>74</v>
      </c>
      <c r="AP151" s="1" t="s">
        <v>74</v>
      </c>
      <c r="AQ151" s="1" t="s">
        <v>1626</v>
      </c>
      <c r="AR151" s="1" t="s">
        <v>74</v>
      </c>
      <c r="AS151" s="1" t="s">
        <v>74</v>
      </c>
      <c r="AT151" s="1" t="s">
        <v>74</v>
      </c>
      <c r="AU151" s="1">
        <v>2017.0</v>
      </c>
      <c r="AV151" s="1" t="s">
        <v>74</v>
      </c>
      <c r="AW151" s="1" t="s">
        <v>74</v>
      </c>
      <c r="AX151" s="1" t="s">
        <v>74</v>
      </c>
      <c r="AY151" s="1" t="s">
        <v>74</v>
      </c>
      <c r="AZ151" s="1" t="s">
        <v>74</v>
      </c>
      <c r="BA151" s="1" t="s">
        <v>74</v>
      </c>
      <c r="BB151" s="1" t="s">
        <v>74</v>
      </c>
      <c r="BC151" s="1" t="s">
        <v>74</v>
      </c>
      <c r="BD151" s="1" t="s">
        <v>74</v>
      </c>
      <c r="BE151" s="1" t="s">
        <v>74</v>
      </c>
      <c r="BF151" s="1" t="s">
        <v>74</v>
      </c>
      <c r="BG151" s="1" t="s">
        <v>74</v>
      </c>
      <c r="BH151" s="1" t="s">
        <v>74</v>
      </c>
      <c r="BI151" s="1" t="s">
        <v>74</v>
      </c>
      <c r="BJ151" s="1" t="s">
        <v>74</v>
      </c>
      <c r="BK151" s="1" t="s">
        <v>74</v>
      </c>
      <c r="BL151" s="1" t="s">
        <v>74</v>
      </c>
      <c r="BM151" s="1" t="s">
        <v>74</v>
      </c>
      <c r="BN151" s="1" t="s">
        <v>74</v>
      </c>
      <c r="BO151" s="1" t="s">
        <v>74</v>
      </c>
      <c r="BP151" s="1" t="s">
        <v>74</v>
      </c>
      <c r="BQ151" s="1" t="s">
        <v>74</v>
      </c>
      <c r="BR151" s="1" t="s">
        <v>74</v>
      </c>
      <c r="BS151" s="1" t="s">
        <v>1627</v>
      </c>
      <c r="BT151" s="1" t="str">
        <f>HYPERLINK("https%3A%2F%2Fwww.webofscience.com%2Fwos%2Fwoscc%2Ffull-record%2FWOS:000427290700077","View Full Record in Web of Science")</f>
        <v>View Full Record in Web of Science</v>
      </c>
    </row>
    <row r="152" ht="12.75" customHeight="1">
      <c r="A152" s="1" t="s">
        <v>72</v>
      </c>
      <c r="B152" s="1" t="s">
        <v>1628</v>
      </c>
      <c r="C152" s="1" t="s">
        <v>74</v>
      </c>
      <c r="D152" s="1" t="s">
        <v>74</v>
      </c>
      <c r="E152" s="1" t="s">
        <v>74</v>
      </c>
      <c r="F152" s="1" t="s">
        <v>1629</v>
      </c>
      <c r="G152" s="1" t="s">
        <v>74</v>
      </c>
      <c r="H152" s="1" t="s">
        <v>74</v>
      </c>
      <c r="I152" s="1" t="s">
        <v>1630</v>
      </c>
      <c r="J152" s="1" t="s">
        <v>1631</v>
      </c>
      <c r="K152" s="1" t="s">
        <v>74</v>
      </c>
      <c r="L152" s="1" t="s">
        <v>74</v>
      </c>
      <c r="M152" s="1" t="s">
        <v>74</v>
      </c>
      <c r="N152" s="1" t="s">
        <v>74</v>
      </c>
      <c r="O152" s="1" t="s">
        <v>74</v>
      </c>
      <c r="P152" s="1" t="s">
        <v>74</v>
      </c>
      <c r="Q152" s="1" t="s">
        <v>74</v>
      </c>
      <c r="R152" s="1" t="s">
        <v>74</v>
      </c>
      <c r="S152" s="1" t="s">
        <v>74</v>
      </c>
      <c r="T152" s="1" t="s">
        <v>74</v>
      </c>
      <c r="U152" s="1" t="s">
        <v>74</v>
      </c>
      <c r="V152" s="1" t="s">
        <v>1632</v>
      </c>
      <c r="W152" s="1" t="s">
        <v>74</v>
      </c>
      <c r="X152" s="1" t="s">
        <v>74</v>
      </c>
      <c r="Y152" s="1" t="s">
        <v>74</v>
      </c>
      <c r="Z152" s="1" t="s">
        <v>74</v>
      </c>
      <c r="AA152" s="1" t="s">
        <v>1633</v>
      </c>
      <c r="AB152" s="1" t="s">
        <v>1634</v>
      </c>
      <c r="AC152" s="1" t="s">
        <v>74</v>
      </c>
      <c r="AD152" s="1" t="s">
        <v>74</v>
      </c>
      <c r="AE152" s="1" t="s">
        <v>74</v>
      </c>
      <c r="AF152" s="1" t="s">
        <v>74</v>
      </c>
      <c r="AG152" s="1" t="s">
        <v>74</v>
      </c>
      <c r="AH152" s="1" t="s">
        <v>74</v>
      </c>
      <c r="AI152" s="1" t="s">
        <v>74</v>
      </c>
      <c r="AJ152" s="1" t="s">
        <v>74</v>
      </c>
      <c r="AK152" s="1" t="s">
        <v>74</v>
      </c>
      <c r="AL152" s="1" t="s">
        <v>74</v>
      </c>
      <c r="AM152" s="1" t="s">
        <v>74</v>
      </c>
      <c r="AN152" s="1" t="s">
        <v>74</v>
      </c>
      <c r="AO152" s="1" t="s">
        <v>1635</v>
      </c>
      <c r="AP152" s="1" t="s">
        <v>1636</v>
      </c>
      <c r="AQ152" s="1" t="s">
        <v>74</v>
      </c>
      <c r="AR152" s="1" t="s">
        <v>74</v>
      </c>
      <c r="AS152" s="1" t="s">
        <v>74</v>
      </c>
      <c r="AT152" s="1" t="s">
        <v>1637</v>
      </c>
      <c r="AU152" s="1">
        <v>2017.0</v>
      </c>
      <c r="AV152" s="1">
        <v>15.0</v>
      </c>
      <c r="AW152" s="1">
        <v>1.0</v>
      </c>
      <c r="AX152" s="1" t="s">
        <v>74</v>
      </c>
      <c r="AY152" s="1" t="s">
        <v>74</v>
      </c>
      <c r="AZ152" s="1" t="s">
        <v>74</v>
      </c>
      <c r="BA152" s="1" t="s">
        <v>74</v>
      </c>
      <c r="BB152" s="1">
        <v>70.0</v>
      </c>
      <c r="BC152" s="1">
        <v>80.0</v>
      </c>
      <c r="BD152" s="1" t="s">
        <v>74</v>
      </c>
      <c r="BE152" s="1" t="s">
        <v>1638</v>
      </c>
      <c r="BF152" s="2" t="str">
        <f>HYPERLINK("http://dx.doi.org/10.1080/15402002.2015.1083023","http://dx.doi.org/10.1080/15402002.2015.1083023")</f>
        <v>http://dx.doi.org/10.1080/15402002.2015.1083023</v>
      </c>
      <c r="BG152" s="1" t="s">
        <v>74</v>
      </c>
      <c r="BH152" s="1" t="s">
        <v>74</v>
      </c>
      <c r="BI152" s="1" t="s">
        <v>74</v>
      </c>
      <c r="BJ152" s="1" t="s">
        <v>74</v>
      </c>
      <c r="BK152" s="1" t="s">
        <v>74</v>
      </c>
      <c r="BL152" s="1" t="s">
        <v>74</v>
      </c>
      <c r="BM152" s="1" t="s">
        <v>74</v>
      </c>
      <c r="BN152" s="1">
        <v>2.6645094E7</v>
      </c>
      <c r="BO152" s="1" t="s">
        <v>74</v>
      </c>
      <c r="BP152" s="1" t="s">
        <v>74</v>
      </c>
      <c r="BQ152" s="1" t="s">
        <v>74</v>
      </c>
      <c r="BR152" s="1" t="s">
        <v>74</v>
      </c>
      <c r="BS152" s="1" t="s">
        <v>1639</v>
      </c>
      <c r="BT152" s="1" t="str">
        <f>HYPERLINK("https%3A%2F%2Fwww.webofscience.com%2Fwos%2Fwoscc%2Ffull-record%2FWOS:000386483000005","View Full Record in Web of Science")</f>
        <v>View Full Record in Web of Science</v>
      </c>
    </row>
    <row r="153" ht="12.75" customHeight="1">
      <c r="A153" s="1" t="s">
        <v>72</v>
      </c>
      <c r="B153" s="1" t="s">
        <v>1640</v>
      </c>
      <c r="C153" s="1" t="s">
        <v>74</v>
      </c>
      <c r="D153" s="1" t="s">
        <v>74</v>
      </c>
      <c r="E153" s="1" t="s">
        <v>74</v>
      </c>
      <c r="F153" s="1" t="s">
        <v>1641</v>
      </c>
      <c r="G153" s="1" t="s">
        <v>74</v>
      </c>
      <c r="H153" s="1" t="s">
        <v>74</v>
      </c>
      <c r="I153" s="1" t="s">
        <v>1642</v>
      </c>
      <c r="J153" s="1" t="s">
        <v>1643</v>
      </c>
      <c r="K153" s="1" t="s">
        <v>74</v>
      </c>
      <c r="L153" s="1" t="s">
        <v>74</v>
      </c>
      <c r="M153" s="1" t="s">
        <v>74</v>
      </c>
      <c r="N153" s="1" t="s">
        <v>74</v>
      </c>
      <c r="O153" s="1" t="s">
        <v>74</v>
      </c>
      <c r="P153" s="1" t="s">
        <v>74</v>
      </c>
      <c r="Q153" s="1" t="s">
        <v>74</v>
      </c>
      <c r="R153" s="1" t="s">
        <v>74</v>
      </c>
      <c r="S153" s="1" t="s">
        <v>74</v>
      </c>
      <c r="T153" s="1" t="s">
        <v>74</v>
      </c>
      <c r="U153" s="1" t="s">
        <v>74</v>
      </c>
      <c r="V153" s="1" t="s">
        <v>1644</v>
      </c>
      <c r="W153" s="1" t="s">
        <v>74</v>
      </c>
      <c r="X153" s="1" t="s">
        <v>74</v>
      </c>
      <c r="Y153" s="1" t="s">
        <v>74</v>
      </c>
      <c r="Z153" s="1" t="s">
        <v>74</v>
      </c>
      <c r="AA153" s="1" t="s">
        <v>74</v>
      </c>
      <c r="AB153" s="1" t="s">
        <v>74</v>
      </c>
      <c r="AC153" s="1" t="s">
        <v>74</v>
      </c>
      <c r="AD153" s="1" t="s">
        <v>74</v>
      </c>
      <c r="AE153" s="1" t="s">
        <v>74</v>
      </c>
      <c r="AF153" s="1" t="s">
        <v>74</v>
      </c>
      <c r="AG153" s="1" t="s">
        <v>74</v>
      </c>
      <c r="AH153" s="1" t="s">
        <v>74</v>
      </c>
      <c r="AI153" s="1" t="s">
        <v>74</v>
      </c>
      <c r="AJ153" s="1" t="s">
        <v>74</v>
      </c>
      <c r="AK153" s="1" t="s">
        <v>74</v>
      </c>
      <c r="AL153" s="1" t="s">
        <v>74</v>
      </c>
      <c r="AM153" s="1" t="s">
        <v>74</v>
      </c>
      <c r="AN153" s="1" t="s">
        <v>74</v>
      </c>
      <c r="AO153" s="1" t="s">
        <v>1645</v>
      </c>
      <c r="AP153" s="1" t="s">
        <v>74</v>
      </c>
      <c r="AQ153" s="1" t="s">
        <v>74</v>
      </c>
      <c r="AR153" s="1" t="s">
        <v>74</v>
      </c>
      <c r="AS153" s="1" t="s">
        <v>74</v>
      </c>
      <c r="AT153" s="1" t="s">
        <v>112</v>
      </c>
      <c r="AU153" s="1">
        <v>2016.0</v>
      </c>
      <c r="AV153" s="1">
        <v>15.0</v>
      </c>
      <c r="AW153" s="1">
        <v>6.0</v>
      </c>
      <c r="AX153" s="1" t="s">
        <v>74</v>
      </c>
      <c r="AY153" s="1" t="s">
        <v>74</v>
      </c>
      <c r="AZ153" s="1" t="s">
        <v>74</v>
      </c>
      <c r="BA153" s="1" t="s">
        <v>74</v>
      </c>
      <c r="BB153" s="1">
        <v>422.0</v>
      </c>
      <c r="BC153" s="1">
        <v>428.0</v>
      </c>
      <c r="BD153" s="1" t="s">
        <v>74</v>
      </c>
      <c r="BE153" s="1" t="s">
        <v>74</v>
      </c>
      <c r="BF153" s="1" t="s">
        <v>74</v>
      </c>
      <c r="BG153" s="1" t="s">
        <v>74</v>
      </c>
      <c r="BH153" s="1" t="s">
        <v>74</v>
      </c>
      <c r="BI153" s="1" t="s">
        <v>74</v>
      </c>
      <c r="BJ153" s="1" t="s">
        <v>74</v>
      </c>
      <c r="BK153" s="1" t="s">
        <v>74</v>
      </c>
      <c r="BL153" s="1" t="s">
        <v>74</v>
      </c>
      <c r="BM153" s="1" t="s">
        <v>74</v>
      </c>
      <c r="BN153" s="1" t="s">
        <v>74</v>
      </c>
      <c r="BO153" s="1" t="s">
        <v>74</v>
      </c>
      <c r="BP153" s="1" t="s">
        <v>74</v>
      </c>
      <c r="BQ153" s="1" t="s">
        <v>74</v>
      </c>
      <c r="BR153" s="1" t="s">
        <v>74</v>
      </c>
      <c r="BS153" s="1" t="s">
        <v>1646</v>
      </c>
      <c r="BT153" s="1" t="str">
        <f>HYPERLINK("https%3A%2F%2Fwww.webofscience.com%2Fwos%2Fwoscc%2Ffull-record%2FWOS:000392703100005","View Full Record in Web of Science")</f>
        <v>View Full Record in Web of Science</v>
      </c>
    </row>
    <row r="154" ht="12.75" customHeight="1">
      <c r="A154" s="1" t="s">
        <v>72</v>
      </c>
      <c r="B154" s="1" t="s">
        <v>1647</v>
      </c>
      <c r="C154" s="1" t="s">
        <v>74</v>
      </c>
      <c r="D154" s="1" t="s">
        <v>74</v>
      </c>
      <c r="E154" s="1" t="s">
        <v>74</v>
      </c>
      <c r="F154" s="1" t="s">
        <v>1648</v>
      </c>
      <c r="G154" s="1" t="s">
        <v>74</v>
      </c>
      <c r="H154" s="1" t="s">
        <v>74</v>
      </c>
      <c r="I154" s="1" t="s">
        <v>1649</v>
      </c>
      <c r="J154" s="1" t="s">
        <v>1650</v>
      </c>
      <c r="K154" s="1" t="s">
        <v>74</v>
      </c>
      <c r="L154" s="1" t="s">
        <v>74</v>
      </c>
      <c r="M154" s="1" t="s">
        <v>74</v>
      </c>
      <c r="N154" s="1" t="s">
        <v>74</v>
      </c>
      <c r="O154" s="1" t="s">
        <v>74</v>
      </c>
      <c r="P154" s="1" t="s">
        <v>74</v>
      </c>
      <c r="Q154" s="1" t="s">
        <v>74</v>
      </c>
      <c r="R154" s="1" t="s">
        <v>74</v>
      </c>
      <c r="S154" s="1" t="s">
        <v>74</v>
      </c>
      <c r="T154" s="1" t="s">
        <v>74</v>
      </c>
      <c r="U154" s="1" t="s">
        <v>74</v>
      </c>
      <c r="V154" s="1" t="s">
        <v>1651</v>
      </c>
      <c r="W154" s="1" t="s">
        <v>74</v>
      </c>
      <c r="X154" s="1" t="s">
        <v>74</v>
      </c>
      <c r="Y154" s="1" t="s">
        <v>74</v>
      </c>
      <c r="Z154" s="1" t="s">
        <v>74</v>
      </c>
      <c r="AA154" s="1" t="s">
        <v>1013</v>
      </c>
      <c r="AB154" s="1" t="s">
        <v>1014</v>
      </c>
      <c r="AC154" s="1" t="s">
        <v>74</v>
      </c>
      <c r="AD154" s="1" t="s">
        <v>74</v>
      </c>
      <c r="AE154" s="1" t="s">
        <v>74</v>
      </c>
      <c r="AF154" s="1" t="s">
        <v>74</v>
      </c>
      <c r="AG154" s="1" t="s">
        <v>74</v>
      </c>
      <c r="AH154" s="1" t="s">
        <v>74</v>
      </c>
      <c r="AI154" s="1" t="s">
        <v>74</v>
      </c>
      <c r="AJ154" s="1" t="s">
        <v>74</v>
      </c>
      <c r="AK154" s="1" t="s">
        <v>74</v>
      </c>
      <c r="AL154" s="1" t="s">
        <v>74</v>
      </c>
      <c r="AM154" s="1" t="s">
        <v>74</v>
      </c>
      <c r="AN154" s="1" t="s">
        <v>74</v>
      </c>
      <c r="AO154" s="1" t="s">
        <v>1652</v>
      </c>
      <c r="AP154" s="1" t="s">
        <v>1653</v>
      </c>
      <c r="AQ154" s="1" t="s">
        <v>74</v>
      </c>
      <c r="AR154" s="1" t="s">
        <v>74</v>
      </c>
      <c r="AS154" s="1" t="s">
        <v>74</v>
      </c>
      <c r="AT154" s="1" t="s">
        <v>1654</v>
      </c>
      <c r="AU154" s="1">
        <v>2016.0</v>
      </c>
      <c r="AV154" s="1">
        <v>254.0</v>
      </c>
      <c r="AW154" s="1">
        <v>1.0</v>
      </c>
      <c r="AX154" s="1" t="s">
        <v>74</v>
      </c>
      <c r="AY154" s="1" t="s">
        <v>74</v>
      </c>
      <c r="AZ154" s="1" t="s">
        <v>74</v>
      </c>
      <c r="BA154" s="1" t="s">
        <v>74</v>
      </c>
      <c r="BB154" s="1">
        <v>9.0</v>
      </c>
      <c r="BC154" s="1">
        <v>18.0</v>
      </c>
      <c r="BD154" s="1" t="s">
        <v>74</v>
      </c>
      <c r="BE154" s="1" t="s">
        <v>1655</v>
      </c>
      <c r="BF154" s="2" t="str">
        <f>HYPERLINK("http://dx.doi.org/10.1016/j.ejor.2016.01.020","http://dx.doi.org/10.1016/j.ejor.2016.01.020")</f>
        <v>http://dx.doi.org/10.1016/j.ejor.2016.01.020</v>
      </c>
      <c r="BG154" s="1" t="s">
        <v>74</v>
      </c>
      <c r="BH154" s="1" t="s">
        <v>74</v>
      </c>
      <c r="BI154" s="1" t="s">
        <v>74</v>
      </c>
      <c r="BJ154" s="1" t="s">
        <v>74</v>
      </c>
      <c r="BK154" s="1" t="s">
        <v>74</v>
      </c>
      <c r="BL154" s="1" t="s">
        <v>74</v>
      </c>
      <c r="BM154" s="1" t="s">
        <v>74</v>
      </c>
      <c r="BN154" s="1" t="s">
        <v>74</v>
      </c>
      <c r="BO154" s="1" t="s">
        <v>74</v>
      </c>
      <c r="BP154" s="1" t="s">
        <v>74</v>
      </c>
      <c r="BQ154" s="1" t="s">
        <v>74</v>
      </c>
      <c r="BR154" s="1" t="s">
        <v>74</v>
      </c>
      <c r="BS154" s="1" t="s">
        <v>1656</v>
      </c>
      <c r="BT154" s="1" t="str">
        <f>HYPERLINK("https%3A%2F%2Fwww.webofscience.com%2Fwos%2Fwoscc%2Ffull-record%2FWOS:000376817100002","View Full Record in Web of Science")</f>
        <v>View Full Record in Web of Science</v>
      </c>
    </row>
    <row r="155" ht="12.75" customHeight="1">
      <c r="A155" s="1" t="s">
        <v>72</v>
      </c>
      <c r="B155" s="1" t="s">
        <v>1657</v>
      </c>
      <c r="C155" s="1" t="s">
        <v>74</v>
      </c>
      <c r="D155" s="1" t="s">
        <v>74</v>
      </c>
      <c r="E155" s="1" t="s">
        <v>74</v>
      </c>
      <c r="F155" s="1" t="s">
        <v>1658</v>
      </c>
      <c r="G155" s="1" t="s">
        <v>74</v>
      </c>
      <c r="H155" s="1" t="s">
        <v>74</v>
      </c>
      <c r="I155" s="1" t="s">
        <v>1659</v>
      </c>
      <c r="J155" s="1" t="s">
        <v>1660</v>
      </c>
      <c r="K155" s="1" t="s">
        <v>74</v>
      </c>
      <c r="L155" s="1" t="s">
        <v>74</v>
      </c>
      <c r="M155" s="1" t="s">
        <v>74</v>
      </c>
      <c r="N155" s="1" t="s">
        <v>74</v>
      </c>
      <c r="O155" s="1" t="s">
        <v>74</v>
      </c>
      <c r="P155" s="1" t="s">
        <v>74</v>
      </c>
      <c r="Q155" s="1" t="s">
        <v>74</v>
      </c>
      <c r="R155" s="1" t="s">
        <v>74</v>
      </c>
      <c r="S155" s="1" t="s">
        <v>74</v>
      </c>
      <c r="T155" s="1" t="s">
        <v>74</v>
      </c>
      <c r="U155" s="1" t="s">
        <v>74</v>
      </c>
      <c r="V155" s="1" t="s">
        <v>1661</v>
      </c>
      <c r="W155" s="1" t="s">
        <v>74</v>
      </c>
      <c r="X155" s="1" t="s">
        <v>74</v>
      </c>
      <c r="Y155" s="1" t="s">
        <v>74</v>
      </c>
      <c r="Z155" s="1" t="s">
        <v>74</v>
      </c>
      <c r="AA155" s="1" t="s">
        <v>1662</v>
      </c>
      <c r="AB155" s="1" t="s">
        <v>1663</v>
      </c>
      <c r="AC155" s="1" t="s">
        <v>74</v>
      </c>
      <c r="AD155" s="1" t="s">
        <v>74</v>
      </c>
      <c r="AE155" s="1" t="s">
        <v>74</v>
      </c>
      <c r="AF155" s="1" t="s">
        <v>74</v>
      </c>
      <c r="AG155" s="1" t="s">
        <v>74</v>
      </c>
      <c r="AH155" s="1" t="s">
        <v>74</v>
      </c>
      <c r="AI155" s="1" t="s">
        <v>74</v>
      </c>
      <c r="AJ155" s="1" t="s">
        <v>74</v>
      </c>
      <c r="AK155" s="1" t="s">
        <v>74</v>
      </c>
      <c r="AL155" s="1" t="s">
        <v>74</v>
      </c>
      <c r="AM155" s="1" t="s">
        <v>74</v>
      </c>
      <c r="AN155" s="1" t="s">
        <v>74</v>
      </c>
      <c r="AO155" s="1" t="s">
        <v>1664</v>
      </c>
      <c r="AP155" s="1" t="s">
        <v>1665</v>
      </c>
      <c r="AQ155" s="1" t="s">
        <v>74</v>
      </c>
      <c r="AR155" s="1" t="s">
        <v>74</v>
      </c>
      <c r="AS155" s="1" t="s">
        <v>74</v>
      </c>
      <c r="AT155" s="1" t="s">
        <v>1666</v>
      </c>
      <c r="AU155" s="1">
        <v>2016.0</v>
      </c>
      <c r="AV155" s="1">
        <v>765.0</v>
      </c>
      <c r="AW155" s="1" t="s">
        <v>74</v>
      </c>
      <c r="AX155" s="1" t="s">
        <v>74</v>
      </c>
      <c r="AY155" s="1" t="s">
        <v>74</v>
      </c>
      <c r="AZ155" s="1" t="s">
        <v>74</v>
      </c>
      <c r="BA155" s="1" t="s">
        <v>74</v>
      </c>
      <c r="BB155" s="1">
        <v>22.0</v>
      </c>
      <c r="BC155" s="1">
        <v>29.0</v>
      </c>
      <c r="BD155" s="1" t="s">
        <v>74</v>
      </c>
      <c r="BE155" s="1" t="s">
        <v>1667</v>
      </c>
      <c r="BF155" s="2" t="str">
        <f>HYPERLINK("http://dx.doi.org/10.1016/j.jelechem.2015.11.007","http://dx.doi.org/10.1016/j.jelechem.2015.11.007")</f>
        <v>http://dx.doi.org/10.1016/j.jelechem.2015.11.007</v>
      </c>
      <c r="BG155" s="1" t="s">
        <v>74</v>
      </c>
      <c r="BH155" s="1" t="s">
        <v>74</v>
      </c>
      <c r="BI155" s="1" t="s">
        <v>74</v>
      </c>
      <c r="BJ155" s="1" t="s">
        <v>74</v>
      </c>
      <c r="BK155" s="1" t="s">
        <v>74</v>
      </c>
      <c r="BL155" s="1" t="s">
        <v>74</v>
      </c>
      <c r="BM155" s="1" t="s">
        <v>74</v>
      </c>
      <c r="BN155" s="1" t="s">
        <v>74</v>
      </c>
      <c r="BO155" s="1" t="s">
        <v>74</v>
      </c>
      <c r="BP155" s="1" t="s">
        <v>74</v>
      </c>
      <c r="BQ155" s="1" t="s">
        <v>74</v>
      </c>
      <c r="BR155" s="1" t="s">
        <v>74</v>
      </c>
      <c r="BS155" s="1" t="s">
        <v>1668</v>
      </c>
      <c r="BT155" s="1" t="str">
        <f>HYPERLINK("https%3A%2F%2Fwww.webofscience.com%2Fwos%2Fwoscc%2Ffull-record%2FWOS:000374605000005","View Full Record in Web of Science")</f>
        <v>View Full Record in Web of Science</v>
      </c>
    </row>
    <row r="156" ht="12.75" customHeight="1">
      <c r="A156" s="1" t="s">
        <v>72</v>
      </c>
      <c r="B156" s="1" t="s">
        <v>1669</v>
      </c>
      <c r="C156" s="1" t="s">
        <v>74</v>
      </c>
      <c r="D156" s="1" t="s">
        <v>74</v>
      </c>
      <c r="E156" s="1" t="s">
        <v>74</v>
      </c>
      <c r="F156" s="1" t="s">
        <v>1670</v>
      </c>
      <c r="G156" s="1" t="s">
        <v>74</v>
      </c>
      <c r="H156" s="1" t="s">
        <v>74</v>
      </c>
      <c r="I156" s="1" t="s">
        <v>1671</v>
      </c>
      <c r="J156" s="1" t="s">
        <v>1672</v>
      </c>
      <c r="K156" s="1" t="s">
        <v>74</v>
      </c>
      <c r="L156" s="1" t="s">
        <v>74</v>
      </c>
      <c r="M156" s="1" t="s">
        <v>74</v>
      </c>
      <c r="N156" s="1" t="s">
        <v>74</v>
      </c>
      <c r="O156" s="1" t="s">
        <v>74</v>
      </c>
      <c r="P156" s="1" t="s">
        <v>74</v>
      </c>
      <c r="Q156" s="1" t="s">
        <v>74</v>
      </c>
      <c r="R156" s="1" t="s">
        <v>74</v>
      </c>
      <c r="S156" s="1" t="s">
        <v>74</v>
      </c>
      <c r="T156" s="1" t="s">
        <v>74</v>
      </c>
      <c r="U156" s="1" t="s">
        <v>74</v>
      </c>
      <c r="V156" s="1" t="s">
        <v>74</v>
      </c>
      <c r="W156" s="1" t="s">
        <v>74</v>
      </c>
      <c r="X156" s="1" t="s">
        <v>74</v>
      </c>
      <c r="Y156" s="1" t="s">
        <v>74</v>
      </c>
      <c r="Z156" s="1" t="s">
        <v>74</v>
      </c>
      <c r="AA156" s="1" t="s">
        <v>1673</v>
      </c>
      <c r="AB156" s="1" t="s">
        <v>1674</v>
      </c>
      <c r="AC156" s="1" t="s">
        <v>74</v>
      </c>
      <c r="AD156" s="1" t="s">
        <v>74</v>
      </c>
      <c r="AE156" s="1" t="s">
        <v>74</v>
      </c>
      <c r="AF156" s="1" t="s">
        <v>74</v>
      </c>
      <c r="AG156" s="1" t="s">
        <v>74</v>
      </c>
      <c r="AH156" s="1" t="s">
        <v>74</v>
      </c>
      <c r="AI156" s="1" t="s">
        <v>74</v>
      </c>
      <c r="AJ156" s="1" t="s">
        <v>74</v>
      </c>
      <c r="AK156" s="1" t="s">
        <v>74</v>
      </c>
      <c r="AL156" s="1" t="s">
        <v>74</v>
      </c>
      <c r="AM156" s="1" t="s">
        <v>74</v>
      </c>
      <c r="AN156" s="1" t="s">
        <v>74</v>
      </c>
      <c r="AO156" s="1" t="s">
        <v>1675</v>
      </c>
      <c r="AP156" s="1" t="s">
        <v>1676</v>
      </c>
      <c r="AQ156" s="1" t="s">
        <v>74</v>
      </c>
      <c r="AR156" s="1" t="s">
        <v>74</v>
      </c>
      <c r="AS156" s="1" t="s">
        <v>74</v>
      </c>
      <c r="AT156" s="1" t="s">
        <v>74</v>
      </c>
      <c r="AU156" s="1">
        <v>2016.0</v>
      </c>
      <c r="AV156" s="1">
        <v>63.0</v>
      </c>
      <c r="AW156" s="1">
        <v>11.0</v>
      </c>
      <c r="AX156" s="1" t="s">
        <v>74</v>
      </c>
      <c r="AY156" s="1" t="s">
        <v>74</v>
      </c>
      <c r="AZ156" s="1" t="s">
        <v>1042</v>
      </c>
      <c r="BA156" s="1" t="s">
        <v>74</v>
      </c>
      <c r="BB156" s="1">
        <v>1443.0</v>
      </c>
      <c r="BC156" s="1">
        <v>1445.0</v>
      </c>
      <c r="BD156" s="1" t="s">
        <v>74</v>
      </c>
      <c r="BE156" s="1" t="s">
        <v>1677</v>
      </c>
      <c r="BF156" s="2" t="str">
        <f>HYPERLINK("http://dx.doi.org/10.1080/00918369.2016.1222823","http://dx.doi.org/10.1080/00918369.2016.1222823")</f>
        <v>http://dx.doi.org/10.1080/00918369.2016.1222823</v>
      </c>
      <c r="BG156" s="1" t="s">
        <v>74</v>
      </c>
      <c r="BH156" s="1" t="s">
        <v>74</v>
      </c>
      <c r="BI156" s="1" t="s">
        <v>74</v>
      </c>
      <c r="BJ156" s="1" t="s">
        <v>74</v>
      </c>
      <c r="BK156" s="1" t="s">
        <v>74</v>
      </c>
      <c r="BL156" s="1" t="s">
        <v>74</v>
      </c>
      <c r="BM156" s="1" t="s">
        <v>74</v>
      </c>
      <c r="BN156" s="1">
        <v>2.771577E7</v>
      </c>
      <c r="BO156" s="1" t="s">
        <v>74</v>
      </c>
      <c r="BP156" s="1" t="s">
        <v>74</v>
      </c>
      <c r="BQ156" s="1" t="s">
        <v>74</v>
      </c>
      <c r="BR156" s="1" t="s">
        <v>74</v>
      </c>
      <c r="BS156" s="1" t="s">
        <v>1678</v>
      </c>
      <c r="BT156" s="1" t="str">
        <f>HYPERLINK("https%3A%2F%2Fwww.webofscience.com%2Fwos%2Fwoscc%2Ffull-record%2FWOS:000385933900001","View Full Record in Web of Science")</f>
        <v>View Full Record in Web of Science</v>
      </c>
    </row>
    <row r="157" ht="12.75" customHeight="1">
      <c r="A157" s="1" t="s">
        <v>147</v>
      </c>
      <c r="B157" s="1" t="s">
        <v>1679</v>
      </c>
      <c r="C157" s="1" t="s">
        <v>74</v>
      </c>
      <c r="D157" s="1" t="s">
        <v>1680</v>
      </c>
      <c r="E157" s="1" t="s">
        <v>74</v>
      </c>
      <c r="F157" s="1" t="s">
        <v>1681</v>
      </c>
      <c r="G157" s="1" t="s">
        <v>74</v>
      </c>
      <c r="H157" s="1" t="s">
        <v>74</v>
      </c>
      <c r="I157" s="1" t="s">
        <v>1682</v>
      </c>
      <c r="J157" s="1" t="s">
        <v>1683</v>
      </c>
      <c r="K157" s="1" t="s">
        <v>74</v>
      </c>
      <c r="L157" s="1" t="s">
        <v>74</v>
      </c>
      <c r="M157" s="1" t="s">
        <v>74</v>
      </c>
      <c r="N157" s="1" t="s">
        <v>74</v>
      </c>
      <c r="O157" s="1" t="s">
        <v>1684</v>
      </c>
      <c r="P157" s="1" t="s">
        <v>1685</v>
      </c>
      <c r="Q157" s="1" t="s">
        <v>1686</v>
      </c>
      <c r="R157" s="1" t="s">
        <v>1687</v>
      </c>
      <c r="S157" s="1" t="s">
        <v>74</v>
      </c>
      <c r="T157" s="1" t="s">
        <v>74</v>
      </c>
      <c r="U157" s="1" t="s">
        <v>74</v>
      </c>
      <c r="V157" s="1" t="s">
        <v>1688</v>
      </c>
      <c r="W157" s="1" t="s">
        <v>74</v>
      </c>
      <c r="X157" s="1" t="s">
        <v>74</v>
      </c>
      <c r="Y157" s="1" t="s">
        <v>74</v>
      </c>
      <c r="Z157" s="1" t="s">
        <v>74</v>
      </c>
      <c r="AA157" s="1" t="s">
        <v>1689</v>
      </c>
      <c r="AB157" s="1" t="s">
        <v>1690</v>
      </c>
      <c r="AC157" s="1" t="s">
        <v>74</v>
      </c>
      <c r="AD157" s="1" t="s">
        <v>74</v>
      </c>
      <c r="AE157" s="1" t="s">
        <v>74</v>
      </c>
      <c r="AF157" s="1" t="s">
        <v>74</v>
      </c>
      <c r="AG157" s="1" t="s">
        <v>74</v>
      </c>
      <c r="AH157" s="1" t="s">
        <v>74</v>
      </c>
      <c r="AI157" s="1" t="s">
        <v>74</v>
      </c>
      <c r="AJ157" s="1" t="s">
        <v>74</v>
      </c>
      <c r="AK157" s="1" t="s">
        <v>74</v>
      </c>
      <c r="AL157" s="1" t="s">
        <v>74</v>
      </c>
      <c r="AM157" s="1" t="s">
        <v>74</v>
      </c>
      <c r="AN157" s="1" t="s">
        <v>74</v>
      </c>
      <c r="AO157" s="1" t="s">
        <v>74</v>
      </c>
      <c r="AP157" s="1" t="s">
        <v>74</v>
      </c>
      <c r="AQ157" s="1" t="s">
        <v>1691</v>
      </c>
      <c r="AR157" s="1" t="s">
        <v>74</v>
      </c>
      <c r="AS157" s="1" t="s">
        <v>74</v>
      </c>
      <c r="AT157" s="1" t="s">
        <v>74</v>
      </c>
      <c r="AU157" s="1">
        <v>2016.0</v>
      </c>
      <c r="AV157" s="1" t="s">
        <v>74</v>
      </c>
      <c r="AW157" s="1" t="s">
        <v>74</v>
      </c>
      <c r="AX157" s="1" t="s">
        <v>74</v>
      </c>
      <c r="AY157" s="1" t="s">
        <v>74</v>
      </c>
      <c r="AZ157" s="1" t="s">
        <v>74</v>
      </c>
      <c r="BA157" s="1" t="s">
        <v>74</v>
      </c>
      <c r="BB157" s="1">
        <v>196.0</v>
      </c>
      <c r="BC157" s="1">
        <v>200.0</v>
      </c>
      <c r="BD157" s="1" t="s">
        <v>74</v>
      </c>
      <c r="BE157" s="1" t="s">
        <v>74</v>
      </c>
      <c r="BF157" s="1" t="s">
        <v>74</v>
      </c>
      <c r="BG157" s="1" t="s">
        <v>74</v>
      </c>
      <c r="BH157" s="1" t="s">
        <v>74</v>
      </c>
      <c r="BI157" s="1" t="s">
        <v>74</v>
      </c>
      <c r="BJ157" s="1" t="s">
        <v>74</v>
      </c>
      <c r="BK157" s="1" t="s">
        <v>74</v>
      </c>
      <c r="BL157" s="1" t="s">
        <v>74</v>
      </c>
      <c r="BM157" s="1" t="s">
        <v>74</v>
      </c>
      <c r="BN157" s="1" t="s">
        <v>74</v>
      </c>
      <c r="BO157" s="1" t="s">
        <v>74</v>
      </c>
      <c r="BP157" s="1" t="s">
        <v>74</v>
      </c>
      <c r="BQ157" s="1" t="s">
        <v>74</v>
      </c>
      <c r="BR157" s="1" t="s">
        <v>74</v>
      </c>
      <c r="BS157" s="1" t="s">
        <v>1692</v>
      </c>
      <c r="BT157" s="1" t="str">
        <f>HYPERLINK("https%3A%2F%2Fwww.webofscience.com%2Fwos%2Fwoscc%2Ffull-record%2FWOS:000391251000030","View Full Record in Web of Science")</f>
        <v>View Full Record in Web of Science</v>
      </c>
    </row>
    <row r="158" ht="12.75" customHeight="1">
      <c r="A158" s="1" t="s">
        <v>72</v>
      </c>
      <c r="B158" s="1" t="s">
        <v>1693</v>
      </c>
      <c r="C158" s="1" t="s">
        <v>74</v>
      </c>
      <c r="D158" s="1" t="s">
        <v>74</v>
      </c>
      <c r="E158" s="1" t="s">
        <v>74</v>
      </c>
      <c r="F158" s="1" t="s">
        <v>1694</v>
      </c>
      <c r="G158" s="1" t="s">
        <v>74</v>
      </c>
      <c r="H158" s="1" t="s">
        <v>74</v>
      </c>
      <c r="I158" s="1" t="s">
        <v>1695</v>
      </c>
      <c r="J158" s="1" t="s">
        <v>1696</v>
      </c>
      <c r="K158" s="1" t="s">
        <v>74</v>
      </c>
      <c r="L158" s="1" t="s">
        <v>74</v>
      </c>
      <c r="M158" s="1" t="s">
        <v>74</v>
      </c>
      <c r="N158" s="1" t="s">
        <v>74</v>
      </c>
      <c r="O158" s="1" t="s">
        <v>74</v>
      </c>
      <c r="P158" s="1" t="s">
        <v>74</v>
      </c>
      <c r="Q158" s="1" t="s">
        <v>74</v>
      </c>
      <c r="R158" s="1" t="s">
        <v>74</v>
      </c>
      <c r="S158" s="1" t="s">
        <v>74</v>
      </c>
      <c r="T158" s="1" t="s">
        <v>74</v>
      </c>
      <c r="U158" s="1" t="s">
        <v>74</v>
      </c>
      <c r="V158" s="1" t="s">
        <v>1697</v>
      </c>
      <c r="W158" s="1" t="s">
        <v>74</v>
      </c>
      <c r="X158" s="1" t="s">
        <v>74</v>
      </c>
      <c r="Y158" s="1" t="s">
        <v>74</v>
      </c>
      <c r="Z158" s="1" t="s">
        <v>74</v>
      </c>
      <c r="AA158" s="1" t="s">
        <v>1698</v>
      </c>
      <c r="AB158" s="1" t="s">
        <v>1699</v>
      </c>
      <c r="AC158" s="1" t="s">
        <v>74</v>
      </c>
      <c r="AD158" s="1" t="s">
        <v>74</v>
      </c>
      <c r="AE158" s="1" t="s">
        <v>74</v>
      </c>
      <c r="AF158" s="1" t="s">
        <v>74</v>
      </c>
      <c r="AG158" s="1" t="s">
        <v>74</v>
      </c>
      <c r="AH158" s="1" t="s">
        <v>74</v>
      </c>
      <c r="AI158" s="1" t="s">
        <v>74</v>
      </c>
      <c r="AJ158" s="1" t="s">
        <v>74</v>
      </c>
      <c r="AK158" s="1" t="s">
        <v>74</v>
      </c>
      <c r="AL158" s="1" t="s">
        <v>74</v>
      </c>
      <c r="AM158" s="1" t="s">
        <v>74</v>
      </c>
      <c r="AN158" s="1" t="s">
        <v>74</v>
      </c>
      <c r="AO158" s="1" t="s">
        <v>1700</v>
      </c>
      <c r="AP158" s="1" t="s">
        <v>1701</v>
      </c>
      <c r="AQ158" s="1" t="s">
        <v>74</v>
      </c>
      <c r="AR158" s="1" t="s">
        <v>74</v>
      </c>
      <c r="AS158" s="1" t="s">
        <v>74</v>
      </c>
      <c r="AT158" s="1" t="s">
        <v>112</v>
      </c>
      <c r="AU158" s="1">
        <v>2015.0</v>
      </c>
      <c r="AV158" s="1">
        <v>27.0</v>
      </c>
      <c r="AW158" s="1">
        <v>11.0</v>
      </c>
      <c r="AX158" s="1" t="s">
        <v>74</v>
      </c>
      <c r="AY158" s="1" t="s">
        <v>74</v>
      </c>
      <c r="AZ158" s="1" t="s">
        <v>74</v>
      </c>
      <c r="BA158" s="1" t="s">
        <v>74</v>
      </c>
      <c r="BB158" s="1" t="s">
        <v>74</v>
      </c>
      <c r="BC158" s="1" t="s">
        <v>74</v>
      </c>
      <c r="BD158" s="1">
        <v>114103.0</v>
      </c>
      <c r="BE158" s="1" t="s">
        <v>1702</v>
      </c>
      <c r="BF158" s="2" t="str">
        <f>HYPERLINK("http://dx.doi.org/10.1063/1.4935699","http://dx.doi.org/10.1063/1.4935699")</f>
        <v>http://dx.doi.org/10.1063/1.4935699</v>
      </c>
      <c r="BG158" s="1" t="s">
        <v>74</v>
      </c>
      <c r="BH158" s="1" t="s">
        <v>74</v>
      </c>
      <c r="BI158" s="1" t="s">
        <v>74</v>
      </c>
      <c r="BJ158" s="1" t="s">
        <v>74</v>
      </c>
      <c r="BK158" s="1" t="s">
        <v>74</v>
      </c>
      <c r="BL158" s="1" t="s">
        <v>74</v>
      </c>
      <c r="BM158" s="1" t="s">
        <v>74</v>
      </c>
      <c r="BN158" s="1" t="s">
        <v>74</v>
      </c>
      <c r="BO158" s="1" t="s">
        <v>74</v>
      </c>
      <c r="BP158" s="1" t="s">
        <v>74</v>
      </c>
      <c r="BQ158" s="1" t="s">
        <v>74</v>
      </c>
      <c r="BR158" s="1" t="s">
        <v>74</v>
      </c>
      <c r="BS158" s="1" t="s">
        <v>1703</v>
      </c>
      <c r="BT158" s="1" t="str">
        <f>HYPERLINK("https%3A%2F%2Fwww.webofscience.com%2Fwos%2Fwoscc%2Ffull-record%2FWOS:000365687400022","View Full Record in Web of Science")</f>
        <v>View Full Record in Web of Science</v>
      </c>
    </row>
    <row r="159" ht="12.75" customHeight="1">
      <c r="A159" s="1" t="s">
        <v>72</v>
      </c>
      <c r="B159" s="1" t="s">
        <v>1704</v>
      </c>
      <c r="C159" s="1" t="s">
        <v>74</v>
      </c>
      <c r="D159" s="1" t="s">
        <v>74</v>
      </c>
      <c r="E159" s="1" t="s">
        <v>74</v>
      </c>
      <c r="F159" s="1" t="s">
        <v>1705</v>
      </c>
      <c r="G159" s="1" t="s">
        <v>74</v>
      </c>
      <c r="H159" s="1" t="s">
        <v>74</v>
      </c>
      <c r="I159" s="1" t="s">
        <v>1706</v>
      </c>
      <c r="J159" s="1" t="s">
        <v>360</v>
      </c>
      <c r="K159" s="1" t="s">
        <v>74</v>
      </c>
      <c r="L159" s="1" t="s">
        <v>74</v>
      </c>
      <c r="M159" s="1" t="s">
        <v>74</v>
      </c>
      <c r="N159" s="1" t="s">
        <v>74</v>
      </c>
      <c r="O159" s="1" t="s">
        <v>74</v>
      </c>
      <c r="P159" s="1" t="s">
        <v>74</v>
      </c>
      <c r="Q159" s="1" t="s">
        <v>74</v>
      </c>
      <c r="R159" s="1" t="s">
        <v>74</v>
      </c>
      <c r="S159" s="1" t="s">
        <v>74</v>
      </c>
      <c r="T159" s="1" t="s">
        <v>74</v>
      </c>
      <c r="U159" s="1" t="s">
        <v>74</v>
      </c>
      <c r="V159" s="1" t="s">
        <v>1707</v>
      </c>
      <c r="W159" s="1" t="s">
        <v>74</v>
      </c>
      <c r="X159" s="1" t="s">
        <v>74</v>
      </c>
      <c r="Y159" s="1" t="s">
        <v>74</v>
      </c>
      <c r="Z159" s="1" t="s">
        <v>74</v>
      </c>
      <c r="AA159" s="1" t="s">
        <v>1708</v>
      </c>
      <c r="AB159" s="1" t="s">
        <v>1709</v>
      </c>
      <c r="AC159" s="1" t="s">
        <v>74</v>
      </c>
      <c r="AD159" s="1" t="s">
        <v>74</v>
      </c>
      <c r="AE159" s="1" t="s">
        <v>74</v>
      </c>
      <c r="AF159" s="1" t="s">
        <v>74</v>
      </c>
      <c r="AG159" s="1" t="s">
        <v>74</v>
      </c>
      <c r="AH159" s="1" t="s">
        <v>74</v>
      </c>
      <c r="AI159" s="1" t="s">
        <v>74</v>
      </c>
      <c r="AJ159" s="1" t="s">
        <v>74</v>
      </c>
      <c r="AK159" s="1" t="s">
        <v>74</v>
      </c>
      <c r="AL159" s="1" t="s">
        <v>74</v>
      </c>
      <c r="AM159" s="1" t="s">
        <v>74</v>
      </c>
      <c r="AN159" s="1" t="s">
        <v>74</v>
      </c>
      <c r="AO159" s="1" t="s">
        <v>362</v>
      </c>
      <c r="AP159" s="1" t="s">
        <v>833</v>
      </c>
      <c r="AQ159" s="1" t="s">
        <v>74</v>
      </c>
      <c r="AR159" s="1" t="s">
        <v>74</v>
      </c>
      <c r="AS159" s="1" t="s">
        <v>74</v>
      </c>
      <c r="AT159" s="1" t="s">
        <v>379</v>
      </c>
      <c r="AU159" s="1">
        <v>2015.0</v>
      </c>
      <c r="AV159" s="1">
        <v>143.0</v>
      </c>
      <c r="AW159" s="1">
        <v>9.0</v>
      </c>
      <c r="AX159" s="1" t="s">
        <v>74</v>
      </c>
      <c r="AY159" s="1" t="s">
        <v>74</v>
      </c>
      <c r="AZ159" s="1" t="s">
        <v>74</v>
      </c>
      <c r="BA159" s="1" t="s">
        <v>74</v>
      </c>
      <c r="BB159" s="1">
        <v>1129.0</v>
      </c>
      <c r="BC159" s="1">
        <v>1135.0</v>
      </c>
      <c r="BD159" s="1" t="s">
        <v>74</v>
      </c>
      <c r="BE159" s="1" t="s">
        <v>1710</v>
      </c>
      <c r="BF159" s="2" t="str">
        <f>HYPERLINK("http://dx.doi.org/10.4067/S0034-98872015000900005","http://dx.doi.org/10.4067/S0034-98872015000900005")</f>
        <v>http://dx.doi.org/10.4067/S0034-98872015000900005</v>
      </c>
      <c r="BG159" s="1" t="s">
        <v>74</v>
      </c>
      <c r="BH159" s="1" t="s">
        <v>74</v>
      </c>
      <c r="BI159" s="1" t="s">
        <v>74</v>
      </c>
      <c r="BJ159" s="1" t="s">
        <v>74</v>
      </c>
      <c r="BK159" s="1" t="s">
        <v>74</v>
      </c>
      <c r="BL159" s="1" t="s">
        <v>74</v>
      </c>
      <c r="BM159" s="1" t="s">
        <v>74</v>
      </c>
      <c r="BN159" s="1">
        <v>2.6530195E7</v>
      </c>
      <c r="BO159" s="1" t="s">
        <v>74</v>
      </c>
      <c r="BP159" s="1" t="s">
        <v>74</v>
      </c>
      <c r="BQ159" s="1" t="s">
        <v>74</v>
      </c>
      <c r="BR159" s="1" t="s">
        <v>74</v>
      </c>
      <c r="BS159" s="1" t="s">
        <v>1711</v>
      </c>
      <c r="BT159" s="1" t="str">
        <f>HYPERLINK("https%3A%2F%2Fwww.webofscience.com%2Fwos%2Fwoscc%2Ffull-record%2FWOS:000365247800005","View Full Record in Web of Science")</f>
        <v>View Full Record in Web of Science</v>
      </c>
    </row>
    <row r="160" ht="12.75" customHeight="1">
      <c r="A160" s="1" t="s">
        <v>72</v>
      </c>
      <c r="B160" s="1" t="s">
        <v>1712</v>
      </c>
      <c r="C160" s="1" t="s">
        <v>74</v>
      </c>
      <c r="D160" s="1" t="s">
        <v>74</v>
      </c>
      <c r="E160" s="1" t="s">
        <v>74</v>
      </c>
      <c r="F160" s="1" t="s">
        <v>1713</v>
      </c>
      <c r="G160" s="1" t="s">
        <v>74</v>
      </c>
      <c r="H160" s="1" t="s">
        <v>74</v>
      </c>
      <c r="I160" s="1" t="s">
        <v>1714</v>
      </c>
      <c r="J160" s="1" t="s">
        <v>1715</v>
      </c>
      <c r="K160" s="1" t="s">
        <v>74</v>
      </c>
      <c r="L160" s="1" t="s">
        <v>74</v>
      </c>
      <c r="M160" s="1" t="s">
        <v>74</v>
      </c>
      <c r="N160" s="1" t="s">
        <v>74</v>
      </c>
      <c r="O160" s="1" t="s">
        <v>74</v>
      </c>
      <c r="P160" s="1" t="s">
        <v>74</v>
      </c>
      <c r="Q160" s="1" t="s">
        <v>74</v>
      </c>
      <c r="R160" s="1" t="s">
        <v>74</v>
      </c>
      <c r="S160" s="1" t="s">
        <v>74</v>
      </c>
      <c r="T160" s="1" t="s">
        <v>74</v>
      </c>
      <c r="U160" s="1" t="s">
        <v>74</v>
      </c>
      <c r="V160" s="1" t="s">
        <v>1716</v>
      </c>
      <c r="W160" s="1" t="s">
        <v>74</v>
      </c>
      <c r="X160" s="1" t="s">
        <v>74</v>
      </c>
      <c r="Y160" s="1" t="s">
        <v>74</v>
      </c>
      <c r="Z160" s="1" t="s">
        <v>74</v>
      </c>
      <c r="AA160" s="1" t="s">
        <v>1717</v>
      </c>
      <c r="AB160" s="1" t="s">
        <v>1718</v>
      </c>
      <c r="AC160" s="1" t="s">
        <v>74</v>
      </c>
      <c r="AD160" s="1" t="s">
        <v>74</v>
      </c>
      <c r="AE160" s="1" t="s">
        <v>74</v>
      </c>
      <c r="AF160" s="1" t="s">
        <v>74</v>
      </c>
      <c r="AG160" s="1" t="s">
        <v>74</v>
      </c>
      <c r="AH160" s="1" t="s">
        <v>74</v>
      </c>
      <c r="AI160" s="1" t="s">
        <v>74</v>
      </c>
      <c r="AJ160" s="1" t="s">
        <v>74</v>
      </c>
      <c r="AK160" s="1" t="s">
        <v>74</v>
      </c>
      <c r="AL160" s="1" t="s">
        <v>74</v>
      </c>
      <c r="AM160" s="1" t="s">
        <v>74</v>
      </c>
      <c r="AN160" s="1" t="s">
        <v>74</v>
      </c>
      <c r="AO160" s="1" t="s">
        <v>1719</v>
      </c>
      <c r="AP160" s="1" t="s">
        <v>1720</v>
      </c>
      <c r="AQ160" s="1" t="s">
        <v>74</v>
      </c>
      <c r="AR160" s="1" t="s">
        <v>74</v>
      </c>
      <c r="AS160" s="1" t="s">
        <v>74</v>
      </c>
      <c r="AT160" s="1" t="s">
        <v>676</v>
      </c>
      <c r="AU160" s="1">
        <v>2014.0</v>
      </c>
      <c r="AV160" s="1">
        <v>294.0</v>
      </c>
      <c r="AW160" s="1" t="s">
        <v>74</v>
      </c>
      <c r="AX160" s="1" t="s">
        <v>74</v>
      </c>
      <c r="AY160" s="1" t="s">
        <v>74</v>
      </c>
      <c r="AZ160" s="1" t="s">
        <v>74</v>
      </c>
      <c r="BA160" s="1" t="s">
        <v>74</v>
      </c>
      <c r="BB160" s="1">
        <v>68.0</v>
      </c>
      <c r="BC160" s="1">
        <v>74.0</v>
      </c>
      <c r="BD160" s="1" t="s">
        <v>74</v>
      </c>
      <c r="BE160" s="1" t="s">
        <v>1721</v>
      </c>
      <c r="BF160" s="2" t="str">
        <f>HYPERLINK("http://dx.doi.org/10.1016/j.jphotochem.2014.08.003","http://dx.doi.org/10.1016/j.jphotochem.2014.08.003")</f>
        <v>http://dx.doi.org/10.1016/j.jphotochem.2014.08.003</v>
      </c>
      <c r="BG160" s="1" t="s">
        <v>74</v>
      </c>
      <c r="BH160" s="1" t="s">
        <v>74</v>
      </c>
      <c r="BI160" s="1" t="s">
        <v>74</v>
      </c>
      <c r="BJ160" s="1" t="s">
        <v>74</v>
      </c>
      <c r="BK160" s="1" t="s">
        <v>74</v>
      </c>
      <c r="BL160" s="1" t="s">
        <v>74</v>
      </c>
      <c r="BM160" s="1" t="s">
        <v>74</v>
      </c>
      <c r="BN160" s="1" t="s">
        <v>74</v>
      </c>
      <c r="BO160" s="1" t="s">
        <v>74</v>
      </c>
      <c r="BP160" s="1" t="s">
        <v>74</v>
      </c>
      <c r="BQ160" s="1" t="s">
        <v>74</v>
      </c>
      <c r="BR160" s="1" t="s">
        <v>74</v>
      </c>
      <c r="BS160" s="1" t="s">
        <v>1722</v>
      </c>
      <c r="BT160" s="1" t="str">
        <f>HYPERLINK("https%3A%2F%2Fwww.webofscience.com%2Fwos%2Fwoscc%2Ffull-record%2FWOS:000343353000009","View Full Record in Web of Science")</f>
        <v>View Full Record in Web of Science</v>
      </c>
    </row>
    <row r="161" ht="12.75" customHeight="1">
      <c r="A161" s="1" t="s">
        <v>72</v>
      </c>
      <c r="B161" s="1" t="s">
        <v>1723</v>
      </c>
      <c r="C161" s="1" t="s">
        <v>74</v>
      </c>
      <c r="D161" s="1" t="s">
        <v>74</v>
      </c>
      <c r="E161" s="1" t="s">
        <v>74</v>
      </c>
      <c r="F161" s="1" t="s">
        <v>1724</v>
      </c>
      <c r="G161" s="1" t="s">
        <v>74</v>
      </c>
      <c r="H161" s="1" t="s">
        <v>74</v>
      </c>
      <c r="I161" s="1" t="s">
        <v>1725</v>
      </c>
      <c r="J161" s="1" t="s">
        <v>77</v>
      </c>
      <c r="K161" s="1" t="s">
        <v>74</v>
      </c>
      <c r="L161" s="1" t="s">
        <v>74</v>
      </c>
      <c r="M161" s="1" t="s">
        <v>74</v>
      </c>
      <c r="N161" s="1" t="s">
        <v>74</v>
      </c>
      <c r="O161" s="1" t="s">
        <v>74</v>
      </c>
      <c r="P161" s="1" t="s">
        <v>74</v>
      </c>
      <c r="Q161" s="1" t="s">
        <v>74</v>
      </c>
      <c r="R161" s="1" t="s">
        <v>74</v>
      </c>
      <c r="S161" s="1" t="s">
        <v>74</v>
      </c>
      <c r="T161" s="1" t="s">
        <v>74</v>
      </c>
      <c r="U161" s="1" t="s">
        <v>74</v>
      </c>
      <c r="V161" s="1" t="s">
        <v>1726</v>
      </c>
      <c r="W161" s="1" t="s">
        <v>74</v>
      </c>
      <c r="X161" s="1" t="s">
        <v>74</v>
      </c>
      <c r="Y161" s="1" t="s">
        <v>74</v>
      </c>
      <c r="Z161" s="1" t="s">
        <v>74</v>
      </c>
      <c r="AA161" s="1" t="s">
        <v>1727</v>
      </c>
      <c r="AB161" s="1" t="s">
        <v>74</v>
      </c>
      <c r="AC161" s="1" t="s">
        <v>74</v>
      </c>
      <c r="AD161" s="1" t="s">
        <v>74</v>
      </c>
      <c r="AE161" s="1" t="s">
        <v>74</v>
      </c>
      <c r="AF161" s="1" t="s">
        <v>74</v>
      </c>
      <c r="AG161" s="1" t="s">
        <v>74</v>
      </c>
      <c r="AH161" s="1" t="s">
        <v>74</v>
      </c>
      <c r="AI161" s="1" t="s">
        <v>74</v>
      </c>
      <c r="AJ161" s="1" t="s">
        <v>74</v>
      </c>
      <c r="AK161" s="1" t="s">
        <v>74</v>
      </c>
      <c r="AL161" s="1" t="s">
        <v>74</v>
      </c>
      <c r="AM161" s="1" t="s">
        <v>74</v>
      </c>
      <c r="AN161" s="1" t="s">
        <v>74</v>
      </c>
      <c r="AO161" s="1" t="s">
        <v>81</v>
      </c>
      <c r="AP161" s="1" t="s">
        <v>82</v>
      </c>
      <c r="AQ161" s="1" t="s">
        <v>74</v>
      </c>
      <c r="AR161" s="1" t="s">
        <v>74</v>
      </c>
      <c r="AS161" s="1" t="s">
        <v>74</v>
      </c>
      <c r="AT161" s="1" t="s">
        <v>676</v>
      </c>
      <c r="AU161" s="1">
        <v>2014.0</v>
      </c>
      <c r="AV161" s="1">
        <v>37.0</v>
      </c>
      <c r="AW161" s="1">
        <v>16.0</v>
      </c>
      <c r="AX161" s="1" t="s">
        <v>74</v>
      </c>
      <c r="AY161" s="1" t="s">
        <v>74</v>
      </c>
      <c r="AZ161" s="1" t="s">
        <v>74</v>
      </c>
      <c r="BA161" s="1" t="s">
        <v>74</v>
      </c>
      <c r="BB161" s="1">
        <v>2372.0</v>
      </c>
      <c r="BC161" s="1">
        <v>2392.0</v>
      </c>
      <c r="BD161" s="1" t="s">
        <v>74</v>
      </c>
      <c r="BE161" s="1" t="s">
        <v>1728</v>
      </c>
      <c r="BF161" s="2" t="str">
        <f>HYPERLINK("http://dx.doi.org/10.1002/mma.2983","http://dx.doi.org/10.1002/mma.2983")</f>
        <v>http://dx.doi.org/10.1002/mma.2983</v>
      </c>
      <c r="BG161" s="1" t="s">
        <v>74</v>
      </c>
      <c r="BH161" s="1" t="s">
        <v>74</v>
      </c>
      <c r="BI161" s="1" t="s">
        <v>74</v>
      </c>
      <c r="BJ161" s="1" t="s">
        <v>74</v>
      </c>
      <c r="BK161" s="1" t="s">
        <v>74</v>
      </c>
      <c r="BL161" s="1" t="s">
        <v>74</v>
      </c>
      <c r="BM161" s="1" t="s">
        <v>74</v>
      </c>
      <c r="BN161" s="1" t="s">
        <v>74</v>
      </c>
      <c r="BO161" s="1" t="s">
        <v>74</v>
      </c>
      <c r="BP161" s="1" t="s">
        <v>74</v>
      </c>
      <c r="BQ161" s="1" t="s">
        <v>74</v>
      </c>
      <c r="BR161" s="1" t="s">
        <v>74</v>
      </c>
      <c r="BS161" s="1" t="s">
        <v>1729</v>
      </c>
      <c r="BT161" s="1" t="str">
        <f>HYPERLINK("https%3A%2F%2Fwww.webofscience.com%2Fwos%2Fwoscc%2Ffull-record%2FWOS:000343835100004","View Full Record in Web of Science")</f>
        <v>View Full Record in Web of Science</v>
      </c>
    </row>
    <row r="162" ht="12.75" customHeight="1">
      <c r="A162" s="1" t="s">
        <v>72</v>
      </c>
      <c r="B162" s="1" t="s">
        <v>1730</v>
      </c>
      <c r="C162" s="1" t="s">
        <v>74</v>
      </c>
      <c r="D162" s="1" t="s">
        <v>74</v>
      </c>
      <c r="E162" s="1" t="s">
        <v>74</v>
      </c>
      <c r="F162" s="1" t="s">
        <v>1731</v>
      </c>
      <c r="G162" s="1" t="s">
        <v>74</v>
      </c>
      <c r="H162" s="1" t="s">
        <v>74</v>
      </c>
      <c r="I162" s="1" t="s">
        <v>1732</v>
      </c>
      <c r="J162" s="1" t="s">
        <v>1733</v>
      </c>
      <c r="K162" s="1" t="s">
        <v>74</v>
      </c>
      <c r="L162" s="1" t="s">
        <v>74</v>
      </c>
      <c r="M162" s="1" t="s">
        <v>74</v>
      </c>
      <c r="N162" s="1" t="s">
        <v>74</v>
      </c>
      <c r="O162" s="1" t="s">
        <v>74</v>
      </c>
      <c r="P162" s="1" t="s">
        <v>74</v>
      </c>
      <c r="Q162" s="1" t="s">
        <v>74</v>
      </c>
      <c r="R162" s="1" t="s">
        <v>74</v>
      </c>
      <c r="S162" s="1" t="s">
        <v>74</v>
      </c>
      <c r="T162" s="1" t="s">
        <v>74</v>
      </c>
      <c r="U162" s="1" t="s">
        <v>74</v>
      </c>
      <c r="V162" s="1" t="s">
        <v>1734</v>
      </c>
      <c r="W162" s="1" t="s">
        <v>74</v>
      </c>
      <c r="X162" s="1" t="s">
        <v>74</v>
      </c>
      <c r="Y162" s="1" t="s">
        <v>74</v>
      </c>
      <c r="Z162" s="1" t="s">
        <v>74</v>
      </c>
      <c r="AA162" s="1" t="s">
        <v>1735</v>
      </c>
      <c r="AB162" s="1" t="s">
        <v>1736</v>
      </c>
      <c r="AC162" s="1" t="s">
        <v>74</v>
      </c>
      <c r="AD162" s="1" t="s">
        <v>74</v>
      </c>
      <c r="AE162" s="1" t="s">
        <v>74</v>
      </c>
      <c r="AF162" s="1" t="s">
        <v>74</v>
      </c>
      <c r="AG162" s="1" t="s">
        <v>74</v>
      </c>
      <c r="AH162" s="1" t="s">
        <v>74</v>
      </c>
      <c r="AI162" s="1" t="s">
        <v>74</v>
      </c>
      <c r="AJ162" s="1" t="s">
        <v>74</v>
      </c>
      <c r="AK162" s="1" t="s">
        <v>74</v>
      </c>
      <c r="AL162" s="1" t="s">
        <v>74</v>
      </c>
      <c r="AM162" s="1" t="s">
        <v>74</v>
      </c>
      <c r="AN162" s="1" t="s">
        <v>74</v>
      </c>
      <c r="AO162" s="1" t="s">
        <v>1737</v>
      </c>
      <c r="AP162" s="1" t="s">
        <v>1738</v>
      </c>
      <c r="AQ162" s="1" t="s">
        <v>74</v>
      </c>
      <c r="AR162" s="1" t="s">
        <v>74</v>
      </c>
      <c r="AS162" s="1" t="s">
        <v>74</v>
      </c>
      <c r="AT162" s="1" t="s">
        <v>1383</v>
      </c>
      <c r="AU162" s="1">
        <v>2014.0</v>
      </c>
      <c r="AV162" s="1">
        <v>31.0</v>
      </c>
      <c r="AW162" s="1">
        <v>6.0</v>
      </c>
      <c r="AX162" s="1" t="s">
        <v>74</v>
      </c>
      <c r="AY162" s="1" t="s">
        <v>74</v>
      </c>
      <c r="AZ162" s="1" t="s">
        <v>74</v>
      </c>
      <c r="BA162" s="1" t="s">
        <v>74</v>
      </c>
      <c r="BB162" s="1">
        <v>1101.0</v>
      </c>
      <c r="BC162" s="1">
        <v>1107.0</v>
      </c>
      <c r="BD162" s="1" t="s">
        <v>74</v>
      </c>
      <c r="BE162" s="1" t="s">
        <v>1739</v>
      </c>
      <c r="BF162" s="2" t="str">
        <f>HYPERLINK("http://dx.doi.org/10.1016/j.anihpc.2013.08.004","http://dx.doi.org/10.1016/j.anihpc.2013.08.004")</f>
        <v>http://dx.doi.org/10.1016/j.anihpc.2013.08.004</v>
      </c>
      <c r="BG162" s="1" t="s">
        <v>74</v>
      </c>
      <c r="BH162" s="1" t="s">
        <v>74</v>
      </c>
      <c r="BI162" s="1" t="s">
        <v>74</v>
      </c>
      <c r="BJ162" s="1" t="s">
        <v>74</v>
      </c>
      <c r="BK162" s="1" t="s">
        <v>74</v>
      </c>
      <c r="BL162" s="1" t="s">
        <v>74</v>
      </c>
      <c r="BM162" s="1" t="s">
        <v>74</v>
      </c>
      <c r="BN162" s="1" t="s">
        <v>74</v>
      </c>
      <c r="BO162" s="1" t="s">
        <v>74</v>
      </c>
      <c r="BP162" s="1" t="s">
        <v>74</v>
      </c>
      <c r="BQ162" s="1" t="s">
        <v>74</v>
      </c>
      <c r="BR162" s="1" t="s">
        <v>74</v>
      </c>
      <c r="BS162" s="1" t="s">
        <v>1740</v>
      </c>
      <c r="BT162" s="1" t="str">
        <f>HYPERLINK("https%3A%2F%2Fwww.webofscience.com%2Fwos%2Fwoscc%2Ffull-record%2FWOS:000346550400001","View Full Record in Web of Science")</f>
        <v>View Full Record in Web of Science</v>
      </c>
    </row>
    <row r="163" ht="12.75" customHeight="1">
      <c r="A163" s="1" t="s">
        <v>72</v>
      </c>
      <c r="B163" s="1" t="s">
        <v>1741</v>
      </c>
      <c r="C163" s="1" t="s">
        <v>74</v>
      </c>
      <c r="D163" s="1" t="s">
        <v>74</v>
      </c>
      <c r="E163" s="1" t="s">
        <v>74</v>
      </c>
      <c r="F163" s="1" t="s">
        <v>1742</v>
      </c>
      <c r="G163" s="1" t="s">
        <v>74</v>
      </c>
      <c r="H163" s="1" t="s">
        <v>74</v>
      </c>
      <c r="I163" s="1" t="s">
        <v>1743</v>
      </c>
      <c r="J163" s="1" t="s">
        <v>1744</v>
      </c>
      <c r="K163" s="1" t="s">
        <v>74</v>
      </c>
      <c r="L163" s="1" t="s">
        <v>74</v>
      </c>
      <c r="M163" s="1" t="s">
        <v>74</v>
      </c>
      <c r="N163" s="1" t="s">
        <v>74</v>
      </c>
      <c r="O163" s="1" t="s">
        <v>74</v>
      </c>
      <c r="P163" s="1" t="s">
        <v>74</v>
      </c>
      <c r="Q163" s="1" t="s">
        <v>74</v>
      </c>
      <c r="R163" s="1" t="s">
        <v>74</v>
      </c>
      <c r="S163" s="1" t="s">
        <v>74</v>
      </c>
      <c r="T163" s="1" t="s">
        <v>74</v>
      </c>
      <c r="U163" s="1" t="s">
        <v>74</v>
      </c>
      <c r="V163" s="1" t="s">
        <v>1745</v>
      </c>
      <c r="W163" s="1" t="s">
        <v>74</v>
      </c>
      <c r="X163" s="1" t="s">
        <v>74</v>
      </c>
      <c r="Y163" s="1" t="s">
        <v>74</v>
      </c>
      <c r="Z163" s="1" t="s">
        <v>74</v>
      </c>
      <c r="AA163" s="1" t="s">
        <v>1746</v>
      </c>
      <c r="AB163" s="1" t="s">
        <v>1747</v>
      </c>
      <c r="AC163" s="1" t="s">
        <v>74</v>
      </c>
      <c r="AD163" s="1" t="s">
        <v>74</v>
      </c>
      <c r="AE163" s="1" t="s">
        <v>74</v>
      </c>
      <c r="AF163" s="1" t="s">
        <v>74</v>
      </c>
      <c r="AG163" s="1" t="s">
        <v>74</v>
      </c>
      <c r="AH163" s="1" t="s">
        <v>74</v>
      </c>
      <c r="AI163" s="1" t="s">
        <v>74</v>
      </c>
      <c r="AJ163" s="1" t="s">
        <v>74</v>
      </c>
      <c r="AK163" s="1" t="s">
        <v>74</v>
      </c>
      <c r="AL163" s="1" t="s">
        <v>74</v>
      </c>
      <c r="AM163" s="1" t="s">
        <v>74</v>
      </c>
      <c r="AN163" s="1" t="s">
        <v>74</v>
      </c>
      <c r="AO163" s="1" t="s">
        <v>1748</v>
      </c>
      <c r="AP163" s="1" t="s">
        <v>1749</v>
      </c>
      <c r="AQ163" s="1" t="s">
        <v>74</v>
      </c>
      <c r="AR163" s="1" t="s">
        <v>74</v>
      </c>
      <c r="AS163" s="1" t="s">
        <v>74</v>
      </c>
      <c r="AT163" s="1" t="s">
        <v>1750</v>
      </c>
      <c r="AU163" s="1">
        <v>2014.0</v>
      </c>
      <c r="AV163" s="1">
        <v>49.0</v>
      </c>
      <c r="AW163" s="1">
        <v>5.0</v>
      </c>
      <c r="AX163" s="1" t="s">
        <v>74</v>
      </c>
      <c r="AY163" s="1" t="s">
        <v>74</v>
      </c>
      <c r="AZ163" s="1" t="s">
        <v>74</v>
      </c>
      <c r="BA163" s="1" t="s">
        <v>74</v>
      </c>
      <c r="BB163" s="1">
        <v>584.0</v>
      </c>
      <c r="BC163" s="1">
        <v>592.0</v>
      </c>
      <c r="BD163" s="1" t="s">
        <v>74</v>
      </c>
      <c r="BE163" s="1" t="s">
        <v>1751</v>
      </c>
      <c r="BF163" s="2" t="str">
        <f>HYPERLINK("http://dx.doi.org/10.1080/10934529.2014.859462","http://dx.doi.org/10.1080/10934529.2014.859462")</f>
        <v>http://dx.doi.org/10.1080/10934529.2014.859462</v>
      </c>
      <c r="BG163" s="1" t="s">
        <v>74</v>
      </c>
      <c r="BH163" s="1" t="s">
        <v>74</v>
      </c>
      <c r="BI163" s="1" t="s">
        <v>74</v>
      </c>
      <c r="BJ163" s="1" t="s">
        <v>74</v>
      </c>
      <c r="BK163" s="1" t="s">
        <v>74</v>
      </c>
      <c r="BL163" s="1" t="s">
        <v>74</v>
      </c>
      <c r="BM163" s="1" t="s">
        <v>74</v>
      </c>
      <c r="BN163" s="1">
        <v>2.4410689E7</v>
      </c>
      <c r="BO163" s="1" t="s">
        <v>74</v>
      </c>
      <c r="BP163" s="1" t="s">
        <v>74</v>
      </c>
      <c r="BQ163" s="1" t="s">
        <v>74</v>
      </c>
      <c r="BR163" s="1" t="s">
        <v>74</v>
      </c>
      <c r="BS163" s="1" t="s">
        <v>1752</v>
      </c>
      <c r="BT163" s="1" t="str">
        <f>HYPERLINK("https%3A%2F%2Fwww.webofscience.com%2Fwos%2Fwoscc%2Ffull-record%2FWOS:000329779800010","View Full Record in Web of Science")</f>
        <v>View Full Record in Web of Science</v>
      </c>
    </row>
    <row r="164" ht="12.75" customHeight="1">
      <c r="A164" s="1" t="s">
        <v>72</v>
      </c>
      <c r="B164" s="1" t="s">
        <v>1753</v>
      </c>
      <c r="C164" s="1" t="s">
        <v>74</v>
      </c>
      <c r="D164" s="1" t="s">
        <v>74</v>
      </c>
      <c r="E164" s="1" t="s">
        <v>74</v>
      </c>
      <c r="F164" s="1" t="s">
        <v>1754</v>
      </c>
      <c r="G164" s="1" t="s">
        <v>74</v>
      </c>
      <c r="H164" s="1" t="s">
        <v>74</v>
      </c>
      <c r="I164" s="1" t="s">
        <v>1755</v>
      </c>
      <c r="J164" s="1" t="s">
        <v>1756</v>
      </c>
      <c r="K164" s="1" t="s">
        <v>74</v>
      </c>
      <c r="L164" s="1" t="s">
        <v>74</v>
      </c>
      <c r="M164" s="1" t="s">
        <v>74</v>
      </c>
      <c r="N164" s="1" t="s">
        <v>74</v>
      </c>
      <c r="O164" s="1" t="s">
        <v>74</v>
      </c>
      <c r="P164" s="1" t="s">
        <v>74</v>
      </c>
      <c r="Q164" s="1" t="s">
        <v>74</v>
      </c>
      <c r="R164" s="1" t="s">
        <v>74</v>
      </c>
      <c r="S164" s="1" t="s">
        <v>74</v>
      </c>
      <c r="T164" s="1" t="s">
        <v>74</v>
      </c>
      <c r="U164" s="1" t="s">
        <v>74</v>
      </c>
      <c r="V164" s="1" t="s">
        <v>1757</v>
      </c>
      <c r="W164" s="1" t="s">
        <v>74</v>
      </c>
      <c r="X164" s="1" t="s">
        <v>74</v>
      </c>
      <c r="Y164" s="1" t="s">
        <v>74</v>
      </c>
      <c r="Z164" s="1" t="s">
        <v>74</v>
      </c>
      <c r="AA164" s="1" t="s">
        <v>1758</v>
      </c>
      <c r="AB164" s="1" t="s">
        <v>1759</v>
      </c>
      <c r="AC164" s="1" t="s">
        <v>74</v>
      </c>
      <c r="AD164" s="1" t="s">
        <v>74</v>
      </c>
      <c r="AE164" s="1" t="s">
        <v>74</v>
      </c>
      <c r="AF164" s="1" t="s">
        <v>74</v>
      </c>
      <c r="AG164" s="1" t="s">
        <v>74</v>
      </c>
      <c r="AH164" s="1" t="s">
        <v>74</v>
      </c>
      <c r="AI164" s="1" t="s">
        <v>74</v>
      </c>
      <c r="AJ164" s="1" t="s">
        <v>74</v>
      </c>
      <c r="AK164" s="1" t="s">
        <v>74</v>
      </c>
      <c r="AL164" s="1" t="s">
        <v>74</v>
      </c>
      <c r="AM164" s="1" t="s">
        <v>74</v>
      </c>
      <c r="AN164" s="1" t="s">
        <v>74</v>
      </c>
      <c r="AO164" s="1" t="s">
        <v>1760</v>
      </c>
      <c r="AP164" s="1" t="s">
        <v>1761</v>
      </c>
      <c r="AQ164" s="1" t="s">
        <v>74</v>
      </c>
      <c r="AR164" s="1" t="s">
        <v>74</v>
      </c>
      <c r="AS164" s="1" t="s">
        <v>74</v>
      </c>
      <c r="AT164" s="1" t="s">
        <v>112</v>
      </c>
      <c r="AU164" s="1">
        <v>2013.0</v>
      </c>
      <c r="AV164" s="1">
        <v>76.0</v>
      </c>
      <c r="AW164" s="1">
        <v>8.0</v>
      </c>
      <c r="AX164" s="1" t="s">
        <v>74</v>
      </c>
      <c r="AY164" s="1" t="s">
        <v>74</v>
      </c>
      <c r="AZ164" s="1" t="s">
        <v>74</v>
      </c>
      <c r="BA164" s="1" t="s">
        <v>74</v>
      </c>
      <c r="BB164" s="1">
        <v>997.0</v>
      </c>
      <c r="BC164" s="1">
        <v>1015.0</v>
      </c>
      <c r="BD164" s="1" t="s">
        <v>74</v>
      </c>
      <c r="BE164" s="1" t="s">
        <v>1762</v>
      </c>
      <c r="BF164" s="2" t="str">
        <f>HYPERLINK("http://dx.doi.org/10.1007/s00184-012-0428-2","http://dx.doi.org/10.1007/s00184-012-0428-2")</f>
        <v>http://dx.doi.org/10.1007/s00184-012-0428-2</v>
      </c>
      <c r="BG164" s="1" t="s">
        <v>74</v>
      </c>
      <c r="BH164" s="1" t="s">
        <v>74</v>
      </c>
      <c r="BI164" s="1" t="s">
        <v>74</v>
      </c>
      <c r="BJ164" s="1" t="s">
        <v>74</v>
      </c>
      <c r="BK164" s="1" t="s">
        <v>74</v>
      </c>
      <c r="BL164" s="1" t="s">
        <v>74</v>
      </c>
      <c r="BM164" s="1" t="s">
        <v>74</v>
      </c>
      <c r="BN164" s="1" t="s">
        <v>74</v>
      </c>
      <c r="BO164" s="1" t="s">
        <v>74</v>
      </c>
      <c r="BP164" s="1" t="s">
        <v>74</v>
      </c>
      <c r="BQ164" s="1" t="s">
        <v>74</v>
      </c>
      <c r="BR164" s="1" t="s">
        <v>74</v>
      </c>
      <c r="BS164" s="1" t="s">
        <v>1763</v>
      </c>
      <c r="BT164" s="1" t="str">
        <f>HYPERLINK("https%3A%2F%2Fwww.webofscience.com%2Fwos%2Fwoscc%2Ffull-record%2FWOS:000326091600001","View Full Record in Web of Science")</f>
        <v>View Full Record in Web of Science</v>
      </c>
    </row>
    <row r="165" ht="12.75" customHeight="1">
      <c r="A165" s="1" t="s">
        <v>72</v>
      </c>
      <c r="B165" s="1" t="s">
        <v>1764</v>
      </c>
      <c r="C165" s="1" t="s">
        <v>74</v>
      </c>
      <c r="D165" s="1" t="s">
        <v>74</v>
      </c>
      <c r="E165" s="1" t="s">
        <v>74</v>
      </c>
      <c r="F165" s="1" t="s">
        <v>1765</v>
      </c>
      <c r="G165" s="1" t="s">
        <v>74</v>
      </c>
      <c r="H165" s="1" t="s">
        <v>74</v>
      </c>
      <c r="I165" s="1" t="s">
        <v>1766</v>
      </c>
      <c r="J165" s="1" t="s">
        <v>1767</v>
      </c>
      <c r="K165" s="1" t="s">
        <v>74</v>
      </c>
      <c r="L165" s="1" t="s">
        <v>74</v>
      </c>
      <c r="M165" s="1" t="s">
        <v>74</v>
      </c>
      <c r="N165" s="1" t="s">
        <v>74</v>
      </c>
      <c r="O165" s="1" t="s">
        <v>74</v>
      </c>
      <c r="P165" s="1" t="s">
        <v>74</v>
      </c>
      <c r="Q165" s="1" t="s">
        <v>74</v>
      </c>
      <c r="R165" s="1" t="s">
        <v>74</v>
      </c>
      <c r="S165" s="1" t="s">
        <v>74</v>
      </c>
      <c r="T165" s="1" t="s">
        <v>74</v>
      </c>
      <c r="U165" s="1" t="s">
        <v>74</v>
      </c>
      <c r="V165" s="1" t="s">
        <v>1768</v>
      </c>
      <c r="W165" s="1" t="s">
        <v>74</v>
      </c>
      <c r="X165" s="1" t="s">
        <v>74</v>
      </c>
      <c r="Y165" s="1" t="s">
        <v>74</v>
      </c>
      <c r="Z165" s="1" t="s">
        <v>74</v>
      </c>
      <c r="AA165" s="1" t="s">
        <v>1769</v>
      </c>
      <c r="AB165" s="1" t="s">
        <v>1770</v>
      </c>
      <c r="AC165" s="1" t="s">
        <v>74</v>
      </c>
      <c r="AD165" s="1" t="s">
        <v>74</v>
      </c>
      <c r="AE165" s="1" t="s">
        <v>74</v>
      </c>
      <c r="AF165" s="1" t="s">
        <v>74</v>
      </c>
      <c r="AG165" s="1" t="s">
        <v>74</v>
      </c>
      <c r="AH165" s="1" t="s">
        <v>74</v>
      </c>
      <c r="AI165" s="1" t="s">
        <v>74</v>
      </c>
      <c r="AJ165" s="1" t="s">
        <v>74</v>
      </c>
      <c r="AK165" s="1" t="s">
        <v>74</v>
      </c>
      <c r="AL165" s="1" t="s">
        <v>74</v>
      </c>
      <c r="AM165" s="1" t="s">
        <v>74</v>
      </c>
      <c r="AN165" s="1" t="s">
        <v>74</v>
      </c>
      <c r="AO165" s="1" t="s">
        <v>1771</v>
      </c>
      <c r="AP165" s="1" t="s">
        <v>1772</v>
      </c>
      <c r="AQ165" s="1" t="s">
        <v>74</v>
      </c>
      <c r="AR165" s="1" t="s">
        <v>74</v>
      </c>
      <c r="AS165" s="1" t="s">
        <v>74</v>
      </c>
      <c r="AT165" s="1" t="s">
        <v>363</v>
      </c>
      <c r="AU165" s="1">
        <v>2013.0</v>
      </c>
      <c r="AV165" s="1">
        <v>10.0</v>
      </c>
      <c r="AW165" s="1">
        <v>9.0</v>
      </c>
      <c r="AX165" s="1" t="s">
        <v>74</v>
      </c>
      <c r="AY165" s="1" t="s">
        <v>74</v>
      </c>
      <c r="AZ165" s="1" t="s">
        <v>74</v>
      </c>
      <c r="BA165" s="1" t="s">
        <v>74</v>
      </c>
      <c r="BB165" s="1" t="s">
        <v>74</v>
      </c>
      <c r="BC165" s="1" t="s">
        <v>74</v>
      </c>
      <c r="BD165" s="1">
        <v>1350046.0</v>
      </c>
      <c r="BE165" s="1" t="s">
        <v>1773</v>
      </c>
      <c r="BF165" s="2" t="str">
        <f>HYPERLINK("http://dx.doi.org/10.1142/S0219887813500461","http://dx.doi.org/10.1142/S0219887813500461")</f>
        <v>http://dx.doi.org/10.1142/S0219887813500461</v>
      </c>
      <c r="BG165" s="1" t="s">
        <v>74</v>
      </c>
      <c r="BH165" s="1" t="s">
        <v>74</v>
      </c>
      <c r="BI165" s="1" t="s">
        <v>74</v>
      </c>
      <c r="BJ165" s="1" t="s">
        <v>74</v>
      </c>
      <c r="BK165" s="1" t="s">
        <v>74</v>
      </c>
      <c r="BL165" s="1" t="s">
        <v>74</v>
      </c>
      <c r="BM165" s="1" t="s">
        <v>74</v>
      </c>
      <c r="BN165" s="1" t="s">
        <v>74</v>
      </c>
      <c r="BO165" s="1" t="s">
        <v>74</v>
      </c>
      <c r="BP165" s="1" t="s">
        <v>74</v>
      </c>
      <c r="BQ165" s="1" t="s">
        <v>74</v>
      </c>
      <c r="BR165" s="1" t="s">
        <v>74</v>
      </c>
      <c r="BS165" s="1" t="s">
        <v>1774</v>
      </c>
      <c r="BT165" s="1" t="str">
        <f>HYPERLINK("https%3A%2F%2Fwww.webofscience.com%2Fwos%2Fwoscc%2Ffull-record%2FWOS:000324251100012","View Full Record in Web of Science")</f>
        <v>View Full Record in Web of Science</v>
      </c>
    </row>
    <row r="166" ht="12.75" customHeight="1">
      <c r="A166" s="1" t="s">
        <v>72</v>
      </c>
      <c r="B166" s="1" t="s">
        <v>1775</v>
      </c>
      <c r="C166" s="1" t="s">
        <v>74</v>
      </c>
      <c r="D166" s="1" t="s">
        <v>74</v>
      </c>
      <c r="E166" s="1" t="s">
        <v>74</v>
      </c>
      <c r="F166" s="1" t="s">
        <v>1776</v>
      </c>
      <c r="G166" s="1" t="s">
        <v>74</v>
      </c>
      <c r="H166" s="1" t="s">
        <v>74</v>
      </c>
      <c r="I166" s="1" t="s">
        <v>1777</v>
      </c>
      <c r="J166" s="1" t="s">
        <v>1778</v>
      </c>
      <c r="K166" s="1" t="s">
        <v>74</v>
      </c>
      <c r="L166" s="1" t="s">
        <v>74</v>
      </c>
      <c r="M166" s="1" t="s">
        <v>74</v>
      </c>
      <c r="N166" s="1" t="s">
        <v>74</v>
      </c>
      <c r="O166" s="1" t="s">
        <v>74</v>
      </c>
      <c r="P166" s="1" t="s">
        <v>74</v>
      </c>
      <c r="Q166" s="1" t="s">
        <v>74</v>
      </c>
      <c r="R166" s="1" t="s">
        <v>74</v>
      </c>
      <c r="S166" s="1" t="s">
        <v>74</v>
      </c>
      <c r="T166" s="1" t="s">
        <v>74</v>
      </c>
      <c r="U166" s="1" t="s">
        <v>74</v>
      </c>
      <c r="V166" s="1" t="s">
        <v>1779</v>
      </c>
      <c r="W166" s="1" t="s">
        <v>74</v>
      </c>
      <c r="X166" s="1" t="s">
        <v>74</v>
      </c>
      <c r="Y166" s="1" t="s">
        <v>74</v>
      </c>
      <c r="Z166" s="1" t="s">
        <v>74</v>
      </c>
      <c r="AA166" s="1" t="s">
        <v>1780</v>
      </c>
      <c r="AB166" s="1" t="s">
        <v>1781</v>
      </c>
      <c r="AC166" s="1" t="s">
        <v>74</v>
      </c>
      <c r="AD166" s="1" t="s">
        <v>74</v>
      </c>
      <c r="AE166" s="1" t="s">
        <v>74</v>
      </c>
      <c r="AF166" s="1" t="s">
        <v>74</v>
      </c>
      <c r="AG166" s="1" t="s">
        <v>74</v>
      </c>
      <c r="AH166" s="1" t="s">
        <v>74</v>
      </c>
      <c r="AI166" s="1" t="s">
        <v>74</v>
      </c>
      <c r="AJ166" s="1" t="s">
        <v>74</v>
      </c>
      <c r="AK166" s="1" t="s">
        <v>74</v>
      </c>
      <c r="AL166" s="1" t="s">
        <v>74</v>
      </c>
      <c r="AM166" s="1" t="s">
        <v>74</v>
      </c>
      <c r="AN166" s="1" t="s">
        <v>74</v>
      </c>
      <c r="AO166" s="1" t="s">
        <v>1782</v>
      </c>
      <c r="AP166" s="1" t="s">
        <v>74</v>
      </c>
      <c r="AQ166" s="1" t="s">
        <v>74</v>
      </c>
      <c r="AR166" s="1" t="s">
        <v>74</v>
      </c>
      <c r="AS166" s="1" t="s">
        <v>74</v>
      </c>
      <c r="AT166" s="1" t="s">
        <v>363</v>
      </c>
      <c r="AU166" s="1">
        <v>2013.0</v>
      </c>
      <c r="AV166" s="1">
        <v>56.0</v>
      </c>
      <c r="AW166" s="1">
        <v>3.0</v>
      </c>
      <c r="AX166" s="1" t="s">
        <v>74</v>
      </c>
      <c r="AY166" s="1" t="s">
        <v>74</v>
      </c>
      <c r="AZ166" s="1" t="s">
        <v>74</v>
      </c>
      <c r="BA166" s="1" t="s">
        <v>74</v>
      </c>
      <c r="BB166" s="1">
        <v>853.0</v>
      </c>
      <c r="BC166" s="1">
        <v>871.0</v>
      </c>
      <c r="BD166" s="1" t="s">
        <v>74</v>
      </c>
      <c r="BE166" s="1" t="s">
        <v>1783</v>
      </c>
      <c r="BF166" s="2" t="str">
        <f>HYPERLINK("http://dx.doi.org/10.1017/S0013091513000606","http://dx.doi.org/10.1017/S0013091513000606")</f>
        <v>http://dx.doi.org/10.1017/S0013091513000606</v>
      </c>
      <c r="BG166" s="1" t="s">
        <v>74</v>
      </c>
      <c r="BH166" s="1" t="s">
        <v>74</v>
      </c>
      <c r="BI166" s="1" t="s">
        <v>74</v>
      </c>
      <c r="BJ166" s="1" t="s">
        <v>74</v>
      </c>
      <c r="BK166" s="1" t="s">
        <v>74</v>
      </c>
      <c r="BL166" s="1" t="s">
        <v>74</v>
      </c>
      <c r="BM166" s="1" t="s">
        <v>74</v>
      </c>
      <c r="BN166" s="1" t="s">
        <v>74</v>
      </c>
      <c r="BO166" s="1" t="s">
        <v>74</v>
      </c>
      <c r="BP166" s="1" t="s">
        <v>74</v>
      </c>
      <c r="BQ166" s="1" t="s">
        <v>74</v>
      </c>
      <c r="BR166" s="1" t="s">
        <v>74</v>
      </c>
      <c r="BS166" s="1" t="s">
        <v>1784</v>
      </c>
      <c r="BT166" s="1" t="str">
        <f>HYPERLINK("https%3A%2F%2Fwww.webofscience.com%2Fwos%2Fwoscc%2Ffull-record%2FWOS:000323890600011","View Full Record in Web of Science")</f>
        <v>View Full Record in Web of Science</v>
      </c>
    </row>
    <row r="167" ht="12.75" customHeight="1">
      <c r="A167" s="1" t="s">
        <v>72</v>
      </c>
      <c r="B167" s="1" t="s">
        <v>1785</v>
      </c>
      <c r="C167" s="1" t="s">
        <v>74</v>
      </c>
      <c r="D167" s="1" t="s">
        <v>74</v>
      </c>
      <c r="E167" s="1" t="s">
        <v>74</v>
      </c>
      <c r="F167" s="1" t="s">
        <v>1786</v>
      </c>
      <c r="G167" s="1" t="s">
        <v>74</v>
      </c>
      <c r="H167" s="1" t="s">
        <v>74</v>
      </c>
      <c r="I167" s="1" t="s">
        <v>1787</v>
      </c>
      <c r="J167" s="1" t="s">
        <v>1788</v>
      </c>
      <c r="K167" s="1" t="s">
        <v>74</v>
      </c>
      <c r="L167" s="1" t="s">
        <v>74</v>
      </c>
      <c r="M167" s="1" t="s">
        <v>74</v>
      </c>
      <c r="N167" s="1" t="s">
        <v>74</v>
      </c>
      <c r="O167" s="1" t="s">
        <v>74</v>
      </c>
      <c r="P167" s="1" t="s">
        <v>74</v>
      </c>
      <c r="Q167" s="1" t="s">
        <v>74</v>
      </c>
      <c r="R167" s="1" t="s">
        <v>74</v>
      </c>
      <c r="S167" s="1" t="s">
        <v>74</v>
      </c>
      <c r="T167" s="1" t="s">
        <v>74</v>
      </c>
      <c r="U167" s="1" t="s">
        <v>74</v>
      </c>
      <c r="V167" s="1" t="s">
        <v>1789</v>
      </c>
      <c r="W167" s="1" t="s">
        <v>74</v>
      </c>
      <c r="X167" s="1" t="s">
        <v>74</v>
      </c>
      <c r="Y167" s="1" t="s">
        <v>74</v>
      </c>
      <c r="Z167" s="1" t="s">
        <v>74</v>
      </c>
      <c r="AA167" s="1" t="s">
        <v>1790</v>
      </c>
      <c r="AB167" s="1" t="s">
        <v>1791</v>
      </c>
      <c r="AC167" s="1" t="s">
        <v>74</v>
      </c>
      <c r="AD167" s="1" t="s">
        <v>74</v>
      </c>
      <c r="AE167" s="1" t="s">
        <v>74</v>
      </c>
      <c r="AF167" s="1" t="s">
        <v>74</v>
      </c>
      <c r="AG167" s="1" t="s">
        <v>74</v>
      </c>
      <c r="AH167" s="1" t="s">
        <v>74</v>
      </c>
      <c r="AI167" s="1" t="s">
        <v>74</v>
      </c>
      <c r="AJ167" s="1" t="s">
        <v>74</v>
      </c>
      <c r="AK167" s="1" t="s">
        <v>74</v>
      </c>
      <c r="AL167" s="1" t="s">
        <v>74</v>
      </c>
      <c r="AM167" s="1" t="s">
        <v>74</v>
      </c>
      <c r="AN167" s="1" t="s">
        <v>74</v>
      </c>
      <c r="AO167" s="1" t="s">
        <v>1792</v>
      </c>
      <c r="AP167" s="1" t="s">
        <v>1793</v>
      </c>
      <c r="AQ167" s="1" t="s">
        <v>74</v>
      </c>
      <c r="AR167" s="1" t="s">
        <v>74</v>
      </c>
      <c r="AS167" s="1" t="s">
        <v>74</v>
      </c>
      <c r="AT167" s="1" t="s">
        <v>421</v>
      </c>
      <c r="AU167" s="1">
        <v>2013.0</v>
      </c>
      <c r="AV167" s="1">
        <v>29.0</v>
      </c>
      <c r="AW167" s="1">
        <v>5.0</v>
      </c>
      <c r="AX167" s="1" t="s">
        <v>74</v>
      </c>
      <c r="AY167" s="1" t="s">
        <v>74</v>
      </c>
      <c r="AZ167" s="1" t="s">
        <v>74</v>
      </c>
      <c r="BA167" s="1" t="s">
        <v>74</v>
      </c>
      <c r="BB167" s="1">
        <v>772.0</v>
      </c>
      <c r="BC167" s="1">
        <v>776.0</v>
      </c>
      <c r="BD167" s="1" t="s">
        <v>74</v>
      </c>
      <c r="BE167" s="1" t="s">
        <v>1794</v>
      </c>
      <c r="BF167" s="2" t="str">
        <f>HYPERLINK("http://dx.doi.org/10.1016/j.nut.2012.10.006","http://dx.doi.org/10.1016/j.nut.2012.10.006")</f>
        <v>http://dx.doi.org/10.1016/j.nut.2012.10.006</v>
      </c>
      <c r="BG167" s="1" t="s">
        <v>74</v>
      </c>
      <c r="BH167" s="1" t="s">
        <v>74</v>
      </c>
      <c r="BI167" s="1" t="s">
        <v>74</v>
      </c>
      <c r="BJ167" s="1" t="s">
        <v>74</v>
      </c>
      <c r="BK167" s="1" t="s">
        <v>74</v>
      </c>
      <c r="BL167" s="1" t="s">
        <v>74</v>
      </c>
      <c r="BM167" s="1" t="s">
        <v>74</v>
      </c>
      <c r="BN167" s="1">
        <v>2.331325E7</v>
      </c>
      <c r="BO167" s="1" t="s">
        <v>74</v>
      </c>
      <c r="BP167" s="1" t="s">
        <v>74</v>
      </c>
      <c r="BQ167" s="1" t="s">
        <v>74</v>
      </c>
      <c r="BR167" s="1" t="s">
        <v>74</v>
      </c>
      <c r="BS167" s="1" t="s">
        <v>1795</v>
      </c>
      <c r="BT167" s="1" t="str">
        <f>HYPERLINK("https%3A%2F%2Fwww.webofscience.com%2Fwos%2Fwoscc%2Ffull-record%2FWOS:000318189600013","View Full Record in Web of Science")</f>
        <v>View Full Record in Web of Science</v>
      </c>
    </row>
    <row r="168" ht="12.75" customHeight="1">
      <c r="A168" s="1" t="s">
        <v>72</v>
      </c>
      <c r="B168" s="1" t="s">
        <v>1796</v>
      </c>
      <c r="C168" s="1" t="s">
        <v>74</v>
      </c>
      <c r="D168" s="1" t="s">
        <v>74</v>
      </c>
      <c r="E168" s="1" t="s">
        <v>74</v>
      </c>
      <c r="F168" s="1" t="s">
        <v>1797</v>
      </c>
      <c r="G168" s="1" t="s">
        <v>74</v>
      </c>
      <c r="H168" s="1" t="s">
        <v>74</v>
      </c>
      <c r="I168" s="1" t="s">
        <v>1798</v>
      </c>
      <c r="J168" s="1" t="s">
        <v>1799</v>
      </c>
      <c r="K168" s="1" t="s">
        <v>74</v>
      </c>
      <c r="L168" s="1" t="s">
        <v>74</v>
      </c>
      <c r="M168" s="1" t="s">
        <v>74</v>
      </c>
      <c r="N168" s="1" t="s">
        <v>74</v>
      </c>
      <c r="O168" s="1" t="s">
        <v>74</v>
      </c>
      <c r="P168" s="1" t="s">
        <v>74</v>
      </c>
      <c r="Q168" s="1" t="s">
        <v>74</v>
      </c>
      <c r="R168" s="1" t="s">
        <v>74</v>
      </c>
      <c r="S168" s="1" t="s">
        <v>74</v>
      </c>
      <c r="T168" s="1" t="s">
        <v>74</v>
      </c>
      <c r="U168" s="1" t="s">
        <v>74</v>
      </c>
      <c r="V168" s="1" t="s">
        <v>1800</v>
      </c>
      <c r="W168" s="1" t="s">
        <v>74</v>
      </c>
      <c r="X168" s="1" t="s">
        <v>74</v>
      </c>
      <c r="Y168" s="1" t="s">
        <v>74</v>
      </c>
      <c r="Z168" s="1" t="s">
        <v>74</v>
      </c>
      <c r="AA168" s="1" t="s">
        <v>1801</v>
      </c>
      <c r="AB168" s="1" t="s">
        <v>1802</v>
      </c>
      <c r="AC168" s="1" t="s">
        <v>74</v>
      </c>
      <c r="AD168" s="1" t="s">
        <v>74</v>
      </c>
      <c r="AE168" s="1" t="s">
        <v>74</v>
      </c>
      <c r="AF168" s="1" t="s">
        <v>74</v>
      </c>
      <c r="AG168" s="1" t="s">
        <v>74</v>
      </c>
      <c r="AH168" s="1" t="s">
        <v>74</v>
      </c>
      <c r="AI168" s="1" t="s">
        <v>74</v>
      </c>
      <c r="AJ168" s="1" t="s">
        <v>74</v>
      </c>
      <c r="AK168" s="1" t="s">
        <v>74</v>
      </c>
      <c r="AL168" s="1" t="s">
        <v>74</v>
      </c>
      <c r="AM168" s="1" t="s">
        <v>74</v>
      </c>
      <c r="AN168" s="1" t="s">
        <v>74</v>
      </c>
      <c r="AO168" s="1" t="s">
        <v>1803</v>
      </c>
      <c r="AP168" s="1" t="s">
        <v>1804</v>
      </c>
      <c r="AQ168" s="1" t="s">
        <v>74</v>
      </c>
      <c r="AR168" s="1" t="s">
        <v>74</v>
      </c>
      <c r="AS168" s="1" t="s">
        <v>74</v>
      </c>
      <c r="AT168" s="1" t="s">
        <v>74</v>
      </c>
      <c r="AU168" s="1">
        <v>2013.0</v>
      </c>
      <c r="AV168" s="1">
        <v>32.0</v>
      </c>
      <c r="AW168" s="1">
        <v>2.0</v>
      </c>
      <c r="AX168" s="1" t="s">
        <v>74</v>
      </c>
      <c r="AY168" s="1" t="s">
        <v>74</v>
      </c>
      <c r="AZ168" s="1" t="s">
        <v>74</v>
      </c>
      <c r="BA168" s="1" t="s">
        <v>74</v>
      </c>
      <c r="BB168" s="1">
        <v>199.0</v>
      </c>
      <c r="BC168" s="1">
        <v>214.0</v>
      </c>
      <c r="BD168" s="1" t="s">
        <v>74</v>
      </c>
      <c r="BE168" s="1" t="s">
        <v>1805</v>
      </c>
      <c r="BF168" s="2" t="str">
        <f>HYPERLINK("http://dx.doi.org/10.4171/ZAA/1481","http://dx.doi.org/10.4171/ZAA/1481")</f>
        <v>http://dx.doi.org/10.4171/ZAA/1481</v>
      </c>
      <c r="BG168" s="1" t="s">
        <v>74</v>
      </c>
      <c r="BH168" s="1" t="s">
        <v>74</v>
      </c>
      <c r="BI168" s="1" t="s">
        <v>74</v>
      </c>
      <c r="BJ168" s="1" t="s">
        <v>74</v>
      </c>
      <c r="BK168" s="1" t="s">
        <v>74</v>
      </c>
      <c r="BL168" s="1" t="s">
        <v>74</v>
      </c>
      <c r="BM168" s="1" t="s">
        <v>74</v>
      </c>
      <c r="BN168" s="1" t="s">
        <v>74</v>
      </c>
      <c r="BO168" s="1" t="s">
        <v>74</v>
      </c>
      <c r="BP168" s="1" t="s">
        <v>74</v>
      </c>
      <c r="BQ168" s="1" t="s">
        <v>74</v>
      </c>
      <c r="BR168" s="1" t="s">
        <v>74</v>
      </c>
      <c r="BS168" s="1" t="s">
        <v>1806</v>
      </c>
      <c r="BT168" s="1" t="str">
        <f>HYPERLINK("https%3A%2F%2Fwww.webofscience.com%2Fwos%2Fwoscc%2Ffull-record%2FWOS:000320488000005","View Full Record in Web of Science")</f>
        <v>View Full Record in Web of Science</v>
      </c>
    </row>
    <row r="169" ht="12.75" customHeight="1">
      <c r="A169" s="1" t="s">
        <v>72</v>
      </c>
      <c r="B169" s="1" t="s">
        <v>1807</v>
      </c>
      <c r="C169" s="1" t="s">
        <v>74</v>
      </c>
      <c r="D169" s="1" t="s">
        <v>74</v>
      </c>
      <c r="E169" s="1" t="s">
        <v>74</v>
      </c>
      <c r="F169" s="1" t="s">
        <v>1808</v>
      </c>
      <c r="G169" s="1" t="s">
        <v>74</v>
      </c>
      <c r="H169" s="1" t="s">
        <v>74</v>
      </c>
      <c r="I169" s="1" t="s">
        <v>1809</v>
      </c>
      <c r="J169" s="1" t="s">
        <v>236</v>
      </c>
      <c r="K169" s="1" t="s">
        <v>74</v>
      </c>
      <c r="L169" s="1" t="s">
        <v>74</v>
      </c>
      <c r="M169" s="1" t="s">
        <v>74</v>
      </c>
      <c r="N169" s="1" t="s">
        <v>74</v>
      </c>
      <c r="O169" s="1" t="s">
        <v>74</v>
      </c>
      <c r="P169" s="1" t="s">
        <v>74</v>
      </c>
      <c r="Q169" s="1" t="s">
        <v>74</v>
      </c>
      <c r="R169" s="1" t="s">
        <v>74</v>
      </c>
      <c r="S169" s="1" t="s">
        <v>74</v>
      </c>
      <c r="T169" s="1" t="s">
        <v>74</v>
      </c>
      <c r="U169" s="1" t="s">
        <v>74</v>
      </c>
      <c r="V169" s="1" t="s">
        <v>1810</v>
      </c>
      <c r="W169" s="1" t="s">
        <v>74</v>
      </c>
      <c r="X169" s="1" t="s">
        <v>74</v>
      </c>
      <c r="Y169" s="1" t="s">
        <v>74</v>
      </c>
      <c r="Z169" s="1" t="s">
        <v>74</v>
      </c>
      <c r="AA169" s="1" t="s">
        <v>74</v>
      </c>
      <c r="AB169" s="1" t="s">
        <v>74</v>
      </c>
      <c r="AC169" s="1" t="s">
        <v>74</v>
      </c>
      <c r="AD169" s="1" t="s">
        <v>74</v>
      </c>
      <c r="AE169" s="1" t="s">
        <v>74</v>
      </c>
      <c r="AF169" s="1" t="s">
        <v>74</v>
      </c>
      <c r="AG169" s="1" t="s">
        <v>74</v>
      </c>
      <c r="AH169" s="1" t="s">
        <v>74</v>
      </c>
      <c r="AI169" s="1" t="s">
        <v>74</v>
      </c>
      <c r="AJ169" s="1" t="s">
        <v>74</v>
      </c>
      <c r="AK169" s="1" t="s">
        <v>74</v>
      </c>
      <c r="AL169" s="1" t="s">
        <v>74</v>
      </c>
      <c r="AM169" s="1" t="s">
        <v>74</v>
      </c>
      <c r="AN169" s="1" t="s">
        <v>74</v>
      </c>
      <c r="AO169" s="1" t="s">
        <v>1811</v>
      </c>
      <c r="AP169" s="1" t="s">
        <v>74</v>
      </c>
      <c r="AQ169" s="1" t="s">
        <v>74</v>
      </c>
      <c r="AR169" s="1" t="s">
        <v>74</v>
      </c>
      <c r="AS169" s="1" t="s">
        <v>74</v>
      </c>
      <c r="AT169" s="1" t="s">
        <v>699</v>
      </c>
      <c r="AU169" s="1">
        <v>2012.0</v>
      </c>
      <c r="AV169" s="1">
        <v>45.0</v>
      </c>
      <c r="AW169" s="1">
        <v>2.0</v>
      </c>
      <c r="AX169" s="1" t="s">
        <v>74</v>
      </c>
      <c r="AY169" s="1" t="s">
        <v>74</v>
      </c>
      <c r="AZ169" s="1" t="s">
        <v>74</v>
      </c>
      <c r="BA169" s="1" t="s">
        <v>74</v>
      </c>
      <c r="BB169" s="1">
        <v>433.0</v>
      </c>
      <c r="BC169" s="1">
        <v>454.0</v>
      </c>
      <c r="BD169" s="1" t="s">
        <v>74</v>
      </c>
      <c r="BE169" s="1" t="s">
        <v>74</v>
      </c>
      <c r="BF169" s="1" t="s">
        <v>74</v>
      </c>
      <c r="BG169" s="1" t="s">
        <v>74</v>
      </c>
      <c r="BH169" s="1" t="s">
        <v>74</v>
      </c>
      <c r="BI169" s="1" t="s">
        <v>74</v>
      </c>
      <c r="BJ169" s="1" t="s">
        <v>74</v>
      </c>
      <c r="BK169" s="1" t="s">
        <v>74</v>
      </c>
      <c r="BL169" s="1" t="s">
        <v>74</v>
      </c>
      <c r="BM169" s="1" t="s">
        <v>74</v>
      </c>
      <c r="BN169" s="1" t="s">
        <v>74</v>
      </c>
      <c r="BO169" s="1" t="s">
        <v>74</v>
      </c>
      <c r="BP169" s="1" t="s">
        <v>74</v>
      </c>
      <c r="BQ169" s="1" t="s">
        <v>74</v>
      </c>
      <c r="BR169" s="1" t="s">
        <v>74</v>
      </c>
      <c r="BS169" s="1" t="s">
        <v>1812</v>
      </c>
      <c r="BT169" s="1" t="str">
        <f>HYPERLINK("https%3A%2F%2Fwww.webofscience.com%2Fwos%2Fwoscc%2Ffull-record%2FWOS:000313850900003","View Full Record in Web of Science")</f>
        <v>View Full Record in Web of Science</v>
      </c>
    </row>
    <row r="170" ht="12.75" customHeight="1">
      <c r="A170" s="1" t="s">
        <v>72</v>
      </c>
      <c r="B170" s="1" t="s">
        <v>1813</v>
      </c>
      <c r="C170" s="1" t="s">
        <v>74</v>
      </c>
      <c r="D170" s="1" t="s">
        <v>74</v>
      </c>
      <c r="E170" s="1" t="s">
        <v>74</v>
      </c>
      <c r="F170" s="1" t="s">
        <v>1814</v>
      </c>
      <c r="G170" s="1" t="s">
        <v>74</v>
      </c>
      <c r="H170" s="1" t="s">
        <v>74</v>
      </c>
      <c r="I170" s="1" t="s">
        <v>1815</v>
      </c>
      <c r="J170" s="1" t="s">
        <v>1816</v>
      </c>
      <c r="K170" s="1" t="s">
        <v>74</v>
      </c>
      <c r="L170" s="1" t="s">
        <v>74</v>
      </c>
      <c r="M170" s="1" t="s">
        <v>74</v>
      </c>
      <c r="N170" s="1" t="s">
        <v>74</v>
      </c>
      <c r="O170" s="1" t="s">
        <v>74</v>
      </c>
      <c r="P170" s="1" t="s">
        <v>74</v>
      </c>
      <c r="Q170" s="1" t="s">
        <v>74</v>
      </c>
      <c r="R170" s="1" t="s">
        <v>74</v>
      </c>
      <c r="S170" s="1" t="s">
        <v>74</v>
      </c>
      <c r="T170" s="1" t="s">
        <v>74</v>
      </c>
      <c r="U170" s="1" t="s">
        <v>74</v>
      </c>
      <c r="V170" s="1" t="s">
        <v>1817</v>
      </c>
      <c r="W170" s="1" t="s">
        <v>74</v>
      </c>
      <c r="X170" s="1" t="s">
        <v>74</v>
      </c>
      <c r="Y170" s="1" t="s">
        <v>74</v>
      </c>
      <c r="Z170" s="1" t="s">
        <v>74</v>
      </c>
      <c r="AA170" s="1" t="s">
        <v>1818</v>
      </c>
      <c r="AB170" s="1" t="s">
        <v>1747</v>
      </c>
      <c r="AC170" s="1" t="s">
        <v>74</v>
      </c>
      <c r="AD170" s="1" t="s">
        <v>74</v>
      </c>
      <c r="AE170" s="1" t="s">
        <v>74</v>
      </c>
      <c r="AF170" s="1" t="s">
        <v>74</v>
      </c>
      <c r="AG170" s="1" t="s">
        <v>74</v>
      </c>
      <c r="AH170" s="1" t="s">
        <v>74</v>
      </c>
      <c r="AI170" s="1" t="s">
        <v>74</v>
      </c>
      <c r="AJ170" s="1" t="s">
        <v>74</v>
      </c>
      <c r="AK170" s="1" t="s">
        <v>74</v>
      </c>
      <c r="AL170" s="1" t="s">
        <v>74</v>
      </c>
      <c r="AM170" s="1" t="s">
        <v>74</v>
      </c>
      <c r="AN170" s="1" t="s">
        <v>74</v>
      </c>
      <c r="AO170" s="1" t="s">
        <v>1819</v>
      </c>
      <c r="AP170" s="1" t="s">
        <v>1820</v>
      </c>
      <c r="AQ170" s="1" t="s">
        <v>74</v>
      </c>
      <c r="AR170" s="1" t="s">
        <v>74</v>
      </c>
      <c r="AS170" s="1" t="s">
        <v>74</v>
      </c>
      <c r="AT170" s="1" t="s">
        <v>1821</v>
      </c>
      <c r="AU170" s="1">
        <v>2012.0</v>
      </c>
      <c r="AV170" s="1">
        <v>101.0</v>
      </c>
      <c r="AW170" s="1" t="s">
        <v>74</v>
      </c>
      <c r="AX170" s="1" t="s">
        <v>74</v>
      </c>
      <c r="AY170" s="1" t="s">
        <v>74</v>
      </c>
      <c r="AZ170" s="1" t="s">
        <v>74</v>
      </c>
      <c r="BA170" s="1" t="s">
        <v>74</v>
      </c>
      <c r="BB170" s="1">
        <v>82.0</v>
      </c>
      <c r="BC170" s="1">
        <v>91.0</v>
      </c>
      <c r="BD170" s="1" t="s">
        <v>74</v>
      </c>
      <c r="BE170" s="1" t="s">
        <v>1822</v>
      </c>
      <c r="BF170" s="2" t="str">
        <f>HYPERLINK("http://dx.doi.org/10.1016/j.jenvman.2012.02.015","http://dx.doi.org/10.1016/j.jenvman.2012.02.015")</f>
        <v>http://dx.doi.org/10.1016/j.jenvman.2012.02.015</v>
      </c>
      <c r="BG170" s="1" t="s">
        <v>74</v>
      </c>
      <c r="BH170" s="1" t="s">
        <v>74</v>
      </c>
      <c r="BI170" s="1" t="s">
        <v>74</v>
      </c>
      <c r="BJ170" s="1" t="s">
        <v>74</v>
      </c>
      <c r="BK170" s="1" t="s">
        <v>74</v>
      </c>
      <c r="BL170" s="1" t="s">
        <v>74</v>
      </c>
      <c r="BM170" s="1" t="s">
        <v>74</v>
      </c>
      <c r="BN170" s="1">
        <v>2.2406848E7</v>
      </c>
      <c r="BO170" s="1" t="s">
        <v>74</v>
      </c>
      <c r="BP170" s="1" t="s">
        <v>74</v>
      </c>
      <c r="BQ170" s="1" t="s">
        <v>74</v>
      </c>
      <c r="BR170" s="1" t="s">
        <v>74</v>
      </c>
      <c r="BS170" s="1" t="s">
        <v>1823</v>
      </c>
      <c r="BT170" s="1" t="str">
        <f>HYPERLINK("https%3A%2F%2Fwww.webofscience.com%2Fwos%2Fwoscc%2Ffull-record%2FWOS:000303306800011","View Full Record in Web of Science")</f>
        <v>View Full Record in Web of Science</v>
      </c>
    </row>
    <row r="171" ht="12.75" customHeight="1">
      <c r="A171" s="1" t="s">
        <v>72</v>
      </c>
      <c r="B171" s="1" t="s">
        <v>1824</v>
      </c>
      <c r="C171" s="1" t="s">
        <v>74</v>
      </c>
      <c r="D171" s="1" t="s">
        <v>74</v>
      </c>
      <c r="E171" s="1" t="s">
        <v>74</v>
      </c>
      <c r="F171" s="1" t="s">
        <v>1825</v>
      </c>
      <c r="G171" s="1" t="s">
        <v>74</v>
      </c>
      <c r="H171" s="1" t="s">
        <v>74</v>
      </c>
      <c r="I171" s="1" t="s">
        <v>1826</v>
      </c>
      <c r="J171" s="1" t="s">
        <v>1827</v>
      </c>
      <c r="K171" s="1" t="s">
        <v>74</v>
      </c>
      <c r="L171" s="1" t="s">
        <v>74</v>
      </c>
      <c r="M171" s="1" t="s">
        <v>74</v>
      </c>
      <c r="N171" s="1" t="s">
        <v>74</v>
      </c>
      <c r="O171" s="1" t="s">
        <v>74</v>
      </c>
      <c r="P171" s="1" t="s">
        <v>74</v>
      </c>
      <c r="Q171" s="1" t="s">
        <v>74</v>
      </c>
      <c r="R171" s="1" t="s">
        <v>74</v>
      </c>
      <c r="S171" s="1" t="s">
        <v>74</v>
      </c>
      <c r="T171" s="1" t="s">
        <v>74</v>
      </c>
      <c r="U171" s="1" t="s">
        <v>74</v>
      </c>
      <c r="V171" s="1" t="s">
        <v>1828</v>
      </c>
      <c r="W171" s="1" t="s">
        <v>74</v>
      </c>
      <c r="X171" s="1" t="s">
        <v>74</v>
      </c>
      <c r="Y171" s="1" t="s">
        <v>74</v>
      </c>
      <c r="Z171" s="1" t="s">
        <v>74</v>
      </c>
      <c r="AA171" s="1" t="s">
        <v>1780</v>
      </c>
      <c r="AB171" s="1" t="s">
        <v>1829</v>
      </c>
      <c r="AC171" s="1" t="s">
        <v>74</v>
      </c>
      <c r="AD171" s="1" t="s">
        <v>74</v>
      </c>
      <c r="AE171" s="1" t="s">
        <v>74</v>
      </c>
      <c r="AF171" s="1" t="s">
        <v>74</v>
      </c>
      <c r="AG171" s="1" t="s">
        <v>74</v>
      </c>
      <c r="AH171" s="1" t="s">
        <v>74</v>
      </c>
      <c r="AI171" s="1" t="s">
        <v>74</v>
      </c>
      <c r="AJ171" s="1" t="s">
        <v>74</v>
      </c>
      <c r="AK171" s="1" t="s">
        <v>74</v>
      </c>
      <c r="AL171" s="1" t="s">
        <v>74</v>
      </c>
      <c r="AM171" s="1" t="s">
        <v>74</v>
      </c>
      <c r="AN171" s="1" t="s">
        <v>74</v>
      </c>
      <c r="AO171" s="1" t="s">
        <v>1830</v>
      </c>
      <c r="AP171" s="1" t="s">
        <v>74</v>
      </c>
      <c r="AQ171" s="1" t="s">
        <v>74</v>
      </c>
      <c r="AR171" s="1" t="s">
        <v>74</v>
      </c>
      <c r="AS171" s="1" t="s">
        <v>74</v>
      </c>
      <c r="AT171" s="1" t="s">
        <v>74</v>
      </c>
      <c r="AU171" s="1">
        <v>2012.0</v>
      </c>
      <c r="AV171" s="1" t="s">
        <v>74</v>
      </c>
      <c r="AW171" s="1" t="s">
        <v>74</v>
      </c>
      <c r="AX171" s="1" t="s">
        <v>74</v>
      </c>
      <c r="AY171" s="1" t="s">
        <v>74</v>
      </c>
      <c r="AZ171" s="1" t="s">
        <v>74</v>
      </c>
      <c r="BA171" s="1" t="s">
        <v>74</v>
      </c>
      <c r="BB171" s="1" t="s">
        <v>74</v>
      </c>
      <c r="BC171" s="1" t="s">
        <v>74</v>
      </c>
      <c r="BD171" s="1">
        <v>683021.0</v>
      </c>
      <c r="BE171" s="1" t="s">
        <v>1831</v>
      </c>
      <c r="BF171" s="2" t="str">
        <f>HYPERLINK("http://dx.doi.org/10.1155/2012/683021","http://dx.doi.org/10.1155/2012/683021")</f>
        <v>http://dx.doi.org/10.1155/2012/683021</v>
      </c>
      <c r="BG171" s="1" t="s">
        <v>74</v>
      </c>
      <c r="BH171" s="1" t="s">
        <v>74</v>
      </c>
      <c r="BI171" s="1" t="s">
        <v>74</v>
      </c>
      <c r="BJ171" s="1" t="s">
        <v>74</v>
      </c>
      <c r="BK171" s="1" t="s">
        <v>74</v>
      </c>
      <c r="BL171" s="1" t="s">
        <v>74</v>
      </c>
      <c r="BM171" s="1" t="s">
        <v>74</v>
      </c>
      <c r="BN171" s="1" t="s">
        <v>74</v>
      </c>
      <c r="BO171" s="1" t="s">
        <v>74</v>
      </c>
      <c r="BP171" s="1" t="s">
        <v>74</v>
      </c>
      <c r="BQ171" s="1" t="s">
        <v>74</v>
      </c>
      <c r="BR171" s="1" t="s">
        <v>74</v>
      </c>
      <c r="BS171" s="1" t="s">
        <v>1832</v>
      </c>
      <c r="BT171" s="1" t="str">
        <f>HYPERLINK("https%3A%2F%2Fwww.webofscience.com%2Fwos%2Fwoscc%2Ffull-record%2FWOS:000311167400001","View Full Record in Web of Science")</f>
        <v>View Full Record in Web of Science</v>
      </c>
    </row>
    <row r="172" ht="12.75" customHeight="1">
      <c r="A172" s="1" t="s">
        <v>72</v>
      </c>
      <c r="B172" s="1" t="s">
        <v>1833</v>
      </c>
      <c r="C172" s="1" t="s">
        <v>74</v>
      </c>
      <c r="D172" s="1" t="s">
        <v>74</v>
      </c>
      <c r="E172" s="1" t="s">
        <v>74</v>
      </c>
      <c r="F172" s="1" t="s">
        <v>1834</v>
      </c>
      <c r="G172" s="1" t="s">
        <v>74</v>
      </c>
      <c r="H172" s="1" t="s">
        <v>74</v>
      </c>
      <c r="I172" s="1" t="s">
        <v>1835</v>
      </c>
      <c r="J172" s="1" t="s">
        <v>1643</v>
      </c>
      <c r="K172" s="1" t="s">
        <v>74</v>
      </c>
      <c r="L172" s="1" t="s">
        <v>74</v>
      </c>
      <c r="M172" s="1" t="s">
        <v>74</v>
      </c>
      <c r="N172" s="1" t="s">
        <v>74</v>
      </c>
      <c r="O172" s="1" t="s">
        <v>74</v>
      </c>
      <c r="P172" s="1" t="s">
        <v>74</v>
      </c>
      <c r="Q172" s="1" t="s">
        <v>74</v>
      </c>
      <c r="R172" s="1" t="s">
        <v>74</v>
      </c>
      <c r="S172" s="1" t="s">
        <v>74</v>
      </c>
      <c r="T172" s="1" t="s">
        <v>74</v>
      </c>
      <c r="U172" s="1" t="s">
        <v>74</v>
      </c>
      <c r="V172" s="1" t="s">
        <v>1836</v>
      </c>
      <c r="W172" s="1" t="s">
        <v>74</v>
      </c>
      <c r="X172" s="1" t="s">
        <v>74</v>
      </c>
      <c r="Y172" s="1" t="s">
        <v>74</v>
      </c>
      <c r="Z172" s="1" t="s">
        <v>74</v>
      </c>
      <c r="AA172" s="1" t="s">
        <v>1837</v>
      </c>
      <c r="AB172" s="1" t="s">
        <v>1838</v>
      </c>
      <c r="AC172" s="1" t="s">
        <v>74</v>
      </c>
      <c r="AD172" s="1" t="s">
        <v>74</v>
      </c>
      <c r="AE172" s="1" t="s">
        <v>74</v>
      </c>
      <c r="AF172" s="1" t="s">
        <v>74</v>
      </c>
      <c r="AG172" s="1" t="s">
        <v>74</v>
      </c>
      <c r="AH172" s="1" t="s">
        <v>74</v>
      </c>
      <c r="AI172" s="1" t="s">
        <v>74</v>
      </c>
      <c r="AJ172" s="1" t="s">
        <v>74</v>
      </c>
      <c r="AK172" s="1" t="s">
        <v>74</v>
      </c>
      <c r="AL172" s="1" t="s">
        <v>74</v>
      </c>
      <c r="AM172" s="1" t="s">
        <v>74</v>
      </c>
      <c r="AN172" s="1" t="s">
        <v>74</v>
      </c>
      <c r="AO172" s="1" t="s">
        <v>1645</v>
      </c>
      <c r="AP172" s="1" t="s">
        <v>74</v>
      </c>
      <c r="AQ172" s="1" t="s">
        <v>74</v>
      </c>
      <c r="AR172" s="1" t="s">
        <v>74</v>
      </c>
      <c r="AS172" s="1" t="s">
        <v>74</v>
      </c>
      <c r="AT172" s="1" t="s">
        <v>379</v>
      </c>
      <c r="AU172" s="1">
        <v>2011.0</v>
      </c>
      <c r="AV172" s="1">
        <v>10.0</v>
      </c>
      <c r="AW172" s="1">
        <v>5.0</v>
      </c>
      <c r="AX172" s="1" t="s">
        <v>74</v>
      </c>
      <c r="AY172" s="1" t="s">
        <v>74</v>
      </c>
      <c r="AZ172" s="1" t="s">
        <v>74</v>
      </c>
      <c r="BA172" s="1" t="s">
        <v>74</v>
      </c>
      <c r="BB172" s="1">
        <v>470.0</v>
      </c>
      <c r="BC172" s="1">
        <v>475.0</v>
      </c>
      <c r="BD172" s="1" t="s">
        <v>74</v>
      </c>
      <c r="BE172" s="1" t="s">
        <v>74</v>
      </c>
      <c r="BF172" s="1" t="s">
        <v>74</v>
      </c>
      <c r="BG172" s="1" t="s">
        <v>74</v>
      </c>
      <c r="BH172" s="1" t="s">
        <v>74</v>
      </c>
      <c r="BI172" s="1" t="s">
        <v>74</v>
      </c>
      <c r="BJ172" s="1" t="s">
        <v>74</v>
      </c>
      <c r="BK172" s="1" t="s">
        <v>74</v>
      </c>
      <c r="BL172" s="1" t="s">
        <v>74</v>
      </c>
      <c r="BM172" s="1" t="s">
        <v>74</v>
      </c>
      <c r="BN172" s="1" t="s">
        <v>74</v>
      </c>
      <c r="BO172" s="1" t="s">
        <v>74</v>
      </c>
      <c r="BP172" s="1" t="s">
        <v>74</v>
      </c>
      <c r="BQ172" s="1" t="s">
        <v>74</v>
      </c>
      <c r="BR172" s="1" t="s">
        <v>74</v>
      </c>
      <c r="BS172" s="1" t="s">
        <v>1839</v>
      </c>
      <c r="BT172" s="1" t="str">
        <f>HYPERLINK("https%3A%2F%2Fwww.webofscience.com%2Fwos%2Fwoscc%2Ffull-record%2FWOS:000297723700010","View Full Record in Web of Science")</f>
        <v>View Full Record in Web of Science</v>
      </c>
    </row>
    <row r="173" ht="12.75" customHeight="1">
      <c r="A173" s="1" t="s">
        <v>72</v>
      </c>
      <c r="B173" s="1" t="s">
        <v>1840</v>
      </c>
      <c r="C173" s="1" t="s">
        <v>74</v>
      </c>
      <c r="D173" s="1" t="s">
        <v>74</v>
      </c>
      <c r="E173" s="1" t="s">
        <v>74</v>
      </c>
      <c r="F173" s="1" t="s">
        <v>1841</v>
      </c>
      <c r="G173" s="1" t="s">
        <v>74</v>
      </c>
      <c r="H173" s="1" t="s">
        <v>74</v>
      </c>
      <c r="I173" s="1" t="s">
        <v>1842</v>
      </c>
      <c r="J173" s="1" t="s">
        <v>294</v>
      </c>
      <c r="K173" s="1" t="s">
        <v>74</v>
      </c>
      <c r="L173" s="1" t="s">
        <v>74</v>
      </c>
      <c r="M173" s="1" t="s">
        <v>74</v>
      </c>
      <c r="N173" s="1" t="s">
        <v>74</v>
      </c>
      <c r="O173" s="1" t="s">
        <v>74</v>
      </c>
      <c r="P173" s="1" t="s">
        <v>74</v>
      </c>
      <c r="Q173" s="1" t="s">
        <v>74</v>
      </c>
      <c r="R173" s="1" t="s">
        <v>74</v>
      </c>
      <c r="S173" s="1" t="s">
        <v>74</v>
      </c>
      <c r="T173" s="1" t="s">
        <v>74</v>
      </c>
      <c r="U173" s="1" t="s">
        <v>74</v>
      </c>
      <c r="V173" s="1" t="s">
        <v>1843</v>
      </c>
      <c r="W173" s="1" t="s">
        <v>74</v>
      </c>
      <c r="X173" s="1" t="s">
        <v>74</v>
      </c>
      <c r="Y173" s="1" t="s">
        <v>74</v>
      </c>
      <c r="Z173" s="1" t="s">
        <v>74</v>
      </c>
      <c r="AA173" s="1" t="s">
        <v>1844</v>
      </c>
      <c r="AB173" s="1" t="s">
        <v>197</v>
      </c>
      <c r="AC173" s="1" t="s">
        <v>74</v>
      </c>
      <c r="AD173" s="1" t="s">
        <v>74</v>
      </c>
      <c r="AE173" s="1" t="s">
        <v>74</v>
      </c>
      <c r="AF173" s="1" t="s">
        <v>74</v>
      </c>
      <c r="AG173" s="1" t="s">
        <v>74</v>
      </c>
      <c r="AH173" s="1" t="s">
        <v>74</v>
      </c>
      <c r="AI173" s="1" t="s">
        <v>74</v>
      </c>
      <c r="AJ173" s="1" t="s">
        <v>74</v>
      </c>
      <c r="AK173" s="1" t="s">
        <v>74</v>
      </c>
      <c r="AL173" s="1" t="s">
        <v>74</v>
      </c>
      <c r="AM173" s="1" t="s">
        <v>74</v>
      </c>
      <c r="AN173" s="1" t="s">
        <v>74</v>
      </c>
      <c r="AO173" s="1" t="s">
        <v>296</v>
      </c>
      <c r="AP173" s="1" t="s">
        <v>74</v>
      </c>
      <c r="AQ173" s="1" t="s">
        <v>74</v>
      </c>
      <c r="AR173" s="1" t="s">
        <v>74</v>
      </c>
      <c r="AS173" s="1" t="s">
        <v>74</v>
      </c>
      <c r="AT173" s="1" t="s">
        <v>363</v>
      </c>
      <c r="AU173" s="1">
        <v>2010.0</v>
      </c>
      <c r="AV173" s="1">
        <v>68.0</v>
      </c>
      <c r="AW173" s="1">
        <v>2.0</v>
      </c>
      <c r="AX173" s="1" t="s">
        <v>74</v>
      </c>
      <c r="AY173" s="1" t="s">
        <v>74</v>
      </c>
      <c r="AZ173" s="1" t="s">
        <v>74</v>
      </c>
      <c r="BA173" s="1" t="s">
        <v>74</v>
      </c>
      <c r="BB173" s="1">
        <v>207.0</v>
      </c>
      <c r="BC173" s="1">
        <v>227.0</v>
      </c>
      <c r="BD173" s="1" t="s">
        <v>74</v>
      </c>
      <c r="BE173" s="1" t="s">
        <v>1845</v>
      </c>
      <c r="BF173" s="2" t="str">
        <f>HYPERLINK("http://dx.doi.org/10.1007/s00020-010-1799-2","http://dx.doi.org/10.1007/s00020-010-1799-2")</f>
        <v>http://dx.doi.org/10.1007/s00020-010-1799-2</v>
      </c>
      <c r="BG173" s="1" t="s">
        <v>74</v>
      </c>
      <c r="BH173" s="1" t="s">
        <v>74</v>
      </c>
      <c r="BI173" s="1" t="s">
        <v>74</v>
      </c>
      <c r="BJ173" s="1" t="s">
        <v>74</v>
      </c>
      <c r="BK173" s="1" t="s">
        <v>74</v>
      </c>
      <c r="BL173" s="1" t="s">
        <v>74</v>
      </c>
      <c r="BM173" s="1" t="s">
        <v>74</v>
      </c>
      <c r="BN173" s="1" t="s">
        <v>74</v>
      </c>
      <c r="BO173" s="1" t="s">
        <v>74</v>
      </c>
      <c r="BP173" s="1" t="s">
        <v>74</v>
      </c>
      <c r="BQ173" s="1" t="s">
        <v>74</v>
      </c>
      <c r="BR173" s="1" t="s">
        <v>74</v>
      </c>
      <c r="BS173" s="1" t="s">
        <v>1846</v>
      </c>
      <c r="BT173" s="1" t="str">
        <f>HYPERLINK("https%3A%2F%2Fwww.webofscience.com%2Fwos%2Fwoscc%2Ffull-record%2FWOS:000282048600004","View Full Record in Web of Science")</f>
        <v>View Full Record in Web of Science</v>
      </c>
    </row>
    <row r="174" ht="12.75" customHeight="1">
      <c r="A174" s="1" t="s">
        <v>72</v>
      </c>
      <c r="B174" s="1" t="s">
        <v>1847</v>
      </c>
      <c r="C174" s="1" t="s">
        <v>74</v>
      </c>
      <c r="D174" s="1" t="s">
        <v>74</v>
      </c>
      <c r="E174" s="1" t="s">
        <v>74</v>
      </c>
      <c r="F174" s="1" t="s">
        <v>1848</v>
      </c>
      <c r="G174" s="1" t="s">
        <v>74</v>
      </c>
      <c r="H174" s="1" t="s">
        <v>74</v>
      </c>
      <c r="I174" s="1" t="s">
        <v>1849</v>
      </c>
      <c r="J174" s="1" t="s">
        <v>1850</v>
      </c>
      <c r="K174" s="1" t="s">
        <v>74</v>
      </c>
      <c r="L174" s="1" t="s">
        <v>74</v>
      </c>
      <c r="M174" s="1" t="s">
        <v>74</v>
      </c>
      <c r="N174" s="1" t="s">
        <v>74</v>
      </c>
      <c r="O174" s="1" t="s">
        <v>74</v>
      </c>
      <c r="P174" s="1" t="s">
        <v>74</v>
      </c>
      <c r="Q174" s="1" t="s">
        <v>74</v>
      </c>
      <c r="R174" s="1" t="s">
        <v>74</v>
      </c>
      <c r="S174" s="1" t="s">
        <v>74</v>
      </c>
      <c r="T174" s="1" t="s">
        <v>74</v>
      </c>
      <c r="U174" s="1" t="s">
        <v>74</v>
      </c>
      <c r="V174" s="1" t="s">
        <v>1851</v>
      </c>
      <c r="W174" s="1" t="s">
        <v>74</v>
      </c>
      <c r="X174" s="1" t="s">
        <v>74</v>
      </c>
      <c r="Y174" s="1" t="s">
        <v>74</v>
      </c>
      <c r="Z174" s="1" t="s">
        <v>74</v>
      </c>
      <c r="AA174" s="1" t="s">
        <v>74</v>
      </c>
      <c r="AB174" s="1" t="s">
        <v>74</v>
      </c>
      <c r="AC174" s="1" t="s">
        <v>74</v>
      </c>
      <c r="AD174" s="1" t="s">
        <v>74</v>
      </c>
      <c r="AE174" s="1" t="s">
        <v>74</v>
      </c>
      <c r="AF174" s="1" t="s">
        <v>74</v>
      </c>
      <c r="AG174" s="1" t="s">
        <v>74</v>
      </c>
      <c r="AH174" s="1" t="s">
        <v>74</v>
      </c>
      <c r="AI174" s="1" t="s">
        <v>74</v>
      </c>
      <c r="AJ174" s="1" t="s">
        <v>74</v>
      </c>
      <c r="AK174" s="1" t="s">
        <v>74</v>
      </c>
      <c r="AL174" s="1" t="s">
        <v>74</v>
      </c>
      <c r="AM174" s="1" t="s">
        <v>74</v>
      </c>
      <c r="AN174" s="1" t="s">
        <v>74</v>
      </c>
      <c r="AO174" s="1" t="s">
        <v>1852</v>
      </c>
      <c r="AP174" s="1" t="s">
        <v>1853</v>
      </c>
      <c r="AQ174" s="1" t="s">
        <v>74</v>
      </c>
      <c r="AR174" s="1" t="s">
        <v>74</v>
      </c>
      <c r="AS174" s="1" t="s">
        <v>74</v>
      </c>
      <c r="AT174" s="1" t="s">
        <v>289</v>
      </c>
      <c r="AU174" s="1">
        <v>2010.0</v>
      </c>
      <c r="AV174" s="1">
        <v>50.0</v>
      </c>
      <c r="AW174" s="1">
        <v>7.0</v>
      </c>
      <c r="AX174" s="1" t="s">
        <v>74</v>
      </c>
      <c r="AY174" s="1" t="s">
        <v>74</v>
      </c>
      <c r="AZ174" s="1" t="s">
        <v>74</v>
      </c>
      <c r="BA174" s="1" t="s">
        <v>74</v>
      </c>
      <c r="BB174" s="1">
        <v>641.0</v>
      </c>
      <c r="BC174" s="1">
        <v>644.0</v>
      </c>
      <c r="BD174" s="1" t="s">
        <v>74</v>
      </c>
      <c r="BE174" s="1" t="s">
        <v>1854</v>
      </c>
      <c r="BF174" s="2" t="str">
        <f>HYPERLINK("http://dx.doi.org/10.1016/j.ultras.2010.02.003","http://dx.doi.org/10.1016/j.ultras.2010.02.003")</f>
        <v>http://dx.doi.org/10.1016/j.ultras.2010.02.003</v>
      </c>
      <c r="BG174" s="1" t="s">
        <v>74</v>
      </c>
      <c r="BH174" s="1" t="s">
        <v>74</v>
      </c>
      <c r="BI174" s="1" t="s">
        <v>74</v>
      </c>
      <c r="BJ174" s="1" t="s">
        <v>74</v>
      </c>
      <c r="BK174" s="1" t="s">
        <v>74</v>
      </c>
      <c r="BL174" s="1" t="s">
        <v>74</v>
      </c>
      <c r="BM174" s="1" t="s">
        <v>74</v>
      </c>
      <c r="BN174" s="1">
        <v>2.020266E7</v>
      </c>
      <c r="BO174" s="1" t="s">
        <v>74</v>
      </c>
      <c r="BP174" s="1" t="s">
        <v>74</v>
      </c>
      <c r="BQ174" s="1" t="s">
        <v>74</v>
      </c>
      <c r="BR174" s="1" t="s">
        <v>74</v>
      </c>
      <c r="BS174" s="1" t="s">
        <v>1855</v>
      </c>
      <c r="BT174" s="1" t="str">
        <f>HYPERLINK("https%3A%2F%2Fwww.webofscience.com%2Fwos%2Fwoscc%2Ffull-record%2FWOS:000277693300001","View Full Record in Web of Science")</f>
        <v>View Full Record in Web of Science</v>
      </c>
    </row>
    <row r="175" ht="12.75" customHeight="1">
      <c r="A175" s="1" t="s">
        <v>72</v>
      </c>
      <c r="B175" s="1" t="s">
        <v>1856</v>
      </c>
      <c r="C175" s="1" t="s">
        <v>74</v>
      </c>
      <c r="D175" s="1" t="s">
        <v>74</v>
      </c>
      <c r="E175" s="1" t="s">
        <v>74</v>
      </c>
      <c r="F175" s="1" t="s">
        <v>1857</v>
      </c>
      <c r="G175" s="1" t="s">
        <v>74</v>
      </c>
      <c r="H175" s="1" t="s">
        <v>74</v>
      </c>
      <c r="I175" s="1" t="s">
        <v>1858</v>
      </c>
      <c r="J175" s="1" t="s">
        <v>1859</v>
      </c>
      <c r="K175" s="1" t="s">
        <v>74</v>
      </c>
      <c r="L175" s="1" t="s">
        <v>74</v>
      </c>
      <c r="M175" s="1" t="s">
        <v>74</v>
      </c>
      <c r="N175" s="1" t="s">
        <v>74</v>
      </c>
      <c r="O175" s="1" t="s">
        <v>74</v>
      </c>
      <c r="P175" s="1" t="s">
        <v>74</v>
      </c>
      <c r="Q175" s="1" t="s">
        <v>74</v>
      </c>
      <c r="R175" s="1" t="s">
        <v>74</v>
      </c>
      <c r="S175" s="1" t="s">
        <v>74</v>
      </c>
      <c r="T175" s="1" t="s">
        <v>74</v>
      </c>
      <c r="U175" s="1" t="s">
        <v>74</v>
      </c>
      <c r="V175" s="1" t="s">
        <v>1860</v>
      </c>
      <c r="W175" s="1" t="s">
        <v>74</v>
      </c>
      <c r="X175" s="1" t="s">
        <v>74</v>
      </c>
      <c r="Y175" s="1" t="s">
        <v>74</v>
      </c>
      <c r="Z175" s="1" t="s">
        <v>74</v>
      </c>
      <c r="AA175" s="1" t="s">
        <v>74</v>
      </c>
      <c r="AB175" s="1" t="s">
        <v>1861</v>
      </c>
      <c r="AC175" s="1" t="s">
        <v>74</v>
      </c>
      <c r="AD175" s="1" t="s">
        <v>74</v>
      </c>
      <c r="AE175" s="1" t="s">
        <v>74</v>
      </c>
      <c r="AF175" s="1" t="s">
        <v>74</v>
      </c>
      <c r="AG175" s="1" t="s">
        <v>74</v>
      </c>
      <c r="AH175" s="1" t="s">
        <v>74</v>
      </c>
      <c r="AI175" s="1" t="s">
        <v>74</v>
      </c>
      <c r="AJ175" s="1" t="s">
        <v>74</v>
      </c>
      <c r="AK175" s="1" t="s">
        <v>74</v>
      </c>
      <c r="AL175" s="1" t="s">
        <v>74</v>
      </c>
      <c r="AM175" s="1" t="s">
        <v>74</v>
      </c>
      <c r="AN175" s="1" t="s">
        <v>74</v>
      </c>
      <c r="AO175" s="1" t="s">
        <v>1862</v>
      </c>
      <c r="AP175" s="1" t="s">
        <v>74</v>
      </c>
      <c r="AQ175" s="1" t="s">
        <v>74</v>
      </c>
      <c r="AR175" s="1" t="s">
        <v>74</v>
      </c>
      <c r="AS175" s="1" t="s">
        <v>74</v>
      </c>
      <c r="AT175" s="1" t="s">
        <v>144</v>
      </c>
      <c r="AU175" s="1">
        <v>2010.0</v>
      </c>
      <c r="AV175" s="1">
        <v>176.0</v>
      </c>
      <c r="AW175" s="1">
        <v>1.0</v>
      </c>
      <c r="AX175" s="1" t="s">
        <v>74</v>
      </c>
      <c r="AY175" s="1" t="s">
        <v>74</v>
      </c>
      <c r="AZ175" s="1" t="s">
        <v>74</v>
      </c>
      <c r="BA175" s="1" t="s">
        <v>74</v>
      </c>
      <c r="BB175" s="1">
        <v>157.0</v>
      </c>
      <c r="BC175" s="1">
        <v>193.0</v>
      </c>
      <c r="BD175" s="1" t="s">
        <v>74</v>
      </c>
      <c r="BE175" s="1" t="s">
        <v>1863</v>
      </c>
      <c r="BF175" s="2" t="str">
        <f>HYPERLINK("http://dx.doi.org/10.1007/s11856-010-0024-y","http://dx.doi.org/10.1007/s11856-010-0024-y")</f>
        <v>http://dx.doi.org/10.1007/s11856-010-0024-y</v>
      </c>
      <c r="BG175" s="1" t="s">
        <v>74</v>
      </c>
      <c r="BH175" s="1" t="s">
        <v>74</v>
      </c>
      <c r="BI175" s="1" t="s">
        <v>74</v>
      </c>
      <c r="BJ175" s="1" t="s">
        <v>74</v>
      </c>
      <c r="BK175" s="1" t="s">
        <v>74</v>
      </c>
      <c r="BL175" s="1" t="s">
        <v>74</v>
      </c>
      <c r="BM175" s="1" t="s">
        <v>74</v>
      </c>
      <c r="BN175" s="1" t="s">
        <v>74</v>
      </c>
      <c r="BO175" s="1" t="s">
        <v>74</v>
      </c>
      <c r="BP175" s="1" t="s">
        <v>74</v>
      </c>
      <c r="BQ175" s="1" t="s">
        <v>74</v>
      </c>
      <c r="BR175" s="1" t="s">
        <v>74</v>
      </c>
      <c r="BS175" s="1" t="s">
        <v>1864</v>
      </c>
      <c r="BT175" s="1" t="str">
        <f>HYPERLINK("https%3A%2F%2Fwww.webofscience.com%2Fwos%2Fwoscc%2Ffull-record%2FWOS:000278523700007","View Full Record in Web of Science")</f>
        <v>View Full Record in Web of Science</v>
      </c>
    </row>
    <row r="176" ht="12.75" customHeight="1">
      <c r="A176" s="1" t="s">
        <v>72</v>
      </c>
      <c r="B176" s="1" t="s">
        <v>1865</v>
      </c>
      <c r="C176" s="1" t="s">
        <v>74</v>
      </c>
      <c r="D176" s="1" t="s">
        <v>74</v>
      </c>
      <c r="E176" s="1" t="s">
        <v>74</v>
      </c>
      <c r="F176" s="1" t="s">
        <v>1866</v>
      </c>
      <c r="G176" s="1" t="s">
        <v>74</v>
      </c>
      <c r="H176" s="1" t="s">
        <v>74</v>
      </c>
      <c r="I176" s="1" t="s">
        <v>1867</v>
      </c>
      <c r="J176" s="1" t="s">
        <v>763</v>
      </c>
      <c r="K176" s="1" t="s">
        <v>74</v>
      </c>
      <c r="L176" s="1" t="s">
        <v>74</v>
      </c>
      <c r="M176" s="1" t="s">
        <v>74</v>
      </c>
      <c r="N176" s="1" t="s">
        <v>74</v>
      </c>
      <c r="O176" s="1" t="s">
        <v>74</v>
      </c>
      <c r="P176" s="1" t="s">
        <v>74</v>
      </c>
      <c r="Q176" s="1" t="s">
        <v>74</v>
      </c>
      <c r="R176" s="1" t="s">
        <v>74</v>
      </c>
      <c r="S176" s="1" t="s">
        <v>74</v>
      </c>
      <c r="T176" s="1" t="s">
        <v>74</v>
      </c>
      <c r="U176" s="1" t="s">
        <v>74</v>
      </c>
      <c r="V176" s="1" t="s">
        <v>1868</v>
      </c>
      <c r="W176" s="1" t="s">
        <v>74</v>
      </c>
      <c r="X176" s="1" t="s">
        <v>74</v>
      </c>
      <c r="Y176" s="1" t="s">
        <v>74</v>
      </c>
      <c r="Z176" s="1" t="s">
        <v>74</v>
      </c>
      <c r="AA176" s="1" t="s">
        <v>1869</v>
      </c>
      <c r="AB176" s="1" t="s">
        <v>1870</v>
      </c>
      <c r="AC176" s="1" t="s">
        <v>74</v>
      </c>
      <c r="AD176" s="1" t="s">
        <v>74</v>
      </c>
      <c r="AE176" s="1" t="s">
        <v>74</v>
      </c>
      <c r="AF176" s="1" t="s">
        <v>74</v>
      </c>
      <c r="AG176" s="1" t="s">
        <v>74</v>
      </c>
      <c r="AH176" s="1" t="s">
        <v>74</v>
      </c>
      <c r="AI176" s="1" t="s">
        <v>74</v>
      </c>
      <c r="AJ176" s="1" t="s">
        <v>74</v>
      </c>
      <c r="AK176" s="1" t="s">
        <v>74</v>
      </c>
      <c r="AL176" s="1" t="s">
        <v>74</v>
      </c>
      <c r="AM176" s="1" t="s">
        <v>74</v>
      </c>
      <c r="AN176" s="1" t="s">
        <v>74</v>
      </c>
      <c r="AO176" s="1" t="s">
        <v>767</v>
      </c>
      <c r="AP176" s="1" t="s">
        <v>74</v>
      </c>
      <c r="AQ176" s="1" t="s">
        <v>74</v>
      </c>
      <c r="AR176" s="1" t="s">
        <v>74</v>
      </c>
      <c r="AS176" s="1" t="s">
        <v>74</v>
      </c>
      <c r="AT176" s="1" t="s">
        <v>389</v>
      </c>
      <c r="AU176" s="1">
        <v>2010.0</v>
      </c>
      <c r="AV176" s="1">
        <v>30.0</v>
      </c>
      <c r="AW176" s="1" t="s">
        <v>1871</v>
      </c>
      <c r="AX176" s="1" t="s">
        <v>74</v>
      </c>
      <c r="AY176" s="1" t="s">
        <v>74</v>
      </c>
      <c r="AZ176" s="1" t="s">
        <v>74</v>
      </c>
      <c r="BA176" s="1" t="s">
        <v>74</v>
      </c>
      <c r="BB176" s="1">
        <v>92.0</v>
      </c>
      <c r="BC176" s="1">
        <v>95.0</v>
      </c>
      <c r="BD176" s="1" t="s">
        <v>74</v>
      </c>
      <c r="BE176" s="1" t="s">
        <v>1872</v>
      </c>
      <c r="BF176" s="2" t="str">
        <f>HYPERLINK("http://dx.doi.org/10.1016/j.applthermaleng.2009.04.001","http://dx.doi.org/10.1016/j.applthermaleng.2009.04.001")</f>
        <v>http://dx.doi.org/10.1016/j.applthermaleng.2009.04.001</v>
      </c>
      <c r="BG176" s="1" t="s">
        <v>74</v>
      </c>
      <c r="BH176" s="1" t="s">
        <v>74</v>
      </c>
      <c r="BI176" s="1" t="s">
        <v>74</v>
      </c>
      <c r="BJ176" s="1" t="s">
        <v>74</v>
      </c>
      <c r="BK176" s="1" t="s">
        <v>74</v>
      </c>
      <c r="BL176" s="1" t="s">
        <v>74</v>
      </c>
      <c r="BM176" s="1" t="s">
        <v>74</v>
      </c>
      <c r="BN176" s="1" t="s">
        <v>74</v>
      </c>
      <c r="BO176" s="1" t="s">
        <v>74</v>
      </c>
      <c r="BP176" s="1" t="s">
        <v>74</v>
      </c>
      <c r="BQ176" s="1" t="s">
        <v>74</v>
      </c>
      <c r="BR176" s="1" t="s">
        <v>74</v>
      </c>
      <c r="BS176" s="1" t="s">
        <v>1873</v>
      </c>
      <c r="BT176" s="1" t="str">
        <f>HYPERLINK("https%3A%2F%2Fwww.webofscience.com%2Fwos%2Fwoscc%2Ffull-record%2FWOS:000272001100003","View Full Record in Web of Science")</f>
        <v>View Full Record in Web of Science</v>
      </c>
    </row>
    <row r="177" ht="12.75" customHeight="1">
      <c r="A177" s="1" t="s">
        <v>72</v>
      </c>
      <c r="B177" s="1" t="s">
        <v>1856</v>
      </c>
      <c r="C177" s="1" t="s">
        <v>74</v>
      </c>
      <c r="D177" s="1" t="s">
        <v>74</v>
      </c>
      <c r="E177" s="1" t="s">
        <v>74</v>
      </c>
      <c r="F177" s="1" t="s">
        <v>1857</v>
      </c>
      <c r="G177" s="1" t="s">
        <v>74</v>
      </c>
      <c r="H177" s="1" t="s">
        <v>74</v>
      </c>
      <c r="I177" s="1" t="s">
        <v>1874</v>
      </c>
      <c r="J177" s="1" t="s">
        <v>1733</v>
      </c>
      <c r="K177" s="1" t="s">
        <v>74</v>
      </c>
      <c r="L177" s="1" t="s">
        <v>74</v>
      </c>
      <c r="M177" s="1" t="s">
        <v>74</v>
      </c>
      <c r="N177" s="1" t="s">
        <v>74</v>
      </c>
      <c r="O177" s="1" t="s">
        <v>74</v>
      </c>
      <c r="P177" s="1" t="s">
        <v>74</v>
      </c>
      <c r="Q177" s="1" t="s">
        <v>74</v>
      </c>
      <c r="R177" s="1" t="s">
        <v>74</v>
      </c>
      <c r="S177" s="1" t="s">
        <v>74</v>
      </c>
      <c r="T177" s="1" t="s">
        <v>74</v>
      </c>
      <c r="U177" s="1" t="s">
        <v>74</v>
      </c>
      <c r="V177" s="1" t="s">
        <v>1875</v>
      </c>
      <c r="W177" s="1" t="s">
        <v>74</v>
      </c>
      <c r="X177" s="1" t="s">
        <v>74</v>
      </c>
      <c r="Y177" s="1" t="s">
        <v>74</v>
      </c>
      <c r="Z177" s="1" t="s">
        <v>74</v>
      </c>
      <c r="AA177" s="1" t="s">
        <v>74</v>
      </c>
      <c r="AB177" s="1" t="s">
        <v>1861</v>
      </c>
      <c r="AC177" s="1" t="s">
        <v>74</v>
      </c>
      <c r="AD177" s="1" t="s">
        <v>74</v>
      </c>
      <c r="AE177" s="1" t="s">
        <v>74</v>
      </c>
      <c r="AF177" s="1" t="s">
        <v>74</v>
      </c>
      <c r="AG177" s="1" t="s">
        <v>74</v>
      </c>
      <c r="AH177" s="1" t="s">
        <v>74</v>
      </c>
      <c r="AI177" s="1" t="s">
        <v>74</v>
      </c>
      <c r="AJ177" s="1" t="s">
        <v>74</v>
      </c>
      <c r="AK177" s="1" t="s">
        <v>74</v>
      </c>
      <c r="AL177" s="1" t="s">
        <v>74</v>
      </c>
      <c r="AM177" s="1" t="s">
        <v>74</v>
      </c>
      <c r="AN177" s="1" t="s">
        <v>74</v>
      </c>
      <c r="AO177" s="1" t="s">
        <v>1737</v>
      </c>
      <c r="AP177" s="1" t="s">
        <v>1738</v>
      </c>
      <c r="AQ177" s="1" t="s">
        <v>74</v>
      </c>
      <c r="AR177" s="1" t="s">
        <v>74</v>
      </c>
      <c r="AS177" s="1" t="s">
        <v>74</v>
      </c>
      <c r="AT177" s="1" t="s">
        <v>1637</v>
      </c>
      <c r="AU177" s="1">
        <v>2010.0</v>
      </c>
      <c r="AV177" s="1">
        <v>27.0</v>
      </c>
      <c r="AW177" s="1">
        <v>1.0</v>
      </c>
      <c r="AX177" s="1" t="s">
        <v>74</v>
      </c>
      <c r="AY177" s="1" t="s">
        <v>74</v>
      </c>
      <c r="AZ177" s="1" t="s">
        <v>74</v>
      </c>
      <c r="BA177" s="1" t="s">
        <v>74</v>
      </c>
      <c r="BB177" s="1">
        <v>95.0</v>
      </c>
      <c r="BC177" s="1">
        <v>115.0</v>
      </c>
      <c r="BD177" s="1" t="s">
        <v>74</v>
      </c>
      <c r="BE177" s="1" t="s">
        <v>1876</v>
      </c>
      <c r="BF177" s="2" t="str">
        <f>HYPERLINK("http://dx.doi.org/10.1016/j.anihpc.2009.07.008","http://dx.doi.org/10.1016/j.anihpc.2009.07.008")</f>
        <v>http://dx.doi.org/10.1016/j.anihpc.2009.07.008</v>
      </c>
      <c r="BG177" s="1" t="s">
        <v>74</v>
      </c>
      <c r="BH177" s="1" t="s">
        <v>74</v>
      </c>
      <c r="BI177" s="1" t="s">
        <v>74</v>
      </c>
      <c r="BJ177" s="1" t="s">
        <v>74</v>
      </c>
      <c r="BK177" s="1" t="s">
        <v>74</v>
      </c>
      <c r="BL177" s="1" t="s">
        <v>74</v>
      </c>
      <c r="BM177" s="1" t="s">
        <v>74</v>
      </c>
      <c r="BN177" s="1" t="s">
        <v>74</v>
      </c>
      <c r="BO177" s="1" t="s">
        <v>74</v>
      </c>
      <c r="BP177" s="1" t="s">
        <v>74</v>
      </c>
      <c r="BQ177" s="1" t="s">
        <v>74</v>
      </c>
      <c r="BR177" s="1" t="s">
        <v>74</v>
      </c>
      <c r="BS177" s="1" t="s">
        <v>1877</v>
      </c>
      <c r="BT177" s="1" t="str">
        <f>HYPERLINK("https%3A%2F%2Fwww.webofscience.com%2Fwos%2Fwoscc%2Ffull-record%2FWOS:000274146700006","View Full Record in Web of Science")</f>
        <v>View Full Record in Web of Science</v>
      </c>
    </row>
    <row r="178" ht="12.75" customHeight="1">
      <c r="A178" s="1" t="s">
        <v>72</v>
      </c>
      <c r="B178" s="1" t="s">
        <v>1878</v>
      </c>
      <c r="C178" s="1" t="s">
        <v>74</v>
      </c>
      <c r="D178" s="1" t="s">
        <v>74</v>
      </c>
      <c r="E178" s="1" t="s">
        <v>74</v>
      </c>
      <c r="F178" s="1" t="s">
        <v>1879</v>
      </c>
      <c r="G178" s="1" t="s">
        <v>74</v>
      </c>
      <c r="H178" s="1" t="s">
        <v>74</v>
      </c>
      <c r="I178" s="1" t="s">
        <v>1880</v>
      </c>
      <c r="J178" s="1" t="s">
        <v>1881</v>
      </c>
      <c r="K178" s="1" t="s">
        <v>74</v>
      </c>
      <c r="L178" s="1" t="s">
        <v>74</v>
      </c>
      <c r="M178" s="1" t="s">
        <v>74</v>
      </c>
      <c r="N178" s="1" t="s">
        <v>74</v>
      </c>
      <c r="O178" s="1" t="s">
        <v>74</v>
      </c>
      <c r="P178" s="1" t="s">
        <v>74</v>
      </c>
      <c r="Q178" s="1" t="s">
        <v>74</v>
      </c>
      <c r="R178" s="1" t="s">
        <v>74</v>
      </c>
      <c r="S178" s="1" t="s">
        <v>74</v>
      </c>
      <c r="T178" s="1" t="s">
        <v>74</v>
      </c>
      <c r="U178" s="1" t="s">
        <v>74</v>
      </c>
      <c r="V178" s="1" t="s">
        <v>1882</v>
      </c>
      <c r="W178" s="1" t="s">
        <v>74</v>
      </c>
      <c r="X178" s="1" t="s">
        <v>74</v>
      </c>
      <c r="Y178" s="1" t="s">
        <v>74</v>
      </c>
      <c r="Z178" s="1" t="s">
        <v>74</v>
      </c>
      <c r="AA178" s="1" t="s">
        <v>1883</v>
      </c>
      <c r="AB178" s="1" t="s">
        <v>1884</v>
      </c>
      <c r="AC178" s="1" t="s">
        <v>74</v>
      </c>
      <c r="AD178" s="1" t="s">
        <v>74</v>
      </c>
      <c r="AE178" s="1" t="s">
        <v>74</v>
      </c>
      <c r="AF178" s="1" t="s">
        <v>74</v>
      </c>
      <c r="AG178" s="1" t="s">
        <v>74</v>
      </c>
      <c r="AH178" s="1" t="s">
        <v>74</v>
      </c>
      <c r="AI178" s="1" t="s">
        <v>74</v>
      </c>
      <c r="AJ178" s="1" t="s">
        <v>74</v>
      </c>
      <c r="AK178" s="1" t="s">
        <v>74</v>
      </c>
      <c r="AL178" s="1" t="s">
        <v>74</v>
      </c>
      <c r="AM178" s="1" t="s">
        <v>74</v>
      </c>
      <c r="AN178" s="1" t="s">
        <v>74</v>
      </c>
      <c r="AO178" s="1" t="s">
        <v>1885</v>
      </c>
      <c r="AP178" s="1" t="s">
        <v>1886</v>
      </c>
      <c r="AQ178" s="1" t="s">
        <v>74</v>
      </c>
      <c r="AR178" s="1" t="s">
        <v>74</v>
      </c>
      <c r="AS178" s="1" t="s">
        <v>74</v>
      </c>
      <c r="AT178" s="1" t="s">
        <v>415</v>
      </c>
      <c r="AU178" s="1">
        <v>2009.0</v>
      </c>
      <c r="AV178" s="1">
        <v>324.0</v>
      </c>
      <c r="AW178" s="1">
        <v>12.0</v>
      </c>
      <c r="AX178" s="1" t="s">
        <v>74</v>
      </c>
      <c r="AY178" s="1" t="s">
        <v>74</v>
      </c>
      <c r="AZ178" s="1" t="s">
        <v>74</v>
      </c>
      <c r="BA178" s="1" t="s">
        <v>74</v>
      </c>
      <c r="BB178" s="1">
        <v>2522.0</v>
      </c>
      <c r="BC178" s="1">
        <v>2547.0</v>
      </c>
      <c r="BD178" s="1" t="s">
        <v>74</v>
      </c>
      <c r="BE178" s="1" t="s">
        <v>1887</v>
      </c>
      <c r="BF178" s="2" t="str">
        <f>HYPERLINK("http://dx.doi.org/10.1016/j.aop.2009.06.005","http://dx.doi.org/10.1016/j.aop.2009.06.005")</f>
        <v>http://dx.doi.org/10.1016/j.aop.2009.06.005</v>
      </c>
      <c r="BG178" s="1" t="s">
        <v>74</v>
      </c>
      <c r="BH178" s="1" t="s">
        <v>74</v>
      </c>
      <c r="BI178" s="1" t="s">
        <v>74</v>
      </c>
      <c r="BJ178" s="1" t="s">
        <v>74</v>
      </c>
      <c r="BK178" s="1" t="s">
        <v>74</v>
      </c>
      <c r="BL178" s="1" t="s">
        <v>74</v>
      </c>
      <c r="BM178" s="1" t="s">
        <v>74</v>
      </c>
      <c r="BN178" s="1" t="s">
        <v>74</v>
      </c>
      <c r="BO178" s="1" t="s">
        <v>74</v>
      </c>
      <c r="BP178" s="1" t="s">
        <v>74</v>
      </c>
      <c r="BQ178" s="1" t="s">
        <v>74</v>
      </c>
      <c r="BR178" s="1" t="s">
        <v>74</v>
      </c>
      <c r="BS178" s="1" t="s">
        <v>1888</v>
      </c>
      <c r="BT178" s="1" t="str">
        <f>HYPERLINK("https%3A%2F%2Fwww.webofscience.com%2Fwos%2Fwoscc%2Ffull-record%2FWOS:000272102800006","View Full Record in Web of Science")</f>
        <v>View Full Record in Web of Science</v>
      </c>
    </row>
    <row r="179" ht="12.75" customHeight="1">
      <c r="A179" s="1" t="s">
        <v>72</v>
      </c>
      <c r="B179" s="1" t="s">
        <v>1889</v>
      </c>
      <c r="C179" s="1" t="s">
        <v>74</v>
      </c>
      <c r="D179" s="1" t="s">
        <v>74</v>
      </c>
      <c r="E179" s="1" t="s">
        <v>74</v>
      </c>
      <c r="F179" s="1" t="s">
        <v>1890</v>
      </c>
      <c r="G179" s="1" t="s">
        <v>74</v>
      </c>
      <c r="H179" s="1" t="s">
        <v>74</v>
      </c>
      <c r="I179" s="1" t="s">
        <v>1891</v>
      </c>
      <c r="J179" s="1" t="s">
        <v>97</v>
      </c>
      <c r="K179" s="1" t="s">
        <v>74</v>
      </c>
      <c r="L179" s="1" t="s">
        <v>74</v>
      </c>
      <c r="M179" s="1" t="s">
        <v>74</v>
      </c>
      <c r="N179" s="1" t="s">
        <v>74</v>
      </c>
      <c r="O179" s="1" t="s">
        <v>74</v>
      </c>
      <c r="P179" s="1" t="s">
        <v>74</v>
      </c>
      <c r="Q179" s="1" t="s">
        <v>74</v>
      </c>
      <c r="R179" s="1" t="s">
        <v>74</v>
      </c>
      <c r="S179" s="1" t="s">
        <v>74</v>
      </c>
      <c r="T179" s="1" t="s">
        <v>74</v>
      </c>
      <c r="U179" s="1" t="s">
        <v>74</v>
      </c>
      <c r="V179" s="1" t="s">
        <v>1892</v>
      </c>
      <c r="W179" s="1" t="s">
        <v>74</v>
      </c>
      <c r="X179" s="1" t="s">
        <v>74</v>
      </c>
      <c r="Y179" s="1" t="s">
        <v>74</v>
      </c>
      <c r="Z179" s="1" t="s">
        <v>74</v>
      </c>
      <c r="AA179" s="1" t="s">
        <v>1074</v>
      </c>
      <c r="AB179" s="1" t="s">
        <v>197</v>
      </c>
      <c r="AC179" s="1" t="s">
        <v>74</v>
      </c>
      <c r="AD179" s="1" t="s">
        <v>74</v>
      </c>
      <c r="AE179" s="1" t="s">
        <v>74</v>
      </c>
      <c r="AF179" s="1" t="s">
        <v>74</v>
      </c>
      <c r="AG179" s="1" t="s">
        <v>74</v>
      </c>
      <c r="AH179" s="1" t="s">
        <v>74</v>
      </c>
      <c r="AI179" s="1" t="s">
        <v>74</v>
      </c>
      <c r="AJ179" s="1" t="s">
        <v>74</v>
      </c>
      <c r="AK179" s="1" t="s">
        <v>74</v>
      </c>
      <c r="AL179" s="1" t="s">
        <v>74</v>
      </c>
      <c r="AM179" s="1" t="s">
        <v>74</v>
      </c>
      <c r="AN179" s="1" t="s">
        <v>74</v>
      </c>
      <c r="AO179" s="1" t="s">
        <v>101</v>
      </c>
      <c r="AP179" s="1" t="s">
        <v>102</v>
      </c>
      <c r="AQ179" s="1" t="s">
        <v>74</v>
      </c>
      <c r="AR179" s="1" t="s">
        <v>74</v>
      </c>
      <c r="AS179" s="1" t="s">
        <v>74</v>
      </c>
      <c r="AT179" s="1" t="s">
        <v>74</v>
      </c>
      <c r="AU179" s="1">
        <v>2009.0</v>
      </c>
      <c r="AV179" s="1">
        <v>2009.0</v>
      </c>
      <c r="AW179" s="1" t="s">
        <v>74</v>
      </c>
      <c r="AX179" s="1" t="s">
        <v>74</v>
      </c>
      <c r="AY179" s="1" t="s">
        <v>74</v>
      </c>
      <c r="AZ179" s="1" t="s">
        <v>74</v>
      </c>
      <c r="BA179" s="1" t="s">
        <v>74</v>
      </c>
      <c r="BB179" s="1" t="s">
        <v>74</v>
      </c>
      <c r="BC179" s="1" t="s">
        <v>74</v>
      </c>
      <c r="BD179" s="1">
        <v>358329.0</v>
      </c>
      <c r="BE179" s="1" t="s">
        <v>1893</v>
      </c>
      <c r="BF179" s="2" t="str">
        <f>HYPERLINK("http://dx.doi.org/10.1155/2009/358329","http://dx.doi.org/10.1155/2009/358329")</f>
        <v>http://dx.doi.org/10.1155/2009/358329</v>
      </c>
      <c r="BG179" s="1" t="s">
        <v>74</v>
      </c>
      <c r="BH179" s="1" t="s">
        <v>74</v>
      </c>
      <c r="BI179" s="1" t="s">
        <v>74</v>
      </c>
      <c r="BJ179" s="1" t="s">
        <v>74</v>
      </c>
      <c r="BK179" s="1" t="s">
        <v>74</v>
      </c>
      <c r="BL179" s="1" t="s">
        <v>74</v>
      </c>
      <c r="BM179" s="1" t="s">
        <v>74</v>
      </c>
      <c r="BN179" s="1" t="s">
        <v>74</v>
      </c>
      <c r="BO179" s="1" t="s">
        <v>74</v>
      </c>
      <c r="BP179" s="1" t="s">
        <v>74</v>
      </c>
      <c r="BQ179" s="1" t="s">
        <v>74</v>
      </c>
      <c r="BR179" s="1" t="s">
        <v>74</v>
      </c>
      <c r="BS179" s="1" t="s">
        <v>1894</v>
      </c>
      <c r="BT179" s="1" t="str">
        <f>HYPERLINK("https%3A%2F%2Fwww.webofscience.com%2Fwos%2Fwoscc%2Ffull-record%2FWOS:000267562800001","View Full Record in Web of Science")</f>
        <v>View Full Record in Web of Science</v>
      </c>
    </row>
    <row r="180" ht="12.75" customHeight="1">
      <c r="A180" s="1" t="s">
        <v>72</v>
      </c>
      <c r="B180" s="1" t="s">
        <v>1895</v>
      </c>
      <c r="C180" s="1" t="s">
        <v>74</v>
      </c>
      <c r="D180" s="1" t="s">
        <v>74</v>
      </c>
      <c r="E180" s="1" t="s">
        <v>74</v>
      </c>
      <c r="F180" s="1" t="s">
        <v>1896</v>
      </c>
      <c r="G180" s="1" t="s">
        <v>74</v>
      </c>
      <c r="H180" s="1" t="s">
        <v>74</v>
      </c>
      <c r="I180" s="1" t="s">
        <v>1897</v>
      </c>
      <c r="J180" s="1" t="s">
        <v>1898</v>
      </c>
      <c r="K180" s="1" t="s">
        <v>74</v>
      </c>
      <c r="L180" s="1" t="s">
        <v>74</v>
      </c>
      <c r="M180" s="1" t="s">
        <v>74</v>
      </c>
      <c r="N180" s="1" t="s">
        <v>74</v>
      </c>
      <c r="O180" s="1" t="s">
        <v>74</v>
      </c>
      <c r="P180" s="1" t="s">
        <v>74</v>
      </c>
      <c r="Q180" s="1" t="s">
        <v>74</v>
      </c>
      <c r="R180" s="1" t="s">
        <v>74</v>
      </c>
      <c r="S180" s="1" t="s">
        <v>74</v>
      </c>
      <c r="T180" s="1" t="s">
        <v>74</v>
      </c>
      <c r="U180" s="1" t="s">
        <v>74</v>
      </c>
      <c r="V180" s="1" t="s">
        <v>1899</v>
      </c>
      <c r="W180" s="1" t="s">
        <v>74</v>
      </c>
      <c r="X180" s="1" t="s">
        <v>74</v>
      </c>
      <c r="Y180" s="1" t="s">
        <v>74</v>
      </c>
      <c r="Z180" s="1" t="s">
        <v>74</v>
      </c>
      <c r="AA180" s="1" t="s">
        <v>1900</v>
      </c>
      <c r="AB180" s="1" t="s">
        <v>1901</v>
      </c>
      <c r="AC180" s="1" t="s">
        <v>74</v>
      </c>
      <c r="AD180" s="1" t="s">
        <v>74</v>
      </c>
      <c r="AE180" s="1" t="s">
        <v>74</v>
      </c>
      <c r="AF180" s="1" t="s">
        <v>74</v>
      </c>
      <c r="AG180" s="1" t="s">
        <v>74</v>
      </c>
      <c r="AH180" s="1" t="s">
        <v>74</v>
      </c>
      <c r="AI180" s="1" t="s">
        <v>74</v>
      </c>
      <c r="AJ180" s="1" t="s">
        <v>74</v>
      </c>
      <c r="AK180" s="1" t="s">
        <v>74</v>
      </c>
      <c r="AL180" s="1" t="s">
        <v>74</v>
      </c>
      <c r="AM180" s="1" t="s">
        <v>74</v>
      </c>
      <c r="AN180" s="1" t="s">
        <v>74</v>
      </c>
      <c r="AO180" s="1" t="s">
        <v>1902</v>
      </c>
      <c r="AP180" s="1" t="s">
        <v>74</v>
      </c>
      <c r="AQ180" s="1" t="s">
        <v>74</v>
      </c>
      <c r="AR180" s="1" t="s">
        <v>74</v>
      </c>
      <c r="AS180" s="1" t="s">
        <v>74</v>
      </c>
      <c r="AT180" s="1" t="s">
        <v>277</v>
      </c>
      <c r="AU180" s="1">
        <v>2009.0</v>
      </c>
      <c r="AV180" s="1">
        <v>22.0</v>
      </c>
      <c r="AW180" s="1">
        <v>1.0</v>
      </c>
      <c r="AX180" s="1" t="s">
        <v>74</v>
      </c>
      <c r="AY180" s="1" t="s">
        <v>74</v>
      </c>
      <c r="AZ180" s="1" t="s">
        <v>74</v>
      </c>
      <c r="BA180" s="1" t="s">
        <v>74</v>
      </c>
      <c r="BB180" s="1">
        <v>70.0</v>
      </c>
      <c r="BC180" s="1">
        <v>77.0</v>
      </c>
      <c r="BD180" s="1" t="s">
        <v>74</v>
      </c>
      <c r="BE180" s="1" t="s">
        <v>1903</v>
      </c>
      <c r="BF180" s="2" t="str">
        <f>HYPERLINK("http://dx.doi.org/10.1016/j.mineng.2008.04.009","http://dx.doi.org/10.1016/j.mineng.2008.04.009")</f>
        <v>http://dx.doi.org/10.1016/j.mineng.2008.04.009</v>
      </c>
      <c r="BG180" s="1" t="s">
        <v>74</v>
      </c>
      <c r="BH180" s="1" t="s">
        <v>74</v>
      </c>
      <c r="BI180" s="1" t="s">
        <v>74</v>
      </c>
      <c r="BJ180" s="1" t="s">
        <v>74</v>
      </c>
      <c r="BK180" s="1" t="s">
        <v>74</v>
      </c>
      <c r="BL180" s="1" t="s">
        <v>74</v>
      </c>
      <c r="BM180" s="1" t="s">
        <v>74</v>
      </c>
      <c r="BN180" s="1" t="s">
        <v>74</v>
      </c>
      <c r="BO180" s="1" t="s">
        <v>74</v>
      </c>
      <c r="BP180" s="1" t="s">
        <v>74</v>
      </c>
      <c r="BQ180" s="1" t="s">
        <v>74</v>
      </c>
      <c r="BR180" s="1" t="s">
        <v>74</v>
      </c>
      <c r="BS180" s="1" t="s">
        <v>1904</v>
      </c>
      <c r="BT180" s="1" t="str">
        <f>HYPERLINK("https%3A%2F%2Fwww.webofscience.com%2Fwos%2Fwoscc%2Ffull-record%2FWOS:000262141100009","View Full Record in Web of Science")</f>
        <v>View Full Record in Web of Science</v>
      </c>
    </row>
    <row r="181" ht="12.75" customHeight="1">
      <c r="A181" s="1" t="s">
        <v>72</v>
      </c>
      <c r="B181" s="1" t="s">
        <v>1905</v>
      </c>
      <c r="C181" s="1" t="s">
        <v>74</v>
      </c>
      <c r="D181" s="1" t="s">
        <v>74</v>
      </c>
      <c r="E181" s="1" t="s">
        <v>74</v>
      </c>
      <c r="F181" s="1" t="s">
        <v>1906</v>
      </c>
      <c r="G181" s="1" t="s">
        <v>74</v>
      </c>
      <c r="H181" s="1" t="s">
        <v>74</v>
      </c>
      <c r="I181" s="1" t="s">
        <v>1907</v>
      </c>
      <c r="J181" s="1" t="s">
        <v>360</v>
      </c>
      <c r="K181" s="1" t="s">
        <v>74</v>
      </c>
      <c r="L181" s="1" t="s">
        <v>74</v>
      </c>
      <c r="M181" s="1" t="s">
        <v>74</v>
      </c>
      <c r="N181" s="1" t="s">
        <v>74</v>
      </c>
      <c r="O181" s="1" t="s">
        <v>74</v>
      </c>
      <c r="P181" s="1" t="s">
        <v>74</v>
      </c>
      <c r="Q181" s="1" t="s">
        <v>74</v>
      </c>
      <c r="R181" s="1" t="s">
        <v>74</v>
      </c>
      <c r="S181" s="1" t="s">
        <v>74</v>
      </c>
      <c r="T181" s="1" t="s">
        <v>74</v>
      </c>
      <c r="U181" s="1" t="s">
        <v>74</v>
      </c>
      <c r="V181" s="1" t="s">
        <v>1908</v>
      </c>
      <c r="W181" s="1" t="s">
        <v>74</v>
      </c>
      <c r="X181" s="1" t="s">
        <v>74</v>
      </c>
      <c r="Y181" s="1" t="s">
        <v>74</v>
      </c>
      <c r="Z181" s="1" t="s">
        <v>74</v>
      </c>
      <c r="AA181" s="1" t="s">
        <v>1909</v>
      </c>
      <c r="AB181" s="1" t="s">
        <v>208</v>
      </c>
      <c r="AC181" s="1" t="s">
        <v>74</v>
      </c>
      <c r="AD181" s="1" t="s">
        <v>74</v>
      </c>
      <c r="AE181" s="1" t="s">
        <v>74</v>
      </c>
      <c r="AF181" s="1" t="s">
        <v>74</v>
      </c>
      <c r="AG181" s="1" t="s">
        <v>74</v>
      </c>
      <c r="AH181" s="1" t="s">
        <v>74</v>
      </c>
      <c r="AI181" s="1" t="s">
        <v>74</v>
      </c>
      <c r="AJ181" s="1" t="s">
        <v>74</v>
      </c>
      <c r="AK181" s="1" t="s">
        <v>74</v>
      </c>
      <c r="AL181" s="1" t="s">
        <v>74</v>
      </c>
      <c r="AM181" s="1" t="s">
        <v>74</v>
      </c>
      <c r="AN181" s="1" t="s">
        <v>74</v>
      </c>
      <c r="AO181" s="1" t="s">
        <v>362</v>
      </c>
      <c r="AP181" s="1" t="s">
        <v>833</v>
      </c>
      <c r="AQ181" s="1" t="s">
        <v>74</v>
      </c>
      <c r="AR181" s="1" t="s">
        <v>74</v>
      </c>
      <c r="AS181" s="1" t="s">
        <v>74</v>
      </c>
      <c r="AT181" s="1" t="s">
        <v>421</v>
      </c>
      <c r="AU181" s="1">
        <v>2007.0</v>
      </c>
      <c r="AV181" s="1">
        <v>135.0</v>
      </c>
      <c r="AW181" s="1">
        <v>5.0</v>
      </c>
      <c r="AX181" s="1" t="s">
        <v>74</v>
      </c>
      <c r="AY181" s="1" t="s">
        <v>74</v>
      </c>
      <c r="AZ181" s="1" t="s">
        <v>74</v>
      </c>
      <c r="BA181" s="1" t="s">
        <v>74</v>
      </c>
      <c r="BB181" s="1">
        <v>580.0</v>
      </c>
      <c r="BC181" s="1">
        <v>586.0</v>
      </c>
      <c r="BD181" s="1" t="s">
        <v>74</v>
      </c>
      <c r="BE181" s="1" t="s">
        <v>74</v>
      </c>
      <c r="BF181" s="1" t="s">
        <v>74</v>
      </c>
      <c r="BG181" s="1" t="s">
        <v>74</v>
      </c>
      <c r="BH181" s="1" t="s">
        <v>74</v>
      </c>
      <c r="BI181" s="1" t="s">
        <v>74</v>
      </c>
      <c r="BJ181" s="1" t="s">
        <v>74</v>
      </c>
      <c r="BK181" s="1" t="s">
        <v>74</v>
      </c>
      <c r="BL181" s="1" t="s">
        <v>74</v>
      </c>
      <c r="BM181" s="1" t="s">
        <v>74</v>
      </c>
      <c r="BN181" s="1">
        <v>1.7657326E7</v>
      </c>
      <c r="BO181" s="1" t="s">
        <v>74</v>
      </c>
      <c r="BP181" s="1" t="s">
        <v>74</v>
      </c>
      <c r="BQ181" s="1" t="s">
        <v>74</v>
      </c>
      <c r="BR181" s="1" t="s">
        <v>74</v>
      </c>
      <c r="BS181" s="1" t="s">
        <v>1910</v>
      </c>
      <c r="BT181" s="1" t="str">
        <f>HYPERLINK("https%3A%2F%2Fwww.webofscience.com%2Fwos%2Fwoscc%2Ffull-record%2FWOS:000247951300005","View Full Record in Web of Science")</f>
        <v>View Full Record in Web of Science</v>
      </c>
    </row>
    <row r="182" ht="12.75" customHeight="1">
      <c r="A182" s="1" t="s">
        <v>72</v>
      </c>
      <c r="B182" s="1" t="s">
        <v>1911</v>
      </c>
      <c r="C182" s="1" t="s">
        <v>74</v>
      </c>
      <c r="D182" s="1" t="s">
        <v>74</v>
      </c>
      <c r="E182" s="1" t="s">
        <v>74</v>
      </c>
      <c r="F182" s="1" t="s">
        <v>1912</v>
      </c>
      <c r="G182" s="1" t="s">
        <v>74</v>
      </c>
      <c r="H182" s="1" t="s">
        <v>74</v>
      </c>
      <c r="I182" s="1" t="s">
        <v>1913</v>
      </c>
      <c r="J182" s="1" t="s">
        <v>752</v>
      </c>
      <c r="K182" s="1" t="s">
        <v>74</v>
      </c>
      <c r="L182" s="1" t="s">
        <v>74</v>
      </c>
      <c r="M182" s="1" t="s">
        <v>74</v>
      </c>
      <c r="N182" s="1" t="s">
        <v>74</v>
      </c>
      <c r="O182" s="1" t="s">
        <v>1914</v>
      </c>
      <c r="P182" s="1" t="s">
        <v>1915</v>
      </c>
      <c r="Q182" s="1" t="s">
        <v>1916</v>
      </c>
      <c r="R182" s="1" t="s">
        <v>1917</v>
      </c>
      <c r="S182" s="1" t="s">
        <v>74</v>
      </c>
      <c r="T182" s="1" t="s">
        <v>74</v>
      </c>
      <c r="U182" s="1" t="s">
        <v>74</v>
      </c>
      <c r="V182" s="1" t="s">
        <v>1918</v>
      </c>
      <c r="W182" s="1" t="s">
        <v>74</v>
      </c>
      <c r="X182" s="1" t="s">
        <v>74</v>
      </c>
      <c r="Y182" s="1" t="s">
        <v>74</v>
      </c>
      <c r="Z182" s="1" t="s">
        <v>74</v>
      </c>
      <c r="AA182" s="1" t="s">
        <v>1919</v>
      </c>
      <c r="AB182" s="1" t="s">
        <v>1920</v>
      </c>
      <c r="AC182" s="1" t="s">
        <v>74</v>
      </c>
      <c r="AD182" s="1" t="s">
        <v>74</v>
      </c>
      <c r="AE182" s="1" t="s">
        <v>74</v>
      </c>
      <c r="AF182" s="1" t="s">
        <v>74</v>
      </c>
      <c r="AG182" s="1" t="s">
        <v>74</v>
      </c>
      <c r="AH182" s="1" t="s">
        <v>74</v>
      </c>
      <c r="AI182" s="1" t="s">
        <v>74</v>
      </c>
      <c r="AJ182" s="1" t="s">
        <v>74</v>
      </c>
      <c r="AK182" s="1" t="s">
        <v>74</v>
      </c>
      <c r="AL182" s="1" t="s">
        <v>74</v>
      </c>
      <c r="AM182" s="1" t="s">
        <v>74</v>
      </c>
      <c r="AN182" s="1" t="s">
        <v>74</v>
      </c>
      <c r="AO182" s="1" t="s">
        <v>756</v>
      </c>
      <c r="AP182" s="1" t="s">
        <v>757</v>
      </c>
      <c r="AQ182" s="1" t="s">
        <v>74</v>
      </c>
      <c r="AR182" s="1" t="s">
        <v>74</v>
      </c>
      <c r="AS182" s="1" t="s">
        <v>74</v>
      </c>
      <c r="AT182" s="1" t="s">
        <v>122</v>
      </c>
      <c r="AU182" s="1">
        <v>2006.0</v>
      </c>
      <c r="AV182" s="1">
        <v>55.0</v>
      </c>
      <c r="AW182" s="1">
        <v>8.0</v>
      </c>
      <c r="AX182" s="1" t="s">
        <v>74</v>
      </c>
      <c r="AY182" s="1" t="s">
        <v>74</v>
      </c>
      <c r="AZ182" s="1" t="s">
        <v>74</v>
      </c>
      <c r="BA182" s="1" t="s">
        <v>74</v>
      </c>
      <c r="BB182" s="1">
        <v>910.0</v>
      </c>
      <c r="BC182" s="1">
        <v>915.0</v>
      </c>
      <c r="BD182" s="1" t="s">
        <v>74</v>
      </c>
      <c r="BE182" s="1" t="s">
        <v>1921</v>
      </c>
      <c r="BF182" s="2" t="str">
        <f>HYPERLINK("http://dx.doi.org/10.1002/pi.2032","http://dx.doi.org/10.1002/pi.2032")</f>
        <v>http://dx.doi.org/10.1002/pi.2032</v>
      </c>
      <c r="BG182" s="1" t="s">
        <v>74</v>
      </c>
      <c r="BH182" s="1" t="s">
        <v>74</v>
      </c>
      <c r="BI182" s="1" t="s">
        <v>74</v>
      </c>
      <c r="BJ182" s="1" t="s">
        <v>74</v>
      </c>
      <c r="BK182" s="1" t="s">
        <v>74</v>
      </c>
      <c r="BL182" s="1" t="s">
        <v>74</v>
      </c>
      <c r="BM182" s="1" t="s">
        <v>74</v>
      </c>
      <c r="BN182" s="1" t="s">
        <v>74</v>
      </c>
      <c r="BO182" s="1" t="s">
        <v>74</v>
      </c>
      <c r="BP182" s="1" t="s">
        <v>74</v>
      </c>
      <c r="BQ182" s="1" t="s">
        <v>74</v>
      </c>
      <c r="BR182" s="1" t="s">
        <v>74</v>
      </c>
      <c r="BS182" s="1" t="s">
        <v>1922</v>
      </c>
      <c r="BT182" s="1" t="str">
        <f>HYPERLINK("https%3A%2F%2Fwww.webofscience.com%2Fwos%2Fwoscc%2Ffull-record%2FWOS:000239224100012","View Full Record in Web of Science")</f>
        <v>View Full Record in Web of Science</v>
      </c>
    </row>
    <row r="183" ht="12.75" customHeight="1">
      <c r="A183" s="1" t="s">
        <v>72</v>
      </c>
      <c r="B183" s="1" t="s">
        <v>1923</v>
      </c>
      <c r="C183" s="1" t="s">
        <v>74</v>
      </c>
      <c r="D183" s="1" t="s">
        <v>74</v>
      </c>
      <c r="E183" s="1" t="s">
        <v>74</v>
      </c>
      <c r="F183" s="1" t="s">
        <v>1923</v>
      </c>
      <c r="G183" s="1" t="s">
        <v>74</v>
      </c>
      <c r="H183" s="1" t="s">
        <v>74</v>
      </c>
      <c r="I183" s="1" t="s">
        <v>1924</v>
      </c>
      <c r="J183" s="1" t="s">
        <v>1925</v>
      </c>
      <c r="K183" s="1" t="s">
        <v>74</v>
      </c>
      <c r="L183" s="1" t="s">
        <v>74</v>
      </c>
      <c r="M183" s="1" t="s">
        <v>74</v>
      </c>
      <c r="N183" s="1" t="s">
        <v>74</v>
      </c>
      <c r="O183" s="1" t="s">
        <v>74</v>
      </c>
      <c r="P183" s="1" t="s">
        <v>74</v>
      </c>
      <c r="Q183" s="1" t="s">
        <v>74</v>
      </c>
      <c r="R183" s="1" t="s">
        <v>74</v>
      </c>
      <c r="S183" s="1" t="s">
        <v>74</v>
      </c>
      <c r="T183" s="1" t="s">
        <v>74</v>
      </c>
      <c r="U183" s="1" t="s">
        <v>74</v>
      </c>
      <c r="V183" s="1" t="s">
        <v>1926</v>
      </c>
      <c r="W183" s="1" t="s">
        <v>74</v>
      </c>
      <c r="X183" s="1" t="s">
        <v>74</v>
      </c>
      <c r="Y183" s="1" t="s">
        <v>74</v>
      </c>
      <c r="Z183" s="1" t="s">
        <v>74</v>
      </c>
      <c r="AA183" s="1" t="s">
        <v>1927</v>
      </c>
      <c r="AB183" s="1" t="s">
        <v>74</v>
      </c>
      <c r="AC183" s="1" t="s">
        <v>74</v>
      </c>
      <c r="AD183" s="1" t="s">
        <v>74</v>
      </c>
      <c r="AE183" s="1" t="s">
        <v>74</v>
      </c>
      <c r="AF183" s="1" t="s">
        <v>74</v>
      </c>
      <c r="AG183" s="1" t="s">
        <v>74</v>
      </c>
      <c r="AH183" s="1" t="s">
        <v>74</v>
      </c>
      <c r="AI183" s="1" t="s">
        <v>74</v>
      </c>
      <c r="AJ183" s="1" t="s">
        <v>74</v>
      </c>
      <c r="AK183" s="1" t="s">
        <v>74</v>
      </c>
      <c r="AL183" s="1" t="s">
        <v>74</v>
      </c>
      <c r="AM183" s="1" t="s">
        <v>74</v>
      </c>
      <c r="AN183" s="1" t="s">
        <v>74</v>
      </c>
      <c r="AO183" s="1" t="s">
        <v>1928</v>
      </c>
      <c r="AP183" s="1" t="s">
        <v>74</v>
      </c>
      <c r="AQ183" s="1" t="s">
        <v>74</v>
      </c>
      <c r="AR183" s="1" t="s">
        <v>74</v>
      </c>
      <c r="AS183" s="1" t="s">
        <v>74</v>
      </c>
      <c r="AT183" s="1" t="s">
        <v>289</v>
      </c>
      <c r="AU183" s="1">
        <v>2006.0</v>
      </c>
      <c r="AV183" s="1">
        <v>81.0</v>
      </c>
      <c r="AW183" s="1">
        <v>6.0</v>
      </c>
      <c r="AX183" s="1" t="s">
        <v>74</v>
      </c>
      <c r="AY183" s="1" t="s">
        <v>74</v>
      </c>
      <c r="AZ183" s="1" t="s">
        <v>74</v>
      </c>
      <c r="BA183" s="1" t="s">
        <v>74</v>
      </c>
      <c r="BB183" s="1">
        <v>900.0</v>
      </c>
      <c r="BC183" s="1">
        <v>911.0</v>
      </c>
      <c r="BD183" s="1" t="s">
        <v>74</v>
      </c>
      <c r="BE183" s="1" t="s">
        <v>1929</v>
      </c>
      <c r="BF183" s="2" t="str">
        <f>HYPERLINK("http://dx.doi.org/10.1002/jctb.1410","http://dx.doi.org/10.1002/jctb.1410")</f>
        <v>http://dx.doi.org/10.1002/jctb.1410</v>
      </c>
      <c r="BG183" s="1" t="s">
        <v>74</v>
      </c>
      <c r="BH183" s="1" t="s">
        <v>74</v>
      </c>
      <c r="BI183" s="1" t="s">
        <v>74</v>
      </c>
      <c r="BJ183" s="1" t="s">
        <v>74</v>
      </c>
      <c r="BK183" s="1" t="s">
        <v>74</v>
      </c>
      <c r="BL183" s="1" t="s">
        <v>74</v>
      </c>
      <c r="BM183" s="1" t="s">
        <v>74</v>
      </c>
      <c r="BN183" s="1" t="s">
        <v>74</v>
      </c>
      <c r="BO183" s="1" t="s">
        <v>74</v>
      </c>
      <c r="BP183" s="1" t="s">
        <v>74</v>
      </c>
      <c r="BQ183" s="1" t="s">
        <v>74</v>
      </c>
      <c r="BR183" s="1" t="s">
        <v>74</v>
      </c>
      <c r="BS183" s="1" t="s">
        <v>1930</v>
      </c>
      <c r="BT183" s="1" t="str">
        <f>HYPERLINK("https%3A%2F%2Fwww.webofscience.com%2Fwos%2Fwoscc%2Ffull-record%2FWOS:000238072700009","View Full Record in Web of Science")</f>
        <v>View Full Record in Web of Science</v>
      </c>
    </row>
    <row r="184" ht="12.75" customHeight="1">
      <c r="A184" s="1" t="s">
        <v>72</v>
      </c>
      <c r="B184" s="1" t="s">
        <v>1931</v>
      </c>
      <c r="C184" s="1" t="s">
        <v>74</v>
      </c>
      <c r="D184" s="1" t="s">
        <v>74</v>
      </c>
      <c r="E184" s="1" t="s">
        <v>74</v>
      </c>
      <c r="F184" s="1" t="s">
        <v>1931</v>
      </c>
      <c r="G184" s="1" t="s">
        <v>74</v>
      </c>
      <c r="H184" s="1" t="s">
        <v>74</v>
      </c>
      <c r="I184" s="1" t="s">
        <v>1932</v>
      </c>
      <c r="J184" s="1" t="s">
        <v>1933</v>
      </c>
      <c r="K184" s="1" t="s">
        <v>74</v>
      </c>
      <c r="L184" s="1" t="s">
        <v>74</v>
      </c>
      <c r="M184" s="1" t="s">
        <v>74</v>
      </c>
      <c r="N184" s="1" t="s">
        <v>74</v>
      </c>
      <c r="O184" s="1" t="s">
        <v>74</v>
      </c>
      <c r="P184" s="1" t="s">
        <v>74</v>
      </c>
      <c r="Q184" s="1" t="s">
        <v>74</v>
      </c>
      <c r="R184" s="1" t="s">
        <v>74</v>
      </c>
      <c r="S184" s="1" t="s">
        <v>74</v>
      </c>
      <c r="T184" s="1" t="s">
        <v>74</v>
      </c>
      <c r="U184" s="1" t="s">
        <v>74</v>
      </c>
      <c r="V184" s="1" t="s">
        <v>1934</v>
      </c>
      <c r="W184" s="1" t="s">
        <v>74</v>
      </c>
      <c r="X184" s="1" t="s">
        <v>74</v>
      </c>
      <c r="Y184" s="1" t="s">
        <v>74</v>
      </c>
      <c r="Z184" s="1" t="s">
        <v>74</v>
      </c>
      <c r="AA184" s="1" t="s">
        <v>1935</v>
      </c>
      <c r="AB184" s="1" t="s">
        <v>74</v>
      </c>
      <c r="AC184" s="1" t="s">
        <v>74</v>
      </c>
      <c r="AD184" s="1" t="s">
        <v>74</v>
      </c>
      <c r="AE184" s="1" t="s">
        <v>74</v>
      </c>
      <c r="AF184" s="1" t="s">
        <v>74</v>
      </c>
      <c r="AG184" s="1" t="s">
        <v>74</v>
      </c>
      <c r="AH184" s="1" t="s">
        <v>74</v>
      </c>
      <c r="AI184" s="1" t="s">
        <v>74</v>
      </c>
      <c r="AJ184" s="1" t="s">
        <v>74</v>
      </c>
      <c r="AK184" s="1" t="s">
        <v>74</v>
      </c>
      <c r="AL184" s="1" t="s">
        <v>74</v>
      </c>
      <c r="AM184" s="1" t="s">
        <v>74</v>
      </c>
      <c r="AN184" s="1" t="s">
        <v>74</v>
      </c>
      <c r="AO184" s="1" t="s">
        <v>1936</v>
      </c>
      <c r="AP184" s="1" t="s">
        <v>1937</v>
      </c>
      <c r="AQ184" s="1" t="s">
        <v>74</v>
      </c>
      <c r="AR184" s="1" t="s">
        <v>74</v>
      </c>
      <c r="AS184" s="1" t="s">
        <v>74</v>
      </c>
      <c r="AT184" s="1" t="s">
        <v>1938</v>
      </c>
      <c r="AU184" s="1">
        <v>2006.0</v>
      </c>
      <c r="AV184" s="1">
        <v>63.0</v>
      </c>
      <c r="AW184" s="1">
        <v>2.0</v>
      </c>
      <c r="AX184" s="1" t="s">
        <v>74</v>
      </c>
      <c r="AY184" s="1" t="s">
        <v>74</v>
      </c>
      <c r="AZ184" s="1" t="s">
        <v>74</v>
      </c>
      <c r="BA184" s="1" t="s">
        <v>74</v>
      </c>
      <c r="BB184" s="1">
        <v>263.0</v>
      </c>
      <c r="BC184" s="1">
        <v>267.0</v>
      </c>
      <c r="BD184" s="1" t="s">
        <v>74</v>
      </c>
      <c r="BE184" s="1" t="s">
        <v>1939</v>
      </c>
      <c r="BF184" s="2" t="str">
        <f>HYPERLINK("http://dx.doi.org/10.1016/j.carbpol.2005.08.062","http://dx.doi.org/10.1016/j.carbpol.2005.08.062")</f>
        <v>http://dx.doi.org/10.1016/j.carbpol.2005.08.062</v>
      </c>
      <c r="BG184" s="1" t="s">
        <v>74</v>
      </c>
      <c r="BH184" s="1" t="s">
        <v>74</v>
      </c>
      <c r="BI184" s="1" t="s">
        <v>74</v>
      </c>
      <c r="BJ184" s="1" t="s">
        <v>74</v>
      </c>
      <c r="BK184" s="1" t="s">
        <v>74</v>
      </c>
      <c r="BL184" s="1" t="s">
        <v>74</v>
      </c>
      <c r="BM184" s="1" t="s">
        <v>74</v>
      </c>
      <c r="BN184" s="1" t="s">
        <v>74</v>
      </c>
      <c r="BO184" s="1" t="s">
        <v>74</v>
      </c>
      <c r="BP184" s="1" t="s">
        <v>74</v>
      </c>
      <c r="BQ184" s="1" t="s">
        <v>74</v>
      </c>
      <c r="BR184" s="1" t="s">
        <v>74</v>
      </c>
      <c r="BS184" s="1" t="s">
        <v>1940</v>
      </c>
      <c r="BT184" s="1" t="str">
        <f>HYPERLINK("https%3A%2F%2Fwww.webofscience.com%2Fwos%2Fwoscc%2Ffull-record%2FWOS:000235358200015","View Full Record in Web of Science")</f>
        <v>View Full Record in Web of Science</v>
      </c>
    </row>
    <row r="185" ht="12.75" customHeight="1">
      <c r="A185" s="1" t="s">
        <v>72</v>
      </c>
      <c r="B185" s="1" t="s">
        <v>1941</v>
      </c>
      <c r="C185" s="1" t="s">
        <v>74</v>
      </c>
      <c r="D185" s="1" t="s">
        <v>74</v>
      </c>
      <c r="E185" s="1" t="s">
        <v>74</v>
      </c>
      <c r="F185" s="1" t="s">
        <v>1941</v>
      </c>
      <c r="G185" s="1" t="s">
        <v>74</v>
      </c>
      <c r="H185" s="1" t="s">
        <v>74</v>
      </c>
      <c r="I185" s="1" t="s">
        <v>1942</v>
      </c>
      <c r="J185" s="1" t="s">
        <v>1943</v>
      </c>
      <c r="K185" s="1" t="s">
        <v>74</v>
      </c>
      <c r="L185" s="1" t="s">
        <v>74</v>
      </c>
      <c r="M185" s="1" t="s">
        <v>74</v>
      </c>
      <c r="N185" s="1" t="s">
        <v>74</v>
      </c>
      <c r="O185" s="1" t="s">
        <v>74</v>
      </c>
      <c r="P185" s="1" t="s">
        <v>74</v>
      </c>
      <c r="Q185" s="1" t="s">
        <v>74</v>
      </c>
      <c r="R185" s="1" t="s">
        <v>74</v>
      </c>
      <c r="S185" s="1" t="s">
        <v>74</v>
      </c>
      <c r="T185" s="1" t="s">
        <v>74</v>
      </c>
      <c r="U185" s="1" t="s">
        <v>74</v>
      </c>
      <c r="V185" s="1" t="s">
        <v>1944</v>
      </c>
      <c r="W185" s="1" t="s">
        <v>74</v>
      </c>
      <c r="X185" s="1" t="s">
        <v>74</v>
      </c>
      <c r="Y185" s="1" t="s">
        <v>74</v>
      </c>
      <c r="Z185" s="1" t="s">
        <v>74</v>
      </c>
      <c r="AA185" s="1" t="s">
        <v>1945</v>
      </c>
      <c r="AB185" s="1" t="s">
        <v>74</v>
      </c>
      <c r="AC185" s="1" t="s">
        <v>74</v>
      </c>
      <c r="AD185" s="1" t="s">
        <v>74</v>
      </c>
      <c r="AE185" s="1" t="s">
        <v>74</v>
      </c>
      <c r="AF185" s="1" t="s">
        <v>74</v>
      </c>
      <c r="AG185" s="1" t="s">
        <v>74</v>
      </c>
      <c r="AH185" s="1" t="s">
        <v>74</v>
      </c>
      <c r="AI185" s="1" t="s">
        <v>74</v>
      </c>
      <c r="AJ185" s="1" t="s">
        <v>74</v>
      </c>
      <c r="AK185" s="1" t="s">
        <v>74</v>
      </c>
      <c r="AL185" s="1" t="s">
        <v>74</v>
      </c>
      <c r="AM185" s="1" t="s">
        <v>74</v>
      </c>
      <c r="AN185" s="1" t="s">
        <v>74</v>
      </c>
      <c r="AO185" s="1" t="s">
        <v>1946</v>
      </c>
      <c r="AP185" s="1" t="s">
        <v>1947</v>
      </c>
      <c r="AQ185" s="1" t="s">
        <v>74</v>
      </c>
      <c r="AR185" s="1" t="s">
        <v>74</v>
      </c>
      <c r="AS185" s="1" t="s">
        <v>74</v>
      </c>
      <c r="AT185" s="1" t="s">
        <v>1948</v>
      </c>
      <c r="AU185" s="1">
        <v>2005.0</v>
      </c>
      <c r="AV185" s="1">
        <v>161.0</v>
      </c>
      <c r="AW185" s="1">
        <v>2.0</v>
      </c>
      <c r="AX185" s="1" t="s">
        <v>74</v>
      </c>
      <c r="AY185" s="1" t="s">
        <v>74</v>
      </c>
      <c r="AZ185" s="1" t="s">
        <v>74</v>
      </c>
      <c r="BA185" s="1" t="s">
        <v>74</v>
      </c>
      <c r="BB185" s="1">
        <v>679.0</v>
      </c>
      <c r="BC185" s="1">
        <v>690.0</v>
      </c>
      <c r="BD185" s="1" t="s">
        <v>74</v>
      </c>
      <c r="BE185" s="1" t="s">
        <v>1949</v>
      </c>
      <c r="BF185" s="2" t="str">
        <f>HYPERLINK("http://dx.doi.org/10.1016/j.amc.2003.12.056","http://dx.doi.org/10.1016/j.amc.2003.12.056")</f>
        <v>http://dx.doi.org/10.1016/j.amc.2003.12.056</v>
      </c>
      <c r="BG185" s="1" t="s">
        <v>74</v>
      </c>
      <c r="BH185" s="1" t="s">
        <v>74</v>
      </c>
      <c r="BI185" s="1" t="s">
        <v>74</v>
      </c>
      <c r="BJ185" s="1" t="s">
        <v>74</v>
      </c>
      <c r="BK185" s="1" t="s">
        <v>74</v>
      </c>
      <c r="BL185" s="1" t="s">
        <v>74</v>
      </c>
      <c r="BM185" s="1" t="s">
        <v>74</v>
      </c>
      <c r="BN185" s="1" t="s">
        <v>74</v>
      </c>
      <c r="BO185" s="1" t="s">
        <v>74</v>
      </c>
      <c r="BP185" s="1" t="s">
        <v>74</v>
      </c>
      <c r="BQ185" s="1" t="s">
        <v>74</v>
      </c>
      <c r="BR185" s="1" t="s">
        <v>74</v>
      </c>
      <c r="BS185" s="1" t="s">
        <v>1950</v>
      </c>
      <c r="BT185" s="1" t="str">
        <f>HYPERLINK("https%3A%2F%2Fwww.webofscience.com%2Fwos%2Fwoscc%2Ffull-record%2FWOS:000226559200026","View Full Record in Web of Science")</f>
        <v>View Full Record in Web of Science</v>
      </c>
    </row>
    <row r="186" ht="12.75" customHeight="1">
      <c r="A186" s="1" t="s">
        <v>72</v>
      </c>
      <c r="B186" s="1" t="s">
        <v>1951</v>
      </c>
      <c r="C186" s="1" t="s">
        <v>74</v>
      </c>
      <c r="D186" s="1" t="s">
        <v>74</v>
      </c>
      <c r="E186" s="1" t="s">
        <v>74</v>
      </c>
      <c r="F186" s="1" t="s">
        <v>1951</v>
      </c>
      <c r="G186" s="1" t="s">
        <v>74</v>
      </c>
      <c r="H186" s="1" t="s">
        <v>74</v>
      </c>
      <c r="I186" s="1" t="s">
        <v>1952</v>
      </c>
      <c r="J186" s="1" t="s">
        <v>1953</v>
      </c>
      <c r="K186" s="1" t="s">
        <v>74</v>
      </c>
      <c r="L186" s="1" t="s">
        <v>74</v>
      </c>
      <c r="M186" s="1" t="s">
        <v>74</v>
      </c>
      <c r="N186" s="1" t="s">
        <v>74</v>
      </c>
      <c r="O186" s="1" t="s">
        <v>74</v>
      </c>
      <c r="P186" s="1" t="s">
        <v>74</v>
      </c>
      <c r="Q186" s="1" t="s">
        <v>74</v>
      </c>
      <c r="R186" s="1" t="s">
        <v>74</v>
      </c>
      <c r="S186" s="1" t="s">
        <v>74</v>
      </c>
      <c r="T186" s="1" t="s">
        <v>74</v>
      </c>
      <c r="U186" s="1" t="s">
        <v>74</v>
      </c>
      <c r="V186" s="1" t="s">
        <v>1954</v>
      </c>
      <c r="W186" s="1" t="s">
        <v>74</v>
      </c>
      <c r="X186" s="1" t="s">
        <v>74</v>
      </c>
      <c r="Y186" s="1" t="s">
        <v>74</v>
      </c>
      <c r="Z186" s="1" t="s">
        <v>74</v>
      </c>
      <c r="AA186" s="1" t="s">
        <v>1955</v>
      </c>
      <c r="AB186" s="1" t="s">
        <v>1956</v>
      </c>
      <c r="AC186" s="1" t="s">
        <v>74</v>
      </c>
      <c r="AD186" s="1" t="s">
        <v>74</v>
      </c>
      <c r="AE186" s="1" t="s">
        <v>74</v>
      </c>
      <c r="AF186" s="1" t="s">
        <v>74</v>
      </c>
      <c r="AG186" s="1" t="s">
        <v>74</v>
      </c>
      <c r="AH186" s="1" t="s">
        <v>74</v>
      </c>
      <c r="AI186" s="1" t="s">
        <v>74</v>
      </c>
      <c r="AJ186" s="1" t="s">
        <v>74</v>
      </c>
      <c r="AK186" s="1" t="s">
        <v>74</v>
      </c>
      <c r="AL186" s="1" t="s">
        <v>74</v>
      </c>
      <c r="AM186" s="1" t="s">
        <v>74</v>
      </c>
      <c r="AN186" s="1" t="s">
        <v>74</v>
      </c>
      <c r="AO186" s="1" t="s">
        <v>1957</v>
      </c>
      <c r="AP186" s="1" t="s">
        <v>1958</v>
      </c>
      <c r="AQ186" s="1" t="s">
        <v>74</v>
      </c>
      <c r="AR186" s="1" t="s">
        <v>74</v>
      </c>
      <c r="AS186" s="1" t="s">
        <v>74</v>
      </c>
      <c r="AT186" s="1" t="s">
        <v>389</v>
      </c>
      <c r="AU186" s="1">
        <v>2005.0</v>
      </c>
      <c r="AV186" s="1">
        <v>39.0</v>
      </c>
      <c r="AW186" s="1">
        <v>2.0</v>
      </c>
      <c r="AX186" s="1" t="s">
        <v>74</v>
      </c>
      <c r="AY186" s="1" t="s">
        <v>74</v>
      </c>
      <c r="AZ186" s="1" t="s">
        <v>74</v>
      </c>
      <c r="BA186" s="1" t="s">
        <v>74</v>
      </c>
      <c r="BB186" s="1">
        <v>175.0</v>
      </c>
      <c r="BC186" s="1">
        <v>183.0</v>
      </c>
      <c r="BD186" s="1" t="s">
        <v>74</v>
      </c>
      <c r="BE186" s="1" t="s">
        <v>1959</v>
      </c>
      <c r="BF186" s="2" t="str">
        <f>HYPERLINK("http://dx.doi.org/10.1080/10715760400014563","http://dx.doi.org/10.1080/10715760400014563")</f>
        <v>http://dx.doi.org/10.1080/10715760400014563</v>
      </c>
      <c r="BG186" s="1" t="s">
        <v>74</v>
      </c>
      <c r="BH186" s="1" t="s">
        <v>74</v>
      </c>
      <c r="BI186" s="1" t="s">
        <v>74</v>
      </c>
      <c r="BJ186" s="1" t="s">
        <v>74</v>
      </c>
      <c r="BK186" s="1" t="s">
        <v>74</v>
      </c>
      <c r="BL186" s="1" t="s">
        <v>74</v>
      </c>
      <c r="BM186" s="1" t="s">
        <v>74</v>
      </c>
      <c r="BN186" s="1">
        <v>1.5763965E7</v>
      </c>
      <c r="BO186" s="1" t="s">
        <v>74</v>
      </c>
      <c r="BP186" s="1" t="s">
        <v>74</v>
      </c>
      <c r="BQ186" s="1" t="s">
        <v>74</v>
      </c>
      <c r="BR186" s="1" t="s">
        <v>74</v>
      </c>
      <c r="BS186" s="1" t="s">
        <v>1960</v>
      </c>
      <c r="BT186" s="1" t="str">
        <f>HYPERLINK("https%3A%2F%2Fwww.webofscience.com%2Fwos%2Fwoscc%2Ffull-record%2FWOS:000227953800007","View Full Record in Web of Science")</f>
        <v>View Full Record in Web of Science</v>
      </c>
    </row>
    <row r="187" ht="12.75" customHeight="1">
      <c r="A187" s="1" t="s">
        <v>72</v>
      </c>
      <c r="B187" s="1" t="s">
        <v>1961</v>
      </c>
      <c r="C187" s="1" t="s">
        <v>74</v>
      </c>
      <c r="D187" s="1" t="s">
        <v>74</v>
      </c>
      <c r="E187" s="1" t="s">
        <v>74</v>
      </c>
      <c r="F187" s="1" t="s">
        <v>1961</v>
      </c>
      <c r="G187" s="1" t="s">
        <v>74</v>
      </c>
      <c r="H187" s="1" t="s">
        <v>74</v>
      </c>
      <c r="I187" s="1" t="s">
        <v>1962</v>
      </c>
      <c r="J187" s="1" t="s">
        <v>1963</v>
      </c>
      <c r="K187" s="1" t="s">
        <v>74</v>
      </c>
      <c r="L187" s="1" t="s">
        <v>74</v>
      </c>
      <c r="M187" s="1" t="s">
        <v>74</v>
      </c>
      <c r="N187" s="1" t="s">
        <v>74</v>
      </c>
      <c r="O187" s="1" t="s">
        <v>74</v>
      </c>
      <c r="P187" s="1" t="s">
        <v>74</v>
      </c>
      <c r="Q187" s="1" t="s">
        <v>74</v>
      </c>
      <c r="R187" s="1" t="s">
        <v>74</v>
      </c>
      <c r="S187" s="1" t="s">
        <v>74</v>
      </c>
      <c r="T187" s="1" t="s">
        <v>74</v>
      </c>
      <c r="U187" s="1" t="s">
        <v>74</v>
      </c>
      <c r="V187" s="1" t="s">
        <v>1964</v>
      </c>
      <c r="W187" s="1" t="s">
        <v>74</v>
      </c>
      <c r="X187" s="1" t="s">
        <v>74</v>
      </c>
      <c r="Y187" s="1" t="s">
        <v>74</v>
      </c>
      <c r="Z187" s="1" t="s">
        <v>74</v>
      </c>
      <c r="AA187" s="1" t="s">
        <v>1965</v>
      </c>
      <c r="AB187" s="1" t="s">
        <v>1966</v>
      </c>
      <c r="AC187" s="1" t="s">
        <v>74</v>
      </c>
      <c r="AD187" s="1" t="s">
        <v>74</v>
      </c>
      <c r="AE187" s="1" t="s">
        <v>74</v>
      </c>
      <c r="AF187" s="1" t="s">
        <v>74</v>
      </c>
      <c r="AG187" s="1" t="s">
        <v>74</v>
      </c>
      <c r="AH187" s="1" t="s">
        <v>74</v>
      </c>
      <c r="AI187" s="1" t="s">
        <v>74</v>
      </c>
      <c r="AJ187" s="1" t="s">
        <v>74</v>
      </c>
      <c r="AK187" s="1" t="s">
        <v>74</v>
      </c>
      <c r="AL187" s="1" t="s">
        <v>74</v>
      </c>
      <c r="AM187" s="1" t="s">
        <v>74</v>
      </c>
      <c r="AN187" s="1" t="s">
        <v>74</v>
      </c>
      <c r="AO187" s="1" t="s">
        <v>1967</v>
      </c>
      <c r="AP187" s="1" t="s">
        <v>1968</v>
      </c>
      <c r="AQ187" s="1" t="s">
        <v>74</v>
      </c>
      <c r="AR187" s="1" t="s">
        <v>74</v>
      </c>
      <c r="AS187" s="1" t="s">
        <v>74</v>
      </c>
      <c r="AT187" s="1" t="s">
        <v>122</v>
      </c>
      <c r="AU187" s="1">
        <v>2004.0</v>
      </c>
      <c r="AV187" s="1">
        <v>69.0</v>
      </c>
      <c r="AW187" s="1">
        <v>6.0</v>
      </c>
      <c r="AX187" s="1" t="s">
        <v>74</v>
      </c>
      <c r="AY187" s="1" t="s">
        <v>74</v>
      </c>
      <c r="AZ187" s="1" t="s">
        <v>74</v>
      </c>
      <c r="BA187" s="1" t="s">
        <v>74</v>
      </c>
      <c r="BB187" s="1" t="s">
        <v>1969</v>
      </c>
      <c r="BC187" s="1" t="s">
        <v>1970</v>
      </c>
      <c r="BD187" s="1" t="s">
        <v>74</v>
      </c>
      <c r="BE187" s="1" t="s">
        <v>74</v>
      </c>
      <c r="BF187" s="1" t="s">
        <v>74</v>
      </c>
      <c r="BG187" s="1" t="s">
        <v>74</v>
      </c>
      <c r="BH187" s="1" t="s">
        <v>74</v>
      </c>
      <c r="BI187" s="1" t="s">
        <v>74</v>
      </c>
      <c r="BJ187" s="1" t="s">
        <v>74</v>
      </c>
      <c r="BK187" s="1" t="s">
        <v>74</v>
      </c>
      <c r="BL187" s="1" t="s">
        <v>74</v>
      </c>
      <c r="BM187" s="1" t="s">
        <v>74</v>
      </c>
      <c r="BN187" s="1" t="s">
        <v>74</v>
      </c>
      <c r="BO187" s="1" t="s">
        <v>74</v>
      </c>
      <c r="BP187" s="1" t="s">
        <v>74</v>
      </c>
      <c r="BQ187" s="1" t="s">
        <v>74</v>
      </c>
      <c r="BR187" s="1" t="s">
        <v>74</v>
      </c>
      <c r="BS187" s="1" t="s">
        <v>1971</v>
      </c>
      <c r="BT187" s="1" t="str">
        <f>HYPERLINK("https%3A%2F%2Fwww.webofscience.com%2Fwos%2Fwoscc%2Ffull-record%2FWOS:000223489600015","View Full Record in Web of Science")</f>
        <v>View Full Record in Web of Science</v>
      </c>
    </row>
    <row r="188" ht="12.75" customHeight="1">
      <c r="A188" s="1" t="s">
        <v>72</v>
      </c>
      <c r="B188" s="1" t="s">
        <v>1972</v>
      </c>
      <c r="C188" s="1" t="s">
        <v>74</v>
      </c>
      <c r="D188" s="1" t="s">
        <v>74</v>
      </c>
      <c r="E188" s="1" t="s">
        <v>74</v>
      </c>
      <c r="F188" s="1" t="s">
        <v>1972</v>
      </c>
      <c r="G188" s="1" t="s">
        <v>74</v>
      </c>
      <c r="H188" s="1" t="s">
        <v>74</v>
      </c>
      <c r="I188" s="1" t="s">
        <v>1973</v>
      </c>
      <c r="J188" s="1" t="s">
        <v>1974</v>
      </c>
      <c r="K188" s="1" t="s">
        <v>74</v>
      </c>
      <c r="L188" s="1" t="s">
        <v>74</v>
      </c>
      <c r="M188" s="1" t="s">
        <v>74</v>
      </c>
      <c r="N188" s="1" t="s">
        <v>74</v>
      </c>
      <c r="O188" s="1" t="s">
        <v>74</v>
      </c>
      <c r="P188" s="1" t="s">
        <v>74</v>
      </c>
      <c r="Q188" s="1" t="s">
        <v>74</v>
      </c>
      <c r="R188" s="1" t="s">
        <v>74</v>
      </c>
      <c r="S188" s="1" t="s">
        <v>74</v>
      </c>
      <c r="T188" s="1" t="s">
        <v>74</v>
      </c>
      <c r="U188" s="1" t="s">
        <v>74</v>
      </c>
      <c r="V188" s="1" t="s">
        <v>1975</v>
      </c>
      <c r="W188" s="1" t="s">
        <v>74</v>
      </c>
      <c r="X188" s="1" t="s">
        <v>74</v>
      </c>
      <c r="Y188" s="1" t="s">
        <v>74</v>
      </c>
      <c r="Z188" s="1" t="s">
        <v>74</v>
      </c>
      <c r="AA188" s="1" t="s">
        <v>1976</v>
      </c>
      <c r="AB188" s="1" t="s">
        <v>1977</v>
      </c>
      <c r="AC188" s="1" t="s">
        <v>74</v>
      </c>
      <c r="AD188" s="1" t="s">
        <v>74</v>
      </c>
      <c r="AE188" s="1" t="s">
        <v>74</v>
      </c>
      <c r="AF188" s="1" t="s">
        <v>74</v>
      </c>
      <c r="AG188" s="1" t="s">
        <v>74</v>
      </c>
      <c r="AH188" s="1" t="s">
        <v>74</v>
      </c>
      <c r="AI188" s="1" t="s">
        <v>74</v>
      </c>
      <c r="AJ188" s="1" t="s">
        <v>74</v>
      </c>
      <c r="AK188" s="1" t="s">
        <v>74</v>
      </c>
      <c r="AL188" s="1" t="s">
        <v>74</v>
      </c>
      <c r="AM188" s="1" t="s">
        <v>74</v>
      </c>
      <c r="AN188" s="1" t="s">
        <v>74</v>
      </c>
      <c r="AO188" s="1" t="s">
        <v>1978</v>
      </c>
      <c r="AP188" s="1" t="s">
        <v>1979</v>
      </c>
      <c r="AQ188" s="1" t="s">
        <v>74</v>
      </c>
      <c r="AR188" s="1" t="s">
        <v>74</v>
      </c>
      <c r="AS188" s="1" t="s">
        <v>74</v>
      </c>
      <c r="AT188" s="1" t="s">
        <v>621</v>
      </c>
      <c r="AU188" s="1">
        <v>2004.0</v>
      </c>
      <c r="AV188" s="1">
        <v>46.0</v>
      </c>
      <c r="AW188" s="1">
        <v>7.0</v>
      </c>
      <c r="AX188" s="1" t="s">
        <v>74</v>
      </c>
      <c r="AY188" s="1" t="s">
        <v>74</v>
      </c>
      <c r="AZ188" s="1" t="s">
        <v>74</v>
      </c>
      <c r="BA188" s="1" t="s">
        <v>74</v>
      </c>
      <c r="BB188" s="1">
        <v>399.0</v>
      </c>
      <c r="BC188" s="1">
        <v>402.0</v>
      </c>
      <c r="BD188" s="1" t="s">
        <v>74</v>
      </c>
      <c r="BE188" s="1" t="s">
        <v>1980</v>
      </c>
      <c r="BF188" s="2" t="str">
        <f>HYPERLINK("http://dx.doi.org/10.1784/insi.46.7.399.55578","http://dx.doi.org/10.1784/insi.46.7.399.55578")</f>
        <v>http://dx.doi.org/10.1784/insi.46.7.399.55578</v>
      </c>
      <c r="BG188" s="1" t="s">
        <v>74</v>
      </c>
      <c r="BH188" s="1" t="s">
        <v>74</v>
      </c>
      <c r="BI188" s="1" t="s">
        <v>74</v>
      </c>
      <c r="BJ188" s="1" t="s">
        <v>74</v>
      </c>
      <c r="BK188" s="1" t="s">
        <v>74</v>
      </c>
      <c r="BL188" s="1" t="s">
        <v>74</v>
      </c>
      <c r="BM188" s="1" t="s">
        <v>74</v>
      </c>
      <c r="BN188" s="1" t="s">
        <v>74</v>
      </c>
      <c r="BO188" s="1" t="s">
        <v>74</v>
      </c>
      <c r="BP188" s="1" t="s">
        <v>74</v>
      </c>
      <c r="BQ188" s="1" t="s">
        <v>74</v>
      </c>
      <c r="BR188" s="1" t="s">
        <v>74</v>
      </c>
      <c r="BS188" s="1" t="s">
        <v>1981</v>
      </c>
      <c r="BT188" s="1" t="str">
        <f>HYPERLINK("https%3A%2F%2Fwww.webofscience.com%2Fwos%2Fwoscc%2Ffull-record%2FWOS:000222602600012","View Full Record in Web of Science")</f>
        <v>View Full Record in Web of Science</v>
      </c>
    </row>
    <row r="189" ht="12.75" customHeight="1">
      <c r="A189" s="1" t="s">
        <v>72</v>
      </c>
      <c r="B189" s="1" t="s">
        <v>1982</v>
      </c>
      <c r="C189" s="1" t="s">
        <v>74</v>
      </c>
      <c r="D189" s="1" t="s">
        <v>74</v>
      </c>
      <c r="E189" s="1" t="s">
        <v>74</v>
      </c>
      <c r="F189" s="1" t="s">
        <v>1982</v>
      </c>
      <c r="G189" s="1" t="s">
        <v>74</v>
      </c>
      <c r="H189" s="1" t="s">
        <v>74</v>
      </c>
      <c r="I189" s="1" t="s">
        <v>1983</v>
      </c>
      <c r="J189" s="1" t="s">
        <v>1984</v>
      </c>
      <c r="K189" s="1" t="s">
        <v>74</v>
      </c>
      <c r="L189" s="1" t="s">
        <v>74</v>
      </c>
      <c r="M189" s="1" t="s">
        <v>74</v>
      </c>
      <c r="N189" s="1" t="s">
        <v>74</v>
      </c>
      <c r="O189" s="1" t="s">
        <v>74</v>
      </c>
      <c r="P189" s="1" t="s">
        <v>74</v>
      </c>
      <c r="Q189" s="1" t="s">
        <v>74</v>
      </c>
      <c r="R189" s="1" t="s">
        <v>74</v>
      </c>
      <c r="S189" s="1" t="s">
        <v>74</v>
      </c>
      <c r="T189" s="1" t="s">
        <v>74</v>
      </c>
      <c r="U189" s="1" t="s">
        <v>74</v>
      </c>
      <c r="V189" s="1" t="s">
        <v>1985</v>
      </c>
      <c r="W189" s="1" t="s">
        <v>74</v>
      </c>
      <c r="X189" s="1" t="s">
        <v>74</v>
      </c>
      <c r="Y189" s="1" t="s">
        <v>74</v>
      </c>
      <c r="Z189" s="1" t="s">
        <v>74</v>
      </c>
      <c r="AA189" s="1" t="s">
        <v>1986</v>
      </c>
      <c r="AB189" s="1" t="s">
        <v>1987</v>
      </c>
      <c r="AC189" s="1" t="s">
        <v>74</v>
      </c>
      <c r="AD189" s="1" t="s">
        <v>74</v>
      </c>
      <c r="AE189" s="1" t="s">
        <v>74</v>
      </c>
      <c r="AF189" s="1" t="s">
        <v>74</v>
      </c>
      <c r="AG189" s="1" t="s">
        <v>74</v>
      </c>
      <c r="AH189" s="1" t="s">
        <v>74</v>
      </c>
      <c r="AI189" s="1" t="s">
        <v>74</v>
      </c>
      <c r="AJ189" s="1" t="s">
        <v>74</v>
      </c>
      <c r="AK189" s="1" t="s">
        <v>74</v>
      </c>
      <c r="AL189" s="1" t="s">
        <v>74</v>
      </c>
      <c r="AM189" s="1" t="s">
        <v>74</v>
      </c>
      <c r="AN189" s="1" t="s">
        <v>74</v>
      </c>
      <c r="AO189" s="1" t="s">
        <v>1988</v>
      </c>
      <c r="AP189" s="1" t="s">
        <v>74</v>
      </c>
      <c r="AQ189" s="1" t="s">
        <v>74</v>
      </c>
      <c r="AR189" s="1" t="s">
        <v>74</v>
      </c>
      <c r="AS189" s="1" t="s">
        <v>74</v>
      </c>
      <c r="AT189" s="1" t="s">
        <v>1989</v>
      </c>
      <c r="AU189" s="1">
        <v>2003.0</v>
      </c>
      <c r="AV189" s="1">
        <v>342.0</v>
      </c>
      <c r="AW189" s="1" t="s">
        <v>308</v>
      </c>
      <c r="AX189" s="1" t="s">
        <v>74</v>
      </c>
      <c r="AY189" s="1" t="s">
        <v>74</v>
      </c>
      <c r="AZ189" s="1" t="s">
        <v>74</v>
      </c>
      <c r="BA189" s="1" t="s">
        <v>74</v>
      </c>
      <c r="BB189" s="1">
        <v>105.0</v>
      </c>
      <c r="BC189" s="1">
        <v>108.0</v>
      </c>
      <c r="BD189" s="1" t="s">
        <v>74</v>
      </c>
      <c r="BE189" s="1" t="s">
        <v>1990</v>
      </c>
      <c r="BF189" s="2" t="str">
        <f>HYPERLINK("http://dx.doi.org/10.1016/S0304-3940(03)00270-2","http://dx.doi.org/10.1016/S0304-3940(03)00270-2")</f>
        <v>http://dx.doi.org/10.1016/S0304-3940(03)00270-2</v>
      </c>
      <c r="BG189" s="1" t="s">
        <v>74</v>
      </c>
      <c r="BH189" s="1" t="s">
        <v>74</v>
      </c>
      <c r="BI189" s="1" t="s">
        <v>74</v>
      </c>
      <c r="BJ189" s="1" t="s">
        <v>74</v>
      </c>
      <c r="BK189" s="1" t="s">
        <v>74</v>
      </c>
      <c r="BL189" s="1" t="s">
        <v>74</v>
      </c>
      <c r="BM189" s="1" t="s">
        <v>74</v>
      </c>
      <c r="BN189" s="1">
        <v>1.2727329E7</v>
      </c>
      <c r="BO189" s="1" t="s">
        <v>74</v>
      </c>
      <c r="BP189" s="1" t="s">
        <v>74</v>
      </c>
      <c r="BQ189" s="1" t="s">
        <v>74</v>
      </c>
      <c r="BR189" s="1" t="s">
        <v>74</v>
      </c>
      <c r="BS189" s="1" t="s">
        <v>1991</v>
      </c>
      <c r="BT189" s="1" t="str">
        <f>HYPERLINK("https%3A%2F%2Fwww.webofscience.com%2Fwos%2Fwoscc%2Ffull-record%2FWOS:000182753700027","View Full Record in Web of Science")</f>
        <v>View Full Record in Web of Science</v>
      </c>
    </row>
    <row r="190" ht="12.75" customHeight="1">
      <c r="A190" s="1" t="s">
        <v>72</v>
      </c>
      <c r="B190" s="1" t="s">
        <v>1992</v>
      </c>
      <c r="C190" s="1" t="s">
        <v>74</v>
      </c>
      <c r="D190" s="1" t="s">
        <v>74</v>
      </c>
      <c r="E190" s="1" t="s">
        <v>74</v>
      </c>
      <c r="F190" s="1" t="s">
        <v>1992</v>
      </c>
      <c r="G190" s="1" t="s">
        <v>74</v>
      </c>
      <c r="H190" s="1" t="s">
        <v>74</v>
      </c>
      <c r="I190" s="1" t="s">
        <v>1993</v>
      </c>
      <c r="J190" s="1" t="s">
        <v>1994</v>
      </c>
      <c r="K190" s="1" t="s">
        <v>74</v>
      </c>
      <c r="L190" s="1" t="s">
        <v>74</v>
      </c>
      <c r="M190" s="1" t="s">
        <v>74</v>
      </c>
      <c r="N190" s="1" t="s">
        <v>74</v>
      </c>
      <c r="O190" s="1" t="s">
        <v>74</v>
      </c>
      <c r="P190" s="1" t="s">
        <v>74</v>
      </c>
      <c r="Q190" s="1" t="s">
        <v>74</v>
      </c>
      <c r="R190" s="1" t="s">
        <v>74</v>
      </c>
      <c r="S190" s="1" t="s">
        <v>74</v>
      </c>
      <c r="T190" s="1" t="s">
        <v>74</v>
      </c>
      <c r="U190" s="1" t="s">
        <v>74</v>
      </c>
      <c r="V190" s="1" t="s">
        <v>1995</v>
      </c>
      <c r="W190" s="1" t="s">
        <v>74</v>
      </c>
      <c r="X190" s="1" t="s">
        <v>74</v>
      </c>
      <c r="Y190" s="1" t="s">
        <v>74</v>
      </c>
      <c r="Z190" s="1" t="s">
        <v>74</v>
      </c>
      <c r="AA190" s="1" t="s">
        <v>1996</v>
      </c>
      <c r="AB190" s="1" t="s">
        <v>1997</v>
      </c>
      <c r="AC190" s="1" t="s">
        <v>74</v>
      </c>
      <c r="AD190" s="1" t="s">
        <v>74</v>
      </c>
      <c r="AE190" s="1" t="s">
        <v>74</v>
      </c>
      <c r="AF190" s="1" t="s">
        <v>74</v>
      </c>
      <c r="AG190" s="1" t="s">
        <v>74</v>
      </c>
      <c r="AH190" s="1" t="s">
        <v>74</v>
      </c>
      <c r="AI190" s="1" t="s">
        <v>74</v>
      </c>
      <c r="AJ190" s="1" t="s">
        <v>74</v>
      </c>
      <c r="AK190" s="1" t="s">
        <v>74</v>
      </c>
      <c r="AL190" s="1" t="s">
        <v>74</v>
      </c>
      <c r="AM190" s="1" t="s">
        <v>74</v>
      </c>
      <c r="AN190" s="1" t="s">
        <v>74</v>
      </c>
      <c r="AO190" s="1" t="s">
        <v>1998</v>
      </c>
      <c r="AP190" s="1" t="s">
        <v>74</v>
      </c>
      <c r="AQ190" s="1" t="s">
        <v>74</v>
      </c>
      <c r="AR190" s="1" t="s">
        <v>74</v>
      </c>
      <c r="AS190" s="1" t="s">
        <v>74</v>
      </c>
      <c r="AT190" s="1" t="s">
        <v>74</v>
      </c>
      <c r="AU190" s="1">
        <v>2003.0</v>
      </c>
      <c r="AV190" s="1" t="s">
        <v>1999</v>
      </c>
      <c r="AW190" s="1">
        <v>6.0</v>
      </c>
      <c r="AX190" s="1" t="s">
        <v>74</v>
      </c>
      <c r="AY190" s="1" t="s">
        <v>74</v>
      </c>
      <c r="AZ190" s="1" t="s">
        <v>74</v>
      </c>
      <c r="BA190" s="1" t="s">
        <v>74</v>
      </c>
      <c r="BB190" s="1">
        <v>1281.0</v>
      </c>
      <c r="BC190" s="1">
        <v>1291.0</v>
      </c>
      <c r="BD190" s="1" t="s">
        <v>74</v>
      </c>
      <c r="BE190" s="1" t="s">
        <v>2000</v>
      </c>
      <c r="BF190" s="2" t="str">
        <f>HYPERLINK("http://dx.doi.org/10.1081/MB-120024820","http://dx.doi.org/10.1081/MB-120024820")</f>
        <v>http://dx.doi.org/10.1081/MB-120024820</v>
      </c>
      <c r="BG190" s="1" t="s">
        <v>74</v>
      </c>
      <c r="BH190" s="1" t="s">
        <v>74</v>
      </c>
      <c r="BI190" s="1" t="s">
        <v>74</v>
      </c>
      <c r="BJ190" s="1" t="s">
        <v>74</v>
      </c>
      <c r="BK190" s="1" t="s">
        <v>74</v>
      </c>
      <c r="BL190" s="1" t="s">
        <v>74</v>
      </c>
      <c r="BM190" s="1" t="s">
        <v>74</v>
      </c>
      <c r="BN190" s="1" t="s">
        <v>74</v>
      </c>
      <c r="BO190" s="1" t="s">
        <v>74</v>
      </c>
      <c r="BP190" s="1" t="s">
        <v>74</v>
      </c>
      <c r="BQ190" s="1" t="s">
        <v>74</v>
      </c>
      <c r="BR190" s="1" t="s">
        <v>74</v>
      </c>
      <c r="BS190" s="1" t="s">
        <v>2001</v>
      </c>
      <c r="BT190" s="1" t="str">
        <f>HYPERLINK("https%3A%2F%2Fwww.webofscience.com%2Fwos%2Fwoscc%2Ffull-record%2FWOS:000186274500012","View Full Record in Web of Science")</f>
        <v>View Full Record in Web of Science</v>
      </c>
    </row>
    <row r="191" ht="12.75" customHeight="1">
      <c r="A191" s="1" t="s">
        <v>72</v>
      </c>
      <c r="B191" s="1" t="s">
        <v>2002</v>
      </c>
      <c r="C191" s="1" t="s">
        <v>74</v>
      </c>
      <c r="D191" s="1" t="s">
        <v>74</v>
      </c>
      <c r="E191" s="1" t="s">
        <v>74</v>
      </c>
      <c r="F191" s="1" t="s">
        <v>2002</v>
      </c>
      <c r="G191" s="1" t="s">
        <v>74</v>
      </c>
      <c r="H191" s="1" t="s">
        <v>74</v>
      </c>
      <c r="I191" s="1" t="s">
        <v>2003</v>
      </c>
      <c r="J191" s="1" t="s">
        <v>2004</v>
      </c>
      <c r="K191" s="1" t="s">
        <v>74</v>
      </c>
      <c r="L191" s="1" t="s">
        <v>74</v>
      </c>
      <c r="M191" s="1" t="s">
        <v>74</v>
      </c>
      <c r="N191" s="1" t="s">
        <v>74</v>
      </c>
      <c r="O191" s="1" t="s">
        <v>74</v>
      </c>
      <c r="P191" s="1" t="s">
        <v>74</v>
      </c>
      <c r="Q191" s="1" t="s">
        <v>74</v>
      </c>
      <c r="R191" s="1" t="s">
        <v>74</v>
      </c>
      <c r="S191" s="1" t="s">
        <v>74</v>
      </c>
      <c r="T191" s="1" t="s">
        <v>74</v>
      </c>
      <c r="U191" s="1" t="s">
        <v>74</v>
      </c>
      <c r="V191" s="1" t="s">
        <v>2005</v>
      </c>
      <c r="W191" s="1" t="s">
        <v>74</v>
      </c>
      <c r="X191" s="1" t="s">
        <v>74</v>
      </c>
      <c r="Y191" s="1" t="s">
        <v>74</v>
      </c>
      <c r="Z191" s="1" t="s">
        <v>74</v>
      </c>
      <c r="AA191" s="1" t="s">
        <v>2006</v>
      </c>
      <c r="AB191" s="1" t="s">
        <v>2007</v>
      </c>
      <c r="AC191" s="1" t="s">
        <v>74</v>
      </c>
      <c r="AD191" s="1" t="s">
        <v>74</v>
      </c>
      <c r="AE191" s="1" t="s">
        <v>74</v>
      </c>
      <c r="AF191" s="1" t="s">
        <v>74</v>
      </c>
      <c r="AG191" s="1" t="s">
        <v>74</v>
      </c>
      <c r="AH191" s="1" t="s">
        <v>74</v>
      </c>
      <c r="AI191" s="1" t="s">
        <v>74</v>
      </c>
      <c r="AJ191" s="1" t="s">
        <v>74</v>
      </c>
      <c r="AK191" s="1" t="s">
        <v>74</v>
      </c>
      <c r="AL191" s="1" t="s">
        <v>74</v>
      </c>
      <c r="AM191" s="1" t="s">
        <v>74</v>
      </c>
      <c r="AN191" s="1" t="s">
        <v>74</v>
      </c>
      <c r="AO191" s="1" t="s">
        <v>2008</v>
      </c>
      <c r="AP191" s="1" t="s">
        <v>74</v>
      </c>
      <c r="AQ191" s="1" t="s">
        <v>74</v>
      </c>
      <c r="AR191" s="1" t="s">
        <v>74</v>
      </c>
      <c r="AS191" s="1" t="s">
        <v>74</v>
      </c>
      <c r="AT191" s="1" t="s">
        <v>74</v>
      </c>
      <c r="AU191" s="1">
        <v>2001.0</v>
      </c>
      <c r="AV191" s="1">
        <v>32.0</v>
      </c>
      <c r="AW191" s="1" t="s">
        <v>2009</v>
      </c>
      <c r="AX191" s="1" t="s">
        <v>74</v>
      </c>
      <c r="AY191" s="1" t="s">
        <v>74</v>
      </c>
      <c r="AZ191" s="1" t="s">
        <v>74</v>
      </c>
      <c r="BA191" s="1" t="s">
        <v>74</v>
      </c>
      <c r="BB191" s="1">
        <v>2741.0</v>
      </c>
      <c r="BC191" s="1">
        <v>2754.0</v>
      </c>
      <c r="BD191" s="1" t="s">
        <v>74</v>
      </c>
      <c r="BE191" s="1" t="s">
        <v>2010</v>
      </c>
      <c r="BF191" s="2" t="str">
        <f>HYPERLINK("http://dx.doi.org/10.1081/CSS-120000958","http://dx.doi.org/10.1081/CSS-120000958")</f>
        <v>http://dx.doi.org/10.1081/CSS-120000958</v>
      </c>
      <c r="BG191" s="1" t="s">
        <v>74</v>
      </c>
      <c r="BH191" s="1" t="s">
        <v>74</v>
      </c>
      <c r="BI191" s="1" t="s">
        <v>74</v>
      </c>
      <c r="BJ191" s="1" t="s">
        <v>74</v>
      </c>
      <c r="BK191" s="1" t="s">
        <v>74</v>
      </c>
      <c r="BL191" s="1" t="s">
        <v>74</v>
      </c>
      <c r="BM191" s="1" t="s">
        <v>74</v>
      </c>
      <c r="BN191" s="1" t="s">
        <v>74</v>
      </c>
      <c r="BO191" s="1" t="s">
        <v>74</v>
      </c>
      <c r="BP191" s="1" t="s">
        <v>74</v>
      </c>
      <c r="BQ191" s="1" t="s">
        <v>74</v>
      </c>
      <c r="BR191" s="1" t="s">
        <v>74</v>
      </c>
      <c r="BS191" s="1" t="s">
        <v>2011</v>
      </c>
      <c r="BT191" s="1" t="str">
        <f>HYPERLINK("https%3A%2F%2Fwww.webofscience.com%2Fwos%2Fwoscc%2Ffull-record%2FWOS:000172246900005","View Full Record in Web of Science")</f>
        <v>View Full Record in Web of Science</v>
      </c>
    </row>
    <row r="192" ht="12.75" customHeight="1">
      <c r="A192" s="1" t="s">
        <v>72</v>
      </c>
      <c r="B192" s="1" t="s">
        <v>2012</v>
      </c>
      <c r="C192" s="1" t="s">
        <v>74</v>
      </c>
      <c r="D192" s="1" t="s">
        <v>74</v>
      </c>
      <c r="E192" s="1" t="s">
        <v>74</v>
      </c>
      <c r="F192" s="1" t="s">
        <v>2012</v>
      </c>
      <c r="G192" s="1" t="s">
        <v>74</v>
      </c>
      <c r="H192" s="1" t="s">
        <v>74</v>
      </c>
      <c r="I192" s="1" t="s">
        <v>2013</v>
      </c>
      <c r="J192" s="1" t="s">
        <v>2014</v>
      </c>
      <c r="K192" s="1" t="s">
        <v>74</v>
      </c>
      <c r="L192" s="1" t="s">
        <v>74</v>
      </c>
      <c r="M192" s="1" t="s">
        <v>74</v>
      </c>
      <c r="N192" s="1" t="s">
        <v>74</v>
      </c>
      <c r="O192" s="1" t="s">
        <v>74</v>
      </c>
      <c r="P192" s="1" t="s">
        <v>74</v>
      </c>
      <c r="Q192" s="1" t="s">
        <v>74</v>
      </c>
      <c r="R192" s="1" t="s">
        <v>74</v>
      </c>
      <c r="S192" s="1" t="s">
        <v>74</v>
      </c>
      <c r="T192" s="1" t="s">
        <v>74</v>
      </c>
      <c r="U192" s="1" t="s">
        <v>74</v>
      </c>
      <c r="V192" s="1" t="s">
        <v>2015</v>
      </c>
      <c r="W192" s="1" t="s">
        <v>74</v>
      </c>
      <c r="X192" s="1" t="s">
        <v>74</v>
      </c>
      <c r="Y192" s="1" t="s">
        <v>74</v>
      </c>
      <c r="Z192" s="1" t="s">
        <v>74</v>
      </c>
      <c r="AA192" s="1" t="s">
        <v>74</v>
      </c>
      <c r="AB192" s="1" t="s">
        <v>2016</v>
      </c>
      <c r="AC192" s="1" t="s">
        <v>74</v>
      </c>
      <c r="AD192" s="1" t="s">
        <v>74</v>
      </c>
      <c r="AE192" s="1" t="s">
        <v>74</v>
      </c>
      <c r="AF192" s="1" t="s">
        <v>74</v>
      </c>
      <c r="AG192" s="1" t="s">
        <v>74</v>
      </c>
      <c r="AH192" s="1" t="s">
        <v>74</v>
      </c>
      <c r="AI192" s="1" t="s">
        <v>74</v>
      </c>
      <c r="AJ192" s="1" t="s">
        <v>74</v>
      </c>
      <c r="AK192" s="1" t="s">
        <v>74</v>
      </c>
      <c r="AL192" s="1" t="s">
        <v>74</v>
      </c>
      <c r="AM192" s="1" t="s">
        <v>74</v>
      </c>
      <c r="AN192" s="1" t="s">
        <v>74</v>
      </c>
      <c r="AO192" s="1" t="s">
        <v>2017</v>
      </c>
      <c r="AP192" s="1" t="s">
        <v>74</v>
      </c>
      <c r="AQ192" s="1" t="s">
        <v>74</v>
      </c>
      <c r="AR192" s="1" t="s">
        <v>74</v>
      </c>
      <c r="AS192" s="1" t="s">
        <v>74</v>
      </c>
      <c r="AT192" s="1" t="s">
        <v>2018</v>
      </c>
      <c r="AU192" s="1">
        <v>2000.0</v>
      </c>
      <c r="AV192" s="1">
        <v>55.0</v>
      </c>
      <c r="AW192" s="1" t="s">
        <v>1871</v>
      </c>
      <c r="AX192" s="1" t="s">
        <v>74</v>
      </c>
      <c r="AY192" s="1" t="s">
        <v>74</v>
      </c>
      <c r="AZ192" s="1" t="s">
        <v>74</v>
      </c>
      <c r="BA192" s="1" t="s">
        <v>74</v>
      </c>
      <c r="BB192" s="1">
        <v>196.0</v>
      </c>
      <c r="BC192" s="1">
        <v>200.0</v>
      </c>
      <c r="BD192" s="1" t="s">
        <v>74</v>
      </c>
      <c r="BE192" s="1" t="s">
        <v>2019</v>
      </c>
      <c r="BF192" s="2" t="str">
        <f>HYPERLINK("http://dx.doi.org/10.1016/S1011-1344(00)00049-X","http://dx.doi.org/10.1016/S1011-1344(00)00049-X")</f>
        <v>http://dx.doi.org/10.1016/S1011-1344(00)00049-X</v>
      </c>
      <c r="BG192" s="1" t="s">
        <v>74</v>
      </c>
      <c r="BH192" s="1" t="s">
        <v>74</v>
      </c>
      <c r="BI192" s="1" t="s">
        <v>74</v>
      </c>
      <c r="BJ192" s="1" t="s">
        <v>74</v>
      </c>
      <c r="BK192" s="1" t="s">
        <v>74</v>
      </c>
      <c r="BL192" s="1" t="s">
        <v>74</v>
      </c>
      <c r="BM192" s="1" t="s">
        <v>74</v>
      </c>
      <c r="BN192" s="1">
        <v>1.0942086E7</v>
      </c>
      <c r="BO192" s="1" t="s">
        <v>74</v>
      </c>
      <c r="BP192" s="1" t="s">
        <v>74</v>
      </c>
      <c r="BQ192" s="1" t="s">
        <v>74</v>
      </c>
      <c r="BR192" s="1" t="s">
        <v>74</v>
      </c>
      <c r="BS192" s="1" t="s">
        <v>2020</v>
      </c>
      <c r="BT192" s="1" t="str">
        <f>HYPERLINK("https%3A%2F%2Fwww.webofscience.com%2Fwos%2Fwoscc%2Ffull-record%2FWOS:000088198900016","View Full Record in Web of Science")</f>
        <v>View Full Record in Web of Science</v>
      </c>
    </row>
    <row r="193" ht="12.75" customHeight="1">
      <c r="A193" s="1" t="s">
        <v>72</v>
      </c>
      <c r="B193" s="1" t="s">
        <v>2021</v>
      </c>
      <c r="C193" s="1" t="s">
        <v>74</v>
      </c>
      <c r="D193" s="1" t="s">
        <v>74</v>
      </c>
      <c r="E193" s="1" t="s">
        <v>74</v>
      </c>
      <c r="F193" s="1" t="s">
        <v>2021</v>
      </c>
      <c r="G193" s="1" t="s">
        <v>74</v>
      </c>
      <c r="H193" s="1" t="s">
        <v>74</v>
      </c>
      <c r="I193" s="1" t="s">
        <v>2022</v>
      </c>
      <c r="J193" s="1" t="s">
        <v>1277</v>
      </c>
      <c r="K193" s="1" t="s">
        <v>74</v>
      </c>
      <c r="L193" s="1" t="s">
        <v>74</v>
      </c>
      <c r="M193" s="1" t="s">
        <v>74</v>
      </c>
      <c r="N193" s="1" t="s">
        <v>74</v>
      </c>
      <c r="O193" s="1" t="s">
        <v>74</v>
      </c>
      <c r="P193" s="1" t="s">
        <v>74</v>
      </c>
      <c r="Q193" s="1" t="s">
        <v>74</v>
      </c>
      <c r="R193" s="1" t="s">
        <v>74</v>
      </c>
      <c r="S193" s="1" t="s">
        <v>74</v>
      </c>
      <c r="T193" s="1" t="s">
        <v>74</v>
      </c>
      <c r="U193" s="1" t="s">
        <v>74</v>
      </c>
      <c r="V193" s="1" t="s">
        <v>2023</v>
      </c>
      <c r="W193" s="1" t="s">
        <v>74</v>
      </c>
      <c r="X193" s="1" t="s">
        <v>74</v>
      </c>
      <c r="Y193" s="1" t="s">
        <v>74</v>
      </c>
      <c r="Z193" s="1" t="s">
        <v>74</v>
      </c>
      <c r="AA193" s="1" t="s">
        <v>74</v>
      </c>
      <c r="AB193" s="1" t="s">
        <v>74</v>
      </c>
      <c r="AC193" s="1" t="s">
        <v>74</v>
      </c>
      <c r="AD193" s="1" t="s">
        <v>74</v>
      </c>
      <c r="AE193" s="1" t="s">
        <v>74</v>
      </c>
      <c r="AF193" s="1" t="s">
        <v>74</v>
      </c>
      <c r="AG193" s="1" t="s">
        <v>74</v>
      </c>
      <c r="AH193" s="1" t="s">
        <v>74</v>
      </c>
      <c r="AI193" s="1" t="s">
        <v>74</v>
      </c>
      <c r="AJ193" s="1" t="s">
        <v>74</v>
      </c>
      <c r="AK193" s="1" t="s">
        <v>74</v>
      </c>
      <c r="AL193" s="1" t="s">
        <v>74</v>
      </c>
      <c r="AM193" s="1" t="s">
        <v>74</v>
      </c>
      <c r="AN193" s="1" t="s">
        <v>74</v>
      </c>
      <c r="AO193" s="1" t="s">
        <v>1278</v>
      </c>
      <c r="AP193" s="1" t="s">
        <v>74</v>
      </c>
      <c r="AQ193" s="1" t="s">
        <v>74</v>
      </c>
      <c r="AR193" s="1" t="s">
        <v>74</v>
      </c>
      <c r="AS193" s="1" t="s">
        <v>74</v>
      </c>
      <c r="AT193" s="1" t="s">
        <v>421</v>
      </c>
      <c r="AU193" s="1">
        <v>1995.0</v>
      </c>
      <c r="AV193" s="1">
        <v>171.0</v>
      </c>
      <c r="AW193" s="1">
        <v>2.0</v>
      </c>
      <c r="AX193" s="1" t="s">
        <v>74</v>
      </c>
      <c r="AY193" s="1" t="s">
        <v>74</v>
      </c>
      <c r="AZ193" s="1" t="s">
        <v>74</v>
      </c>
      <c r="BA193" s="1" t="s">
        <v>74</v>
      </c>
      <c r="BB193" s="1">
        <v>406.0</v>
      </c>
      <c r="BC193" s="1">
        <v>412.0</v>
      </c>
      <c r="BD193" s="1" t="s">
        <v>74</v>
      </c>
      <c r="BE193" s="1" t="s">
        <v>2024</v>
      </c>
      <c r="BF193" s="2" t="str">
        <f>HYPERLINK("http://dx.doi.org/10.1006/jcis.1995.1197","http://dx.doi.org/10.1006/jcis.1995.1197")</f>
        <v>http://dx.doi.org/10.1006/jcis.1995.1197</v>
      </c>
      <c r="BG193" s="1" t="s">
        <v>74</v>
      </c>
      <c r="BH193" s="1" t="s">
        <v>74</v>
      </c>
      <c r="BI193" s="1" t="s">
        <v>74</v>
      </c>
      <c r="BJ193" s="1" t="s">
        <v>74</v>
      </c>
      <c r="BK193" s="1" t="s">
        <v>74</v>
      </c>
      <c r="BL193" s="1" t="s">
        <v>74</v>
      </c>
      <c r="BM193" s="1" t="s">
        <v>74</v>
      </c>
      <c r="BN193" s="1" t="s">
        <v>74</v>
      </c>
      <c r="BO193" s="1" t="s">
        <v>74</v>
      </c>
      <c r="BP193" s="1" t="s">
        <v>74</v>
      </c>
      <c r="BQ193" s="1" t="s">
        <v>74</v>
      </c>
      <c r="BR193" s="1" t="s">
        <v>74</v>
      </c>
      <c r="BS193" s="1" t="s">
        <v>2025</v>
      </c>
      <c r="BT193" s="1" t="str">
        <f>HYPERLINK("https%3A%2F%2Fwww.webofscience.com%2Fwos%2Fwoscc%2Ffull-record%2FWOS:A1995QT22300019","View Full Record in Web of Science")</f>
        <v>View Full Record in Web of Science</v>
      </c>
    </row>
    <row r="194" ht="12.75" customHeight="1">
      <c r="A194" s="1" t="s">
        <v>72</v>
      </c>
      <c r="B194" s="1" t="s">
        <v>2026</v>
      </c>
      <c r="C194" s="1" t="s">
        <v>74</v>
      </c>
      <c r="D194" s="1" t="s">
        <v>74</v>
      </c>
      <c r="E194" s="1" t="s">
        <v>74</v>
      </c>
      <c r="F194" s="1" t="s">
        <v>2026</v>
      </c>
      <c r="G194" s="1" t="s">
        <v>74</v>
      </c>
      <c r="H194" s="1" t="s">
        <v>74</v>
      </c>
      <c r="I194" s="1" t="s">
        <v>2027</v>
      </c>
      <c r="J194" s="1" t="s">
        <v>2028</v>
      </c>
      <c r="K194" s="1" t="s">
        <v>74</v>
      </c>
      <c r="L194" s="1" t="s">
        <v>74</v>
      </c>
      <c r="M194" s="1" t="s">
        <v>74</v>
      </c>
      <c r="N194" s="1" t="s">
        <v>74</v>
      </c>
      <c r="O194" s="1" t="s">
        <v>74</v>
      </c>
      <c r="P194" s="1" t="s">
        <v>74</v>
      </c>
      <c r="Q194" s="1" t="s">
        <v>74</v>
      </c>
      <c r="R194" s="1" t="s">
        <v>74</v>
      </c>
      <c r="S194" s="1" t="s">
        <v>74</v>
      </c>
      <c r="T194" s="1" t="s">
        <v>74</v>
      </c>
      <c r="U194" s="1" t="s">
        <v>74</v>
      </c>
      <c r="V194" s="1" t="s">
        <v>2029</v>
      </c>
      <c r="W194" s="1" t="s">
        <v>74</v>
      </c>
      <c r="X194" s="1" t="s">
        <v>74</v>
      </c>
      <c r="Y194" s="1" t="s">
        <v>74</v>
      </c>
      <c r="Z194" s="1" t="s">
        <v>74</v>
      </c>
      <c r="AA194" s="1" t="s">
        <v>74</v>
      </c>
      <c r="AB194" s="1" t="s">
        <v>74</v>
      </c>
      <c r="AC194" s="1" t="s">
        <v>74</v>
      </c>
      <c r="AD194" s="1" t="s">
        <v>74</v>
      </c>
      <c r="AE194" s="1" t="s">
        <v>74</v>
      </c>
      <c r="AF194" s="1" t="s">
        <v>74</v>
      </c>
      <c r="AG194" s="1" t="s">
        <v>74</v>
      </c>
      <c r="AH194" s="1" t="s">
        <v>74</v>
      </c>
      <c r="AI194" s="1" t="s">
        <v>74</v>
      </c>
      <c r="AJ194" s="1" t="s">
        <v>74</v>
      </c>
      <c r="AK194" s="1" t="s">
        <v>74</v>
      </c>
      <c r="AL194" s="1" t="s">
        <v>74</v>
      </c>
      <c r="AM194" s="1" t="s">
        <v>74</v>
      </c>
      <c r="AN194" s="1" t="s">
        <v>74</v>
      </c>
      <c r="AO194" s="1" t="s">
        <v>2030</v>
      </c>
      <c r="AP194" s="1" t="s">
        <v>74</v>
      </c>
      <c r="AQ194" s="1" t="s">
        <v>74</v>
      </c>
      <c r="AR194" s="1" t="s">
        <v>74</v>
      </c>
      <c r="AS194" s="1" t="s">
        <v>74</v>
      </c>
      <c r="AT194" s="1" t="s">
        <v>112</v>
      </c>
      <c r="AU194" s="1">
        <v>1994.0</v>
      </c>
      <c r="AV194" s="1">
        <v>226.0</v>
      </c>
      <c r="AW194" s="1" t="s">
        <v>308</v>
      </c>
      <c r="AX194" s="1" t="s">
        <v>74</v>
      </c>
      <c r="AY194" s="1" t="s">
        <v>74</v>
      </c>
      <c r="AZ194" s="1" t="s">
        <v>74</v>
      </c>
      <c r="BA194" s="1" t="s">
        <v>74</v>
      </c>
      <c r="BB194" s="1">
        <v>151.0</v>
      </c>
      <c r="BC194" s="1">
        <v>157.0</v>
      </c>
      <c r="BD194" s="1" t="s">
        <v>74</v>
      </c>
      <c r="BE194" s="1" t="s">
        <v>2031</v>
      </c>
      <c r="BF194" s="2" t="str">
        <f>HYPERLINK("http://dx.doi.org/10.1016/0020-1693(94)04081-8","http://dx.doi.org/10.1016/0020-1693(94)04081-8")</f>
        <v>http://dx.doi.org/10.1016/0020-1693(94)04081-8</v>
      </c>
      <c r="BG194" s="1" t="s">
        <v>74</v>
      </c>
      <c r="BH194" s="1" t="s">
        <v>74</v>
      </c>
      <c r="BI194" s="1" t="s">
        <v>74</v>
      </c>
      <c r="BJ194" s="1" t="s">
        <v>74</v>
      </c>
      <c r="BK194" s="1" t="s">
        <v>74</v>
      </c>
      <c r="BL194" s="1" t="s">
        <v>74</v>
      </c>
      <c r="BM194" s="1" t="s">
        <v>74</v>
      </c>
      <c r="BN194" s="1" t="s">
        <v>74</v>
      </c>
      <c r="BO194" s="1" t="s">
        <v>74</v>
      </c>
      <c r="BP194" s="1" t="s">
        <v>74</v>
      </c>
      <c r="BQ194" s="1" t="s">
        <v>74</v>
      </c>
      <c r="BR194" s="1" t="s">
        <v>74</v>
      </c>
      <c r="BS194" s="1" t="s">
        <v>2032</v>
      </c>
      <c r="BT194" s="1" t="str">
        <f>HYPERLINK("https%3A%2F%2Fwww.webofscience.com%2Fwos%2Fwoscc%2Ffull-record%2FWOS:A1994PY61200018","View Full Record in Web of Science")</f>
        <v>View Full Record in Web of Science</v>
      </c>
    </row>
    <row r="195" ht="12.75" customHeight="1">
      <c r="A195" s="1" t="s">
        <v>72</v>
      </c>
      <c r="B195" s="1" t="s">
        <v>2033</v>
      </c>
      <c r="C195" s="1" t="s">
        <v>74</v>
      </c>
      <c r="D195" s="1" t="s">
        <v>74</v>
      </c>
      <c r="E195" s="1" t="s">
        <v>74</v>
      </c>
      <c r="F195" s="1" t="s">
        <v>2033</v>
      </c>
      <c r="G195" s="1" t="s">
        <v>74</v>
      </c>
      <c r="H195" s="1" t="s">
        <v>74</v>
      </c>
      <c r="I195" s="1" t="s">
        <v>2034</v>
      </c>
      <c r="J195" s="1" t="s">
        <v>2035</v>
      </c>
      <c r="K195" s="1" t="s">
        <v>74</v>
      </c>
      <c r="L195" s="1" t="s">
        <v>74</v>
      </c>
      <c r="M195" s="1" t="s">
        <v>74</v>
      </c>
      <c r="N195" s="1" t="s">
        <v>74</v>
      </c>
      <c r="O195" s="1" t="s">
        <v>74</v>
      </c>
      <c r="P195" s="1" t="s">
        <v>74</v>
      </c>
      <c r="Q195" s="1" t="s">
        <v>74</v>
      </c>
      <c r="R195" s="1" t="s">
        <v>74</v>
      </c>
      <c r="S195" s="1" t="s">
        <v>74</v>
      </c>
      <c r="T195" s="1" t="s">
        <v>74</v>
      </c>
      <c r="U195" s="1" t="s">
        <v>74</v>
      </c>
      <c r="V195" s="1" t="s">
        <v>2036</v>
      </c>
      <c r="W195" s="1" t="s">
        <v>74</v>
      </c>
      <c r="X195" s="1" t="s">
        <v>74</v>
      </c>
      <c r="Y195" s="1" t="s">
        <v>74</v>
      </c>
      <c r="Z195" s="1" t="s">
        <v>74</v>
      </c>
      <c r="AA195" s="1" t="s">
        <v>74</v>
      </c>
      <c r="AB195" s="1" t="s">
        <v>74</v>
      </c>
      <c r="AC195" s="1" t="s">
        <v>74</v>
      </c>
      <c r="AD195" s="1" t="s">
        <v>74</v>
      </c>
      <c r="AE195" s="1" t="s">
        <v>74</v>
      </c>
      <c r="AF195" s="1" t="s">
        <v>74</v>
      </c>
      <c r="AG195" s="1" t="s">
        <v>74</v>
      </c>
      <c r="AH195" s="1" t="s">
        <v>74</v>
      </c>
      <c r="AI195" s="1" t="s">
        <v>74</v>
      </c>
      <c r="AJ195" s="1" t="s">
        <v>74</v>
      </c>
      <c r="AK195" s="1" t="s">
        <v>74</v>
      </c>
      <c r="AL195" s="1" t="s">
        <v>74</v>
      </c>
      <c r="AM195" s="1" t="s">
        <v>74</v>
      </c>
      <c r="AN195" s="1" t="s">
        <v>74</v>
      </c>
      <c r="AO195" s="1" t="s">
        <v>2037</v>
      </c>
      <c r="AP195" s="1" t="s">
        <v>74</v>
      </c>
      <c r="AQ195" s="1" t="s">
        <v>74</v>
      </c>
      <c r="AR195" s="1" t="s">
        <v>74</v>
      </c>
      <c r="AS195" s="1" t="s">
        <v>74</v>
      </c>
      <c r="AT195" s="1" t="s">
        <v>389</v>
      </c>
      <c r="AU195" s="1">
        <v>1993.0</v>
      </c>
      <c r="AV195" s="1">
        <v>27.0</v>
      </c>
      <c r="AW195" s="1">
        <v>3.0</v>
      </c>
      <c r="AX195" s="1" t="s">
        <v>74</v>
      </c>
      <c r="AY195" s="1" t="s">
        <v>74</v>
      </c>
      <c r="AZ195" s="1" t="s">
        <v>74</v>
      </c>
      <c r="BA195" s="1" t="s">
        <v>74</v>
      </c>
      <c r="BB195" s="1">
        <v>371.0</v>
      </c>
      <c r="BC195" s="1">
        <v>384.0</v>
      </c>
      <c r="BD195" s="1" t="s">
        <v>74</v>
      </c>
      <c r="BE195" s="1" t="s">
        <v>2038</v>
      </c>
      <c r="BF195" s="2" t="str">
        <f>HYPERLINK("http://dx.doi.org/10.1016/0960-1686(93)90111-B","http://dx.doi.org/10.1016/0960-1686(93)90111-B")</f>
        <v>http://dx.doi.org/10.1016/0960-1686(93)90111-B</v>
      </c>
      <c r="BG195" s="1" t="s">
        <v>74</v>
      </c>
      <c r="BH195" s="1" t="s">
        <v>74</v>
      </c>
      <c r="BI195" s="1" t="s">
        <v>74</v>
      </c>
      <c r="BJ195" s="1" t="s">
        <v>74</v>
      </c>
      <c r="BK195" s="1" t="s">
        <v>74</v>
      </c>
      <c r="BL195" s="1" t="s">
        <v>74</v>
      </c>
      <c r="BM195" s="1" t="s">
        <v>74</v>
      </c>
      <c r="BN195" s="1" t="s">
        <v>74</v>
      </c>
      <c r="BO195" s="1" t="s">
        <v>74</v>
      </c>
      <c r="BP195" s="1" t="s">
        <v>74</v>
      </c>
      <c r="BQ195" s="1" t="s">
        <v>74</v>
      </c>
      <c r="BR195" s="1" t="s">
        <v>74</v>
      </c>
      <c r="BS195" s="1" t="s">
        <v>2039</v>
      </c>
      <c r="BT195" s="1" t="str">
        <f>HYPERLINK("https%3A%2F%2Fwww.webofscience.com%2Fwos%2Fwoscc%2Ffull-record%2FWOS:A1993KQ75200009","View Full Record in Web of Science")</f>
        <v>View Full Record in Web of Science</v>
      </c>
    </row>
    <row r="196" ht="12.75" customHeight="1">
      <c r="A196" s="1" t="s">
        <v>72</v>
      </c>
      <c r="B196" s="1" t="s">
        <v>2040</v>
      </c>
      <c r="C196" s="1" t="s">
        <v>74</v>
      </c>
      <c r="D196" s="1" t="s">
        <v>74</v>
      </c>
      <c r="E196" s="1" t="s">
        <v>74</v>
      </c>
      <c r="F196" s="1" t="s">
        <v>2040</v>
      </c>
      <c r="G196" s="1" t="s">
        <v>74</v>
      </c>
      <c r="H196" s="1" t="s">
        <v>74</v>
      </c>
      <c r="I196" s="1" t="s">
        <v>2041</v>
      </c>
      <c r="J196" s="1" t="s">
        <v>2042</v>
      </c>
      <c r="K196" s="1" t="s">
        <v>74</v>
      </c>
      <c r="L196" s="1" t="s">
        <v>74</v>
      </c>
      <c r="M196" s="1" t="s">
        <v>74</v>
      </c>
      <c r="N196" s="1" t="s">
        <v>74</v>
      </c>
      <c r="O196" s="1" t="s">
        <v>74</v>
      </c>
      <c r="P196" s="1" t="s">
        <v>74</v>
      </c>
      <c r="Q196" s="1" t="s">
        <v>74</v>
      </c>
      <c r="R196" s="1" t="s">
        <v>74</v>
      </c>
      <c r="S196" s="1" t="s">
        <v>74</v>
      </c>
      <c r="T196" s="1" t="s">
        <v>74</v>
      </c>
      <c r="U196" s="1" t="s">
        <v>74</v>
      </c>
      <c r="V196" s="1" t="s">
        <v>74</v>
      </c>
      <c r="W196" s="1" t="s">
        <v>74</v>
      </c>
      <c r="X196" s="1" t="s">
        <v>74</v>
      </c>
      <c r="Y196" s="1" t="s">
        <v>74</v>
      </c>
      <c r="Z196" s="1" t="s">
        <v>74</v>
      </c>
      <c r="AA196" s="1" t="s">
        <v>2043</v>
      </c>
      <c r="AB196" s="1" t="s">
        <v>74</v>
      </c>
      <c r="AC196" s="1" t="s">
        <v>74</v>
      </c>
      <c r="AD196" s="1" t="s">
        <v>74</v>
      </c>
      <c r="AE196" s="1" t="s">
        <v>74</v>
      </c>
      <c r="AF196" s="1" t="s">
        <v>74</v>
      </c>
      <c r="AG196" s="1" t="s">
        <v>74</v>
      </c>
      <c r="AH196" s="1" t="s">
        <v>74</v>
      </c>
      <c r="AI196" s="1" t="s">
        <v>74</v>
      </c>
      <c r="AJ196" s="1" t="s">
        <v>74</v>
      </c>
      <c r="AK196" s="1" t="s">
        <v>74</v>
      </c>
      <c r="AL196" s="1" t="s">
        <v>74</v>
      </c>
      <c r="AM196" s="1" t="s">
        <v>74</v>
      </c>
      <c r="AN196" s="1" t="s">
        <v>74</v>
      </c>
      <c r="AO196" s="1" t="s">
        <v>2044</v>
      </c>
      <c r="AP196" s="1" t="s">
        <v>74</v>
      </c>
      <c r="AQ196" s="1" t="s">
        <v>74</v>
      </c>
      <c r="AR196" s="1" t="s">
        <v>74</v>
      </c>
      <c r="AS196" s="1" t="s">
        <v>74</v>
      </c>
      <c r="AT196" s="1" t="s">
        <v>580</v>
      </c>
      <c r="AU196" s="1">
        <v>1991.0</v>
      </c>
      <c r="AV196" s="1">
        <v>286.0</v>
      </c>
      <c r="AW196" s="1">
        <v>2.0</v>
      </c>
      <c r="AX196" s="1" t="s">
        <v>74</v>
      </c>
      <c r="AY196" s="1" t="s">
        <v>74</v>
      </c>
      <c r="AZ196" s="1" t="s">
        <v>74</v>
      </c>
      <c r="BA196" s="1" t="s">
        <v>74</v>
      </c>
      <c r="BB196" s="1">
        <v>441.0</v>
      </c>
      <c r="BC196" s="1">
        <v>447.0</v>
      </c>
      <c r="BD196" s="1" t="s">
        <v>74</v>
      </c>
      <c r="BE196" s="1" t="s">
        <v>2045</v>
      </c>
      <c r="BF196" s="2" t="str">
        <f>HYPERLINK("http://dx.doi.org/10.1016/0003-9861(91)90063-O","http://dx.doi.org/10.1016/0003-9861(91)90063-O")</f>
        <v>http://dx.doi.org/10.1016/0003-9861(91)90063-O</v>
      </c>
      <c r="BG196" s="1" t="s">
        <v>74</v>
      </c>
      <c r="BH196" s="1" t="s">
        <v>74</v>
      </c>
      <c r="BI196" s="1" t="s">
        <v>74</v>
      </c>
      <c r="BJ196" s="1" t="s">
        <v>74</v>
      </c>
      <c r="BK196" s="1" t="s">
        <v>74</v>
      </c>
      <c r="BL196" s="1" t="s">
        <v>74</v>
      </c>
      <c r="BM196" s="1" t="s">
        <v>74</v>
      </c>
      <c r="BN196" s="1">
        <v>1897968.0</v>
      </c>
      <c r="BO196" s="1" t="s">
        <v>74</v>
      </c>
      <c r="BP196" s="1" t="s">
        <v>74</v>
      </c>
      <c r="BQ196" s="1" t="s">
        <v>74</v>
      </c>
      <c r="BR196" s="1" t="s">
        <v>74</v>
      </c>
      <c r="BS196" s="1" t="s">
        <v>2046</v>
      </c>
      <c r="BT196" s="1" t="str">
        <f>HYPERLINK("https%3A%2F%2Fwww.webofscience.com%2Fwos%2Fwoscc%2Ffull-record%2FWOS:A1991FF77700019","View Full Record in Web of Science")</f>
        <v>View Full Record in Web of Science</v>
      </c>
    </row>
    <row r="197" ht="12.75" customHeight="1">
      <c r="A197" s="1" t="s">
        <v>72</v>
      </c>
      <c r="B197" s="1" t="s">
        <v>2047</v>
      </c>
      <c r="C197" s="1" t="s">
        <v>74</v>
      </c>
      <c r="D197" s="1" t="s">
        <v>74</v>
      </c>
      <c r="E197" s="1" t="s">
        <v>74</v>
      </c>
      <c r="F197" s="1" t="s">
        <v>2047</v>
      </c>
      <c r="G197" s="1" t="s">
        <v>74</v>
      </c>
      <c r="H197" s="1" t="s">
        <v>74</v>
      </c>
      <c r="I197" s="1" t="s">
        <v>2048</v>
      </c>
      <c r="J197" s="1" t="s">
        <v>375</v>
      </c>
      <c r="K197" s="1" t="s">
        <v>74</v>
      </c>
      <c r="L197" s="1" t="s">
        <v>74</v>
      </c>
      <c r="M197" s="1" t="s">
        <v>74</v>
      </c>
      <c r="N197" s="1" t="s">
        <v>74</v>
      </c>
      <c r="O197" s="1" t="s">
        <v>74</v>
      </c>
      <c r="P197" s="1" t="s">
        <v>74</v>
      </c>
      <c r="Q197" s="1" t="s">
        <v>74</v>
      </c>
      <c r="R197" s="1" t="s">
        <v>74</v>
      </c>
      <c r="S197" s="1" t="s">
        <v>74</v>
      </c>
      <c r="T197" s="1" t="s">
        <v>74</v>
      </c>
      <c r="U197" s="1" t="s">
        <v>74</v>
      </c>
      <c r="V197" s="1" t="s">
        <v>74</v>
      </c>
      <c r="W197" s="1" t="s">
        <v>74</v>
      </c>
      <c r="X197" s="1" t="s">
        <v>74</v>
      </c>
      <c r="Y197" s="1" t="s">
        <v>74</v>
      </c>
      <c r="Z197" s="1" t="s">
        <v>74</v>
      </c>
      <c r="AA197" s="1" t="s">
        <v>74</v>
      </c>
      <c r="AB197" s="1" t="s">
        <v>74</v>
      </c>
      <c r="AC197" s="1" t="s">
        <v>74</v>
      </c>
      <c r="AD197" s="1" t="s">
        <v>74</v>
      </c>
      <c r="AE197" s="1" t="s">
        <v>74</v>
      </c>
      <c r="AF197" s="1" t="s">
        <v>74</v>
      </c>
      <c r="AG197" s="1" t="s">
        <v>74</v>
      </c>
      <c r="AH197" s="1" t="s">
        <v>74</v>
      </c>
      <c r="AI197" s="1" t="s">
        <v>74</v>
      </c>
      <c r="AJ197" s="1" t="s">
        <v>74</v>
      </c>
      <c r="AK197" s="1" t="s">
        <v>74</v>
      </c>
      <c r="AL197" s="1" t="s">
        <v>74</v>
      </c>
      <c r="AM197" s="1" t="s">
        <v>74</v>
      </c>
      <c r="AN197" s="1" t="s">
        <v>74</v>
      </c>
      <c r="AO197" s="1" t="s">
        <v>378</v>
      </c>
      <c r="AP197" s="1" t="s">
        <v>74</v>
      </c>
      <c r="AQ197" s="1" t="s">
        <v>74</v>
      </c>
      <c r="AR197" s="1" t="s">
        <v>74</v>
      </c>
      <c r="AS197" s="1" t="s">
        <v>74</v>
      </c>
      <c r="AT197" s="1" t="s">
        <v>144</v>
      </c>
      <c r="AU197" s="1">
        <v>1989.0</v>
      </c>
      <c r="AV197" s="1">
        <v>21.0</v>
      </c>
      <c r="AW197" s="1">
        <v>3.0</v>
      </c>
      <c r="AX197" s="1" t="s">
        <v>74</v>
      </c>
      <c r="AY197" s="1" t="s">
        <v>74</v>
      </c>
      <c r="AZ197" s="1" t="s">
        <v>74</v>
      </c>
      <c r="BA197" s="1" t="s">
        <v>74</v>
      </c>
      <c r="BB197" s="1">
        <v>287.0</v>
      </c>
      <c r="BC197" s="1">
        <v>291.0</v>
      </c>
      <c r="BD197" s="1" t="s">
        <v>74</v>
      </c>
      <c r="BE197" s="1" t="s">
        <v>2049</v>
      </c>
      <c r="BF197" s="2" t="str">
        <f>HYPERLINK("http://dx.doi.org/10.1007/BF00955920","http://dx.doi.org/10.1007/BF00955920")</f>
        <v>http://dx.doi.org/10.1007/BF00955920</v>
      </c>
      <c r="BG197" s="1" t="s">
        <v>74</v>
      </c>
      <c r="BH197" s="1" t="s">
        <v>74</v>
      </c>
      <c r="BI197" s="1" t="s">
        <v>74</v>
      </c>
      <c r="BJ197" s="1" t="s">
        <v>74</v>
      </c>
      <c r="BK197" s="1" t="s">
        <v>74</v>
      </c>
      <c r="BL197" s="1" t="s">
        <v>74</v>
      </c>
      <c r="BM197" s="1" t="s">
        <v>74</v>
      </c>
      <c r="BN197" s="1" t="s">
        <v>74</v>
      </c>
      <c r="BO197" s="1" t="s">
        <v>74</v>
      </c>
      <c r="BP197" s="1" t="s">
        <v>74</v>
      </c>
      <c r="BQ197" s="1" t="s">
        <v>74</v>
      </c>
      <c r="BR197" s="1" t="s">
        <v>74</v>
      </c>
      <c r="BS197" s="1" t="s">
        <v>2050</v>
      </c>
      <c r="BT197" s="1" t="str">
        <f>HYPERLINK("https%3A%2F%2Fwww.webofscience.com%2Fwos%2Fwoscc%2Ffull-record%2FWOS:A1989T898900007","View Full Record in Web of Science")</f>
        <v>View Full Record in Web of Science</v>
      </c>
    </row>
    <row r="198" ht="12.75" customHeight="1">
      <c r="A198" s="1" t="s">
        <v>72</v>
      </c>
      <c r="B198" s="1" t="s">
        <v>2051</v>
      </c>
      <c r="C198" s="1" t="s">
        <v>74</v>
      </c>
      <c r="D198" s="1" t="s">
        <v>74</v>
      </c>
      <c r="E198" s="1" t="s">
        <v>74</v>
      </c>
      <c r="F198" s="1" t="s">
        <v>2051</v>
      </c>
      <c r="G198" s="1" t="s">
        <v>74</v>
      </c>
      <c r="H198" s="1" t="s">
        <v>74</v>
      </c>
      <c r="I198" s="1" t="s">
        <v>2052</v>
      </c>
      <c r="J198" s="1" t="s">
        <v>2053</v>
      </c>
      <c r="K198" s="1" t="s">
        <v>74</v>
      </c>
      <c r="L198" s="1" t="s">
        <v>74</v>
      </c>
      <c r="M198" s="1" t="s">
        <v>74</v>
      </c>
      <c r="N198" s="1" t="s">
        <v>74</v>
      </c>
      <c r="O198" s="1" t="s">
        <v>74</v>
      </c>
      <c r="P198" s="1" t="s">
        <v>74</v>
      </c>
      <c r="Q198" s="1" t="s">
        <v>74</v>
      </c>
      <c r="R198" s="1" t="s">
        <v>74</v>
      </c>
      <c r="S198" s="1" t="s">
        <v>74</v>
      </c>
      <c r="T198" s="1" t="s">
        <v>74</v>
      </c>
      <c r="U198" s="1" t="s">
        <v>74</v>
      </c>
      <c r="V198" s="1" t="s">
        <v>74</v>
      </c>
      <c r="W198" s="1" t="s">
        <v>74</v>
      </c>
      <c r="X198" s="1" t="s">
        <v>74</v>
      </c>
      <c r="Y198" s="1" t="s">
        <v>74</v>
      </c>
      <c r="Z198" s="1" t="s">
        <v>74</v>
      </c>
      <c r="AA198" s="1" t="s">
        <v>2054</v>
      </c>
      <c r="AB198" s="1" t="s">
        <v>2055</v>
      </c>
      <c r="AC198" s="1" t="s">
        <v>74</v>
      </c>
      <c r="AD198" s="1" t="s">
        <v>74</v>
      </c>
      <c r="AE198" s="1" t="s">
        <v>74</v>
      </c>
      <c r="AF198" s="1" t="s">
        <v>74</v>
      </c>
      <c r="AG198" s="1" t="s">
        <v>74</v>
      </c>
      <c r="AH198" s="1" t="s">
        <v>74</v>
      </c>
      <c r="AI198" s="1" t="s">
        <v>74</v>
      </c>
      <c r="AJ198" s="1" t="s">
        <v>74</v>
      </c>
      <c r="AK198" s="1" t="s">
        <v>74</v>
      </c>
      <c r="AL198" s="1" t="s">
        <v>74</v>
      </c>
      <c r="AM198" s="1" t="s">
        <v>74</v>
      </c>
      <c r="AN198" s="1" t="s">
        <v>74</v>
      </c>
      <c r="AO198" s="1" t="s">
        <v>2056</v>
      </c>
      <c r="AP198" s="1" t="s">
        <v>74</v>
      </c>
      <c r="AQ198" s="1" t="s">
        <v>74</v>
      </c>
      <c r="AR198" s="1" t="s">
        <v>74</v>
      </c>
      <c r="AS198" s="1" t="s">
        <v>74</v>
      </c>
      <c r="AT198" s="1" t="s">
        <v>289</v>
      </c>
      <c r="AU198" s="1">
        <v>1988.0</v>
      </c>
      <c r="AV198" s="1" t="s">
        <v>74</v>
      </c>
      <c r="AW198" s="1">
        <v>6.0</v>
      </c>
      <c r="AX198" s="1" t="s">
        <v>74</v>
      </c>
      <c r="AY198" s="1" t="s">
        <v>74</v>
      </c>
      <c r="AZ198" s="1" t="s">
        <v>74</v>
      </c>
      <c r="BA198" s="1" t="s">
        <v>74</v>
      </c>
      <c r="BB198" s="1">
        <v>939.0</v>
      </c>
      <c r="BC198" s="1">
        <v>942.0</v>
      </c>
      <c r="BD198" s="1" t="s">
        <v>74</v>
      </c>
      <c r="BE198" s="1" t="s">
        <v>2057</v>
      </c>
      <c r="BF198" s="2" t="str">
        <f>HYPERLINK("http://dx.doi.org/10.1039/p29880000939","http://dx.doi.org/10.1039/p29880000939")</f>
        <v>http://dx.doi.org/10.1039/p29880000939</v>
      </c>
      <c r="BG198" s="1" t="s">
        <v>74</v>
      </c>
      <c r="BH198" s="1" t="s">
        <v>74</v>
      </c>
      <c r="BI198" s="1" t="s">
        <v>74</v>
      </c>
      <c r="BJ198" s="1" t="s">
        <v>74</v>
      </c>
      <c r="BK198" s="1" t="s">
        <v>74</v>
      </c>
      <c r="BL198" s="1" t="s">
        <v>74</v>
      </c>
      <c r="BM198" s="1" t="s">
        <v>74</v>
      </c>
      <c r="BN198" s="1" t="s">
        <v>74</v>
      </c>
      <c r="BO198" s="1" t="s">
        <v>74</v>
      </c>
      <c r="BP198" s="1" t="s">
        <v>74</v>
      </c>
      <c r="BQ198" s="1" t="s">
        <v>74</v>
      </c>
      <c r="BR198" s="1" t="s">
        <v>74</v>
      </c>
      <c r="BS198" s="1" t="s">
        <v>2058</v>
      </c>
      <c r="BT198" s="1" t="str">
        <f>HYPERLINK("https%3A%2F%2Fwww.webofscience.com%2Fwos%2Fwoscc%2Ffull-record%2FWOS:A1988N852100021","View Full Record in Web of Science")</f>
        <v>View Full Record in Web of Science</v>
      </c>
    </row>
    <row r="199" ht="12.75" customHeight="1">
      <c r="A199" s="1" t="s">
        <v>72</v>
      </c>
      <c r="B199" s="1" t="s">
        <v>2059</v>
      </c>
      <c r="C199" s="1" t="s">
        <v>74</v>
      </c>
      <c r="D199" s="1" t="s">
        <v>74</v>
      </c>
      <c r="E199" s="1" t="s">
        <v>74</v>
      </c>
      <c r="F199" s="1" t="s">
        <v>2059</v>
      </c>
      <c r="G199" s="1" t="s">
        <v>74</v>
      </c>
      <c r="H199" s="1" t="s">
        <v>74</v>
      </c>
      <c r="I199" s="1" t="s">
        <v>2060</v>
      </c>
      <c r="J199" s="1" t="s">
        <v>1266</v>
      </c>
      <c r="K199" s="1" t="s">
        <v>74</v>
      </c>
      <c r="L199" s="1" t="s">
        <v>74</v>
      </c>
      <c r="M199" s="1" t="s">
        <v>74</v>
      </c>
      <c r="N199" s="1" t="s">
        <v>74</v>
      </c>
      <c r="O199" s="1" t="s">
        <v>74</v>
      </c>
      <c r="P199" s="1" t="s">
        <v>74</v>
      </c>
      <c r="Q199" s="1" t="s">
        <v>74</v>
      </c>
      <c r="R199" s="1" t="s">
        <v>74</v>
      </c>
      <c r="S199" s="1" t="s">
        <v>74</v>
      </c>
      <c r="T199" s="1" t="s">
        <v>74</v>
      </c>
      <c r="U199" s="1" t="s">
        <v>74</v>
      </c>
      <c r="V199" s="1" t="s">
        <v>74</v>
      </c>
      <c r="W199" s="1" t="s">
        <v>74</v>
      </c>
      <c r="X199" s="1" t="s">
        <v>74</v>
      </c>
      <c r="Y199" s="1" t="s">
        <v>74</v>
      </c>
      <c r="Z199" s="1" t="s">
        <v>74</v>
      </c>
      <c r="AA199" s="1" t="s">
        <v>74</v>
      </c>
      <c r="AB199" s="1" t="s">
        <v>74</v>
      </c>
      <c r="AC199" s="1" t="s">
        <v>74</v>
      </c>
      <c r="AD199" s="1" t="s">
        <v>74</v>
      </c>
      <c r="AE199" s="1" t="s">
        <v>74</v>
      </c>
      <c r="AF199" s="1" t="s">
        <v>74</v>
      </c>
      <c r="AG199" s="1" t="s">
        <v>74</v>
      </c>
      <c r="AH199" s="1" t="s">
        <v>74</v>
      </c>
      <c r="AI199" s="1" t="s">
        <v>74</v>
      </c>
      <c r="AJ199" s="1" t="s">
        <v>74</v>
      </c>
      <c r="AK199" s="1" t="s">
        <v>74</v>
      </c>
      <c r="AL199" s="1" t="s">
        <v>74</v>
      </c>
      <c r="AM199" s="1" t="s">
        <v>74</v>
      </c>
      <c r="AN199" s="1" t="s">
        <v>74</v>
      </c>
      <c r="AO199" s="1" t="s">
        <v>1268</v>
      </c>
      <c r="AP199" s="1" t="s">
        <v>74</v>
      </c>
      <c r="AQ199" s="1" t="s">
        <v>74</v>
      </c>
      <c r="AR199" s="1" t="s">
        <v>74</v>
      </c>
      <c r="AS199" s="1" t="s">
        <v>74</v>
      </c>
      <c r="AT199" s="1" t="s">
        <v>74</v>
      </c>
      <c r="AU199" s="1">
        <v>1984.0</v>
      </c>
      <c r="AV199" s="1">
        <v>20.0</v>
      </c>
      <c r="AW199" s="1">
        <v>1.0</v>
      </c>
      <c r="AX199" s="1" t="s">
        <v>74</v>
      </c>
      <c r="AY199" s="1" t="s">
        <v>74</v>
      </c>
      <c r="AZ199" s="1" t="s">
        <v>74</v>
      </c>
      <c r="BA199" s="1" t="s">
        <v>74</v>
      </c>
      <c r="BB199" s="1">
        <v>105.0</v>
      </c>
      <c r="BC199" s="1">
        <v>107.0</v>
      </c>
      <c r="BD199" s="1" t="s">
        <v>74</v>
      </c>
      <c r="BE199" s="1" t="s">
        <v>2061</v>
      </c>
      <c r="BF199" s="2" t="str">
        <f>HYPERLINK("http://dx.doi.org/10.1016/0014-3057(84)90233-7","http://dx.doi.org/10.1016/0014-3057(84)90233-7")</f>
        <v>http://dx.doi.org/10.1016/0014-3057(84)90233-7</v>
      </c>
      <c r="BG199" s="1" t="s">
        <v>74</v>
      </c>
      <c r="BH199" s="1" t="s">
        <v>74</v>
      </c>
      <c r="BI199" s="1" t="s">
        <v>74</v>
      </c>
      <c r="BJ199" s="1" t="s">
        <v>74</v>
      </c>
      <c r="BK199" s="1" t="s">
        <v>74</v>
      </c>
      <c r="BL199" s="1" t="s">
        <v>74</v>
      </c>
      <c r="BM199" s="1" t="s">
        <v>74</v>
      </c>
      <c r="BN199" s="1" t="s">
        <v>74</v>
      </c>
      <c r="BO199" s="1" t="s">
        <v>74</v>
      </c>
      <c r="BP199" s="1" t="s">
        <v>74</v>
      </c>
      <c r="BQ199" s="1" t="s">
        <v>74</v>
      </c>
      <c r="BR199" s="1" t="s">
        <v>74</v>
      </c>
      <c r="BS199" s="1" t="s">
        <v>2062</v>
      </c>
      <c r="BT199" s="1" t="str">
        <f>HYPERLINK("https%3A%2F%2Fwww.webofscience.com%2Fwos%2Fwoscc%2Ffull-record%2FWOS:A1984RV26200021","View Full Record in Web of Science")</f>
        <v>View Full Record in Web of Science</v>
      </c>
    </row>
    <row r="200" ht="12.75" customHeight="1">
      <c r="A200" s="1" t="s">
        <v>72</v>
      </c>
      <c r="B200" s="1" t="s">
        <v>2063</v>
      </c>
      <c r="C200" s="1" t="s">
        <v>74</v>
      </c>
      <c r="D200" s="1" t="s">
        <v>74</v>
      </c>
      <c r="E200" s="1" t="s">
        <v>74</v>
      </c>
      <c r="F200" s="1" t="s">
        <v>2063</v>
      </c>
      <c r="G200" s="1" t="s">
        <v>74</v>
      </c>
      <c r="H200" s="1" t="s">
        <v>74</v>
      </c>
      <c r="I200" s="1" t="s">
        <v>2064</v>
      </c>
      <c r="J200" s="1" t="s">
        <v>2065</v>
      </c>
      <c r="K200" s="1" t="s">
        <v>74</v>
      </c>
      <c r="L200" s="1" t="s">
        <v>74</v>
      </c>
      <c r="M200" s="1" t="s">
        <v>74</v>
      </c>
      <c r="N200" s="1" t="s">
        <v>74</v>
      </c>
      <c r="O200" s="1" t="s">
        <v>74</v>
      </c>
      <c r="P200" s="1" t="s">
        <v>74</v>
      </c>
      <c r="Q200" s="1" t="s">
        <v>74</v>
      </c>
      <c r="R200" s="1" t="s">
        <v>74</v>
      </c>
      <c r="S200" s="1" t="s">
        <v>74</v>
      </c>
      <c r="T200" s="1" t="s">
        <v>74</v>
      </c>
      <c r="U200" s="1" t="s">
        <v>74</v>
      </c>
      <c r="V200" s="1" t="s">
        <v>74</v>
      </c>
      <c r="W200" s="1" t="s">
        <v>74</v>
      </c>
      <c r="X200" s="1" t="s">
        <v>74</v>
      </c>
      <c r="Y200" s="1" t="s">
        <v>74</v>
      </c>
      <c r="Z200" s="1" t="s">
        <v>74</v>
      </c>
      <c r="AA200" s="1" t="s">
        <v>74</v>
      </c>
      <c r="AB200" s="1" t="s">
        <v>74</v>
      </c>
      <c r="AC200" s="1" t="s">
        <v>74</v>
      </c>
      <c r="AD200" s="1" t="s">
        <v>74</v>
      </c>
      <c r="AE200" s="1" t="s">
        <v>74</v>
      </c>
      <c r="AF200" s="1" t="s">
        <v>74</v>
      </c>
      <c r="AG200" s="1" t="s">
        <v>74</v>
      </c>
      <c r="AH200" s="1" t="s">
        <v>74</v>
      </c>
      <c r="AI200" s="1" t="s">
        <v>74</v>
      </c>
      <c r="AJ200" s="1" t="s">
        <v>74</v>
      </c>
      <c r="AK200" s="1" t="s">
        <v>74</v>
      </c>
      <c r="AL200" s="1" t="s">
        <v>74</v>
      </c>
      <c r="AM200" s="1" t="s">
        <v>74</v>
      </c>
      <c r="AN200" s="1" t="s">
        <v>74</v>
      </c>
      <c r="AO200" s="1" t="s">
        <v>2066</v>
      </c>
      <c r="AP200" s="1" t="s">
        <v>74</v>
      </c>
      <c r="AQ200" s="1" t="s">
        <v>74</v>
      </c>
      <c r="AR200" s="1" t="s">
        <v>74</v>
      </c>
      <c r="AS200" s="1" t="s">
        <v>74</v>
      </c>
      <c r="AT200" s="1" t="s">
        <v>74</v>
      </c>
      <c r="AU200" s="1">
        <v>1982.0</v>
      </c>
      <c r="AV200" s="1">
        <v>26.0</v>
      </c>
      <c r="AW200" s="1">
        <v>11.0</v>
      </c>
      <c r="AX200" s="1" t="s">
        <v>74</v>
      </c>
      <c r="AY200" s="1" t="s">
        <v>74</v>
      </c>
      <c r="AZ200" s="1" t="s">
        <v>74</v>
      </c>
      <c r="BA200" s="1" t="s">
        <v>74</v>
      </c>
      <c r="BB200" s="1">
        <v>6297.0</v>
      </c>
      <c r="BC200" s="1">
        <v>6299.0</v>
      </c>
      <c r="BD200" s="1" t="s">
        <v>74</v>
      </c>
      <c r="BE200" s="1" t="s">
        <v>2067</v>
      </c>
      <c r="BF200" s="2" t="str">
        <f>HYPERLINK("http://dx.doi.org/10.1103/PhysRevB.26.6297","http://dx.doi.org/10.1103/PhysRevB.26.6297")</f>
        <v>http://dx.doi.org/10.1103/PhysRevB.26.6297</v>
      </c>
      <c r="BG200" s="1" t="s">
        <v>74</v>
      </c>
      <c r="BH200" s="1" t="s">
        <v>74</v>
      </c>
      <c r="BI200" s="1" t="s">
        <v>74</v>
      </c>
      <c r="BJ200" s="1" t="s">
        <v>74</v>
      </c>
      <c r="BK200" s="1" t="s">
        <v>74</v>
      </c>
      <c r="BL200" s="1" t="s">
        <v>74</v>
      </c>
      <c r="BM200" s="1" t="s">
        <v>74</v>
      </c>
      <c r="BN200" s="1" t="s">
        <v>74</v>
      </c>
      <c r="BO200" s="1" t="s">
        <v>74</v>
      </c>
      <c r="BP200" s="1" t="s">
        <v>74</v>
      </c>
      <c r="BQ200" s="1" t="s">
        <v>74</v>
      </c>
      <c r="BR200" s="1" t="s">
        <v>74</v>
      </c>
      <c r="BS200" s="1" t="s">
        <v>2068</v>
      </c>
      <c r="BT200" s="1" t="str">
        <f>HYPERLINK("https%3A%2F%2Fwww.webofscience.com%2Fwos%2Fwoscc%2Ffull-record%2FWOS:A1982PS90400032","View Full Record in Web of Science")</f>
        <v>View Full Record in Web of Science</v>
      </c>
    </row>
    <row r="201" ht="12.75" customHeight="1">
      <c r="A201" s="1" t="s">
        <v>72</v>
      </c>
      <c r="B201" s="1" t="s">
        <v>2069</v>
      </c>
      <c r="C201" s="1" t="s">
        <v>74</v>
      </c>
      <c r="D201" s="1" t="s">
        <v>74</v>
      </c>
      <c r="E201" s="1" t="s">
        <v>74</v>
      </c>
      <c r="F201" s="1" t="s">
        <v>2069</v>
      </c>
      <c r="G201" s="1" t="s">
        <v>74</v>
      </c>
      <c r="H201" s="1" t="s">
        <v>74</v>
      </c>
      <c r="I201" s="1" t="s">
        <v>2070</v>
      </c>
      <c r="J201" s="1" t="s">
        <v>2071</v>
      </c>
      <c r="K201" s="1" t="s">
        <v>74</v>
      </c>
      <c r="L201" s="1" t="s">
        <v>74</v>
      </c>
      <c r="M201" s="1" t="s">
        <v>74</v>
      </c>
      <c r="N201" s="1" t="s">
        <v>74</v>
      </c>
      <c r="O201" s="1" t="s">
        <v>74</v>
      </c>
      <c r="P201" s="1" t="s">
        <v>74</v>
      </c>
      <c r="Q201" s="1" t="s">
        <v>74</v>
      </c>
      <c r="R201" s="1" t="s">
        <v>74</v>
      </c>
      <c r="S201" s="1" t="s">
        <v>74</v>
      </c>
      <c r="T201" s="1" t="s">
        <v>74</v>
      </c>
      <c r="U201" s="1" t="s">
        <v>74</v>
      </c>
      <c r="V201" s="1" t="s">
        <v>74</v>
      </c>
      <c r="W201" s="1" t="s">
        <v>74</v>
      </c>
      <c r="X201" s="1" t="s">
        <v>74</v>
      </c>
      <c r="Y201" s="1" t="s">
        <v>74</v>
      </c>
      <c r="Z201" s="1" t="s">
        <v>74</v>
      </c>
      <c r="AA201" s="1" t="s">
        <v>2072</v>
      </c>
      <c r="AB201" s="1" t="s">
        <v>2073</v>
      </c>
      <c r="AC201" s="1" t="s">
        <v>74</v>
      </c>
      <c r="AD201" s="1" t="s">
        <v>74</v>
      </c>
      <c r="AE201" s="1" t="s">
        <v>74</v>
      </c>
      <c r="AF201" s="1" t="s">
        <v>74</v>
      </c>
      <c r="AG201" s="1" t="s">
        <v>74</v>
      </c>
      <c r="AH201" s="1" t="s">
        <v>74</v>
      </c>
      <c r="AI201" s="1" t="s">
        <v>74</v>
      </c>
      <c r="AJ201" s="1" t="s">
        <v>74</v>
      </c>
      <c r="AK201" s="1" t="s">
        <v>74</v>
      </c>
      <c r="AL201" s="1" t="s">
        <v>74</v>
      </c>
      <c r="AM201" s="1" t="s">
        <v>74</v>
      </c>
      <c r="AN201" s="1" t="s">
        <v>74</v>
      </c>
      <c r="AO201" s="1" t="s">
        <v>2074</v>
      </c>
      <c r="AP201" s="1" t="s">
        <v>74</v>
      </c>
      <c r="AQ201" s="1" t="s">
        <v>74</v>
      </c>
      <c r="AR201" s="1" t="s">
        <v>74</v>
      </c>
      <c r="AS201" s="1" t="s">
        <v>74</v>
      </c>
      <c r="AT201" s="1" t="s">
        <v>74</v>
      </c>
      <c r="AU201" s="1">
        <v>1980.0</v>
      </c>
      <c r="AV201" s="1">
        <v>84.0</v>
      </c>
      <c r="AW201" s="1">
        <v>9.0</v>
      </c>
      <c r="AX201" s="1" t="s">
        <v>74</v>
      </c>
      <c r="AY201" s="1" t="s">
        <v>74</v>
      </c>
      <c r="AZ201" s="1" t="s">
        <v>74</v>
      </c>
      <c r="BA201" s="1" t="s">
        <v>74</v>
      </c>
      <c r="BB201" s="1">
        <v>948.0</v>
      </c>
      <c r="BC201" s="1">
        <v>951.0</v>
      </c>
      <c r="BD201" s="1" t="s">
        <v>74</v>
      </c>
      <c r="BE201" s="1" t="s">
        <v>2075</v>
      </c>
      <c r="BF201" s="2" t="str">
        <f>HYPERLINK("http://dx.doi.org/10.1021/j100446a003","http://dx.doi.org/10.1021/j100446a003")</f>
        <v>http://dx.doi.org/10.1021/j100446a003</v>
      </c>
      <c r="BG201" s="1" t="s">
        <v>74</v>
      </c>
      <c r="BH201" s="1" t="s">
        <v>74</v>
      </c>
      <c r="BI201" s="1" t="s">
        <v>74</v>
      </c>
      <c r="BJ201" s="1" t="s">
        <v>74</v>
      </c>
      <c r="BK201" s="1" t="s">
        <v>74</v>
      </c>
      <c r="BL201" s="1" t="s">
        <v>74</v>
      </c>
      <c r="BM201" s="1" t="s">
        <v>74</v>
      </c>
      <c r="BN201" s="1" t="s">
        <v>74</v>
      </c>
      <c r="BO201" s="1" t="s">
        <v>74</v>
      </c>
      <c r="BP201" s="1" t="s">
        <v>74</v>
      </c>
      <c r="BQ201" s="1" t="s">
        <v>74</v>
      </c>
      <c r="BR201" s="1" t="s">
        <v>74</v>
      </c>
      <c r="BS201" s="1" t="s">
        <v>2076</v>
      </c>
      <c r="BT201" s="1" t="str">
        <f>HYPERLINK("https%3A%2F%2Fwww.webofscience.com%2Fwos%2Fwoscc%2Ffull-record%2FWOS:A1980JR69400003","View Full Record in Web of Science")</f>
        <v>View Full Record in Web of Science</v>
      </c>
    </row>
    <row r="202" ht="12.75" customHeight="1">
      <c r="A202" s="1" t="s">
        <v>72</v>
      </c>
      <c r="B202" s="1" t="s">
        <v>2077</v>
      </c>
      <c r="C202" s="1" t="s">
        <v>74</v>
      </c>
      <c r="D202" s="1" t="s">
        <v>74</v>
      </c>
      <c r="E202" s="1" t="s">
        <v>74</v>
      </c>
      <c r="F202" s="1" t="s">
        <v>2078</v>
      </c>
      <c r="G202" s="1" t="s">
        <v>74</v>
      </c>
      <c r="H202" s="1" t="s">
        <v>74</v>
      </c>
      <c r="I202" s="1" t="s">
        <v>2079</v>
      </c>
      <c r="J202" s="1" t="s">
        <v>2080</v>
      </c>
      <c r="K202" s="1" t="s">
        <v>74</v>
      </c>
      <c r="L202" s="1" t="s">
        <v>74</v>
      </c>
      <c r="M202" s="1" t="s">
        <v>74</v>
      </c>
      <c r="N202" s="1" t="s">
        <v>74</v>
      </c>
      <c r="O202" s="1" t="s">
        <v>74</v>
      </c>
      <c r="P202" s="1" t="s">
        <v>74</v>
      </c>
      <c r="Q202" s="1" t="s">
        <v>74</v>
      </c>
      <c r="R202" s="1" t="s">
        <v>74</v>
      </c>
      <c r="S202" s="1" t="s">
        <v>74</v>
      </c>
      <c r="T202" s="1" t="s">
        <v>74</v>
      </c>
      <c r="U202" s="1" t="s">
        <v>74</v>
      </c>
      <c r="V202" s="1" t="s">
        <v>2081</v>
      </c>
      <c r="W202" s="1" t="s">
        <v>74</v>
      </c>
      <c r="X202" s="1" t="s">
        <v>74</v>
      </c>
      <c r="Y202" s="1" t="s">
        <v>74</v>
      </c>
      <c r="Z202" s="1" t="s">
        <v>74</v>
      </c>
      <c r="AA202" s="1" t="s">
        <v>2082</v>
      </c>
      <c r="AB202" s="1" t="s">
        <v>74</v>
      </c>
      <c r="AC202" s="1" t="s">
        <v>74</v>
      </c>
      <c r="AD202" s="1" t="s">
        <v>74</v>
      </c>
      <c r="AE202" s="1" t="s">
        <v>74</v>
      </c>
      <c r="AF202" s="1" t="s">
        <v>74</v>
      </c>
      <c r="AG202" s="1" t="s">
        <v>74</v>
      </c>
      <c r="AH202" s="1" t="s">
        <v>74</v>
      </c>
      <c r="AI202" s="1" t="s">
        <v>74</v>
      </c>
      <c r="AJ202" s="1" t="s">
        <v>74</v>
      </c>
      <c r="AK202" s="1" t="s">
        <v>74</v>
      </c>
      <c r="AL202" s="1" t="s">
        <v>74</v>
      </c>
      <c r="AM202" s="1" t="s">
        <v>74</v>
      </c>
      <c r="AN202" s="1" t="s">
        <v>74</v>
      </c>
      <c r="AO202" s="1" t="s">
        <v>2083</v>
      </c>
      <c r="AP202" s="1" t="s">
        <v>2084</v>
      </c>
      <c r="AQ202" s="1" t="s">
        <v>74</v>
      </c>
      <c r="AR202" s="1" t="s">
        <v>74</v>
      </c>
      <c r="AS202" s="1" t="s">
        <v>74</v>
      </c>
      <c r="AT202" s="1" t="s">
        <v>421</v>
      </c>
      <c r="AU202" s="1">
        <v>2025.0</v>
      </c>
      <c r="AV202" s="1">
        <v>174.0</v>
      </c>
      <c r="AW202" s="1" t="s">
        <v>74</v>
      </c>
      <c r="AX202" s="1" t="s">
        <v>74</v>
      </c>
      <c r="AY202" s="1" t="s">
        <v>74</v>
      </c>
      <c r="AZ202" s="1" t="s">
        <v>74</v>
      </c>
      <c r="BA202" s="1" t="s">
        <v>74</v>
      </c>
      <c r="BB202" s="1" t="s">
        <v>74</v>
      </c>
      <c r="BC202" s="1" t="s">
        <v>74</v>
      </c>
      <c r="BD202" s="1">
        <v>107910.0</v>
      </c>
      <c r="BE202" s="1" t="s">
        <v>2085</v>
      </c>
      <c r="BF202" s="2" t="str">
        <f>HYPERLINK("http://dx.doi.org/10.1016/j.elecom.2025.107910","http://dx.doi.org/10.1016/j.elecom.2025.107910")</f>
        <v>http://dx.doi.org/10.1016/j.elecom.2025.107910</v>
      </c>
      <c r="BG202" s="1" t="s">
        <v>74</v>
      </c>
      <c r="BH202" s="1" t="s">
        <v>2086</v>
      </c>
      <c r="BI202" s="1" t="s">
        <v>74</v>
      </c>
      <c r="BJ202" s="1" t="s">
        <v>74</v>
      </c>
      <c r="BK202" s="1" t="s">
        <v>74</v>
      </c>
      <c r="BL202" s="1" t="s">
        <v>74</v>
      </c>
      <c r="BM202" s="1" t="s">
        <v>74</v>
      </c>
      <c r="BN202" s="1" t="s">
        <v>74</v>
      </c>
      <c r="BO202" s="1" t="s">
        <v>74</v>
      </c>
      <c r="BP202" s="1" t="s">
        <v>74</v>
      </c>
      <c r="BQ202" s="1" t="s">
        <v>74</v>
      </c>
      <c r="BR202" s="1" t="s">
        <v>74</v>
      </c>
      <c r="BS202" s="1" t="s">
        <v>2087</v>
      </c>
      <c r="BT202" s="1" t="str">
        <f>HYPERLINK("https%3A%2F%2Fwww.webofscience.com%2Fwos%2Fwoscc%2Ffull-record%2FWOS:001447923800001","View Full Record in Web of Science")</f>
        <v>View Full Record in Web of Science</v>
      </c>
    </row>
    <row r="203" ht="12.75" customHeight="1">
      <c r="A203" s="1" t="s">
        <v>72</v>
      </c>
      <c r="B203" s="1" t="s">
        <v>2088</v>
      </c>
      <c r="C203" s="1" t="s">
        <v>74</v>
      </c>
      <c r="D203" s="1" t="s">
        <v>74</v>
      </c>
      <c r="E203" s="1" t="s">
        <v>74</v>
      </c>
      <c r="F203" s="1" t="s">
        <v>2089</v>
      </c>
      <c r="G203" s="1" t="s">
        <v>74</v>
      </c>
      <c r="H203" s="1" t="s">
        <v>74</v>
      </c>
      <c r="I203" s="1" t="s">
        <v>2090</v>
      </c>
      <c r="J203" s="1" t="s">
        <v>2091</v>
      </c>
      <c r="K203" s="1" t="s">
        <v>74</v>
      </c>
      <c r="L203" s="1" t="s">
        <v>74</v>
      </c>
      <c r="M203" s="1" t="s">
        <v>74</v>
      </c>
      <c r="N203" s="1" t="s">
        <v>74</v>
      </c>
      <c r="O203" s="1" t="s">
        <v>74</v>
      </c>
      <c r="P203" s="1" t="s">
        <v>74</v>
      </c>
      <c r="Q203" s="1" t="s">
        <v>74</v>
      </c>
      <c r="R203" s="1" t="s">
        <v>74</v>
      </c>
      <c r="S203" s="1" t="s">
        <v>74</v>
      </c>
      <c r="T203" s="1" t="s">
        <v>74</v>
      </c>
      <c r="U203" s="1" t="s">
        <v>74</v>
      </c>
      <c r="V203" s="1" t="s">
        <v>2092</v>
      </c>
      <c r="W203" s="1" t="s">
        <v>74</v>
      </c>
      <c r="X203" s="1" t="s">
        <v>74</v>
      </c>
      <c r="Y203" s="1" t="s">
        <v>74</v>
      </c>
      <c r="Z203" s="1" t="s">
        <v>74</v>
      </c>
      <c r="AA203" s="1" t="s">
        <v>74</v>
      </c>
      <c r="AB203" s="1" t="s">
        <v>74</v>
      </c>
      <c r="AC203" s="1" t="s">
        <v>74</v>
      </c>
      <c r="AD203" s="1" t="s">
        <v>74</v>
      </c>
      <c r="AE203" s="1" t="s">
        <v>74</v>
      </c>
      <c r="AF203" s="1" t="s">
        <v>74</v>
      </c>
      <c r="AG203" s="1" t="s">
        <v>74</v>
      </c>
      <c r="AH203" s="1" t="s">
        <v>74</v>
      </c>
      <c r="AI203" s="1" t="s">
        <v>74</v>
      </c>
      <c r="AJ203" s="1" t="s">
        <v>74</v>
      </c>
      <c r="AK203" s="1" t="s">
        <v>74</v>
      </c>
      <c r="AL203" s="1" t="s">
        <v>74</v>
      </c>
      <c r="AM203" s="1" t="s">
        <v>74</v>
      </c>
      <c r="AN203" s="1" t="s">
        <v>74</v>
      </c>
      <c r="AO203" s="1" t="s">
        <v>2093</v>
      </c>
      <c r="AP203" s="1" t="s">
        <v>74</v>
      </c>
      <c r="AQ203" s="1" t="s">
        <v>74</v>
      </c>
      <c r="AR203" s="1" t="s">
        <v>74</v>
      </c>
      <c r="AS203" s="1" t="s">
        <v>74</v>
      </c>
      <c r="AT203" s="1" t="s">
        <v>179</v>
      </c>
      <c r="AU203" s="1">
        <v>2025.0</v>
      </c>
      <c r="AV203" s="1">
        <v>91.0</v>
      </c>
      <c r="AW203" s="1">
        <v>365.0</v>
      </c>
      <c r="AX203" s="1" t="s">
        <v>74</v>
      </c>
      <c r="AY203" s="1" t="s">
        <v>74</v>
      </c>
      <c r="AZ203" s="1" t="s">
        <v>74</v>
      </c>
      <c r="BA203" s="1" t="s">
        <v>74</v>
      </c>
      <c r="BB203" s="1">
        <v>7.0</v>
      </c>
      <c r="BC203" s="1">
        <v>74.0</v>
      </c>
      <c r="BD203" s="1" t="s">
        <v>74</v>
      </c>
      <c r="BE203" s="1" t="s">
        <v>2094</v>
      </c>
      <c r="BF203" s="2" t="str">
        <f>HYPERLINK("http://dx.doi.org/10.20430/ete.v92i365.2682","http://dx.doi.org/10.20430/ete.v92i365.2682")</f>
        <v>http://dx.doi.org/10.20430/ete.v92i365.2682</v>
      </c>
      <c r="BG203" s="1" t="s">
        <v>74</v>
      </c>
      <c r="BH203" s="1" t="s">
        <v>74</v>
      </c>
      <c r="BI203" s="1" t="s">
        <v>74</v>
      </c>
      <c r="BJ203" s="1" t="s">
        <v>74</v>
      </c>
      <c r="BK203" s="1" t="s">
        <v>74</v>
      </c>
      <c r="BL203" s="1" t="s">
        <v>74</v>
      </c>
      <c r="BM203" s="1" t="s">
        <v>74</v>
      </c>
      <c r="BN203" s="1" t="s">
        <v>74</v>
      </c>
      <c r="BO203" s="1" t="s">
        <v>74</v>
      </c>
      <c r="BP203" s="1" t="s">
        <v>74</v>
      </c>
      <c r="BQ203" s="1" t="s">
        <v>74</v>
      </c>
      <c r="BR203" s="1" t="s">
        <v>74</v>
      </c>
      <c r="BS203" s="1" t="s">
        <v>2095</v>
      </c>
      <c r="BT203" s="1" t="str">
        <f>HYPERLINK("https%3A%2F%2Fwww.webofscience.com%2Fwos%2Fwoscc%2Ffull-record%2FWOS:001395057600001","View Full Record in Web of Science")</f>
        <v>View Full Record in Web of Science</v>
      </c>
    </row>
    <row r="204" ht="12.75" customHeight="1">
      <c r="A204" s="1" t="s">
        <v>72</v>
      </c>
      <c r="B204" s="1" t="s">
        <v>2096</v>
      </c>
      <c r="C204" s="1" t="s">
        <v>74</v>
      </c>
      <c r="D204" s="1" t="s">
        <v>74</v>
      </c>
      <c r="E204" s="1" t="s">
        <v>74</v>
      </c>
      <c r="F204" s="1" t="s">
        <v>2097</v>
      </c>
      <c r="G204" s="1" t="s">
        <v>74</v>
      </c>
      <c r="H204" s="1" t="s">
        <v>74</v>
      </c>
      <c r="I204" s="1" t="s">
        <v>2098</v>
      </c>
      <c r="J204" s="1" t="s">
        <v>2099</v>
      </c>
      <c r="K204" s="1" t="s">
        <v>74</v>
      </c>
      <c r="L204" s="1" t="s">
        <v>74</v>
      </c>
      <c r="M204" s="1" t="s">
        <v>74</v>
      </c>
      <c r="N204" s="1" t="s">
        <v>74</v>
      </c>
      <c r="O204" s="1" t="s">
        <v>74</v>
      </c>
      <c r="P204" s="1" t="s">
        <v>74</v>
      </c>
      <c r="Q204" s="1" t="s">
        <v>74</v>
      </c>
      <c r="R204" s="1" t="s">
        <v>74</v>
      </c>
      <c r="S204" s="1" t="s">
        <v>74</v>
      </c>
      <c r="T204" s="1" t="s">
        <v>74</v>
      </c>
      <c r="U204" s="1" t="s">
        <v>74</v>
      </c>
      <c r="V204" s="1" t="s">
        <v>2100</v>
      </c>
      <c r="W204" s="1" t="s">
        <v>74</v>
      </c>
      <c r="X204" s="1" t="s">
        <v>74</v>
      </c>
      <c r="Y204" s="1" t="s">
        <v>74</v>
      </c>
      <c r="Z204" s="1" t="s">
        <v>74</v>
      </c>
      <c r="AA204" s="1" t="s">
        <v>2101</v>
      </c>
      <c r="AB204" s="1" t="s">
        <v>2102</v>
      </c>
      <c r="AC204" s="1" t="s">
        <v>74</v>
      </c>
      <c r="AD204" s="1" t="s">
        <v>74</v>
      </c>
      <c r="AE204" s="1" t="s">
        <v>74</v>
      </c>
      <c r="AF204" s="1" t="s">
        <v>74</v>
      </c>
      <c r="AG204" s="1" t="s">
        <v>74</v>
      </c>
      <c r="AH204" s="1" t="s">
        <v>74</v>
      </c>
      <c r="AI204" s="1" t="s">
        <v>74</v>
      </c>
      <c r="AJ204" s="1" t="s">
        <v>74</v>
      </c>
      <c r="AK204" s="1" t="s">
        <v>74</v>
      </c>
      <c r="AL204" s="1" t="s">
        <v>74</v>
      </c>
      <c r="AM204" s="1" t="s">
        <v>74</v>
      </c>
      <c r="AN204" s="1" t="s">
        <v>74</v>
      </c>
      <c r="AO204" s="1" t="s">
        <v>2103</v>
      </c>
      <c r="AP204" s="1" t="s">
        <v>2104</v>
      </c>
      <c r="AQ204" s="1" t="s">
        <v>74</v>
      </c>
      <c r="AR204" s="1" t="s">
        <v>74</v>
      </c>
      <c r="AS204" s="1" t="s">
        <v>74</v>
      </c>
      <c r="AT204" s="1" t="s">
        <v>2105</v>
      </c>
      <c r="AU204" s="1">
        <v>2024.0</v>
      </c>
      <c r="AV204" s="1">
        <v>431.0</v>
      </c>
      <c r="AW204" s="1" t="s">
        <v>74</v>
      </c>
      <c r="AX204" s="1" t="s">
        <v>74</v>
      </c>
      <c r="AY204" s="1" t="s">
        <v>74</v>
      </c>
      <c r="AZ204" s="1" t="s">
        <v>74</v>
      </c>
      <c r="BA204" s="1" t="s">
        <v>74</v>
      </c>
      <c r="BB204" s="1" t="s">
        <v>74</v>
      </c>
      <c r="BC204" s="1" t="s">
        <v>74</v>
      </c>
      <c r="BD204" s="1">
        <v>117306.0</v>
      </c>
      <c r="BE204" s="1" t="s">
        <v>2106</v>
      </c>
      <c r="BF204" s="2" t="str">
        <f>HYPERLINK("http://dx.doi.org/10.1016/j.cma.2024.117306","http://dx.doi.org/10.1016/j.cma.2024.117306")</f>
        <v>http://dx.doi.org/10.1016/j.cma.2024.117306</v>
      </c>
      <c r="BG204" s="1" t="s">
        <v>74</v>
      </c>
      <c r="BH204" s="1" t="s">
        <v>2107</v>
      </c>
      <c r="BI204" s="1" t="s">
        <v>74</v>
      </c>
      <c r="BJ204" s="1" t="s">
        <v>74</v>
      </c>
      <c r="BK204" s="1" t="s">
        <v>74</v>
      </c>
      <c r="BL204" s="1" t="s">
        <v>74</v>
      </c>
      <c r="BM204" s="1" t="s">
        <v>74</v>
      </c>
      <c r="BN204" s="1" t="s">
        <v>74</v>
      </c>
      <c r="BO204" s="1" t="s">
        <v>74</v>
      </c>
      <c r="BP204" s="1" t="s">
        <v>74</v>
      </c>
      <c r="BQ204" s="1" t="s">
        <v>74</v>
      </c>
      <c r="BR204" s="1" t="s">
        <v>74</v>
      </c>
      <c r="BS204" s="1" t="s">
        <v>2108</v>
      </c>
      <c r="BT204" s="1" t="str">
        <f>HYPERLINK("https%3A%2F%2Fwww.webofscience.com%2Fwos%2Fwoscc%2Ffull-record%2FWOS:001301485100001","View Full Record in Web of Science")</f>
        <v>View Full Record in Web of Science</v>
      </c>
    </row>
    <row r="205" ht="12.75" customHeight="1">
      <c r="A205" s="1" t="s">
        <v>72</v>
      </c>
      <c r="B205" s="1" t="s">
        <v>2109</v>
      </c>
      <c r="C205" s="1" t="s">
        <v>74</v>
      </c>
      <c r="D205" s="1" t="s">
        <v>74</v>
      </c>
      <c r="E205" s="1" t="s">
        <v>74</v>
      </c>
      <c r="F205" s="1" t="s">
        <v>2110</v>
      </c>
      <c r="G205" s="1" t="s">
        <v>74</v>
      </c>
      <c r="H205" s="1" t="s">
        <v>74</v>
      </c>
      <c r="I205" s="1" t="s">
        <v>2111</v>
      </c>
      <c r="J205" s="1" t="s">
        <v>2112</v>
      </c>
      <c r="K205" s="1" t="s">
        <v>74</v>
      </c>
      <c r="L205" s="1" t="s">
        <v>74</v>
      </c>
      <c r="M205" s="1" t="s">
        <v>74</v>
      </c>
      <c r="N205" s="1" t="s">
        <v>74</v>
      </c>
      <c r="O205" s="1" t="s">
        <v>74</v>
      </c>
      <c r="P205" s="1" t="s">
        <v>74</v>
      </c>
      <c r="Q205" s="1" t="s">
        <v>74</v>
      </c>
      <c r="R205" s="1" t="s">
        <v>74</v>
      </c>
      <c r="S205" s="1" t="s">
        <v>74</v>
      </c>
      <c r="T205" s="1" t="s">
        <v>74</v>
      </c>
      <c r="U205" s="1" t="s">
        <v>74</v>
      </c>
      <c r="V205" s="1" t="s">
        <v>2113</v>
      </c>
      <c r="W205" s="1" t="s">
        <v>74</v>
      </c>
      <c r="X205" s="1" t="s">
        <v>74</v>
      </c>
      <c r="Y205" s="1" t="s">
        <v>74</v>
      </c>
      <c r="Z205" s="1" t="s">
        <v>74</v>
      </c>
      <c r="AA205" s="1" t="s">
        <v>2114</v>
      </c>
      <c r="AB205" s="1" t="s">
        <v>74</v>
      </c>
      <c r="AC205" s="1" t="s">
        <v>74</v>
      </c>
      <c r="AD205" s="1" t="s">
        <v>74</v>
      </c>
      <c r="AE205" s="1" t="s">
        <v>74</v>
      </c>
      <c r="AF205" s="1" t="s">
        <v>74</v>
      </c>
      <c r="AG205" s="1" t="s">
        <v>74</v>
      </c>
      <c r="AH205" s="1" t="s">
        <v>74</v>
      </c>
      <c r="AI205" s="1" t="s">
        <v>74</v>
      </c>
      <c r="AJ205" s="1" t="s">
        <v>74</v>
      </c>
      <c r="AK205" s="1" t="s">
        <v>74</v>
      </c>
      <c r="AL205" s="1" t="s">
        <v>74</v>
      </c>
      <c r="AM205" s="1" t="s">
        <v>74</v>
      </c>
      <c r="AN205" s="1" t="s">
        <v>74</v>
      </c>
      <c r="AO205" s="1" t="s">
        <v>2115</v>
      </c>
      <c r="AP205" s="1" t="s">
        <v>2116</v>
      </c>
      <c r="AQ205" s="1" t="s">
        <v>74</v>
      </c>
      <c r="AR205" s="1" t="s">
        <v>74</v>
      </c>
      <c r="AS205" s="1" t="s">
        <v>74</v>
      </c>
      <c r="AT205" s="1" t="s">
        <v>240</v>
      </c>
      <c r="AU205" s="1">
        <v>2024.0</v>
      </c>
      <c r="AV205" s="1">
        <v>20.0</v>
      </c>
      <c r="AW205" s="1">
        <v>1.0</v>
      </c>
      <c r="AX205" s="1" t="s">
        <v>74</v>
      </c>
      <c r="AY205" s="1" t="s">
        <v>74</v>
      </c>
      <c r="AZ205" s="1" t="s">
        <v>74</v>
      </c>
      <c r="BA205" s="1" t="s">
        <v>74</v>
      </c>
      <c r="BB205" s="1">
        <v>171.0</v>
      </c>
      <c r="BC205" s="1">
        <v>183.0</v>
      </c>
      <c r="BD205" s="1" t="s">
        <v>74</v>
      </c>
      <c r="BE205" s="1" t="s">
        <v>2117</v>
      </c>
      <c r="BF205" s="2" t="str">
        <f>HYPERLINK("http://dx.doi.org/10.17981/ingecuc.20.1.2024.09","http://dx.doi.org/10.17981/ingecuc.20.1.2024.09")</f>
        <v>http://dx.doi.org/10.17981/ingecuc.20.1.2024.09</v>
      </c>
      <c r="BG205" s="1" t="s">
        <v>74</v>
      </c>
      <c r="BH205" s="1" t="s">
        <v>74</v>
      </c>
      <c r="BI205" s="1" t="s">
        <v>74</v>
      </c>
      <c r="BJ205" s="1" t="s">
        <v>74</v>
      </c>
      <c r="BK205" s="1" t="s">
        <v>74</v>
      </c>
      <c r="BL205" s="1" t="s">
        <v>74</v>
      </c>
      <c r="BM205" s="1" t="s">
        <v>74</v>
      </c>
      <c r="BN205" s="1" t="s">
        <v>74</v>
      </c>
      <c r="BO205" s="1" t="s">
        <v>74</v>
      </c>
      <c r="BP205" s="1" t="s">
        <v>74</v>
      </c>
      <c r="BQ205" s="1" t="s">
        <v>74</v>
      </c>
      <c r="BR205" s="1" t="s">
        <v>74</v>
      </c>
      <c r="BS205" s="1" t="s">
        <v>2118</v>
      </c>
      <c r="BT205" s="1" t="str">
        <f>HYPERLINK("https%3A%2F%2Fwww.webofscience.com%2Fwos%2Fwoscc%2Ffull-record%2FWOS:001355388400001","View Full Record in Web of Science")</f>
        <v>View Full Record in Web of Science</v>
      </c>
    </row>
    <row r="206" ht="12.75" customHeight="1">
      <c r="A206" s="1" t="s">
        <v>72</v>
      </c>
      <c r="B206" s="1" t="s">
        <v>2119</v>
      </c>
      <c r="C206" s="1" t="s">
        <v>74</v>
      </c>
      <c r="D206" s="1" t="s">
        <v>74</v>
      </c>
      <c r="E206" s="1" t="s">
        <v>74</v>
      </c>
      <c r="F206" s="1" t="s">
        <v>2120</v>
      </c>
      <c r="G206" s="1" t="s">
        <v>74</v>
      </c>
      <c r="H206" s="1" t="s">
        <v>74</v>
      </c>
      <c r="I206" s="1" t="s">
        <v>2121</v>
      </c>
      <c r="J206" s="1" t="s">
        <v>2122</v>
      </c>
      <c r="K206" s="1" t="s">
        <v>74</v>
      </c>
      <c r="L206" s="1" t="s">
        <v>74</v>
      </c>
      <c r="M206" s="1" t="s">
        <v>74</v>
      </c>
      <c r="N206" s="1" t="s">
        <v>74</v>
      </c>
      <c r="O206" s="1" t="s">
        <v>74</v>
      </c>
      <c r="P206" s="1" t="s">
        <v>74</v>
      </c>
      <c r="Q206" s="1" t="s">
        <v>74</v>
      </c>
      <c r="R206" s="1" t="s">
        <v>74</v>
      </c>
      <c r="S206" s="1" t="s">
        <v>74</v>
      </c>
      <c r="T206" s="1" t="s">
        <v>74</v>
      </c>
      <c r="U206" s="1" t="s">
        <v>74</v>
      </c>
      <c r="V206" s="1" t="s">
        <v>2123</v>
      </c>
      <c r="W206" s="1" t="s">
        <v>74</v>
      </c>
      <c r="X206" s="1" t="s">
        <v>74</v>
      </c>
      <c r="Y206" s="1" t="s">
        <v>74</v>
      </c>
      <c r="Z206" s="1" t="s">
        <v>74</v>
      </c>
      <c r="AA206" s="1" t="s">
        <v>2124</v>
      </c>
      <c r="AB206" s="1" t="s">
        <v>2125</v>
      </c>
      <c r="AC206" s="1" t="s">
        <v>74</v>
      </c>
      <c r="AD206" s="1" t="s">
        <v>74</v>
      </c>
      <c r="AE206" s="1" t="s">
        <v>74</v>
      </c>
      <c r="AF206" s="1" t="s">
        <v>74</v>
      </c>
      <c r="AG206" s="1" t="s">
        <v>74</v>
      </c>
      <c r="AH206" s="1" t="s">
        <v>74</v>
      </c>
      <c r="AI206" s="1" t="s">
        <v>74</v>
      </c>
      <c r="AJ206" s="1" t="s">
        <v>74</v>
      </c>
      <c r="AK206" s="1" t="s">
        <v>74</v>
      </c>
      <c r="AL206" s="1" t="s">
        <v>74</v>
      </c>
      <c r="AM206" s="1" t="s">
        <v>74</v>
      </c>
      <c r="AN206" s="1" t="s">
        <v>74</v>
      </c>
      <c r="AO206" s="1" t="s">
        <v>2126</v>
      </c>
      <c r="AP206" s="1" t="s">
        <v>2127</v>
      </c>
      <c r="AQ206" s="1" t="s">
        <v>74</v>
      </c>
      <c r="AR206" s="1" t="s">
        <v>74</v>
      </c>
      <c r="AS206" s="1" t="s">
        <v>74</v>
      </c>
      <c r="AT206" s="1" t="s">
        <v>533</v>
      </c>
      <c r="AU206" s="1">
        <v>2024.0</v>
      </c>
      <c r="AV206" s="1">
        <v>99.0</v>
      </c>
      <c r="AW206" s="1">
        <v>1.0</v>
      </c>
      <c r="AX206" s="1" t="s">
        <v>74</v>
      </c>
      <c r="AY206" s="1" t="s">
        <v>74</v>
      </c>
      <c r="AZ206" s="1" t="s">
        <v>74</v>
      </c>
      <c r="BA206" s="1" t="s">
        <v>74</v>
      </c>
      <c r="BB206" s="1" t="s">
        <v>74</v>
      </c>
      <c r="BC206" s="1" t="s">
        <v>74</v>
      </c>
      <c r="BD206" s="1">
        <v>15212.0</v>
      </c>
      <c r="BE206" s="1" t="s">
        <v>2128</v>
      </c>
      <c r="BF206" s="2" t="str">
        <f>HYPERLINK("http://dx.doi.org/10.1088/1402-4896/ad03c2","http://dx.doi.org/10.1088/1402-4896/ad03c2")</f>
        <v>http://dx.doi.org/10.1088/1402-4896/ad03c2</v>
      </c>
      <c r="BG206" s="1" t="s">
        <v>74</v>
      </c>
      <c r="BH206" s="1" t="s">
        <v>74</v>
      </c>
      <c r="BI206" s="1" t="s">
        <v>74</v>
      </c>
      <c r="BJ206" s="1" t="s">
        <v>74</v>
      </c>
      <c r="BK206" s="1" t="s">
        <v>74</v>
      </c>
      <c r="BL206" s="1" t="s">
        <v>74</v>
      </c>
      <c r="BM206" s="1" t="s">
        <v>74</v>
      </c>
      <c r="BN206" s="1" t="s">
        <v>74</v>
      </c>
      <c r="BO206" s="1" t="s">
        <v>74</v>
      </c>
      <c r="BP206" s="1" t="s">
        <v>74</v>
      </c>
      <c r="BQ206" s="1" t="s">
        <v>74</v>
      </c>
      <c r="BR206" s="1" t="s">
        <v>74</v>
      </c>
      <c r="BS206" s="1" t="s">
        <v>2129</v>
      </c>
      <c r="BT206" s="1" t="str">
        <f>HYPERLINK("https%3A%2F%2Fwww.webofscience.com%2Fwos%2Fwoscc%2Ffull-record%2FWOS:001116568800001","View Full Record in Web of Science")</f>
        <v>View Full Record in Web of Science</v>
      </c>
    </row>
    <row r="207" ht="12.75" customHeight="1">
      <c r="A207" s="1" t="s">
        <v>147</v>
      </c>
      <c r="B207" s="1" t="s">
        <v>2130</v>
      </c>
      <c r="C207" s="1" t="s">
        <v>74</v>
      </c>
      <c r="D207" s="1" t="s">
        <v>74</v>
      </c>
      <c r="E207" s="1" t="s">
        <v>2131</v>
      </c>
      <c r="F207" s="1" t="s">
        <v>2132</v>
      </c>
      <c r="G207" s="1" t="s">
        <v>74</v>
      </c>
      <c r="H207" s="1" t="s">
        <v>74</v>
      </c>
      <c r="I207" s="1" t="s">
        <v>2133</v>
      </c>
      <c r="J207" s="1" t="s">
        <v>2134</v>
      </c>
      <c r="K207" s="1" t="s">
        <v>2135</v>
      </c>
      <c r="L207" s="1" t="s">
        <v>74</v>
      </c>
      <c r="M207" s="1" t="s">
        <v>74</v>
      </c>
      <c r="N207" s="1" t="s">
        <v>74</v>
      </c>
      <c r="O207" s="1" t="s">
        <v>2136</v>
      </c>
      <c r="P207" s="1" t="s">
        <v>2137</v>
      </c>
      <c r="Q207" s="1" t="s">
        <v>2138</v>
      </c>
      <c r="R207" s="1" t="s">
        <v>2139</v>
      </c>
      <c r="S207" s="1" t="s">
        <v>74</v>
      </c>
      <c r="T207" s="1" t="s">
        <v>74</v>
      </c>
      <c r="U207" s="1" t="s">
        <v>74</v>
      </c>
      <c r="V207" s="1" t="s">
        <v>2140</v>
      </c>
      <c r="W207" s="1" t="s">
        <v>74</v>
      </c>
      <c r="X207" s="1" t="s">
        <v>74</v>
      </c>
      <c r="Y207" s="1" t="s">
        <v>74</v>
      </c>
      <c r="Z207" s="1" t="s">
        <v>74</v>
      </c>
      <c r="AA207" s="1" t="s">
        <v>2141</v>
      </c>
      <c r="AB207" s="1" t="s">
        <v>2142</v>
      </c>
      <c r="AC207" s="1" t="s">
        <v>74</v>
      </c>
      <c r="AD207" s="1" t="s">
        <v>74</v>
      </c>
      <c r="AE207" s="1" t="s">
        <v>74</v>
      </c>
      <c r="AF207" s="1" t="s">
        <v>74</v>
      </c>
      <c r="AG207" s="1" t="s">
        <v>74</v>
      </c>
      <c r="AH207" s="1" t="s">
        <v>74</v>
      </c>
      <c r="AI207" s="1" t="s">
        <v>74</v>
      </c>
      <c r="AJ207" s="1" t="s">
        <v>74</v>
      </c>
      <c r="AK207" s="1" t="s">
        <v>74</v>
      </c>
      <c r="AL207" s="1" t="s">
        <v>74</v>
      </c>
      <c r="AM207" s="1" t="s">
        <v>74</v>
      </c>
      <c r="AN207" s="1" t="s">
        <v>74</v>
      </c>
      <c r="AO207" s="1" t="s">
        <v>2143</v>
      </c>
      <c r="AP207" s="1" t="s">
        <v>74</v>
      </c>
      <c r="AQ207" s="1" t="s">
        <v>2144</v>
      </c>
      <c r="AR207" s="1" t="s">
        <v>74</v>
      </c>
      <c r="AS207" s="1" t="s">
        <v>74</v>
      </c>
      <c r="AT207" s="1" t="s">
        <v>74</v>
      </c>
      <c r="AU207" s="1">
        <v>2024.0</v>
      </c>
      <c r="AV207" s="1" t="s">
        <v>74</v>
      </c>
      <c r="AW207" s="1" t="s">
        <v>74</v>
      </c>
      <c r="AX207" s="1" t="s">
        <v>74</v>
      </c>
      <c r="AY207" s="1" t="s">
        <v>74</v>
      </c>
      <c r="AZ207" s="1" t="s">
        <v>74</v>
      </c>
      <c r="BA207" s="1" t="s">
        <v>74</v>
      </c>
      <c r="BB207" s="1" t="s">
        <v>74</v>
      </c>
      <c r="BC207" s="1" t="s">
        <v>74</v>
      </c>
      <c r="BD207" s="1">
        <v>119.0</v>
      </c>
      <c r="BE207" s="1" t="s">
        <v>2145</v>
      </c>
      <c r="BF207" s="2" t="str">
        <f>HYPERLINK("http://dx.doi.org/10.1109/ANDESCON61840.2024.10755808","http://dx.doi.org/10.1109/ANDESCON61840.2024.10755808")</f>
        <v>http://dx.doi.org/10.1109/ANDESCON61840.2024.10755808</v>
      </c>
      <c r="BG207" s="1" t="s">
        <v>74</v>
      </c>
      <c r="BH207" s="1" t="s">
        <v>74</v>
      </c>
      <c r="BI207" s="1" t="s">
        <v>74</v>
      </c>
      <c r="BJ207" s="1" t="s">
        <v>74</v>
      </c>
      <c r="BK207" s="1" t="s">
        <v>74</v>
      </c>
      <c r="BL207" s="1" t="s">
        <v>74</v>
      </c>
      <c r="BM207" s="1" t="s">
        <v>74</v>
      </c>
      <c r="BN207" s="1" t="s">
        <v>74</v>
      </c>
      <c r="BO207" s="1" t="s">
        <v>74</v>
      </c>
      <c r="BP207" s="1" t="s">
        <v>74</v>
      </c>
      <c r="BQ207" s="1" t="s">
        <v>74</v>
      </c>
      <c r="BR207" s="1" t="s">
        <v>74</v>
      </c>
      <c r="BS207" s="1" t="s">
        <v>2146</v>
      </c>
      <c r="BT207" s="1" t="str">
        <f>HYPERLINK("https%3A%2F%2Fwww.webofscience.com%2Fwos%2Fwoscc%2Ffull-record%2FWOS:001417553200081","View Full Record in Web of Science")</f>
        <v>View Full Record in Web of Science</v>
      </c>
    </row>
    <row r="208" ht="12.75" customHeight="1">
      <c r="A208" s="1" t="s">
        <v>72</v>
      </c>
      <c r="B208" s="1" t="s">
        <v>2147</v>
      </c>
      <c r="C208" s="1" t="s">
        <v>74</v>
      </c>
      <c r="D208" s="1" t="s">
        <v>74</v>
      </c>
      <c r="E208" s="1" t="s">
        <v>74</v>
      </c>
      <c r="F208" s="1" t="s">
        <v>2148</v>
      </c>
      <c r="G208" s="1" t="s">
        <v>74</v>
      </c>
      <c r="H208" s="1" t="s">
        <v>74</v>
      </c>
      <c r="I208" s="1" t="s">
        <v>2149</v>
      </c>
      <c r="J208" s="1" t="s">
        <v>2150</v>
      </c>
      <c r="K208" s="1" t="s">
        <v>74</v>
      </c>
      <c r="L208" s="1" t="s">
        <v>74</v>
      </c>
      <c r="M208" s="1" t="s">
        <v>74</v>
      </c>
      <c r="N208" s="1" t="s">
        <v>74</v>
      </c>
      <c r="O208" s="1" t="s">
        <v>74</v>
      </c>
      <c r="P208" s="1" t="s">
        <v>74</v>
      </c>
      <c r="Q208" s="1" t="s">
        <v>74</v>
      </c>
      <c r="R208" s="1" t="s">
        <v>74</v>
      </c>
      <c r="S208" s="1" t="s">
        <v>74</v>
      </c>
      <c r="T208" s="1" t="s">
        <v>74</v>
      </c>
      <c r="U208" s="1" t="s">
        <v>74</v>
      </c>
      <c r="V208" s="1" t="s">
        <v>2151</v>
      </c>
      <c r="W208" s="1" t="s">
        <v>74</v>
      </c>
      <c r="X208" s="1" t="s">
        <v>74</v>
      </c>
      <c r="Y208" s="1" t="s">
        <v>74</v>
      </c>
      <c r="Z208" s="1" t="s">
        <v>74</v>
      </c>
      <c r="AA208" s="1" t="s">
        <v>2152</v>
      </c>
      <c r="AB208" s="1" t="s">
        <v>2153</v>
      </c>
      <c r="AC208" s="1" t="s">
        <v>74</v>
      </c>
      <c r="AD208" s="1" t="s">
        <v>74</v>
      </c>
      <c r="AE208" s="1" t="s">
        <v>74</v>
      </c>
      <c r="AF208" s="1" t="s">
        <v>74</v>
      </c>
      <c r="AG208" s="1" t="s">
        <v>74</v>
      </c>
      <c r="AH208" s="1" t="s">
        <v>74</v>
      </c>
      <c r="AI208" s="1" t="s">
        <v>74</v>
      </c>
      <c r="AJ208" s="1" t="s">
        <v>74</v>
      </c>
      <c r="AK208" s="1" t="s">
        <v>74</v>
      </c>
      <c r="AL208" s="1" t="s">
        <v>74</v>
      </c>
      <c r="AM208" s="1" t="s">
        <v>74</v>
      </c>
      <c r="AN208" s="1" t="s">
        <v>74</v>
      </c>
      <c r="AO208" s="1" t="s">
        <v>2154</v>
      </c>
      <c r="AP208" s="1" t="s">
        <v>2155</v>
      </c>
      <c r="AQ208" s="1" t="s">
        <v>74</v>
      </c>
      <c r="AR208" s="1" t="s">
        <v>74</v>
      </c>
      <c r="AS208" s="1" t="s">
        <v>74</v>
      </c>
      <c r="AT208" s="1" t="s">
        <v>2156</v>
      </c>
      <c r="AU208" s="1">
        <v>2024.0</v>
      </c>
      <c r="AV208" s="1">
        <v>53.0</v>
      </c>
      <c r="AW208" s="1">
        <v>22.0</v>
      </c>
      <c r="AX208" s="1" t="s">
        <v>74</v>
      </c>
      <c r="AY208" s="1" t="s">
        <v>74</v>
      </c>
      <c r="AZ208" s="1" t="s">
        <v>74</v>
      </c>
      <c r="BA208" s="1" t="s">
        <v>74</v>
      </c>
      <c r="BB208" s="1">
        <v>8234.0</v>
      </c>
      <c r="BC208" s="1">
        <v>8254.0</v>
      </c>
      <c r="BD208" s="1" t="s">
        <v>74</v>
      </c>
      <c r="BE208" s="1" t="s">
        <v>2157</v>
      </c>
      <c r="BF208" s="2" t="str">
        <f>HYPERLINK("http://dx.doi.org/10.1080/03610926.2023.2280522","http://dx.doi.org/10.1080/03610926.2023.2280522")</f>
        <v>http://dx.doi.org/10.1080/03610926.2023.2280522</v>
      </c>
      <c r="BG208" s="1" t="s">
        <v>74</v>
      </c>
      <c r="BH208" s="1" t="s">
        <v>535</v>
      </c>
      <c r="BI208" s="1" t="s">
        <v>74</v>
      </c>
      <c r="BJ208" s="1" t="s">
        <v>74</v>
      </c>
      <c r="BK208" s="1" t="s">
        <v>74</v>
      </c>
      <c r="BL208" s="1" t="s">
        <v>74</v>
      </c>
      <c r="BM208" s="1" t="s">
        <v>74</v>
      </c>
      <c r="BN208" s="1" t="s">
        <v>74</v>
      </c>
      <c r="BO208" s="1" t="s">
        <v>74</v>
      </c>
      <c r="BP208" s="1" t="s">
        <v>74</v>
      </c>
      <c r="BQ208" s="1" t="s">
        <v>74</v>
      </c>
      <c r="BR208" s="1" t="s">
        <v>74</v>
      </c>
      <c r="BS208" s="1" t="s">
        <v>2158</v>
      </c>
      <c r="BT208" s="1" t="str">
        <f>HYPERLINK("https%3A%2F%2Fwww.webofscience.com%2Fwos%2Fwoscc%2Ffull-record%2FWOS:001120573700001","View Full Record in Web of Science")</f>
        <v>View Full Record in Web of Science</v>
      </c>
    </row>
    <row r="209" ht="12.75" customHeight="1">
      <c r="A209" s="1" t="s">
        <v>72</v>
      </c>
      <c r="B209" s="1" t="s">
        <v>2159</v>
      </c>
      <c r="C209" s="1" t="s">
        <v>74</v>
      </c>
      <c r="D209" s="1" t="s">
        <v>74</v>
      </c>
      <c r="E209" s="1" t="s">
        <v>74</v>
      </c>
      <c r="F209" s="1" t="s">
        <v>2160</v>
      </c>
      <c r="G209" s="1" t="s">
        <v>74</v>
      </c>
      <c r="H209" s="1" t="s">
        <v>74</v>
      </c>
      <c r="I209" s="1" t="s">
        <v>2161</v>
      </c>
      <c r="J209" s="1" t="s">
        <v>2162</v>
      </c>
      <c r="K209" s="1" t="s">
        <v>74</v>
      </c>
      <c r="L209" s="1" t="s">
        <v>74</v>
      </c>
      <c r="M209" s="1" t="s">
        <v>74</v>
      </c>
      <c r="N209" s="1" t="s">
        <v>74</v>
      </c>
      <c r="O209" s="1" t="s">
        <v>74</v>
      </c>
      <c r="P209" s="1" t="s">
        <v>74</v>
      </c>
      <c r="Q209" s="1" t="s">
        <v>74</v>
      </c>
      <c r="R209" s="1" t="s">
        <v>74</v>
      </c>
      <c r="S209" s="1" t="s">
        <v>74</v>
      </c>
      <c r="T209" s="1" t="s">
        <v>74</v>
      </c>
      <c r="U209" s="1" t="s">
        <v>74</v>
      </c>
      <c r="V209" s="1" t="s">
        <v>2163</v>
      </c>
      <c r="W209" s="1" t="s">
        <v>74</v>
      </c>
      <c r="X209" s="1" t="s">
        <v>74</v>
      </c>
      <c r="Y209" s="1" t="s">
        <v>74</v>
      </c>
      <c r="Z209" s="1" t="s">
        <v>74</v>
      </c>
      <c r="AA209" s="1" t="s">
        <v>2164</v>
      </c>
      <c r="AB209" s="1" t="s">
        <v>2165</v>
      </c>
      <c r="AC209" s="1" t="s">
        <v>74</v>
      </c>
      <c r="AD209" s="1" t="s">
        <v>74</v>
      </c>
      <c r="AE209" s="1" t="s">
        <v>74</v>
      </c>
      <c r="AF209" s="1" t="s">
        <v>74</v>
      </c>
      <c r="AG209" s="1" t="s">
        <v>74</v>
      </c>
      <c r="AH209" s="1" t="s">
        <v>74</v>
      </c>
      <c r="AI209" s="1" t="s">
        <v>74</v>
      </c>
      <c r="AJ209" s="1" t="s">
        <v>74</v>
      </c>
      <c r="AK209" s="1" t="s">
        <v>74</v>
      </c>
      <c r="AL209" s="1" t="s">
        <v>74</v>
      </c>
      <c r="AM209" s="1" t="s">
        <v>74</v>
      </c>
      <c r="AN209" s="1" t="s">
        <v>74</v>
      </c>
      <c r="AO209" s="1" t="s">
        <v>2166</v>
      </c>
      <c r="AP209" s="1" t="s">
        <v>2167</v>
      </c>
      <c r="AQ209" s="1" t="s">
        <v>74</v>
      </c>
      <c r="AR209" s="1" t="s">
        <v>74</v>
      </c>
      <c r="AS209" s="1" t="s">
        <v>74</v>
      </c>
      <c r="AT209" s="1" t="s">
        <v>2168</v>
      </c>
      <c r="AU209" s="1">
        <v>2023.0</v>
      </c>
      <c r="AV209" s="1">
        <v>146.0</v>
      </c>
      <c r="AW209" s="1" t="s">
        <v>74</v>
      </c>
      <c r="AX209" s="1" t="s">
        <v>74</v>
      </c>
      <c r="AY209" s="1" t="s">
        <v>74</v>
      </c>
      <c r="AZ209" s="1" t="s">
        <v>74</v>
      </c>
      <c r="BA209" s="1" t="s">
        <v>74</v>
      </c>
      <c r="BB209" s="1">
        <v>241.0</v>
      </c>
      <c r="BC209" s="1">
        <v>252.0</v>
      </c>
      <c r="BD209" s="1" t="s">
        <v>74</v>
      </c>
      <c r="BE209" s="1" t="s">
        <v>2169</v>
      </c>
      <c r="BF209" s="2" t="str">
        <f>HYPERLINK("http://dx.doi.org/10.1016/j.camwa.2023.07.002","http://dx.doi.org/10.1016/j.camwa.2023.07.002")</f>
        <v>http://dx.doi.org/10.1016/j.camwa.2023.07.002</v>
      </c>
      <c r="BG209" s="1" t="s">
        <v>74</v>
      </c>
      <c r="BH209" s="1" t="s">
        <v>2170</v>
      </c>
      <c r="BI209" s="1" t="s">
        <v>74</v>
      </c>
      <c r="BJ209" s="1" t="s">
        <v>74</v>
      </c>
      <c r="BK209" s="1" t="s">
        <v>74</v>
      </c>
      <c r="BL209" s="1" t="s">
        <v>74</v>
      </c>
      <c r="BM209" s="1" t="s">
        <v>74</v>
      </c>
      <c r="BN209" s="1" t="s">
        <v>74</v>
      </c>
      <c r="BO209" s="1" t="s">
        <v>74</v>
      </c>
      <c r="BP209" s="1" t="s">
        <v>74</v>
      </c>
      <c r="BQ209" s="1" t="s">
        <v>74</v>
      </c>
      <c r="BR209" s="1" t="s">
        <v>74</v>
      </c>
      <c r="BS209" s="1" t="s">
        <v>2171</v>
      </c>
      <c r="BT209" s="1" t="str">
        <f>HYPERLINK("https%3A%2F%2Fwww.webofscience.com%2Fwos%2Fwoscc%2Ffull-record%2FWOS:001047390000001","View Full Record in Web of Science")</f>
        <v>View Full Record in Web of Science</v>
      </c>
    </row>
    <row r="210" ht="12.75" customHeight="1">
      <c r="A210" s="1" t="s">
        <v>72</v>
      </c>
      <c r="B210" s="1" t="s">
        <v>2172</v>
      </c>
      <c r="C210" s="1" t="s">
        <v>74</v>
      </c>
      <c r="D210" s="1" t="s">
        <v>74</v>
      </c>
      <c r="E210" s="1" t="s">
        <v>74</v>
      </c>
      <c r="F210" s="1" t="s">
        <v>2173</v>
      </c>
      <c r="G210" s="1" t="s">
        <v>74</v>
      </c>
      <c r="H210" s="1" t="s">
        <v>74</v>
      </c>
      <c r="I210" s="1" t="s">
        <v>2174</v>
      </c>
      <c r="J210" s="1" t="s">
        <v>2175</v>
      </c>
      <c r="K210" s="1" t="s">
        <v>74</v>
      </c>
      <c r="L210" s="1" t="s">
        <v>74</v>
      </c>
      <c r="M210" s="1" t="s">
        <v>74</v>
      </c>
      <c r="N210" s="1" t="s">
        <v>74</v>
      </c>
      <c r="O210" s="1" t="s">
        <v>2176</v>
      </c>
      <c r="P210" s="1" t="s">
        <v>2177</v>
      </c>
      <c r="Q210" s="1" t="s">
        <v>2178</v>
      </c>
      <c r="R210" s="1" t="s">
        <v>74</v>
      </c>
      <c r="S210" s="1" t="s">
        <v>74</v>
      </c>
      <c r="T210" s="1" t="s">
        <v>74</v>
      </c>
      <c r="U210" s="1" t="s">
        <v>74</v>
      </c>
      <c r="V210" s="1" t="s">
        <v>74</v>
      </c>
      <c r="W210" s="1" t="s">
        <v>74</v>
      </c>
      <c r="X210" s="1" t="s">
        <v>74</v>
      </c>
      <c r="Y210" s="1" t="s">
        <v>74</v>
      </c>
      <c r="Z210" s="1" t="s">
        <v>74</v>
      </c>
      <c r="AA210" s="1" t="s">
        <v>2179</v>
      </c>
      <c r="AB210" s="1" t="s">
        <v>74</v>
      </c>
      <c r="AC210" s="1" t="s">
        <v>74</v>
      </c>
      <c r="AD210" s="1" t="s">
        <v>74</v>
      </c>
      <c r="AE210" s="1" t="s">
        <v>74</v>
      </c>
      <c r="AF210" s="1" t="s">
        <v>74</v>
      </c>
      <c r="AG210" s="1" t="s">
        <v>74</v>
      </c>
      <c r="AH210" s="1" t="s">
        <v>74</v>
      </c>
      <c r="AI210" s="1" t="s">
        <v>74</v>
      </c>
      <c r="AJ210" s="1" t="s">
        <v>74</v>
      </c>
      <c r="AK210" s="1" t="s">
        <v>74</v>
      </c>
      <c r="AL210" s="1" t="s">
        <v>74</v>
      </c>
      <c r="AM210" s="1" t="s">
        <v>74</v>
      </c>
      <c r="AN210" s="1" t="s">
        <v>74</v>
      </c>
      <c r="AO210" s="1" t="s">
        <v>2180</v>
      </c>
      <c r="AP210" s="1" t="s">
        <v>2181</v>
      </c>
      <c r="AQ210" s="1" t="s">
        <v>74</v>
      </c>
      <c r="AR210" s="1" t="s">
        <v>74</v>
      </c>
      <c r="AS210" s="1" t="s">
        <v>74</v>
      </c>
      <c r="AT210" s="1" t="s">
        <v>621</v>
      </c>
      <c r="AU210" s="1">
        <v>2023.0</v>
      </c>
      <c r="AV210" s="1">
        <v>180.0</v>
      </c>
      <c r="AW210" s="1" t="s">
        <v>74</v>
      </c>
      <c r="AX210" s="1" t="s">
        <v>74</v>
      </c>
      <c r="AY210" s="1">
        <v>1.0</v>
      </c>
      <c r="AZ210" s="1" t="s">
        <v>74</v>
      </c>
      <c r="BA210" s="1" t="s">
        <v>2182</v>
      </c>
      <c r="BB210" s="1">
        <v>532.0</v>
      </c>
      <c r="BC210" s="1">
        <v>533.0</v>
      </c>
      <c r="BD210" s="1" t="s">
        <v>74</v>
      </c>
      <c r="BE210" s="1" t="s">
        <v>74</v>
      </c>
      <c r="BF210" s="1" t="s">
        <v>74</v>
      </c>
      <c r="BG210" s="1" t="s">
        <v>74</v>
      </c>
      <c r="BH210" s="1" t="s">
        <v>74</v>
      </c>
      <c r="BI210" s="1" t="s">
        <v>74</v>
      </c>
      <c r="BJ210" s="1" t="s">
        <v>74</v>
      </c>
      <c r="BK210" s="1" t="s">
        <v>74</v>
      </c>
      <c r="BL210" s="1" t="s">
        <v>74</v>
      </c>
      <c r="BM210" s="1" t="s">
        <v>74</v>
      </c>
      <c r="BN210" s="1" t="s">
        <v>74</v>
      </c>
      <c r="BO210" s="1" t="s">
        <v>74</v>
      </c>
      <c r="BP210" s="1" t="s">
        <v>74</v>
      </c>
      <c r="BQ210" s="1" t="s">
        <v>74</v>
      </c>
      <c r="BR210" s="1" t="s">
        <v>74</v>
      </c>
      <c r="BS210" s="1" t="s">
        <v>2183</v>
      </c>
      <c r="BT210" s="1" t="str">
        <f>HYPERLINK("https%3A%2F%2Fwww.webofscience.com%2Fwos%2Fwoscc%2Ffull-record%2FWOS:001043027400409","View Full Record in Web of Science")</f>
        <v>View Full Record in Web of Science</v>
      </c>
    </row>
    <row r="211" ht="12.75" customHeight="1">
      <c r="A211" s="1" t="s">
        <v>72</v>
      </c>
      <c r="B211" s="1" t="s">
        <v>2184</v>
      </c>
      <c r="C211" s="1" t="s">
        <v>74</v>
      </c>
      <c r="D211" s="1" t="s">
        <v>74</v>
      </c>
      <c r="E211" s="1" t="s">
        <v>74</v>
      </c>
      <c r="F211" s="1" t="s">
        <v>2185</v>
      </c>
      <c r="G211" s="1" t="s">
        <v>74</v>
      </c>
      <c r="H211" s="1" t="s">
        <v>74</v>
      </c>
      <c r="I211" s="1" t="s">
        <v>2186</v>
      </c>
      <c r="J211" s="1" t="s">
        <v>2187</v>
      </c>
      <c r="K211" s="1" t="s">
        <v>74</v>
      </c>
      <c r="L211" s="1" t="s">
        <v>74</v>
      </c>
      <c r="M211" s="1" t="s">
        <v>74</v>
      </c>
      <c r="N211" s="1" t="s">
        <v>74</v>
      </c>
      <c r="O211" s="1" t="s">
        <v>74</v>
      </c>
      <c r="P211" s="1" t="s">
        <v>74</v>
      </c>
      <c r="Q211" s="1" t="s">
        <v>74</v>
      </c>
      <c r="R211" s="1" t="s">
        <v>74</v>
      </c>
      <c r="S211" s="1" t="s">
        <v>74</v>
      </c>
      <c r="T211" s="1" t="s">
        <v>74</v>
      </c>
      <c r="U211" s="1" t="s">
        <v>74</v>
      </c>
      <c r="V211" s="1" t="s">
        <v>2188</v>
      </c>
      <c r="W211" s="1" t="s">
        <v>74</v>
      </c>
      <c r="X211" s="1" t="s">
        <v>74</v>
      </c>
      <c r="Y211" s="1" t="s">
        <v>74</v>
      </c>
      <c r="Z211" s="1" t="s">
        <v>74</v>
      </c>
      <c r="AA211" s="1" t="s">
        <v>2189</v>
      </c>
      <c r="AB211" s="1" t="s">
        <v>2190</v>
      </c>
      <c r="AC211" s="1" t="s">
        <v>74</v>
      </c>
      <c r="AD211" s="1" t="s">
        <v>74</v>
      </c>
      <c r="AE211" s="1" t="s">
        <v>74</v>
      </c>
      <c r="AF211" s="1" t="s">
        <v>74</v>
      </c>
      <c r="AG211" s="1" t="s">
        <v>74</v>
      </c>
      <c r="AH211" s="1" t="s">
        <v>74</v>
      </c>
      <c r="AI211" s="1" t="s">
        <v>74</v>
      </c>
      <c r="AJ211" s="1" t="s">
        <v>74</v>
      </c>
      <c r="AK211" s="1" t="s">
        <v>74</v>
      </c>
      <c r="AL211" s="1" t="s">
        <v>74</v>
      </c>
      <c r="AM211" s="1" t="s">
        <v>74</v>
      </c>
      <c r="AN211" s="1" t="s">
        <v>74</v>
      </c>
      <c r="AO211" s="1" t="s">
        <v>74</v>
      </c>
      <c r="AP211" s="1" t="s">
        <v>2191</v>
      </c>
      <c r="AQ211" s="1" t="s">
        <v>74</v>
      </c>
      <c r="AR211" s="1" t="s">
        <v>74</v>
      </c>
      <c r="AS211" s="1" t="s">
        <v>74</v>
      </c>
      <c r="AT211" s="1" t="s">
        <v>841</v>
      </c>
      <c r="AU211" s="1">
        <v>2023.0</v>
      </c>
      <c r="AV211" s="1">
        <v>13.0</v>
      </c>
      <c r="AW211" s="1">
        <v>4.0</v>
      </c>
      <c r="AX211" s="1" t="s">
        <v>74</v>
      </c>
      <c r="AY211" s="1" t="s">
        <v>74</v>
      </c>
      <c r="AZ211" s="1" t="s">
        <v>74</v>
      </c>
      <c r="BA211" s="1" t="s">
        <v>74</v>
      </c>
      <c r="BB211" s="1" t="s">
        <v>74</v>
      </c>
      <c r="BC211" s="1" t="s">
        <v>74</v>
      </c>
      <c r="BD211" s="1">
        <v>763.0</v>
      </c>
      <c r="BE211" s="1" t="s">
        <v>2192</v>
      </c>
      <c r="BF211" s="2" t="str">
        <f>HYPERLINK("http://dx.doi.org/10.3390/catal13040763","http://dx.doi.org/10.3390/catal13040763")</f>
        <v>http://dx.doi.org/10.3390/catal13040763</v>
      </c>
      <c r="BG211" s="1" t="s">
        <v>74</v>
      </c>
      <c r="BH211" s="1" t="s">
        <v>74</v>
      </c>
      <c r="BI211" s="1" t="s">
        <v>74</v>
      </c>
      <c r="BJ211" s="1" t="s">
        <v>74</v>
      </c>
      <c r="BK211" s="1" t="s">
        <v>74</v>
      </c>
      <c r="BL211" s="1" t="s">
        <v>74</v>
      </c>
      <c r="BM211" s="1" t="s">
        <v>74</v>
      </c>
      <c r="BN211" s="1" t="s">
        <v>74</v>
      </c>
      <c r="BO211" s="1" t="s">
        <v>74</v>
      </c>
      <c r="BP211" s="1" t="s">
        <v>74</v>
      </c>
      <c r="BQ211" s="1" t="s">
        <v>74</v>
      </c>
      <c r="BR211" s="1" t="s">
        <v>74</v>
      </c>
      <c r="BS211" s="1" t="s">
        <v>2193</v>
      </c>
      <c r="BT211" s="1" t="str">
        <f>HYPERLINK("https%3A%2F%2Fwww.webofscience.com%2Fwos%2Fwoscc%2Ffull-record%2FWOS:000977428100001","View Full Record in Web of Science")</f>
        <v>View Full Record in Web of Science</v>
      </c>
    </row>
    <row r="212" ht="12.75" customHeight="1">
      <c r="A212" s="1" t="s">
        <v>72</v>
      </c>
      <c r="B212" s="1" t="s">
        <v>2194</v>
      </c>
      <c r="C212" s="1" t="s">
        <v>74</v>
      </c>
      <c r="D212" s="1" t="s">
        <v>74</v>
      </c>
      <c r="E212" s="1" t="s">
        <v>74</v>
      </c>
      <c r="F212" s="1" t="s">
        <v>2195</v>
      </c>
      <c r="G212" s="1" t="s">
        <v>74</v>
      </c>
      <c r="H212" s="1" t="s">
        <v>74</v>
      </c>
      <c r="I212" s="1" t="s">
        <v>2196</v>
      </c>
      <c r="J212" s="1" t="s">
        <v>2197</v>
      </c>
      <c r="K212" s="1" t="s">
        <v>74</v>
      </c>
      <c r="L212" s="1" t="s">
        <v>74</v>
      </c>
      <c r="M212" s="1" t="s">
        <v>74</v>
      </c>
      <c r="N212" s="1" t="s">
        <v>74</v>
      </c>
      <c r="O212" s="1" t="s">
        <v>74</v>
      </c>
      <c r="P212" s="1" t="s">
        <v>74</v>
      </c>
      <c r="Q212" s="1" t="s">
        <v>74</v>
      </c>
      <c r="R212" s="1" t="s">
        <v>74</v>
      </c>
      <c r="S212" s="1" t="s">
        <v>74</v>
      </c>
      <c r="T212" s="1" t="s">
        <v>74</v>
      </c>
      <c r="U212" s="1" t="s">
        <v>74</v>
      </c>
      <c r="V212" s="1" t="s">
        <v>2198</v>
      </c>
      <c r="W212" s="1" t="s">
        <v>74</v>
      </c>
      <c r="X212" s="1" t="s">
        <v>74</v>
      </c>
      <c r="Y212" s="1" t="s">
        <v>74</v>
      </c>
      <c r="Z212" s="1" t="s">
        <v>74</v>
      </c>
      <c r="AA212" s="1" t="s">
        <v>2199</v>
      </c>
      <c r="AB212" s="1" t="s">
        <v>2200</v>
      </c>
      <c r="AC212" s="1" t="s">
        <v>74</v>
      </c>
      <c r="AD212" s="1" t="s">
        <v>74</v>
      </c>
      <c r="AE212" s="1" t="s">
        <v>74</v>
      </c>
      <c r="AF212" s="1" t="s">
        <v>74</v>
      </c>
      <c r="AG212" s="1" t="s">
        <v>74</v>
      </c>
      <c r="AH212" s="1" t="s">
        <v>74</v>
      </c>
      <c r="AI212" s="1" t="s">
        <v>74</v>
      </c>
      <c r="AJ212" s="1" t="s">
        <v>74</v>
      </c>
      <c r="AK212" s="1" t="s">
        <v>74</v>
      </c>
      <c r="AL212" s="1" t="s">
        <v>74</v>
      </c>
      <c r="AM212" s="1" t="s">
        <v>74</v>
      </c>
      <c r="AN212" s="1" t="s">
        <v>74</v>
      </c>
      <c r="AO212" s="1" t="s">
        <v>2201</v>
      </c>
      <c r="AP212" s="1" t="s">
        <v>2202</v>
      </c>
      <c r="AQ212" s="1" t="s">
        <v>74</v>
      </c>
      <c r="AR212" s="1" t="s">
        <v>74</v>
      </c>
      <c r="AS212" s="1" t="s">
        <v>74</v>
      </c>
      <c r="AT212" s="1" t="s">
        <v>389</v>
      </c>
      <c r="AU212" s="1">
        <v>2023.0</v>
      </c>
      <c r="AV212" s="1">
        <v>313.0</v>
      </c>
      <c r="AW212" s="1" t="s">
        <v>74</v>
      </c>
      <c r="AX212" s="1" t="s">
        <v>74</v>
      </c>
      <c r="AY212" s="1" t="s">
        <v>74</v>
      </c>
      <c r="AZ212" s="1" t="s">
        <v>74</v>
      </c>
      <c r="BA212" s="1" t="s">
        <v>74</v>
      </c>
      <c r="BB212" s="1" t="s">
        <v>74</v>
      </c>
      <c r="BC212" s="1" t="s">
        <v>74</v>
      </c>
      <c r="BD212" s="1">
        <v>137201.0</v>
      </c>
      <c r="BE212" s="1" t="s">
        <v>2203</v>
      </c>
      <c r="BF212" s="2" t="str">
        <f>HYPERLINK("http://dx.doi.org/10.1016/j.chemosphere.2022.137201","http://dx.doi.org/10.1016/j.chemosphere.2022.137201")</f>
        <v>http://dx.doi.org/10.1016/j.chemosphere.2022.137201</v>
      </c>
      <c r="BG212" s="1" t="s">
        <v>74</v>
      </c>
      <c r="BH212" s="1" t="s">
        <v>1374</v>
      </c>
      <c r="BI212" s="1" t="s">
        <v>74</v>
      </c>
      <c r="BJ212" s="1" t="s">
        <v>74</v>
      </c>
      <c r="BK212" s="1" t="s">
        <v>74</v>
      </c>
      <c r="BL212" s="1" t="s">
        <v>74</v>
      </c>
      <c r="BM212" s="1" t="s">
        <v>74</v>
      </c>
      <c r="BN212" s="1">
        <v>3.637943E7</v>
      </c>
      <c r="BO212" s="1" t="s">
        <v>74</v>
      </c>
      <c r="BP212" s="1" t="s">
        <v>74</v>
      </c>
      <c r="BQ212" s="1" t="s">
        <v>74</v>
      </c>
      <c r="BR212" s="1" t="s">
        <v>74</v>
      </c>
      <c r="BS212" s="1" t="s">
        <v>2204</v>
      </c>
      <c r="BT212" s="1" t="str">
        <f>HYPERLINK("https%3A%2F%2Fwww.webofscience.com%2Fwos%2Fwoscc%2Ffull-record%2FWOS:000904139200003","View Full Record in Web of Science")</f>
        <v>View Full Record in Web of Science</v>
      </c>
    </row>
    <row r="213" ht="12.75" customHeight="1">
      <c r="A213" s="1" t="s">
        <v>72</v>
      </c>
      <c r="B213" s="1" t="s">
        <v>2205</v>
      </c>
      <c r="C213" s="1" t="s">
        <v>74</v>
      </c>
      <c r="D213" s="1" t="s">
        <v>74</v>
      </c>
      <c r="E213" s="1" t="s">
        <v>74</v>
      </c>
      <c r="F213" s="1" t="s">
        <v>2206</v>
      </c>
      <c r="G213" s="1" t="s">
        <v>74</v>
      </c>
      <c r="H213" s="1" t="s">
        <v>74</v>
      </c>
      <c r="I213" s="1" t="s">
        <v>2207</v>
      </c>
      <c r="J213" s="1" t="s">
        <v>2208</v>
      </c>
      <c r="K213" s="1" t="s">
        <v>74</v>
      </c>
      <c r="L213" s="1" t="s">
        <v>74</v>
      </c>
      <c r="M213" s="1" t="s">
        <v>74</v>
      </c>
      <c r="N213" s="1" t="s">
        <v>74</v>
      </c>
      <c r="O213" s="1" t="s">
        <v>74</v>
      </c>
      <c r="P213" s="1" t="s">
        <v>74</v>
      </c>
      <c r="Q213" s="1" t="s">
        <v>74</v>
      </c>
      <c r="R213" s="1" t="s">
        <v>74</v>
      </c>
      <c r="S213" s="1" t="s">
        <v>74</v>
      </c>
      <c r="T213" s="1" t="s">
        <v>74</v>
      </c>
      <c r="U213" s="1" t="s">
        <v>74</v>
      </c>
      <c r="V213" s="1" t="s">
        <v>2209</v>
      </c>
      <c r="W213" s="1" t="s">
        <v>74</v>
      </c>
      <c r="X213" s="1" t="s">
        <v>74</v>
      </c>
      <c r="Y213" s="1" t="s">
        <v>74</v>
      </c>
      <c r="Z213" s="1" t="s">
        <v>74</v>
      </c>
      <c r="AA213" s="1" t="s">
        <v>2210</v>
      </c>
      <c r="AB213" s="1" t="s">
        <v>2211</v>
      </c>
      <c r="AC213" s="1" t="s">
        <v>74</v>
      </c>
      <c r="AD213" s="1" t="s">
        <v>74</v>
      </c>
      <c r="AE213" s="1" t="s">
        <v>74</v>
      </c>
      <c r="AF213" s="1" t="s">
        <v>74</v>
      </c>
      <c r="AG213" s="1" t="s">
        <v>74</v>
      </c>
      <c r="AH213" s="1" t="s">
        <v>74</v>
      </c>
      <c r="AI213" s="1" t="s">
        <v>74</v>
      </c>
      <c r="AJ213" s="1" t="s">
        <v>74</v>
      </c>
      <c r="AK213" s="1" t="s">
        <v>74</v>
      </c>
      <c r="AL213" s="1" t="s">
        <v>74</v>
      </c>
      <c r="AM213" s="1" t="s">
        <v>74</v>
      </c>
      <c r="AN213" s="1" t="s">
        <v>74</v>
      </c>
      <c r="AO213" s="1" t="s">
        <v>74</v>
      </c>
      <c r="AP213" s="1" t="s">
        <v>2212</v>
      </c>
      <c r="AQ213" s="1" t="s">
        <v>74</v>
      </c>
      <c r="AR213" s="1" t="s">
        <v>74</v>
      </c>
      <c r="AS213" s="1" t="s">
        <v>74</v>
      </c>
      <c r="AT213" s="1" t="s">
        <v>363</v>
      </c>
      <c r="AU213" s="1">
        <v>2022.0</v>
      </c>
      <c r="AV213" s="1">
        <v>14.0</v>
      </c>
      <c r="AW213" s="1">
        <v>19.0</v>
      </c>
      <c r="AX213" s="1" t="s">
        <v>74</v>
      </c>
      <c r="AY213" s="1" t="s">
        <v>74</v>
      </c>
      <c r="AZ213" s="1" t="s">
        <v>74</v>
      </c>
      <c r="BA213" s="1" t="s">
        <v>74</v>
      </c>
      <c r="BB213" s="1" t="s">
        <v>74</v>
      </c>
      <c r="BC213" s="1" t="s">
        <v>74</v>
      </c>
      <c r="BD213" s="1">
        <v>12920.0</v>
      </c>
      <c r="BE213" s="1" t="s">
        <v>2213</v>
      </c>
      <c r="BF213" s="2" t="str">
        <f>HYPERLINK("http://dx.doi.org/10.3390/su141912920","http://dx.doi.org/10.3390/su141912920")</f>
        <v>http://dx.doi.org/10.3390/su141912920</v>
      </c>
      <c r="BG213" s="1" t="s">
        <v>74</v>
      </c>
      <c r="BH213" s="1" t="s">
        <v>74</v>
      </c>
      <c r="BI213" s="1" t="s">
        <v>74</v>
      </c>
      <c r="BJ213" s="1" t="s">
        <v>74</v>
      </c>
      <c r="BK213" s="1" t="s">
        <v>74</v>
      </c>
      <c r="BL213" s="1" t="s">
        <v>74</v>
      </c>
      <c r="BM213" s="1" t="s">
        <v>74</v>
      </c>
      <c r="BN213" s="1" t="s">
        <v>74</v>
      </c>
      <c r="BO213" s="1" t="s">
        <v>74</v>
      </c>
      <c r="BP213" s="1" t="s">
        <v>74</v>
      </c>
      <c r="BQ213" s="1" t="s">
        <v>74</v>
      </c>
      <c r="BR213" s="1" t="s">
        <v>74</v>
      </c>
      <c r="BS213" s="1" t="s">
        <v>2214</v>
      </c>
      <c r="BT213" s="1" t="str">
        <f>HYPERLINK("https%3A%2F%2Fwww.webofscience.com%2Fwos%2Fwoscc%2Ffull-record%2FWOS:000867380400001","View Full Record in Web of Science")</f>
        <v>View Full Record in Web of Science</v>
      </c>
    </row>
    <row r="214" ht="12.75" customHeight="1">
      <c r="A214" s="1" t="s">
        <v>72</v>
      </c>
      <c r="B214" s="1" t="s">
        <v>2215</v>
      </c>
      <c r="C214" s="1" t="s">
        <v>74</v>
      </c>
      <c r="D214" s="1" t="s">
        <v>74</v>
      </c>
      <c r="E214" s="1" t="s">
        <v>74</v>
      </c>
      <c r="F214" s="1" t="s">
        <v>2216</v>
      </c>
      <c r="G214" s="1" t="s">
        <v>74</v>
      </c>
      <c r="H214" s="1" t="s">
        <v>74</v>
      </c>
      <c r="I214" s="1" t="s">
        <v>2217</v>
      </c>
      <c r="J214" s="1" t="s">
        <v>2218</v>
      </c>
      <c r="K214" s="1" t="s">
        <v>74</v>
      </c>
      <c r="L214" s="1" t="s">
        <v>74</v>
      </c>
      <c r="M214" s="1" t="s">
        <v>74</v>
      </c>
      <c r="N214" s="1" t="s">
        <v>74</v>
      </c>
      <c r="O214" s="1" t="s">
        <v>74</v>
      </c>
      <c r="P214" s="1" t="s">
        <v>74</v>
      </c>
      <c r="Q214" s="1" t="s">
        <v>74</v>
      </c>
      <c r="R214" s="1" t="s">
        <v>74</v>
      </c>
      <c r="S214" s="1" t="s">
        <v>74</v>
      </c>
      <c r="T214" s="1" t="s">
        <v>74</v>
      </c>
      <c r="U214" s="1" t="s">
        <v>74</v>
      </c>
      <c r="V214" s="1" t="s">
        <v>2219</v>
      </c>
      <c r="W214" s="1" t="s">
        <v>74</v>
      </c>
      <c r="X214" s="1" t="s">
        <v>74</v>
      </c>
      <c r="Y214" s="1" t="s">
        <v>74</v>
      </c>
      <c r="Z214" s="1" t="s">
        <v>74</v>
      </c>
      <c r="AA214" s="1" t="s">
        <v>2220</v>
      </c>
      <c r="AB214" s="1" t="s">
        <v>74</v>
      </c>
      <c r="AC214" s="1" t="s">
        <v>74</v>
      </c>
      <c r="AD214" s="1" t="s">
        <v>74</v>
      </c>
      <c r="AE214" s="1" t="s">
        <v>74</v>
      </c>
      <c r="AF214" s="1" t="s">
        <v>74</v>
      </c>
      <c r="AG214" s="1" t="s">
        <v>74</v>
      </c>
      <c r="AH214" s="1" t="s">
        <v>74</v>
      </c>
      <c r="AI214" s="1" t="s">
        <v>74</v>
      </c>
      <c r="AJ214" s="1" t="s">
        <v>74</v>
      </c>
      <c r="AK214" s="1" t="s">
        <v>74</v>
      </c>
      <c r="AL214" s="1" t="s">
        <v>74</v>
      </c>
      <c r="AM214" s="1" t="s">
        <v>74</v>
      </c>
      <c r="AN214" s="1" t="s">
        <v>74</v>
      </c>
      <c r="AO214" s="1" t="s">
        <v>2221</v>
      </c>
      <c r="AP214" s="1" t="s">
        <v>2222</v>
      </c>
      <c r="AQ214" s="1" t="s">
        <v>74</v>
      </c>
      <c r="AR214" s="1" t="s">
        <v>74</v>
      </c>
      <c r="AS214" s="1" t="s">
        <v>74</v>
      </c>
      <c r="AT214" s="1" t="s">
        <v>74</v>
      </c>
      <c r="AU214" s="1">
        <v>2022.0</v>
      </c>
      <c r="AV214" s="1">
        <v>42.0</v>
      </c>
      <c r="AW214" s="1">
        <v>1.0</v>
      </c>
      <c r="AX214" s="1" t="s">
        <v>74</v>
      </c>
      <c r="AY214" s="1" t="s">
        <v>74</v>
      </c>
      <c r="AZ214" s="1" t="s">
        <v>74</v>
      </c>
      <c r="BA214" s="1" t="s">
        <v>74</v>
      </c>
      <c r="BB214" s="1" t="s">
        <v>74</v>
      </c>
      <c r="BC214" s="1" t="s">
        <v>74</v>
      </c>
      <c r="BD214" s="1" t="s">
        <v>2223</v>
      </c>
      <c r="BE214" s="1" t="s">
        <v>2224</v>
      </c>
      <c r="BF214" s="2" t="str">
        <f>HYPERLINK("http://dx.doi.org/10.5007/2175-7968.2022.e82814","http://dx.doi.org/10.5007/2175-7968.2022.e82814")</f>
        <v>http://dx.doi.org/10.5007/2175-7968.2022.e82814</v>
      </c>
      <c r="BG214" s="1" t="s">
        <v>74</v>
      </c>
      <c r="BH214" s="1" t="s">
        <v>74</v>
      </c>
      <c r="BI214" s="1" t="s">
        <v>74</v>
      </c>
      <c r="BJ214" s="1" t="s">
        <v>74</v>
      </c>
      <c r="BK214" s="1" t="s">
        <v>74</v>
      </c>
      <c r="BL214" s="1" t="s">
        <v>74</v>
      </c>
      <c r="BM214" s="1" t="s">
        <v>74</v>
      </c>
      <c r="BN214" s="1" t="s">
        <v>74</v>
      </c>
      <c r="BO214" s="1" t="s">
        <v>74</v>
      </c>
      <c r="BP214" s="1" t="s">
        <v>74</v>
      </c>
      <c r="BQ214" s="1" t="s">
        <v>74</v>
      </c>
      <c r="BR214" s="1" t="s">
        <v>74</v>
      </c>
      <c r="BS214" s="1" t="s">
        <v>2225</v>
      </c>
      <c r="BT214" s="1" t="str">
        <f>HYPERLINK("https%3A%2F%2Fwww.webofscience.com%2Fwos%2Fwoscc%2Ffull-record%2FWOS:000885504800009","View Full Record in Web of Science")</f>
        <v>View Full Record in Web of Science</v>
      </c>
    </row>
    <row r="215" ht="12.75" customHeight="1">
      <c r="A215" s="1" t="s">
        <v>72</v>
      </c>
      <c r="B215" s="1" t="s">
        <v>2226</v>
      </c>
      <c r="C215" s="1" t="s">
        <v>74</v>
      </c>
      <c r="D215" s="1" t="s">
        <v>74</v>
      </c>
      <c r="E215" s="1" t="s">
        <v>74</v>
      </c>
      <c r="F215" s="1" t="s">
        <v>2227</v>
      </c>
      <c r="G215" s="1" t="s">
        <v>74</v>
      </c>
      <c r="H215" s="1" t="s">
        <v>74</v>
      </c>
      <c r="I215" s="1" t="s">
        <v>2228</v>
      </c>
      <c r="J215" s="1" t="s">
        <v>694</v>
      </c>
      <c r="K215" s="1" t="s">
        <v>74</v>
      </c>
      <c r="L215" s="1" t="s">
        <v>74</v>
      </c>
      <c r="M215" s="1" t="s">
        <v>74</v>
      </c>
      <c r="N215" s="1" t="s">
        <v>74</v>
      </c>
      <c r="O215" s="1" t="s">
        <v>74</v>
      </c>
      <c r="P215" s="1" t="s">
        <v>74</v>
      </c>
      <c r="Q215" s="1" t="s">
        <v>74</v>
      </c>
      <c r="R215" s="1" t="s">
        <v>74</v>
      </c>
      <c r="S215" s="1" t="s">
        <v>74</v>
      </c>
      <c r="T215" s="1" t="s">
        <v>74</v>
      </c>
      <c r="U215" s="1" t="s">
        <v>74</v>
      </c>
      <c r="V215" s="1" t="s">
        <v>2229</v>
      </c>
      <c r="W215" s="1" t="s">
        <v>74</v>
      </c>
      <c r="X215" s="1" t="s">
        <v>74</v>
      </c>
      <c r="Y215" s="1" t="s">
        <v>74</v>
      </c>
      <c r="Z215" s="1" t="s">
        <v>74</v>
      </c>
      <c r="AA215" s="1" t="s">
        <v>74</v>
      </c>
      <c r="AB215" s="1" t="s">
        <v>2230</v>
      </c>
      <c r="AC215" s="1" t="s">
        <v>74</v>
      </c>
      <c r="AD215" s="1" t="s">
        <v>74</v>
      </c>
      <c r="AE215" s="1" t="s">
        <v>74</v>
      </c>
      <c r="AF215" s="1" t="s">
        <v>74</v>
      </c>
      <c r="AG215" s="1" t="s">
        <v>74</v>
      </c>
      <c r="AH215" s="1" t="s">
        <v>74</v>
      </c>
      <c r="AI215" s="1" t="s">
        <v>74</v>
      </c>
      <c r="AJ215" s="1" t="s">
        <v>74</v>
      </c>
      <c r="AK215" s="1" t="s">
        <v>74</v>
      </c>
      <c r="AL215" s="1" t="s">
        <v>74</v>
      </c>
      <c r="AM215" s="1" t="s">
        <v>74</v>
      </c>
      <c r="AN215" s="1" t="s">
        <v>74</v>
      </c>
      <c r="AO215" s="1" t="s">
        <v>697</v>
      </c>
      <c r="AP215" s="1" t="s">
        <v>698</v>
      </c>
      <c r="AQ215" s="1" t="s">
        <v>74</v>
      </c>
      <c r="AR215" s="1" t="s">
        <v>74</v>
      </c>
      <c r="AS215" s="1" t="s">
        <v>74</v>
      </c>
      <c r="AT215" s="1" t="s">
        <v>240</v>
      </c>
      <c r="AU215" s="1">
        <v>2022.0</v>
      </c>
      <c r="AV215" s="1">
        <v>12.0</v>
      </c>
      <c r="AW215" s="1">
        <v>1.0</v>
      </c>
      <c r="AX215" s="1" t="s">
        <v>74</v>
      </c>
      <c r="AY215" s="1" t="s">
        <v>74</v>
      </c>
      <c r="AZ215" s="1" t="s">
        <v>74</v>
      </c>
      <c r="BA215" s="1" t="s">
        <v>74</v>
      </c>
      <c r="BB215" s="1">
        <v>131.0</v>
      </c>
      <c r="BC215" s="1">
        <v>162.0</v>
      </c>
      <c r="BD215" s="1" t="s">
        <v>74</v>
      </c>
      <c r="BE215" s="1" t="s">
        <v>74</v>
      </c>
      <c r="BF215" s="1" t="s">
        <v>74</v>
      </c>
      <c r="BG215" s="1" t="s">
        <v>74</v>
      </c>
      <c r="BH215" s="1" t="s">
        <v>74</v>
      </c>
      <c r="BI215" s="1" t="s">
        <v>74</v>
      </c>
      <c r="BJ215" s="1" t="s">
        <v>74</v>
      </c>
      <c r="BK215" s="1" t="s">
        <v>74</v>
      </c>
      <c r="BL215" s="1" t="s">
        <v>74</v>
      </c>
      <c r="BM215" s="1" t="s">
        <v>74</v>
      </c>
      <c r="BN215" s="1" t="s">
        <v>74</v>
      </c>
      <c r="BO215" s="1" t="s">
        <v>74</v>
      </c>
      <c r="BP215" s="1" t="s">
        <v>74</v>
      </c>
      <c r="BQ215" s="1" t="s">
        <v>74</v>
      </c>
      <c r="BR215" s="1" t="s">
        <v>74</v>
      </c>
      <c r="BS215" s="1" t="s">
        <v>2231</v>
      </c>
      <c r="BT215" s="1" t="str">
        <f>HYPERLINK("https%3A%2F%2Fwww.webofscience.com%2Fwos%2Fwoscc%2Ffull-record%2FWOS:000826787100005","View Full Record in Web of Science")</f>
        <v>View Full Record in Web of Science</v>
      </c>
    </row>
    <row r="216" ht="12.75" customHeight="1">
      <c r="A216" s="1" t="s">
        <v>72</v>
      </c>
      <c r="B216" s="1" t="s">
        <v>2232</v>
      </c>
      <c r="C216" s="1" t="s">
        <v>74</v>
      </c>
      <c r="D216" s="1" t="s">
        <v>74</v>
      </c>
      <c r="E216" s="1" t="s">
        <v>74</v>
      </c>
      <c r="F216" s="1" t="s">
        <v>2233</v>
      </c>
      <c r="G216" s="1" t="s">
        <v>74</v>
      </c>
      <c r="H216" s="1" t="s">
        <v>74</v>
      </c>
      <c r="I216" s="1" t="s">
        <v>2234</v>
      </c>
      <c r="J216" s="1" t="s">
        <v>2235</v>
      </c>
      <c r="K216" s="1" t="s">
        <v>74</v>
      </c>
      <c r="L216" s="1" t="s">
        <v>74</v>
      </c>
      <c r="M216" s="1" t="s">
        <v>74</v>
      </c>
      <c r="N216" s="1" t="s">
        <v>74</v>
      </c>
      <c r="O216" s="1" t="s">
        <v>74</v>
      </c>
      <c r="P216" s="1" t="s">
        <v>74</v>
      </c>
      <c r="Q216" s="1" t="s">
        <v>74</v>
      </c>
      <c r="R216" s="1" t="s">
        <v>74</v>
      </c>
      <c r="S216" s="1" t="s">
        <v>74</v>
      </c>
      <c r="T216" s="1" t="s">
        <v>74</v>
      </c>
      <c r="U216" s="1" t="s">
        <v>74</v>
      </c>
      <c r="V216" s="1" t="s">
        <v>2236</v>
      </c>
      <c r="W216" s="1" t="s">
        <v>74</v>
      </c>
      <c r="X216" s="1" t="s">
        <v>74</v>
      </c>
      <c r="Y216" s="1" t="s">
        <v>74</v>
      </c>
      <c r="Z216" s="1" t="s">
        <v>74</v>
      </c>
      <c r="AA216" s="1" t="s">
        <v>74</v>
      </c>
      <c r="AB216" s="1" t="s">
        <v>74</v>
      </c>
      <c r="AC216" s="1" t="s">
        <v>74</v>
      </c>
      <c r="AD216" s="1" t="s">
        <v>74</v>
      </c>
      <c r="AE216" s="1" t="s">
        <v>74</v>
      </c>
      <c r="AF216" s="1" t="s">
        <v>74</v>
      </c>
      <c r="AG216" s="1" t="s">
        <v>74</v>
      </c>
      <c r="AH216" s="1" t="s">
        <v>74</v>
      </c>
      <c r="AI216" s="1" t="s">
        <v>74</v>
      </c>
      <c r="AJ216" s="1" t="s">
        <v>74</v>
      </c>
      <c r="AK216" s="1" t="s">
        <v>74</v>
      </c>
      <c r="AL216" s="1" t="s">
        <v>74</v>
      </c>
      <c r="AM216" s="1" t="s">
        <v>74</v>
      </c>
      <c r="AN216" s="1" t="s">
        <v>74</v>
      </c>
      <c r="AO216" s="1" t="s">
        <v>2237</v>
      </c>
      <c r="AP216" s="1" t="s">
        <v>2238</v>
      </c>
      <c r="AQ216" s="1" t="s">
        <v>74</v>
      </c>
      <c r="AR216" s="1" t="s">
        <v>74</v>
      </c>
      <c r="AS216" s="1" t="s">
        <v>74</v>
      </c>
      <c r="AT216" s="1" t="s">
        <v>415</v>
      </c>
      <c r="AU216" s="1">
        <v>2021.0</v>
      </c>
      <c r="AV216" s="1">
        <v>36.0</v>
      </c>
      <c r="AW216" s="1">
        <v>2.0</v>
      </c>
      <c r="AX216" s="1" t="s">
        <v>74</v>
      </c>
      <c r="AY216" s="1" t="s">
        <v>74</v>
      </c>
      <c r="AZ216" s="1" t="s">
        <v>74</v>
      </c>
      <c r="BA216" s="1" t="s">
        <v>74</v>
      </c>
      <c r="BB216" s="1">
        <v>581.0</v>
      </c>
      <c r="BC216" s="1">
        <v>600.0</v>
      </c>
      <c r="BD216" s="1" t="s">
        <v>74</v>
      </c>
      <c r="BE216" s="1" t="s">
        <v>2239</v>
      </c>
      <c r="BF216" s="2" t="str">
        <f>HYPERLINK("http://dx.doi.org/10.4067/S0718-23762021000200581","http://dx.doi.org/10.4067/S0718-23762021000200581")</f>
        <v>http://dx.doi.org/10.4067/S0718-23762021000200581</v>
      </c>
      <c r="BG216" s="1" t="s">
        <v>74</v>
      </c>
      <c r="BH216" s="1" t="s">
        <v>74</v>
      </c>
      <c r="BI216" s="1" t="s">
        <v>74</v>
      </c>
      <c r="BJ216" s="1" t="s">
        <v>74</v>
      </c>
      <c r="BK216" s="1" t="s">
        <v>74</v>
      </c>
      <c r="BL216" s="1" t="s">
        <v>74</v>
      </c>
      <c r="BM216" s="1" t="s">
        <v>74</v>
      </c>
      <c r="BN216" s="1" t="s">
        <v>74</v>
      </c>
      <c r="BO216" s="1" t="s">
        <v>74</v>
      </c>
      <c r="BP216" s="1" t="s">
        <v>74</v>
      </c>
      <c r="BQ216" s="1" t="s">
        <v>74</v>
      </c>
      <c r="BR216" s="1" t="s">
        <v>74</v>
      </c>
      <c r="BS216" s="1" t="s">
        <v>2240</v>
      </c>
      <c r="BT216" s="1" t="str">
        <f>HYPERLINK("https%3A%2F%2Fwww.webofscience.com%2Fwos%2Fwoscc%2Ffull-record%2FWOS:000753302600008","View Full Record in Web of Science")</f>
        <v>View Full Record in Web of Science</v>
      </c>
    </row>
    <row r="217" ht="12.75" customHeight="1">
      <c r="A217" s="1" t="s">
        <v>72</v>
      </c>
      <c r="B217" s="1" t="s">
        <v>2241</v>
      </c>
      <c r="C217" s="1" t="s">
        <v>74</v>
      </c>
      <c r="D217" s="1" t="s">
        <v>74</v>
      </c>
      <c r="E217" s="1" t="s">
        <v>74</v>
      </c>
      <c r="F217" s="1" t="s">
        <v>2242</v>
      </c>
      <c r="G217" s="1" t="s">
        <v>74</v>
      </c>
      <c r="H217" s="1" t="s">
        <v>74</v>
      </c>
      <c r="I217" s="1" t="s">
        <v>2243</v>
      </c>
      <c r="J217" s="1" t="s">
        <v>2244</v>
      </c>
      <c r="K217" s="1" t="s">
        <v>74</v>
      </c>
      <c r="L217" s="1" t="s">
        <v>74</v>
      </c>
      <c r="M217" s="1" t="s">
        <v>74</v>
      </c>
      <c r="N217" s="1" t="s">
        <v>74</v>
      </c>
      <c r="O217" s="1" t="s">
        <v>74</v>
      </c>
      <c r="P217" s="1" t="s">
        <v>74</v>
      </c>
      <c r="Q217" s="1" t="s">
        <v>74</v>
      </c>
      <c r="R217" s="1" t="s">
        <v>74</v>
      </c>
      <c r="S217" s="1" t="s">
        <v>74</v>
      </c>
      <c r="T217" s="1" t="s">
        <v>74</v>
      </c>
      <c r="U217" s="1" t="s">
        <v>74</v>
      </c>
      <c r="V217" s="1" t="s">
        <v>2245</v>
      </c>
      <c r="W217" s="1" t="s">
        <v>74</v>
      </c>
      <c r="X217" s="1" t="s">
        <v>74</v>
      </c>
      <c r="Y217" s="1" t="s">
        <v>74</v>
      </c>
      <c r="Z217" s="1" t="s">
        <v>74</v>
      </c>
      <c r="AA217" s="1" t="s">
        <v>2246</v>
      </c>
      <c r="AB217" s="1" t="s">
        <v>2247</v>
      </c>
      <c r="AC217" s="1" t="s">
        <v>74</v>
      </c>
      <c r="AD217" s="1" t="s">
        <v>74</v>
      </c>
      <c r="AE217" s="1" t="s">
        <v>74</v>
      </c>
      <c r="AF217" s="1" t="s">
        <v>74</v>
      </c>
      <c r="AG217" s="1" t="s">
        <v>74</v>
      </c>
      <c r="AH217" s="1" t="s">
        <v>74</v>
      </c>
      <c r="AI217" s="1" t="s">
        <v>74</v>
      </c>
      <c r="AJ217" s="1" t="s">
        <v>74</v>
      </c>
      <c r="AK217" s="1" t="s">
        <v>74</v>
      </c>
      <c r="AL217" s="1" t="s">
        <v>74</v>
      </c>
      <c r="AM217" s="1" t="s">
        <v>74</v>
      </c>
      <c r="AN217" s="1" t="s">
        <v>74</v>
      </c>
      <c r="AO217" s="1" t="s">
        <v>2248</v>
      </c>
      <c r="AP217" s="1" t="s">
        <v>2249</v>
      </c>
      <c r="AQ217" s="1" t="s">
        <v>74</v>
      </c>
      <c r="AR217" s="1" t="s">
        <v>74</v>
      </c>
      <c r="AS217" s="1" t="s">
        <v>74</v>
      </c>
      <c r="AT217" s="1" t="s">
        <v>621</v>
      </c>
      <c r="AU217" s="1">
        <v>2021.0</v>
      </c>
      <c r="AV217" s="1">
        <v>31.0</v>
      </c>
      <c r="AW217" s="1">
        <v>1.0</v>
      </c>
      <c r="AX217" s="1" t="s">
        <v>74</v>
      </c>
      <c r="AY217" s="1" t="s">
        <v>74</v>
      </c>
      <c r="AZ217" s="1" t="s">
        <v>74</v>
      </c>
      <c r="BA217" s="1" t="s">
        <v>74</v>
      </c>
      <c r="BB217" s="1">
        <v>77.0</v>
      </c>
      <c r="BC217" s="1">
        <v>105.0</v>
      </c>
      <c r="BD217" s="1" t="s">
        <v>74</v>
      </c>
      <c r="BE217" s="1" t="s">
        <v>2250</v>
      </c>
      <c r="BF217" s="2" t="str">
        <f>HYPERLINK("http://dx.doi.org/10.7770/CUHSO-V31N1.ART2414","http://dx.doi.org/10.7770/CUHSO-V31N1.ART2414")</f>
        <v>http://dx.doi.org/10.7770/CUHSO-V31N1.ART2414</v>
      </c>
      <c r="BG217" s="1" t="s">
        <v>74</v>
      </c>
      <c r="BH217" s="1" t="s">
        <v>74</v>
      </c>
      <c r="BI217" s="1" t="s">
        <v>74</v>
      </c>
      <c r="BJ217" s="1" t="s">
        <v>74</v>
      </c>
      <c r="BK217" s="1" t="s">
        <v>74</v>
      </c>
      <c r="BL217" s="1" t="s">
        <v>74</v>
      </c>
      <c r="BM217" s="1" t="s">
        <v>74</v>
      </c>
      <c r="BN217" s="1" t="s">
        <v>74</v>
      </c>
      <c r="BO217" s="1" t="s">
        <v>74</v>
      </c>
      <c r="BP217" s="1" t="s">
        <v>74</v>
      </c>
      <c r="BQ217" s="1" t="s">
        <v>74</v>
      </c>
      <c r="BR217" s="1" t="s">
        <v>74</v>
      </c>
      <c r="BS217" s="1" t="s">
        <v>2251</v>
      </c>
      <c r="BT217" s="1" t="str">
        <f>HYPERLINK("https%3A%2F%2Fwww.webofscience.com%2Fwos%2Fwoscc%2Ffull-record%2FWOS:000681064300004","View Full Record in Web of Science")</f>
        <v>View Full Record in Web of Science</v>
      </c>
    </row>
    <row r="218" ht="12.75" customHeight="1">
      <c r="A218" s="1" t="s">
        <v>72</v>
      </c>
      <c r="B218" s="1" t="s">
        <v>2252</v>
      </c>
      <c r="C218" s="1" t="s">
        <v>74</v>
      </c>
      <c r="D218" s="1" t="s">
        <v>74</v>
      </c>
      <c r="E218" s="1" t="s">
        <v>74</v>
      </c>
      <c r="F218" s="1" t="s">
        <v>2253</v>
      </c>
      <c r="G218" s="1" t="s">
        <v>74</v>
      </c>
      <c r="H218" s="1" t="s">
        <v>74</v>
      </c>
      <c r="I218" s="1" t="s">
        <v>2254</v>
      </c>
      <c r="J218" s="1" t="s">
        <v>2255</v>
      </c>
      <c r="K218" s="1" t="s">
        <v>74</v>
      </c>
      <c r="L218" s="1" t="s">
        <v>74</v>
      </c>
      <c r="M218" s="1" t="s">
        <v>74</v>
      </c>
      <c r="N218" s="1" t="s">
        <v>74</v>
      </c>
      <c r="O218" s="1" t="s">
        <v>74</v>
      </c>
      <c r="P218" s="1" t="s">
        <v>74</v>
      </c>
      <c r="Q218" s="1" t="s">
        <v>74</v>
      </c>
      <c r="R218" s="1" t="s">
        <v>74</v>
      </c>
      <c r="S218" s="1" t="s">
        <v>74</v>
      </c>
      <c r="T218" s="1" t="s">
        <v>74</v>
      </c>
      <c r="U218" s="1" t="s">
        <v>74</v>
      </c>
      <c r="V218" s="1" t="s">
        <v>2256</v>
      </c>
      <c r="W218" s="1" t="s">
        <v>74</v>
      </c>
      <c r="X218" s="1" t="s">
        <v>74</v>
      </c>
      <c r="Y218" s="1" t="s">
        <v>74</v>
      </c>
      <c r="Z218" s="1" t="s">
        <v>74</v>
      </c>
      <c r="AA218" s="1" t="s">
        <v>2257</v>
      </c>
      <c r="AB218" s="1" t="s">
        <v>2258</v>
      </c>
      <c r="AC218" s="1" t="s">
        <v>74</v>
      </c>
      <c r="AD218" s="1" t="s">
        <v>74</v>
      </c>
      <c r="AE218" s="1" t="s">
        <v>74</v>
      </c>
      <c r="AF218" s="1" t="s">
        <v>74</v>
      </c>
      <c r="AG218" s="1" t="s">
        <v>74</v>
      </c>
      <c r="AH218" s="1" t="s">
        <v>74</v>
      </c>
      <c r="AI218" s="1" t="s">
        <v>74</v>
      </c>
      <c r="AJ218" s="1" t="s">
        <v>74</v>
      </c>
      <c r="AK218" s="1" t="s">
        <v>74</v>
      </c>
      <c r="AL218" s="1" t="s">
        <v>74</v>
      </c>
      <c r="AM218" s="1" t="s">
        <v>74</v>
      </c>
      <c r="AN218" s="1" t="s">
        <v>74</v>
      </c>
      <c r="AO218" s="1" t="s">
        <v>2259</v>
      </c>
      <c r="AP218" s="1" t="s">
        <v>74</v>
      </c>
      <c r="AQ218" s="1" t="s">
        <v>74</v>
      </c>
      <c r="AR218" s="1" t="s">
        <v>74</v>
      </c>
      <c r="AS218" s="1" t="s">
        <v>74</v>
      </c>
      <c r="AT218" s="1" t="s">
        <v>841</v>
      </c>
      <c r="AU218" s="1">
        <v>2021.0</v>
      </c>
      <c r="AV218" s="1">
        <v>48.0</v>
      </c>
      <c r="AW218" s="1">
        <v>2.0</v>
      </c>
      <c r="AX218" s="1" t="s">
        <v>74</v>
      </c>
      <c r="AY218" s="1" t="s">
        <v>74</v>
      </c>
      <c r="AZ218" s="1" t="s">
        <v>74</v>
      </c>
      <c r="BA218" s="1" t="s">
        <v>74</v>
      </c>
      <c r="BB218" s="1">
        <v>213.0</v>
      </c>
      <c r="BC218" s="1">
        <v>221.0</v>
      </c>
      <c r="BD218" s="1" t="s">
        <v>74</v>
      </c>
      <c r="BE218" s="1" t="s">
        <v>2260</v>
      </c>
      <c r="BF218" s="2" t="str">
        <f>HYPERLINK("http://dx.doi.org/10.4067/S0717-75182021000200213","http://dx.doi.org/10.4067/S0717-75182021000200213")</f>
        <v>http://dx.doi.org/10.4067/S0717-75182021000200213</v>
      </c>
      <c r="BG218" s="1" t="s">
        <v>74</v>
      </c>
      <c r="BH218" s="1" t="s">
        <v>74</v>
      </c>
      <c r="BI218" s="1" t="s">
        <v>74</v>
      </c>
      <c r="BJ218" s="1" t="s">
        <v>74</v>
      </c>
      <c r="BK218" s="1" t="s">
        <v>74</v>
      </c>
      <c r="BL218" s="1" t="s">
        <v>74</v>
      </c>
      <c r="BM218" s="1" t="s">
        <v>74</v>
      </c>
      <c r="BN218" s="1" t="s">
        <v>74</v>
      </c>
      <c r="BO218" s="1" t="s">
        <v>74</v>
      </c>
      <c r="BP218" s="1" t="s">
        <v>74</v>
      </c>
      <c r="BQ218" s="1" t="s">
        <v>74</v>
      </c>
      <c r="BR218" s="1" t="s">
        <v>74</v>
      </c>
      <c r="BS218" s="1" t="s">
        <v>2261</v>
      </c>
      <c r="BT218" s="1" t="str">
        <f>HYPERLINK("https%3A%2F%2Fwww.webofscience.com%2Fwos%2Fwoscc%2Ffull-record%2FWOS:000646258800009","View Full Record in Web of Science")</f>
        <v>View Full Record in Web of Science</v>
      </c>
    </row>
    <row r="219" ht="12.75" customHeight="1">
      <c r="A219" s="1" t="s">
        <v>72</v>
      </c>
      <c r="B219" s="1" t="s">
        <v>2262</v>
      </c>
      <c r="C219" s="1" t="s">
        <v>74</v>
      </c>
      <c r="D219" s="1" t="s">
        <v>74</v>
      </c>
      <c r="E219" s="1" t="s">
        <v>74</v>
      </c>
      <c r="F219" s="1" t="s">
        <v>2263</v>
      </c>
      <c r="G219" s="1" t="s">
        <v>74</v>
      </c>
      <c r="H219" s="1" t="s">
        <v>74</v>
      </c>
      <c r="I219" s="1" t="s">
        <v>2264</v>
      </c>
      <c r="J219" s="1" t="s">
        <v>2265</v>
      </c>
      <c r="K219" s="1" t="s">
        <v>74</v>
      </c>
      <c r="L219" s="1" t="s">
        <v>74</v>
      </c>
      <c r="M219" s="1" t="s">
        <v>74</v>
      </c>
      <c r="N219" s="1" t="s">
        <v>74</v>
      </c>
      <c r="O219" s="1" t="s">
        <v>74</v>
      </c>
      <c r="P219" s="1" t="s">
        <v>74</v>
      </c>
      <c r="Q219" s="1" t="s">
        <v>74</v>
      </c>
      <c r="R219" s="1" t="s">
        <v>74</v>
      </c>
      <c r="S219" s="1" t="s">
        <v>74</v>
      </c>
      <c r="T219" s="1" t="s">
        <v>74</v>
      </c>
      <c r="U219" s="1" t="s">
        <v>74</v>
      </c>
      <c r="V219" s="1" t="s">
        <v>2266</v>
      </c>
      <c r="W219" s="1" t="s">
        <v>74</v>
      </c>
      <c r="X219" s="1" t="s">
        <v>74</v>
      </c>
      <c r="Y219" s="1" t="s">
        <v>74</v>
      </c>
      <c r="Z219" s="1" t="s">
        <v>74</v>
      </c>
      <c r="AA219" s="1" t="s">
        <v>2267</v>
      </c>
      <c r="AB219" s="1" t="s">
        <v>2268</v>
      </c>
      <c r="AC219" s="1" t="s">
        <v>74</v>
      </c>
      <c r="AD219" s="1" t="s">
        <v>74</v>
      </c>
      <c r="AE219" s="1" t="s">
        <v>74</v>
      </c>
      <c r="AF219" s="1" t="s">
        <v>74</v>
      </c>
      <c r="AG219" s="1" t="s">
        <v>74</v>
      </c>
      <c r="AH219" s="1" t="s">
        <v>74</v>
      </c>
      <c r="AI219" s="1" t="s">
        <v>74</v>
      </c>
      <c r="AJ219" s="1" t="s">
        <v>74</v>
      </c>
      <c r="AK219" s="1" t="s">
        <v>74</v>
      </c>
      <c r="AL219" s="1" t="s">
        <v>74</v>
      </c>
      <c r="AM219" s="1" t="s">
        <v>74</v>
      </c>
      <c r="AN219" s="1" t="s">
        <v>74</v>
      </c>
      <c r="AO219" s="1" t="s">
        <v>2269</v>
      </c>
      <c r="AP219" s="1" t="s">
        <v>2270</v>
      </c>
      <c r="AQ219" s="1" t="s">
        <v>74</v>
      </c>
      <c r="AR219" s="1" t="s">
        <v>74</v>
      </c>
      <c r="AS219" s="1" t="s">
        <v>74</v>
      </c>
      <c r="AT219" s="1" t="s">
        <v>421</v>
      </c>
      <c r="AU219" s="1">
        <v>2021.0</v>
      </c>
      <c r="AV219" s="1">
        <v>28.0</v>
      </c>
      <c r="AW219" s="1">
        <v>3.0</v>
      </c>
      <c r="AX219" s="1" t="s">
        <v>74</v>
      </c>
      <c r="AY219" s="1" t="s">
        <v>74</v>
      </c>
      <c r="AZ219" s="1" t="s">
        <v>74</v>
      </c>
      <c r="BA219" s="1" t="s">
        <v>74</v>
      </c>
      <c r="BB219" s="1">
        <v>1987.0</v>
      </c>
      <c r="BC219" s="1">
        <v>2019.0</v>
      </c>
      <c r="BD219" s="1" t="s">
        <v>74</v>
      </c>
      <c r="BE219" s="1" t="s">
        <v>2271</v>
      </c>
      <c r="BF219" s="2" t="str">
        <f>HYPERLINK("http://dx.doi.org/10.1007/s11831-020-09526-x","http://dx.doi.org/10.1007/s11831-020-09526-x")</f>
        <v>http://dx.doi.org/10.1007/s11831-020-09526-x</v>
      </c>
      <c r="BG219" s="1" t="s">
        <v>74</v>
      </c>
      <c r="BH219" s="1" t="s">
        <v>2272</v>
      </c>
      <c r="BI219" s="1" t="s">
        <v>74</v>
      </c>
      <c r="BJ219" s="1" t="s">
        <v>74</v>
      </c>
      <c r="BK219" s="1" t="s">
        <v>74</v>
      </c>
      <c r="BL219" s="1" t="s">
        <v>74</v>
      </c>
      <c r="BM219" s="1" t="s">
        <v>74</v>
      </c>
      <c r="BN219" s="1" t="s">
        <v>74</v>
      </c>
      <c r="BO219" s="1" t="s">
        <v>74</v>
      </c>
      <c r="BP219" s="1" t="s">
        <v>74</v>
      </c>
      <c r="BQ219" s="1" t="s">
        <v>74</v>
      </c>
      <c r="BR219" s="1" t="s">
        <v>74</v>
      </c>
      <c r="BS219" s="1" t="s">
        <v>2273</v>
      </c>
      <c r="BT219" s="1" t="str">
        <f>HYPERLINK("https%3A%2F%2Fwww.webofscience.com%2Fwos%2Fwoscc%2Ffull-record%2FWOS:000633349400001","View Full Record in Web of Science")</f>
        <v>View Full Record in Web of Science</v>
      </c>
    </row>
    <row r="220" ht="12.75" customHeight="1">
      <c r="A220" s="1" t="s">
        <v>72</v>
      </c>
      <c r="B220" s="1" t="s">
        <v>2274</v>
      </c>
      <c r="C220" s="1" t="s">
        <v>74</v>
      </c>
      <c r="D220" s="1" t="s">
        <v>74</v>
      </c>
      <c r="E220" s="1" t="s">
        <v>74</v>
      </c>
      <c r="F220" s="1" t="s">
        <v>2275</v>
      </c>
      <c r="G220" s="1" t="s">
        <v>74</v>
      </c>
      <c r="H220" s="1" t="s">
        <v>74</v>
      </c>
      <c r="I220" s="1" t="s">
        <v>2276</v>
      </c>
      <c r="J220" s="1" t="s">
        <v>2277</v>
      </c>
      <c r="K220" s="1" t="s">
        <v>74</v>
      </c>
      <c r="L220" s="1" t="s">
        <v>74</v>
      </c>
      <c r="M220" s="1" t="s">
        <v>74</v>
      </c>
      <c r="N220" s="1" t="s">
        <v>74</v>
      </c>
      <c r="O220" s="1" t="s">
        <v>74</v>
      </c>
      <c r="P220" s="1" t="s">
        <v>74</v>
      </c>
      <c r="Q220" s="1" t="s">
        <v>74</v>
      </c>
      <c r="R220" s="1" t="s">
        <v>74</v>
      </c>
      <c r="S220" s="1" t="s">
        <v>74</v>
      </c>
      <c r="T220" s="1" t="s">
        <v>74</v>
      </c>
      <c r="U220" s="1" t="s">
        <v>74</v>
      </c>
      <c r="V220" s="1" t="s">
        <v>2278</v>
      </c>
      <c r="W220" s="1" t="s">
        <v>74</v>
      </c>
      <c r="X220" s="1" t="s">
        <v>74</v>
      </c>
      <c r="Y220" s="1" t="s">
        <v>74</v>
      </c>
      <c r="Z220" s="1" t="s">
        <v>74</v>
      </c>
      <c r="AA220" s="1" t="s">
        <v>2279</v>
      </c>
      <c r="AB220" s="1" t="s">
        <v>2280</v>
      </c>
      <c r="AC220" s="1" t="s">
        <v>74</v>
      </c>
      <c r="AD220" s="1" t="s">
        <v>74</v>
      </c>
      <c r="AE220" s="1" t="s">
        <v>74</v>
      </c>
      <c r="AF220" s="1" t="s">
        <v>74</v>
      </c>
      <c r="AG220" s="1" t="s">
        <v>74</v>
      </c>
      <c r="AH220" s="1" t="s">
        <v>74</v>
      </c>
      <c r="AI220" s="1" t="s">
        <v>74</v>
      </c>
      <c r="AJ220" s="1" t="s">
        <v>74</v>
      </c>
      <c r="AK220" s="1" t="s">
        <v>74</v>
      </c>
      <c r="AL220" s="1" t="s">
        <v>74</v>
      </c>
      <c r="AM220" s="1" t="s">
        <v>74</v>
      </c>
      <c r="AN220" s="1" t="s">
        <v>74</v>
      </c>
      <c r="AO220" s="1" t="s">
        <v>74</v>
      </c>
      <c r="AP220" s="1" t="s">
        <v>2281</v>
      </c>
      <c r="AQ220" s="1" t="s">
        <v>74</v>
      </c>
      <c r="AR220" s="1" t="s">
        <v>74</v>
      </c>
      <c r="AS220" s="1" t="s">
        <v>74</v>
      </c>
      <c r="AT220" s="1" t="s">
        <v>289</v>
      </c>
      <c r="AU220" s="1">
        <v>2021.0</v>
      </c>
      <c r="AV220" s="1">
        <v>12.0</v>
      </c>
      <c r="AW220" s="1" t="s">
        <v>74</v>
      </c>
      <c r="AX220" s="1" t="s">
        <v>74</v>
      </c>
      <c r="AY220" s="1" t="s">
        <v>74</v>
      </c>
      <c r="AZ220" s="1" t="s">
        <v>74</v>
      </c>
      <c r="BA220" s="1" t="s">
        <v>74</v>
      </c>
      <c r="BB220" s="1" t="s">
        <v>74</v>
      </c>
      <c r="BC220" s="1" t="s">
        <v>74</v>
      </c>
      <c r="BD220" s="1">
        <v>100219.0</v>
      </c>
      <c r="BE220" s="1" t="s">
        <v>2282</v>
      </c>
      <c r="BF220" s="2" t="str">
        <f>HYPERLINK("http://dx.doi.org/10.1016/j.onehlt.2021.100219","http://dx.doi.org/10.1016/j.onehlt.2021.100219")</f>
        <v>http://dx.doi.org/10.1016/j.onehlt.2021.100219</v>
      </c>
      <c r="BG220" s="1" t="s">
        <v>74</v>
      </c>
      <c r="BH220" s="1" t="s">
        <v>2283</v>
      </c>
      <c r="BI220" s="1" t="s">
        <v>74</v>
      </c>
      <c r="BJ220" s="1" t="s">
        <v>74</v>
      </c>
      <c r="BK220" s="1" t="s">
        <v>74</v>
      </c>
      <c r="BL220" s="1" t="s">
        <v>74</v>
      </c>
      <c r="BM220" s="1" t="s">
        <v>74</v>
      </c>
      <c r="BN220" s="1">
        <v>3.3553565E7</v>
      </c>
      <c r="BO220" s="1" t="s">
        <v>74</v>
      </c>
      <c r="BP220" s="1" t="s">
        <v>74</v>
      </c>
      <c r="BQ220" s="1" t="s">
        <v>74</v>
      </c>
      <c r="BR220" s="1" t="s">
        <v>74</v>
      </c>
      <c r="BS220" s="1" t="s">
        <v>2284</v>
      </c>
      <c r="BT220" s="1" t="str">
        <f>HYPERLINK("https%3A%2F%2Fwww.webofscience.com%2Fwos%2Fwoscc%2Ffull-record%2FWOS:000735829200005","View Full Record in Web of Science")</f>
        <v>View Full Record in Web of Science</v>
      </c>
    </row>
    <row r="221" ht="12.75" customHeight="1">
      <c r="A221" s="1" t="s">
        <v>147</v>
      </c>
      <c r="B221" s="1" t="s">
        <v>2285</v>
      </c>
      <c r="C221" s="1" t="s">
        <v>74</v>
      </c>
      <c r="D221" s="1" t="s">
        <v>2286</v>
      </c>
      <c r="E221" s="1" t="s">
        <v>74</v>
      </c>
      <c r="F221" s="1" t="s">
        <v>2287</v>
      </c>
      <c r="G221" s="1" t="s">
        <v>74</v>
      </c>
      <c r="H221" s="1" t="s">
        <v>74</v>
      </c>
      <c r="I221" s="1" t="s">
        <v>2288</v>
      </c>
      <c r="J221" s="1" t="s">
        <v>2289</v>
      </c>
      <c r="K221" s="1" t="s">
        <v>74</v>
      </c>
      <c r="L221" s="1" t="s">
        <v>74</v>
      </c>
      <c r="M221" s="1" t="s">
        <v>74</v>
      </c>
      <c r="N221" s="1" t="s">
        <v>74</v>
      </c>
      <c r="O221" s="1" t="s">
        <v>2290</v>
      </c>
      <c r="P221" s="1" t="s">
        <v>2291</v>
      </c>
      <c r="Q221" s="1" t="s">
        <v>1499</v>
      </c>
      <c r="R221" s="1" t="s">
        <v>2292</v>
      </c>
      <c r="S221" s="1" t="s">
        <v>74</v>
      </c>
      <c r="T221" s="1" t="s">
        <v>74</v>
      </c>
      <c r="U221" s="1" t="s">
        <v>74</v>
      </c>
      <c r="V221" s="1" t="s">
        <v>2293</v>
      </c>
      <c r="W221" s="1" t="s">
        <v>74</v>
      </c>
      <c r="X221" s="1" t="s">
        <v>74</v>
      </c>
      <c r="Y221" s="1" t="s">
        <v>74</v>
      </c>
      <c r="Z221" s="1" t="s">
        <v>74</v>
      </c>
      <c r="AA221" s="1" t="s">
        <v>1321</v>
      </c>
      <c r="AB221" s="1" t="s">
        <v>74</v>
      </c>
      <c r="AC221" s="1" t="s">
        <v>74</v>
      </c>
      <c r="AD221" s="1" t="s">
        <v>74</v>
      </c>
      <c r="AE221" s="1" t="s">
        <v>74</v>
      </c>
      <c r="AF221" s="1" t="s">
        <v>74</v>
      </c>
      <c r="AG221" s="1" t="s">
        <v>74</v>
      </c>
      <c r="AH221" s="1" t="s">
        <v>74</v>
      </c>
      <c r="AI221" s="1" t="s">
        <v>74</v>
      </c>
      <c r="AJ221" s="1" t="s">
        <v>74</v>
      </c>
      <c r="AK221" s="1" t="s">
        <v>74</v>
      </c>
      <c r="AL221" s="1" t="s">
        <v>74</v>
      </c>
      <c r="AM221" s="1" t="s">
        <v>74</v>
      </c>
      <c r="AN221" s="1" t="s">
        <v>74</v>
      </c>
      <c r="AO221" s="1" t="s">
        <v>74</v>
      </c>
      <c r="AP221" s="1" t="s">
        <v>74</v>
      </c>
      <c r="AQ221" s="1" t="s">
        <v>2294</v>
      </c>
      <c r="AR221" s="1" t="s">
        <v>74</v>
      </c>
      <c r="AS221" s="1" t="s">
        <v>74</v>
      </c>
      <c r="AT221" s="1" t="s">
        <v>74</v>
      </c>
      <c r="AU221" s="1">
        <v>2021.0</v>
      </c>
      <c r="AV221" s="1" t="s">
        <v>74</v>
      </c>
      <c r="AW221" s="1" t="s">
        <v>74</v>
      </c>
      <c r="AX221" s="1" t="s">
        <v>74</v>
      </c>
      <c r="AY221" s="1" t="s">
        <v>74</v>
      </c>
      <c r="AZ221" s="1" t="s">
        <v>74</v>
      </c>
      <c r="BA221" s="1" t="s">
        <v>74</v>
      </c>
      <c r="BB221" s="1">
        <v>76.0</v>
      </c>
      <c r="BC221" s="1">
        <v>82.0</v>
      </c>
      <c r="BD221" s="1" t="s">
        <v>74</v>
      </c>
      <c r="BE221" s="1" t="s">
        <v>2295</v>
      </c>
      <c r="BF221" s="2" t="str">
        <f>HYPERLINK("http://dx.doi.org/10.5220/0010569700760082","http://dx.doi.org/10.5220/0010569700760082")</f>
        <v>http://dx.doi.org/10.5220/0010569700760082</v>
      </c>
      <c r="BG221" s="1" t="s">
        <v>74</v>
      </c>
      <c r="BH221" s="1" t="s">
        <v>74</v>
      </c>
      <c r="BI221" s="1" t="s">
        <v>74</v>
      </c>
      <c r="BJ221" s="1" t="s">
        <v>74</v>
      </c>
      <c r="BK221" s="1" t="s">
        <v>74</v>
      </c>
      <c r="BL221" s="1" t="s">
        <v>74</v>
      </c>
      <c r="BM221" s="1" t="s">
        <v>74</v>
      </c>
      <c r="BN221" s="1" t="s">
        <v>74</v>
      </c>
      <c r="BO221" s="1" t="s">
        <v>74</v>
      </c>
      <c r="BP221" s="1" t="s">
        <v>74</v>
      </c>
      <c r="BQ221" s="1" t="s">
        <v>74</v>
      </c>
      <c r="BR221" s="1" t="s">
        <v>74</v>
      </c>
      <c r="BS221" s="1" t="s">
        <v>2296</v>
      </c>
      <c r="BT221" s="1" t="str">
        <f>HYPERLINK("https%3A%2F%2Fwww.webofscience.com%2Fwos%2Fwoscc%2Ffull-record%2FWOS:000819121100007","View Full Record in Web of Science")</f>
        <v>View Full Record in Web of Science</v>
      </c>
    </row>
    <row r="222" ht="12.75" customHeight="1">
      <c r="A222" s="1" t="s">
        <v>72</v>
      </c>
      <c r="B222" s="1" t="s">
        <v>2297</v>
      </c>
      <c r="C222" s="1" t="s">
        <v>74</v>
      </c>
      <c r="D222" s="1" t="s">
        <v>74</v>
      </c>
      <c r="E222" s="1" t="s">
        <v>74</v>
      </c>
      <c r="F222" s="1" t="s">
        <v>2298</v>
      </c>
      <c r="G222" s="1" t="s">
        <v>74</v>
      </c>
      <c r="H222" s="1" t="s">
        <v>74</v>
      </c>
      <c r="I222" s="1" t="s">
        <v>2299</v>
      </c>
      <c r="J222" s="1" t="s">
        <v>2300</v>
      </c>
      <c r="K222" s="1" t="s">
        <v>74</v>
      </c>
      <c r="L222" s="1" t="s">
        <v>74</v>
      </c>
      <c r="M222" s="1" t="s">
        <v>74</v>
      </c>
      <c r="N222" s="1" t="s">
        <v>74</v>
      </c>
      <c r="O222" s="1" t="s">
        <v>74</v>
      </c>
      <c r="P222" s="1" t="s">
        <v>74</v>
      </c>
      <c r="Q222" s="1" t="s">
        <v>74</v>
      </c>
      <c r="R222" s="1" t="s">
        <v>74</v>
      </c>
      <c r="S222" s="1" t="s">
        <v>74</v>
      </c>
      <c r="T222" s="1" t="s">
        <v>74</v>
      </c>
      <c r="U222" s="1" t="s">
        <v>74</v>
      </c>
      <c r="V222" s="1" t="s">
        <v>2301</v>
      </c>
      <c r="W222" s="1" t="s">
        <v>74</v>
      </c>
      <c r="X222" s="1" t="s">
        <v>74</v>
      </c>
      <c r="Y222" s="1" t="s">
        <v>74</v>
      </c>
      <c r="Z222" s="1" t="s">
        <v>74</v>
      </c>
      <c r="AA222" s="1" t="s">
        <v>74</v>
      </c>
      <c r="AB222" s="1" t="s">
        <v>74</v>
      </c>
      <c r="AC222" s="1" t="s">
        <v>74</v>
      </c>
      <c r="AD222" s="1" t="s">
        <v>74</v>
      </c>
      <c r="AE222" s="1" t="s">
        <v>74</v>
      </c>
      <c r="AF222" s="1" t="s">
        <v>74</v>
      </c>
      <c r="AG222" s="1" t="s">
        <v>74</v>
      </c>
      <c r="AH222" s="1" t="s">
        <v>74</v>
      </c>
      <c r="AI222" s="1" t="s">
        <v>74</v>
      </c>
      <c r="AJ222" s="1" t="s">
        <v>74</v>
      </c>
      <c r="AK222" s="1" t="s">
        <v>74</v>
      </c>
      <c r="AL222" s="1" t="s">
        <v>74</v>
      </c>
      <c r="AM222" s="1" t="s">
        <v>74</v>
      </c>
      <c r="AN222" s="1" t="s">
        <v>74</v>
      </c>
      <c r="AO222" s="1" t="s">
        <v>2302</v>
      </c>
      <c r="AP222" s="1" t="s">
        <v>2303</v>
      </c>
      <c r="AQ222" s="1" t="s">
        <v>74</v>
      </c>
      <c r="AR222" s="1" t="s">
        <v>74</v>
      </c>
      <c r="AS222" s="1" t="s">
        <v>74</v>
      </c>
      <c r="AT222" s="1" t="s">
        <v>74</v>
      </c>
      <c r="AU222" s="1">
        <v>2021.0</v>
      </c>
      <c r="AV222" s="1">
        <v>8.0</v>
      </c>
      <c r="AW222" s="1">
        <v>2.0</v>
      </c>
      <c r="AX222" s="1" t="s">
        <v>74</v>
      </c>
      <c r="AY222" s="1" t="s">
        <v>74</v>
      </c>
      <c r="AZ222" s="1" t="s">
        <v>74</v>
      </c>
      <c r="BA222" s="1" t="s">
        <v>74</v>
      </c>
      <c r="BB222" s="1">
        <v>13.0</v>
      </c>
      <c r="BC222" s="1">
        <v>22.0</v>
      </c>
      <c r="BD222" s="1" t="s">
        <v>74</v>
      </c>
      <c r="BE222" s="1" t="s">
        <v>2304</v>
      </c>
      <c r="BF222" s="2" t="str">
        <f>HYPERLINK("http://dx.doi.org/10.29156/INTER.8.2.2","http://dx.doi.org/10.29156/INTER.8.2.2")</f>
        <v>http://dx.doi.org/10.29156/INTER.8.2.2</v>
      </c>
      <c r="BG222" s="1" t="s">
        <v>74</v>
      </c>
      <c r="BH222" s="1" t="s">
        <v>74</v>
      </c>
      <c r="BI222" s="1" t="s">
        <v>74</v>
      </c>
      <c r="BJ222" s="1" t="s">
        <v>74</v>
      </c>
      <c r="BK222" s="1" t="s">
        <v>74</v>
      </c>
      <c r="BL222" s="1" t="s">
        <v>74</v>
      </c>
      <c r="BM222" s="1" t="s">
        <v>74</v>
      </c>
      <c r="BN222" s="1" t="s">
        <v>74</v>
      </c>
      <c r="BO222" s="1" t="s">
        <v>74</v>
      </c>
      <c r="BP222" s="1" t="s">
        <v>74</v>
      </c>
      <c r="BQ222" s="1" t="s">
        <v>74</v>
      </c>
      <c r="BR222" s="1" t="s">
        <v>74</v>
      </c>
      <c r="BS222" s="1" t="s">
        <v>2305</v>
      </c>
      <c r="BT222" s="1" t="str">
        <f>HYPERLINK("https%3A%2F%2Fwww.webofscience.com%2Fwos%2Fwoscc%2Ffull-record%2FWOS:000753816200002","View Full Record in Web of Science")</f>
        <v>View Full Record in Web of Science</v>
      </c>
    </row>
    <row r="223" ht="12.75" customHeight="1">
      <c r="A223" s="1" t="s">
        <v>147</v>
      </c>
      <c r="B223" s="1" t="s">
        <v>2306</v>
      </c>
      <c r="C223" s="1" t="s">
        <v>74</v>
      </c>
      <c r="D223" s="1" t="s">
        <v>74</v>
      </c>
      <c r="E223" s="1" t="s">
        <v>793</v>
      </c>
      <c r="F223" s="1" t="s">
        <v>2307</v>
      </c>
      <c r="G223" s="1" t="s">
        <v>74</v>
      </c>
      <c r="H223" s="1" t="s">
        <v>74</v>
      </c>
      <c r="I223" s="1" t="s">
        <v>2308</v>
      </c>
      <c r="J223" s="1" t="s">
        <v>2309</v>
      </c>
      <c r="K223" s="1" t="s">
        <v>74</v>
      </c>
      <c r="L223" s="1" t="s">
        <v>74</v>
      </c>
      <c r="M223" s="1" t="s">
        <v>74</v>
      </c>
      <c r="N223" s="1" t="s">
        <v>74</v>
      </c>
      <c r="O223" s="1" t="s">
        <v>2310</v>
      </c>
      <c r="P223" s="1" t="s">
        <v>2311</v>
      </c>
      <c r="Q223" s="1" t="s">
        <v>1499</v>
      </c>
      <c r="R223" s="1" t="s">
        <v>2312</v>
      </c>
      <c r="S223" s="1" t="s">
        <v>74</v>
      </c>
      <c r="T223" s="1" t="s">
        <v>74</v>
      </c>
      <c r="U223" s="1" t="s">
        <v>74</v>
      </c>
      <c r="V223" s="1" t="s">
        <v>2313</v>
      </c>
      <c r="W223" s="1" t="s">
        <v>74</v>
      </c>
      <c r="X223" s="1" t="s">
        <v>74</v>
      </c>
      <c r="Y223" s="1" t="s">
        <v>74</v>
      </c>
      <c r="Z223" s="1" t="s">
        <v>74</v>
      </c>
      <c r="AA223" s="1" t="s">
        <v>2314</v>
      </c>
      <c r="AB223" s="1" t="s">
        <v>74</v>
      </c>
      <c r="AC223" s="1" t="s">
        <v>74</v>
      </c>
      <c r="AD223" s="1" t="s">
        <v>74</v>
      </c>
      <c r="AE223" s="1" t="s">
        <v>74</v>
      </c>
      <c r="AF223" s="1" t="s">
        <v>74</v>
      </c>
      <c r="AG223" s="1" t="s">
        <v>74</v>
      </c>
      <c r="AH223" s="1" t="s">
        <v>74</v>
      </c>
      <c r="AI223" s="1" t="s">
        <v>74</v>
      </c>
      <c r="AJ223" s="1" t="s">
        <v>74</v>
      </c>
      <c r="AK223" s="1" t="s">
        <v>74</v>
      </c>
      <c r="AL223" s="1" t="s">
        <v>74</v>
      </c>
      <c r="AM223" s="1" t="s">
        <v>74</v>
      </c>
      <c r="AN223" s="1" t="s">
        <v>74</v>
      </c>
      <c r="AO223" s="1" t="s">
        <v>74</v>
      </c>
      <c r="AP223" s="1" t="s">
        <v>74</v>
      </c>
      <c r="AQ223" s="1" t="s">
        <v>2315</v>
      </c>
      <c r="AR223" s="1" t="s">
        <v>74</v>
      </c>
      <c r="AS223" s="1" t="s">
        <v>74</v>
      </c>
      <c r="AT223" s="1" t="s">
        <v>74</v>
      </c>
      <c r="AU223" s="1">
        <v>2021.0</v>
      </c>
      <c r="AV223" s="1" t="s">
        <v>74</v>
      </c>
      <c r="AW223" s="1" t="s">
        <v>74</v>
      </c>
      <c r="AX223" s="1" t="s">
        <v>74</v>
      </c>
      <c r="AY223" s="1" t="s">
        <v>74</v>
      </c>
      <c r="AZ223" s="1" t="s">
        <v>74</v>
      </c>
      <c r="BA223" s="1" t="s">
        <v>74</v>
      </c>
      <c r="BB223" s="1">
        <v>646.0</v>
      </c>
      <c r="BC223" s="1">
        <v>651.0</v>
      </c>
      <c r="BD223" s="1" t="s">
        <v>74</v>
      </c>
      <c r="BE223" s="1" t="s">
        <v>2316</v>
      </c>
      <c r="BF223" s="2" t="str">
        <f>HYPERLINK("http://dx.doi.org/10.1109/CHILECON54041.2021.9703051","http://dx.doi.org/10.1109/CHILECON54041.2021.9703051")</f>
        <v>http://dx.doi.org/10.1109/CHILECON54041.2021.9703051</v>
      </c>
      <c r="BG223" s="1" t="s">
        <v>74</v>
      </c>
      <c r="BH223" s="1" t="s">
        <v>74</v>
      </c>
      <c r="BI223" s="1" t="s">
        <v>74</v>
      </c>
      <c r="BJ223" s="1" t="s">
        <v>74</v>
      </c>
      <c r="BK223" s="1" t="s">
        <v>74</v>
      </c>
      <c r="BL223" s="1" t="s">
        <v>74</v>
      </c>
      <c r="BM223" s="1" t="s">
        <v>74</v>
      </c>
      <c r="BN223" s="1" t="s">
        <v>74</v>
      </c>
      <c r="BO223" s="1" t="s">
        <v>74</v>
      </c>
      <c r="BP223" s="1" t="s">
        <v>74</v>
      </c>
      <c r="BQ223" s="1" t="s">
        <v>74</v>
      </c>
      <c r="BR223" s="1" t="s">
        <v>74</v>
      </c>
      <c r="BS223" s="1" t="s">
        <v>2317</v>
      </c>
      <c r="BT223" s="1" t="str">
        <f>HYPERLINK("https%3A%2F%2Fwww.webofscience.com%2Fwos%2Fwoscc%2Ffull-record%2FWOS:000788072700105","View Full Record in Web of Science")</f>
        <v>View Full Record in Web of Science</v>
      </c>
    </row>
    <row r="224" ht="12.75" customHeight="1">
      <c r="A224" s="1" t="s">
        <v>86</v>
      </c>
      <c r="B224" s="1" t="s">
        <v>2318</v>
      </c>
      <c r="C224" s="1" t="s">
        <v>74</v>
      </c>
      <c r="D224" s="1" t="s">
        <v>2319</v>
      </c>
      <c r="E224" s="1" t="s">
        <v>74</v>
      </c>
      <c r="F224" s="1" t="s">
        <v>2320</v>
      </c>
      <c r="G224" s="1" t="s">
        <v>74</v>
      </c>
      <c r="H224" s="1" t="s">
        <v>74</v>
      </c>
      <c r="I224" s="1" t="s">
        <v>2321</v>
      </c>
      <c r="J224" s="1" t="s">
        <v>2322</v>
      </c>
      <c r="K224" s="1" t="s">
        <v>2323</v>
      </c>
      <c r="L224" s="1" t="s">
        <v>74</v>
      </c>
      <c r="M224" s="1" t="s">
        <v>74</v>
      </c>
      <c r="N224" s="1" t="s">
        <v>74</v>
      </c>
      <c r="O224" s="1" t="s">
        <v>74</v>
      </c>
      <c r="P224" s="1" t="s">
        <v>74</v>
      </c>
      <c r="Q224" s="1" t="s">
        <v>74</v>
      </c>
      <c r="R224" s="1" t="s">
        <v>74</v>
      </c>
      <c r="S224" s="1" t="s">
        <v>74</v>
      </c>
      <c r="T224" s="1" t="s">
        <v>74</v>
      </c>
      <c r="U224" s="1" t="s">
        <v>74</v>
      </c>
      <c r="V224" s="1" t="s">
        <v>74</v>
      </c>
      <c r="W224" s="1" t="s">
        <v>74</v>
      </c>
      <c r="X224" s="1" t="s">
        <v>74</v>
      </c>
      <c r="Y224" s="1" t="s">
        <v>74</v>
      </c>
      <c r="Z224" s="1" t="s">
        <v>74</v>
      </c>
      <c r="AA224" s="1" t="s">
        <v>74</v>
      </c>
      <c r="AB224" s="1" t="s">
        <v>74</v>
      </c>
      <c r="AC224" s="1" t="s">
        <v>74</v>
      </c>
      <c r="AD224" s="1" t="s">
        <v>74</v>
      </c>
      <c r="AE224" s="1" t="s">
        <v>74</v>
      </c>
      <c r="AF224" s="1" t="s">
        <v>74</v>
      </c>
      <c r="AG224" s="1" t="s">
        <v>74</v>
      </c>
      <c r="AH224" s="1" t="s">
        <v>74</v>
      </c>
      <c r="AI224" s="1" t="s">
        <v>74</v>
      </c>
      <c r="AJ224" s="1" t="s">
        <v>74</v>
      </c>
      <c r="AK224" s="1" t="s">
        <v>74</v>
      </c>
      <c r="AL224" s="1" t="s">
        <v>74</v>
      </c>
      <c r="AM224" s="1" t="s">
        <v>74</v>
      </c>
      <c r="AN224" s="1" t="s">
        <v>74</v>
      </c>
      <c r="AO224" s="1" t="s">
        <v>74</v>
      </c>
      <c r="AP224" s="1" t="s">
        <v>74</v>
      </c>
      <c r="AQ224" s="1" t="s">
        <v>2324</v>
      </c>
      <c r="AR224" s="1" t="s">
        <v>74</v>
      </c>
      <c r="AS224" s="1" t="s">
        <v>74</v>
      </c>
      <c r="AT224" s="1" t="s">
        <v>74</v>
      </c>
      <c r="AU224" s="1">
        <v>2021.0</v>
      </c>
      <c r="AV224" s="1" t="s">
        <v>74</v>
      </c>
      <c r="AW224" s="1" t="s">
        <v>74</v>
      </c>
      <c r="AX224" s="1" t="s">
        <v>74</v>
      </c>
      <c r="AY224" s="1" t="s">
        <v>74</v>
      </c>
      <c r="AZ224" s="1" t="s">
        <v>74</v>
      </c>
      <c r="BA224" s="1" t="s">
        <v>74</v>
      </c>
      <c r="BB224" s="1">
        <v>149.0</v>
      </c>
      <c r="BC224" s="1">
        <v>165.0</v>
      </c>
      <c r="BD224" s="1" t="s">
        <v>74</v>
      </c>
      <c r="BE224" s="1" t="s">
        <v>74</v>
      </c>
      <c r="BF224" s="1" t="s">
        <v>74</v>
      </c>
      <c r="BG224" s="1" t="s">
        <v>2325</v>
      </c>
      <c r="BH224" s="1" t="s">
        <v>74</v>
      </c>
      <c r="BI224" s="1" t="s">
        <v>74</v>
      </c>
      <c r="BJ224" s="1" t="s">
        <v>74</v>
      </c>
      <c r="BK224" s="1" t="s">
        <v>74</v>
      </c>
      <c r="BL224" s="1" t="s">
        <v>74</v>
      </c>
      <c r="BM224" s="1" t="s">
        <v>74</v>
      </c>
      <c r="BN224" s="1" t="s">
        <v>74</v>
      </c>
      <c r="BO224" s="1" t="s">
        <v>74</v>
      </c>
      <c r="BP224" s="1" t="s">
        <v>74</v>
      </c>
      <c r="BQ224" s="1" t="s">
        <v>74</v>
      </c>
      <c r="BR224" s="1" t="s">
        <v>74</v>
      </c>
      <c r="BS224" s="1" t="s">
        <v>2326</v>
      </c>
      <c r="BT224" s="1" t="str">
        <f>HYPERLINK("https%3A%2F%2Fwww.webofscience.com%2Fwos%2Fwoscc%2Ffull-record%2FWOS:000808375100009","View Full Record in Web of Science")</f>
        <v>View Full Record in Web of Science</v>
      </c>
    </row>
    <row r="225" ht="12.75" customHeight="1">
      <c r="A225" s="1" t="s">
        <v>86</v>
      </c>
      <c r="B225" s="1" t="s">
        <v>2327</v>
      </c>
      <c r="C225" s="1" t="s">
        <v>74</v>
      </c>
      <c r="D225" s="1" t="s">
        <v>2328</v>
      </c>
      <c r="E225" s="1" t="s">
        <v>74</v>
      </c>
      <c r="F225" s="1" t="s">
        <v>2329</v>
      </c>
      <c r="G225" s="1" t="s">
        <v>74</v>
      </c>
      <c r="H225" s="1" t="s">
        <v>74</v>
      </c>
      <c r="I225" s="1" t="s">
        <v>2330</v>
      </c>
      <c r="J225" s="1" t="s">
        <v>2331</v>
      </c>
      <c r="K225" s="1" t="s">
        <v>74</v>
      </c>
      <c r="L225" s="1" t="s">
        <v>74</v>
      </c>
      <c r="M225" s="1" t="s">
        <v>74</v>
      </c>
      <c r="N225" s="1" t="s">
        <v>74</v>
      </c>
      <c r="O225" s="1" t="s">
        <v>74</v>
      </c>
      <c r="P225" s="1" t="s">
        <v>74</v>
      </c>
      <c r="Q225" s="1" t="s">
        <v>74</v>
      </c>
      <c r="R225" s="1" t="s">
        <v>74</v>
      </c>
      <c r="S225" s="1" t="s">
        <v>74</v>
      </c>
      <c r="T225" s="1" t="s">
        <v>74</v>
      </c>
      <c r="U225" s="1" t="s">
        <v>74</v>
      </c>
      <c r="V225" s="1" t="s">
        <v>74</v>
      </c>
      <c r="W225" s="1" t="s">
        <v>74</v>
      </c>
      <c r="X225" s="1" t="s">
        <v>74</v>
      </c>
      <c r="Y225" s="1" t="s">
        <v>74</v>
      </c>
      <c r="Z225" s="1" t="s">
        <v>74</v>
      </c>
      <c r="AA225" s="1" t="s">
        <v>74</v>
      </c>
      <c r="AB225" s="1" t="s">
        <v>74</v>
      </c>
      <c r="AC225" s="1" t="s">
        <v>74</v>
      </c>
      <c r="AD225" s="1" t="s">
        <v>74</v>
      </c>
      <c r="AE225" s="1" t="s">
        <v>74</v>
      </c>
      <c r="AF225" s="1" t="s">
        <v>74</v>
      </c>
      <c r="AG225" s="1" t="s">
        <v>74</v>
      </c>
      <c r="AH225" s="1" t="s">
        <v>74</v>
      </c>
      <c r="AI225" s="1" t="s">
        <v>74</v>
      </c>
      <c r="AJ225" s="1" t="s">
        <v>74</v>
      </c>
      <c r="AK225" s="1" t="s">
        <v>74</v>
      </c>
      <c r="AL225" s="1" t="s">
        <v>74</v>
      </c>
      <c r="AM225" s="1" t="s">
        <v>74</v>
      </c>
      <c r="AN225" s="1" t="s">
        <v>74</v>
      </c>
      <c r="AO225" s="1" t="s">
        <v>74</v>
      </c>
      <c r="AP225" s="1" t="s">
        <v>74</v>
      </c>
      <c r="AQ225" s="1" t="s">
        <v>2332</v>
      </c>
      <c r="AR225" s="1" t="s">
        <v>74</v>
      </c>
      <c r="AS225" s="1" t="s">
        <v>74</v>
      </c>
      <c r="AT225" s="1" t="s">
        <v>74</v>
      </c>
      <c r="AU225" s="1">
        <v>2021.0</v>
      </c>
      <c r="AV225" s="1" t="s">
        <v>74</v>
      </c>
      <c r="AW225" s="1" t="s">
        <v>74</v>
      </c>
      <c r="AX225" s="1" t="s">
        <v>74</v>
      </c>
      <c r="AY225" s="1" t="s">
        <v>74</v>
      </c>
      <c r="AZ225" s="1" t="s">
        <v>74</v>
      </c>
      <c r="BA225" s="1" t="s">
        <v>74</v>
      </c>
      <c r="BB225" s="1">
        <v>173.0</v>
      </c>
      <c r="BC225" s="1">
        <v>195.0</v>
      </c>
      <c r="BD225" s="1" t="s">
        <v>74</v>
      </c>
      <c r="BE225" s="1" t="s">
        <v>74</v>
      </c>
      <c r="BF225" s="1" t="s">
        <v>74</v>
      </c>
      <c r="BG225" s="1" t="s">
        <v>2333</v>
      </c>
      <c r="BH225" s="1" t="s">
        <v>74</v>
      </c>
      <c r="BI225" s="1" t="s">
        <v>74</v>
      </c>
      <c r="BJ225" s="1" t="s">
        <v>74</v>
      </c>
      <c r="BK225" s="1" t="s">
        <v>74</v>
      </c>
      <c r="BL225" s="1" t="s">
        <v>74</v>
      </c>
      <c r="BM225" s="1" t="s">
        <v>74</v>
      </c>
      <c r="BN225" s="1" t="s">
        <v>74</v>
      </c>
      <c r="BO225" s="1" t="s">
        <v>74</v>
      </c>
      <c r="BP225" s="1" t="s">
        <v>74</v>
      </c>
      <c r="BQ225" s="1" t="s">
        <v>74</v>
      </c>
      <c r="BR225" s="1" t="s">
        <v>74</v>
      </c>
      <c r="BS225" s="1" t="s">
        <v>2334</v>
      </c>
      <c r="BT225" s="1" t="str">
        <f>HYPERLINK("https%3A%2F%2Fwww.webofscience.com%2Fwos%2Fwoscc%2Ffull-record%2FWOS:000762754900008","View Full Record in Web of Science")</f>
        <v>View Full Record in Web of Science</v>
      </c>
    </row>
    <row r="226" ht="12.75" customHeight="1">
      <c r="A226" s="1" t="s">
        <v>72</v>
      </c>
      <c r="B226" s="1" t="s">
        <v>2335</v>
      </c>
      <c r="C226" s="1" t="s">
        <v>74</v>
      </c>
      <c r="D226" s="1" t="s">
        <v>74</v>
      </c>
      <c r="E226" s="1" t="s">
        <v>74</v>
      </c>
      <c r="F226" s="1" t="s">
        <v>2336</v>
      </c>
      <c r="G226" s="1" t="s">
        <v>74</v>
      </c>
      <c r="H226" s="1" t="s">
        <v>74</v>
      </c>
      <c r="I226" s="1" t="s">
        <v>2337</v>
      </c>
      <c r="J226" s="1" t="s">
        <v>2338</v>
      </c>
      <c r="K226" s="1" t="s">
        <v>74</v>
      </c>
      <c r="L226" s="1" t="s">
        <v>74</v>
      </c>
      <c r="M226" s="1" t="s">
        <v>74</v>
      </c>
      <c r="N226" s="1" t="s">
        <v>74</v>
      </c>
      <c r="O226" s="1" t="s">
        <v>74</v>
      </c>
      <c r="P226" s="1" t="s">
        <v>74</v>
      </c>
      <c r="Q226" s="1" t="s">
        <v>74</v>
      </c>
      <c r="R226" s="1" t="s">
        <v>74</v>
      </c>
      <c r="S226" s="1" t="s">
        <v>74</v>
      </c>
      <c r="T226" s="1" t="s">
        <v>74</v>
      </c>
      <c r="U226" s="1" t="s">
        <v>74</v>
      </c>
      <c r="V226" s="1" t="s">
        <v>2339</v>
      </c>
      <c r="W226" s="1" t="s">
        <v>74</v>
      </c>
      <c r="X226" s="1" t="s">
        <v>74</v>
      </c>
      <c r="Y226" s="1" t="s">
        <v>74</v>
      </c>
      <c r="Z226" s="1" t="s">
        <v>74</v>
      </c>
      <c r="AA226" s="1" t="s">
        <v>2340</v>
      </c>
      <c r="AB226" s="1" t="s">
        <v>2341</v>
      </c>
      <c r="AC226" s="1" t="s">
        <v>74</v>
      </c>
      <c r="AD226" s="1" t="s">
        <v>74</v>
      </c>
      <c r="AE226" s="1" t="s">
        <v>74</v>
      </c>
      <c r="AF226" s="1" t="s">
        <v>74</v>
      </c>
      <c r="AG226" s="1" t="s">
        <v>74</v>
      </c>
      <c r="AH226" s="1" t="s">
        <v>74</v>
      </c>
      <c r="AI226" s="1" t="s">
        <v>74</v>
      </c>
      <c r="AJ226" s="1" t="s">
        <v>74</v>
      </c>
      <c r="AK226" s="1" t="s">
        <v>74</v>
      </c>
      <c r="AL226" s="1" t="s">
        <v>74</v>
      </c>
      <c r="AM226" s="1" t="s">
        <v>74</v>
      </c>
      <c r="AN226" s="1" t="s">
        <v>74</v>
      </c>
      <c r="AO226" s="1" t="s">
        <v>2342</v>
      </c>
      <c r="AP226" s="1" t="s">
        <v>2343</v>
      </c>
      <c r="AQ226" s="1" t="s">
        <v>74</v>
      </c>
      <c r="AR226" s="1" t="s">
        <v>74</v>
      </c>
      <c r="AS226" s="1" t="s">
        <v>74</v>
      </c>
      <c r="AT226" s="1" t="s">
        <v>122</v>
      </c>
      <c r="AU226" s="1">
        <v>2022.0</v>
      </c>
      <c r="AV226" s="1">
        <v>236.0</v>
      </c>
      <c r="AW226" s="1">
        <v>4.0</v>
      </c>
      <c r="AX226" s="1" t="s">
        <v>74</v>
      </c>
      <c r="AY226" s="1" t="s">
        <v>74</v>
      </c>
      <c r="AZ226" s="1" t="s">
        <v>1042</v>
      </c>
      <c r="BA226" s="1" t="s">
        <v>74</v>
      </c>
      <c r="BB226" s="1">
        <v>570.0</v>
      </c>
      <c r="BC226" s="1">
        <v>583.0</v>
      </c>
      <c r="BD226" s="1" t="s">
        <v>2344</v>
      </c>
      <c r="BE226" s="1" t="s">
        <v>2345</v>
      </c>
      <c r="BF226" s="2" t="str">
        <f>HYPERLINK("http://dx.doi.org/10.1177/1748006X20965111","http://dx.doi.org/10.1177/1748006X20965111")</f>
        <v>http://dx.doi.org/10.1177/1748006X20965111</v>
      </c>
      <c r="BG226" s="1" t="s">
        <v>74</v>
      </c>
      <c r="BH226" s="1" t="s">
        <v>2346</v>
      </c>
      <c r="BI226" s="1" t="s">
        <v>74</v>
      </c>
      <c r="BJ226" s="1" t="s">
        <v>74</v>
      </c>
      <c r="BK226" s="1" t="s">
        <v>74</v>
      </c>
      <c r="BL226" s="1" t="s">
        <v>74</v>
      </c>
      <c r="BM226" s="1" t="s">
        <v>74</v>
      </c>
      <c r="BN226" s="1" t="s">
        <v>74</v>
      </c>
      <c r="BO226" s="1" t="s">
        <v>74</v>
      </c>
      <c r="BP226" s="1" t="s">
        <v>74</v>
      </c>
      <c r="BQ226" s="1" t="s">
        <v>74</v>
      </c>
      <c r="BR226" s="1" t="s">
        <v>74</v>
      </c>
      <c r="BS226" s="1" t="s">
        <v>2347</v>
      </c>
      <c r="BT226" s="1" t="str">
        <f>HYPERLINK("https%3A%2F%2Fwww.webofscience.com%2Fwos%2Fwoscc%2Ffull-record%2FWOS:000637919300001","View Full Record in Web of Science")</f>
        <v>View Full Record in Web of Science</v>
      </c>
    </row>
    <row r="227" ht="12.75" customHeight="1">
      <c r="A227" s="1" t="s">
        <v>72</v>
      </c>
      <c r="B227" s="1" t="s">
        <v>2348</v>
      </c>
      <c r="C227" s="1" t="s">
        <v>74</v>
      </c>
      <c r="D227" s="1" t="s">
        <v>74</v>
      </c>
      <c r="E227" s="1" t="s">
        <v>74</v>
      </c>
      <c r="F227" s="1" t="s">
        <v>2349</v>
      </c>
      <c r="G227" s="1" t="s">
        <v>74</v>
      </c>
      <c r="H227" s="1" t="s">
        <v>74</v>
      </c>
      <c r="I227" s="1" t="s">
        <v>2350</v>
      </c>
      <c r="J227" s="1" t="s">
        <v>2351</v>
      </c>
      <c r="K227" s="1" t="s">
        <v>74</v>
      </c>
      <c r="L227" s="1" t="s">
        <v>74</v>
      </c>
      <c r="M227" s="1" t="s">
        <v>74</v>
      </c>
      <c r="N227" s="1" t="s">
        <v>74</v>
      </c>
      <c r="O227" s="1" t="s">
        <v>74</v>
      </c>
      <c r="P227" s="1" t="s">
        <v>74</v>
      </c>
      <c r="Q227" s="1" t="s">
        <v>74</v>
      </c>
      <c r="R227" s="1" t="s">
        <v>74</v>
      </c>
      <c r="S227" s="1" t="s">
        <v>74</v>
      </c>
      <c r="T227" s="1" t="s">
        <v>74</v>
      </c>
      <c r="U227" s="1" t="s">
        <v>74</v>
      </c>
      <c r="V227" s="1" t="s">
        <v>2352</v>
      </c>
      <c r="W227" s="1" t="s">
        <v>74</v>
      </c>
      <c r="X227" s="1" t="s">
        <v>74</v>
      </c>
      <c r="Y227" s="1" t="s">
        <v>74</v>
      </c>
      <c r="Z227" s="1" t="s">
        <v>74</v>
      </c>
      <c r="AA227" s="1" t="s">
        <v>2353</v>
      </c>
      <c r="AB227" s="1" t="s">
        <v>2354</v>
      </c>
      <c r="AC227" s="1" t="s">
        <v>74</v>
      </c>
      <c r="AD227" s="1" t="s">
        <v>74</v>
      </c>
      <c r="AE227" s="1" t="s">
        <v>74</v>
      </c>
      <c r="AF227" s="1" t="s">
        <v>74</v>
      </c>
      <c r="AG227" s="1" t="s">
        <v>74</v>
      </c>
      <c r="AH227" s="1" t="s">
        <v>74</v>
      </c>
      <c r="AI227" s="1" t="s">
        <v>74</v>
      </c>
      <c r="AJ227" s="1" t="s">
        <v>74</v>
      </c>
      <c r="AK227" s="1" t="s">
        <v>74</v>
      </c>
      <c r="AL227" s="1" t="s">
        <v>74</v>
      </c>
      <c r="AM227" s="1" t="s">
        <v>74</v>
      </c>
      <c r="AN227" s="1" t="s">
        <v>74</v>
      </c>
      <c r="AO227" s="1" t="s">
        <v>2355</v>
      </c>
      <c r="AP227" s="1" t="s">
        <v>74</v>
      </c>
      <c r="AQ227" s="1" t="s">
        <v>74</v>
      </c>
      <c r="AR227" s="1" t="s">
        <v>74</v>
      </c>
      <c r="AS227" s="1" t="s">
        <v>74</v>
      </c>
      <c r="AT227" s="1" t="s">
        <v>289</v>
      </c>
      <c r="AU227" s="1">
        <v>2020.0</v>
      </c>
      <c r="AV227" s="1">
        <v>9.0</v>
      </c>
      <c r="AW227" s="1">
        <v>6.0</v>
      </c>
      <c r="AX227" s="1" t="s">
        <v>74</v>
      </c>
      <c r="AY227" s="1" t="s">
        <v>74</v>
      </c>
      <c r="AZ227" s="1" t="s">
        <v>74</v>
      </c>
      <c r="BA227" s="1" t="s">
        <v>74</v>
      </c>
      <c r="BB227" s="1" t="s">
        <v>74</v>
      </c>
      <c r="BC227" s="1" t="s">
        <v>74</v>
      </c>
      <c r="BD227" s="1">
        <v>681.0</v>
      </c>
      <c r="BE227" s="1" t="s">
        <v>2356</v>
      </c>
      <c r="BF227" s="2" t="str">
        <f>HYPERLINK("http://dx.doi.org/10.3390/plants9060681","http://dx.doi.org/10.3390/plants9060681")</f>
        <v>http://dx.doi.org/10.3390/plants9060681</v>
      </c>
      <c r="BG227" s="1" t="s">
        <v>74</v>
      </c>
      <c r="BH227" s="1" t="s">
        <v>74</v>
      </c>
      <c r="BI227" s="1" t="s">
        <v>74</v>
      </c>
      <c r="BJ227" s="1" t="s">
        <v>74</v>
      </c>
      <c r="BK227" s="1" t="s">
        <v>74</v>
      </c>
      <c r="BL227" s="1" t="s">
        <v>74</v>
      </c>
      <c r="BM227" s="1" t="s">
        <v>74</v>
      </c>
      <c r="BN227" s="1">
        <v>3.2471287E7</v>
      </c>
      <c r="BO227" s="1" t="s">
        <v>74</v>
      </c>
      <c r="BP227" s="1" t="s">
        <v>74</v>
      </c>
      <c r="BQ227" s="1" t="s">
        <v>74</v>
      </c>
      <c r="BR227" s="1" t="s">
        <v>74</v>
      </c>
      <c r="BS227" s="1" t="s">
        <v>2357</v>
      </c>
      <c r="BT227" s="1" t="str">
        <f>HYPERLINK("https%3A%2F%2Fwww.webofscience.com%2Fwos%2Fwoscc%2Ffull-record%2FWOS:000553882100001","View Full Record in Web of Science")</f>
        <v>View Full Record in Web of Science</v>
      </c>
    </row>
    <row r="228" ht="12.75" customHeight="1">
      <c r="A228" s="1" t="s">
        <v>72</v>
      </c>
      <c r="B228" s="1" t="s">
        <v>2358</v>
      </c>
      <c r="C228" s="1" t="s">
        <v>74</v>
      </c>
      <c r="D228" s="1" t="s">
        <v>74</v>
      </c>
      <c r="E228" s="1" t="s">
        <v>74</v>
      </c>
      <c r="F228" s="1" t="s">
        <v>2359</v>
      </c>
      <c r="G228" s="1" t="s">
        <v>74</v>
      </c>
      <c r="H228" s="1" t="s">
        <v>74</v>
      </c>
      <c r="I228" s="1" t="s">
        <v>2360</v>
      </c>
      <c r="J228" s="1" t="s">
        <v>2361</v>
      </c>
      <c r="K228" s="1" t="s">
        <v>74</v>
      </c>
      <c r="L228" s="1" t="s">
        <v>74</v>
      </c>
      <c r="M228" s="1" t="s">
        <v>74</v>
      </c>
      <c r="N228" s="1" t="s">
        <v>74</v>
      </c>
      <c r="O228" s="1" t="s">
        <v>74</v>
      </c>
      <c r="P228" s="1" t="s">
        <v>74</v>
      </c>
      <c r="Q228" s="1" t="s">
        <v>74</v>
      </c>
      <c r="R228" s="1" t="s">
        <v>74</v>
      </c>
      <c r="S228" s="1" t="s">
        <v>74</v>
      </c>
      <c r="T228" s="1" t="s">
        <v>74</v>
      </c>
      <c r="U228" s="1" t="s">
        <v>74</v>
      </c>
      <c r="V228" s="1" t="s">
        <v>2362</v>
      </c>
      <c r="W228" s="1" t="s">
        <v>74</v>
      </c>
      <c r="X228" s="1" t="s">
        <v>74</v>
      </c>
      <c r="Y228" s="1" t="s">
        <v>74</v>
      </c>
      <c r="Z228" s="1" t="s">
        <v>74</v>
      </c>
      <c r="AA228" s="1" t="s">
        <v>2363</v>
      </c>
      <c r="AB228" s="1" t="s">
        <v>2364</v>
      </c>
      <c r="AC228" s="1" t="s">
        <v>74</v>
      </c>
      <c r="AD228" s="1" t="s">
        <v>74</v>
      </c>
      <c r="AE228" s="1" t="s">
        <v>74</v>
      </c>
      <c r="AF228" s="1" t="s">
        <v>74</v>
      </c>
      <c r="AG228" s="1" t="s">
        <v>74</v>
      </c>
      <c r="AH228" s="1" t="s">
        <v>74</v>
      </c>
      <c r="AI228" s="1" t="s">
        <v>74</v>
      </c>
      <c r="AJ228" s="1" t="s">
        <v>74</v>
      </c>
      <c r="AK228" s="1" t="s">
        <v>74</v>
      </c>
      <c r="AL228" s="1" t="s">
        <v>74</v>
      </c>
      <c r="AM228" s="1" t="s">
        <v>74</v>
      </c>
      <c r="AN228" s="1" t="s">
        <v>74</v>
      </c>
      <c r="AO228" s="1" t="s">
        <v>2365</v>
      </c>
      <c r="AP228" s="1" t="s">
        <v>2366</v>
      </c>
      <c r="AQ228" s="1" t="s">
        <v>74</v>
      </c>
      <c r="AR228" s="1" t="s">
        <v>74</v>
      </c>
      <c r="AS228" s="1" t="s">
        <v>74</v>
      </c>
      <c r="AT228" s="1" t="s">
        <v>2367</v>
      </c>
      <c r="AU228" s="1">
        <v>2020.0</v>
      </c>
      <c r="AV228" s="1">
        <v>815.0</v>
      </c>
      <c r="AW228" s="1" t="s">
        <v>74</v>
      </c>
      <c r="AX228" s="1" t="s">
        <v>74</v>
      </c>
      <c r="AY228" s="1" t="s">
        <v>74</v>
      </c>
      <c r="AZ228" s="1" t="s">
        <v>74</v>
      </c>
      <c r="BA228" s="1" t="s">
        <v>74</v>
      </c>
      <c r="BB228" s="1">
        <v>270.0</v>
      </c>
      <c r="BC228" s="1">
        <v>288.0</v>
      </c>
      <c r="BD228" s="1" t="s">
        <v>74</v>
      </c>
      <c r="BE228" s="1" t="s">
        <v>2368</v>
      </c>
      <c r="BF228" s="2" t="str">
        <f>HYPERLINK("http://dx.doi.org/10.1016/j.tcs.2020.01.021","http://dx.doi.org/10.1016/j.tcs.2020.01.021")</f>
        <v>http://dx.doi.org/10.1016/j.tcs.2020.01.021</v>
      </c>
      <c r="BG228" s="1" t="s">
        <v>74</v>
      </c>
      <c r="BH228" s="1" t="s">
        <v>74</v>
      </c>
      <c r="BI228" s="1" t="s">
        <v>74</v>
      </c>
      <c r="BJ228" s="1" t="s">
        <v>74</v>
      </c>
      <c r="BK228" s="1" t="s">
        <v>74</v>
      </c>
      <c r="BL228" s="1" t="s">
        <v>74</v>
      </c>
      <c r="BM228" s="1" t="s">
        <v>74</v>
      </c>
      <c r="BN228" s="1" t="s">
        <v>74</v>
      </c>
      <c r="BO228" s="1" t="s">
        <v>74</v>
      </c>
      <c r="BP228" s="1" t="s">
        <v>74</v>
      </c>
      <c r="BQ228" s="1" t="s">
        <v>74</v>
      </c>
      <c r="BR228" s="1" t="s">
        <v>74</v>
      </c>
      <c r="BS228" s="1" t="s">
        <v>2369</v>
      </c>
      <c r="BT228" s="1" t="str">
        <f>HYPERLINK("https%3A%2F%2Fwww.webofscience.com%2Fwos%2Fwoscc%2Ffull-record%2FWOS:000524283200020","View Full Record in Web of Science")</f>
        <v>View Full Record in Web of Science</v>
      </c>
    </row>
    <row r="229" ht="12.75" customHeight="1">
      <c r="A229" s="1" t="s">
        <v>147</v>
      </c>
      <c r="B229" s="1" t="s">
        <v>2370</v>
      </c>
      <c r="C229" s="1" t="s">
        <v>74</v>
      </c>
      <c r="D229" s="1" t="s">
        <v>74</v>
      </c>
      <c r="E229" s="1" t="s">
        <v>793</v>
      </c>
      <c r="F229" s="1" t="s">
        <v>2371</v>
      </c>
      <c r="G229" s="1" t="s">
        <v>74</v>
      </c>
      <c r="H229" s="1" t="s">
        <v>74</v>
      </c>
      <c r="I229" s="1" t="s">
        <v>2372</v>
      </c>
      <c r="J229" s="1" t="s">
        <v>2373</v>
      </c>
      <c r="K229" s="1" t="s">
        <v>74</v>
      </c>
      <c r="L229" s="1" t="s">
        <v>74</v>
      </c>
      <c r="M229" s="1" t="s">
        <v>74</v>
      </c>
      <c r="N229" s="1" t="s">
        <v>74</v>
      </c>
      <c r="O229" s="1" t="s">
        <v>2374</v>
      </c>
      <c r="P229" s="1" t="s">
        <v>2375</v>
      </c>
      <c r="Q229" s="1" t="s">
        <v>1392</v>
      </c>
      <c r="R229" s="1" t="s">
        <v>74</v>
      </c>
      <c r="S229" s="1" t="s">
        <v>74</v>
      </c>
      <c r="T229" s="1" t="s">
        <v>74</v>
      </c>
      <c r="U229" s="1" t="s">
        <v>74</v>
      </c>
      <c r="V229" s="1" t="s">
        <v>2376</v>
      </c>
      <c r="W229" s="1" t="s">
        <v>74</v>
      </c>
      <c r="X229" s="1" t="s">
        <v>74</v>
      </c>
      <c r="Y229" s="1" t="s">
        <v>74</v>
      </c>
      <c r="Z229" s="1" t="s">
        <v>74</v>
      </c>
      <c r="AA229" s="1" t="s">
        <v>2377</v>
      </c>
      <c r="AB229" s="1" t="s">
        <v>74</v>
      </c>
      <c r="AC229" s="1" t="s">
        <v>74</v>
      </c>
      <c r="AD229" s="1" t="s">
        <v>74</v>
      </c>
      <c r="AE229" s="1" t="s">
        <v>74</v>
      </c>
      <c r="AF229" s="1" t="s">
        <v>74</v>
      </c>
      <c r="AG229" s="1" t="s">
        <v>74</v>
      </c>
      <c r="AH229" s="1" t="s">
        <v>74</v>
      </c>
      <c r="AI229" s="1" t="s">
        <v>74</v>
      </c>
      <c r="AJ229" s="1" t="s">
        <v>74</v>
      </c>
      <c r="AK229" s="1" t="s">
        <v>74</v>
      </c>
      <c r="AL229" s="1" t="s">
        <v>74</v>
      </c>
      <c r="AM229" s="1" t="s">
        <v>74</v>
      </c>
      <c r="AN229" s="1" t="s">
        <v>74</v>
      </c>
      <c r="AO229" s="1" t="s">
        <v>74</v>
      </c>
      <c r="AP229" s="1" t="s">
        <v>74</v>
      </c>
      <c r="AQ229" s="1" t="s">
        <v>2378</v>
      </c>
      <c r="AR229" s="1" t="s">
        <v>74</v>
      </c>
      <c r="AS229" s="1" t="s">
        <v>74</v>
      </c>
      <c r="AT229" s="1" t="s">
        <v>74</v>
      </c>
      <c r="AU229" s="1">
        <v>2020.0</v>
      </c>
      <c r="AV229" s="1" t="s">
        <v>74</v>
      </c>
      <c r="AW229" s="1" t="s">
        <v>74</v>
      </c>
      <c r="AX229" s="1" t="s">
        <v>74</v>
      </c>
      <c r="AY229" s="1" t="s">
        <v>74</v>
      </c>
      <c r="AZ229" s="1" t="s">
        <v>74</v>
      </c>
      <c r="BA229" s="1" t="s">
        <v>74</v>
      </c>
      <c r="BB229" s="1" t="s">
        <v>74</v>
      </c>
      <c r="BC229" s="1" t="s">
        <v>74</v>
      </c>
      <c r="BD229" s="1" t="s">
        <v>74</v>
      </c>
      <c r="BE229" s="1" t="s">
        <v>74</v>
      </c>
      <c r="BF229" s="1" t="s">
        <v>74</v>
      </c>
      <c r="BG229" s="1" t="s">
        <v>74</v>
      </c>
      <c r="BH229" s="1" t="s">
        <v>74</v>
      </c>
      <c r="BI229" s="1" t="s">
        <v>74</v>
      </c>
      <c r="BJ229" s="1" t="s">
        <v>74</v>
      </c>
      <c r="BK229" s="1" t="s">
        <v>74</v>
      </c>
      <c r="BL229" s="1" t="s">
        <v>74</v>
      </c>
      <c r="BM229" s="1" t="s">
        <v>74</v>
      </c>
      <c r="BN229" s="1" t="s">
        <v>74</v>
      </c>
      <c r="BO229" s="1" t="s">
        <v>74</v>
      </c>
      <c r="BP229" s="1" t="s">
        <v>74</v>
      </c>
      <c r="BQ229" s="1" t="s">
        <v>74</v>
      </c>
      <c r="BR229" s="1" t="s">
        <v>74</v>
      </c>
      <c r="BS229" s="1" t="s">
        <v>2379</v>
      </c>
      <c r="BT229" s="1" t="str">
        <f>HYPERLINK("https%3A%2F%2Fwww.webofscience.com%2Fwos%2Fwoscc%2Ffull-record%2FWOS:001331796100015","View Full Record in Web of Science")</f>
        <v>View Full Record in Web of Science</v>
      </c>
    </row>
    <row r="230" ht="12.75" customHeight="1">
      <c r="A230" s="1" t="s">
        <v>72</v>
      </c>
      <c r="B230" s="1" t="s">
        <v>2380</v>
      </c>
      <c r="C230" s="1" t="s">
        <v>74</v>
      </c>
      <c r="D230" s="1" t="s">
        <v>74</v>
      </c>
      <c r="E230" s="1" t="s">
        <v>74</v>
      </c>
      <c r="F230" s="1" t="s">
        <v>2381</v>
      </c>
      <c r="G230" s="1" t="s">
        <v>74</v>
      </c>
      <c r="H230" s="1" t="s">
        <v>74</v>
      </c>
      <c r="I230" s="1" t="s">
        <v>2382</v>
      </c>
      <c r="J230" s="1" t="s">
        <v>2383</v>
      </c>
      <c r="K230" s="1" t="s">
        <v>74</v>
      </c>
      <c r="L230" s="1" t="s">
        <v>74</v>
      </c>
      <c r="M230" s="1" t="s">
        <v>74</v>
      </c>
      <c r="N230" s="1" t="s">
        <v>74</v>
      </c>
      <c r="O230" s="1" t="s">
        <v>74</v>
      </c>
      <c r="P230" s="1" t="s">
        <v>74</v>
      </c>
      <c r="Q230" s="1" t="s">
        <v>74</v>
      </c>
      <c r="R230" s="1" t="s">
        <v>74</v>
      </c>
      <c r="S230" s="1" t="s">
        <v>74</v>
      </c>
      <c r="T230" s="1" t="s">
        <v>74</v>
      </c>
      <c r="U230" s="1" t="s">
        <v>74</v>
      </c>
      <c r="V230" s="1" t="s">
        <v>2384</v>
      </c>
      <c r="W230" s="1" t="s">
        <v>74</v>
      </c>
      <c r="X230" s="1" t="s">
        <v>74</v>
      </c>
      <c r="Y230" s="1" t="s">
        <v>74</v>
      </c>
      <c r="Z230" s="1" t="s">
        <v>74</v>
      </c>
      <c r="AA230" s="1" t="s">
        <v>74</v>
      </c>
      <c r="AB230" s="1" t="s">
        <v>2385</v>
      </c>
      <c r="AC230" s="1" t="s">
        <v>74</v>
      </c>
      <c r="AD230" s="1" t="s">
        <v>74</v>
      </c>
      <c r="AE230" s="1" t="s">
        <v>74</v>
      </c>
      <c r="AF230" s="1" t="s">
        <v>74</v>
      </c>
      <c r="AG230" s="1" t="s">
        <v>74</v>
      </c>
      <c r="AH230" s="1" t="s">
        <v>74</v>
      </c>
      <c r="AI230" s="1" t="s">
        <v>74</v>
      </c>
      <c r="AJ230" s="1" t="s">
        <v>74</v>
      </c>
      <c r="AK230" s="1" t="s">
        <v>74</v>
      </c>
      <c r="AL230" s="1" t="s">
        <v>74</v>
      </c>
      <c r="AM230" s="1" t="s">
        <v>74</v>
      </c>
      <c r="AN230" s="1" t="s">
        <v>74</v>
      </c>
      <c r="AO230" s="1" t="s">
        <v>2386</v>
      </c>
      <c r="AP230" s="1" t="s">
        <v>2387</v>
      </c>
      <c r="AQ230" s="1" t="s">
        <v>74</v>
      </c>
      <c r="AR230" s="1" t="s">
        <v>74</v>
      </c>
      <c r="AS230" s="1" t="s">
        <v>74</v>
      </c>
      <c r="AT230" s="1" t="s">
        <v>2105</v>
      </c>
      <c r="AU230" s="1">
        <v>2019.0</v>
      </c>
      <c r="AV230" s="1">
        <v>204.0</v>
      </c>
      <c r="AW230" s="1" t="s">
        <v>74</v>
      </c>
      <c r="AX230" s="1" t="s">
        <v>74</v>
      </c>
      <c r="AY230" s="1" t="s">
        <v>74</v>
      </c>
      <c r="AZ230" s="1" t="s">
        <v>74</v>
      </c>
      <c r="BA230" s="1" t="s">
        <v>74</v>
      </c>
      <c r="BB230" s="1">
        <v>438.0</v>
      </c>
      <c r="BC230" s="1">
        <v>445.0</v>
      </c>
      <c r="BD230" s="1" t="s">
        <v>74</v>
      </c>
      <c r="BE230" s="1" t="s">
        <v>2388</v>
      </c>
      <c r="BF230" s="2" t="str">
        <f>HYPERLINK("http://dx.doi.org/10.1016/j.talanta.2019.06.048","http://dx.doi.org/10.1016/j.talanta.2019.06.048")</f>
        <v>http://dx.doi.org/10.1016/j.talanta.2019.06.048</v>
      </c>
      <c r="BG230" s="1" t="s">
        <v>74</v>
      </c>
      <c r="BH230" s="1" t="s">
        <v>74</v>
      </c>
      <c r="BI230" s="1" t="s">
        <v>74</v>
      </c>
      <c r="BJ230" s="1" t="s">
        <v>74</v>
      </c>
      <c r="BK230" s="1" t="s">
        <v>74</v>
      </c>
      <c r="BL230" s="1" t="s">
        <v>74</v>
      </c>
      <c r="BM230" s="1" t="s">
        <v>74</v>
      </c>
      <c r="BN230" s="1">
        <v>3.1357317E7</v>
      </c>
      <c r="BO230" s="1" t="s">
        <v>74</v>
      </c>
      <c r="BP230" s="1" t="s">
        <v>74</v>
      </c>
      <c r="BQ230" s="1" t="s">
        <v>74</v>
      </c>
      <c r="BR230" s="1" t="s">
        <v>74</v>
      </c>
      <c r="BS230" s="1" t="s">
        <v>2389</v>
      </c>
      <c r="BT230" s="1" t="str">
        <f>HYPERLINK("https%3A%2F%2Fwww.webofscience.com%2Fwos%2Fwoscc%2Ffull-record%2FWOS:000480664200054","View Full Record in Web of Science")</f>
        <v>View Full Record in Web of Science</v>
      </c>
    </row>
    <row r="231" ht="12.75" customHeight="1">
      <c r="A231" s="1" t="s">
        <v>72</v>
      </c>
      <c r="B231" s="1" t="s">
        <v>2390</v>
      </c>
      <c r="C231" s="1" t="s">
        <v>74</v>
      </c>
      <c r="D231" s="1" t="s">
        <v>74</v>
      </c>
      <c r="E231" s="1" t="s">
        <v>74</v>
      </c>
      <c r="F231" s="1" t="s">
        <v>2391</v>
      </c>
      <c r="G231" s="1" t="s">
        <v>74</v>
      </c>
      <c r="H231" s="1" t="s">
        <v>74</v>
      </c>
      <c r="I231" s="1" t="s">
        <v>2392</v>
      </c>
      <c r="J231" s="1" t="s">
        <v>2393</v>
      </c>
      <c r="K231" s="1" t="s">
        <v>74</v>
      </c>
      <c r="L231" s="1" t="s">
        <v>74</v>
      </c>
      <c r="M231" s="1" t="s">
        <v>74</v>
      </c>
      <c r="N231" s="1" t="s">
        <v>74</v>
      </c>
      <c r="O231" s="1" t="s">
        <v>74</v>
      </c>
      <c r="P231" s="1" t="s">
        <v>74</v>
      </c>
      <c r="Q231" s="1" t="s">
        <v>74</v>
      </c>
      <c r="R231" s="1" t="s">
        <v>74</v>
      </c>
      <c r="S231" s="1" t="s">
        <v>74</v>
      </c>
      <c r="T231" s="1" t="s">
        <v>74</v>
      </c>
      <c r="U231" s="1" t="s">
        <v>74</v>
      </c>
      <c r="V231" s="1" t="s">
        <v>2394</v>
      </c>
      <c r="W231" s="1" t="s">
        <v>74</v>
      </c>
      <c r="X231" s="1" t="s">
        <v>74</v>
      </c>
      <c r="Y231" s="1" t="s">
        <v>74</v>
      </c>
      <c r="Z231" s="1" t="s">
        <v>74</v>
      </c>
      <c r="AA231" s="1" t="s">
        <v>2395</v>
      </c>
      <c r="AB231" s="1" t="s">
        <v>2396</v>
      </c>
      <c r="AC231" s="1" t="s">
        <v>74</v>
      </c>
      <c r="AD231" s="1" t="s">
        <v>74</v>
      </c>
      <c r="AE231" s="1" t="s">
        <v>74</v>
      </c>
      <c r="AF231" s="1" t="s">
        <v>74</v>
      </c>
      <c r="AG231" s="1" t="s">
        <v>74</v>
      </c>
      <c r="AH231" s="1" t="s">
        <v>74</v>
      </c>
      <c r="AI231" s="1" t="s">
        <v>74</v>
      </c>
      <c r="AJ231" s="1" t="s">
        <v>74</v>
      </c>
      <c r="AK231" s="1" t="s">
        <v>74</v>
      </c>
      <c r="AL231" s="1" t="s">
        <v>74</v>
      </c>
      <c r="AM231" s="1" t="s">
        <v>74</v>
      </c>
      <c r="AN231" s="1" t="s">
        <v>74</v>
      </c>
      <c r="AO231" s="1" t="s">
        <v>2397</v>
      </c>
      <c r="AP231" s="1" t="s">
        <v>2398</v>
      </c>
      <c r="AQ231" s="1" t="s">
        <v>74</v>
      </c>
      <c r="AR231" s="1" t="s">
        <v>74</v>
      </c>
      <c r="AS231" s="1" t="s">
        <v>74</v>
      </c>
      <c r="AT231" s="1" t="s">
        <v>2399</v>
      </c>
      <c r="AU231" s="1">
        <v>2018.0</v>
      </c>
      <c r="AV231" s="1">
        <v>350.0</v>
      </c>
      <c r="AW231" s="1" t="s">
        <v>74</v>
      </c>
      <c r="AX231" s="1" t="s">
        <v>74</v>
      </c>
      <c r="AY231" s="1" t="s">
        <v>74</v>
      </c>
      <c r="AZ231" s="1" t="s">
        <v>74</v>
      </c>
      <c r="BA231" s="1" t="s">
        <v>74</v>
      </c>
      <c r="BB231" s="1">
        <v>100.0</v>
      </c>
      <c r="BC231" s="1">
        <v>107.0</v>
      </c>
      <c r="BD231" s="1" t="s">
        <v>74</v>
      </c>
      <c r="BE231" s="1" t="s">
        <v>2400</v>
      </c>
      <c r="BF231" s="2" t="str">
        <f>HYPERLINK("http://dx.doi.org/10.1016/j.cej.2018.05.142","http://dx.doi.org/10.1016/j.cej.2018.05.142")</f>
        <v>http://dx.doi.org/10.1016/j.cej.2018.05.142</v>
      </c>
      <c r="BG231" s="1" t="s">
        <v>74</v>
      </c>
      <c r="BH231" s="1" t="s">
        <v>74</v>
      </c>
      <c r="BI231" s="1" t="s">
        <v>74</v>
      </c>
      <c r="BJ231" s="1" t="s">
        <v>74</v>
      </c>
      <c r="BK231" s="1" t="s">
        <v>74</v>
      </c>
      <c r="BL231" s="1" t="s">
        <v>74</v>
      </c>
      <c r="BM231" s="1" t="s">
        <v>74</v>
      </c>
      <c r="BN231" s="1" t="s">
        <v>74</v>
      </c>
      <c r="BO231" s="1" t="s">
        <v>74</v>
      </c>
      <c r="BP231" s="1" t="s">
        <v>74</v>
      </c>
      <c r="BQ231" s="1" t="s">
        <v>74</v>
      </c>
      <c r="BR231" s="1" t="s">
        <v>74</v>
      </c>
      <c r="BS231" s="1" t="s">
        <v>2401</v>
      </c>
      <c r="BT231" s="1" t="str">
        <f>HYPERLINK("https%3A%2F%2Fwww.webofscience.com%2Fwos%2Fwoscc%2Ffull-record%2FWOS:000437093000011","View Full Record in Web of Science")</f>
        <v>View Full Record in Web of Science</v>
      </c>
    </row>
    <row r="232" ht="12.75" customHeight="1">
      <c r="A232" s="1" t="s">
        <v>72</v>
      </c>
      <c r="B232" s="1" t="s">
        <v>2402</v>
      </c>
      <c r="C232" s="1" t="s">
        <v>74</v>
      </c>
      <c r="D232" s="1" t="s">
        <v>74</v>
      </c>
      <c r="E232" s="1" t="s">
        <v>74</v>
      </c>
      <c r="F232" s="1" t="s">
        <v>2403</v>
      </c>
      <c r="G232" s="1" t="s">
        <v>74</v>
      </c>
      <c r="H232" s="1" t="s">
        <v>74</v>
      </c>
      <c r="I232" s="1" t="s">
        <v>2404</v>
      </c>
      <c r="J232" s="1" t="s">
        <v>2405</v>
      </c>
      <c r="K232" s="1" t="s">
        <v>74</v>
      </c>
      <c r="L232" s="1" t="s">
        <v>74</v>
      </c>
      <c r="M232" s="1" t="s">
        <v>74</v>
      </c>
      <c r="N232" s="1" t="s">
        <v>74</v>
      </c>
      <c r="O232" s="1" t="s">
        <v>74</v>
      </c>
      <c r="P232" s="1" t="s">
        <v>74</v>
      </c>
      <c r="Q232" s="1" t="s">
        <v>74</v>
      </c>
      <c r="R232" s="1" t="s">
        <v>74</v>
      </c>
      <c r="S232" s="1" t="s">
        <v>74</v>
      </c>
      <c r="T232" s="1" t="s">
        <v>74</v>
      </c>
      <c r="U232" s="1" t="s">
        <v>74</v>
      </c>
      <c r="V232" s="1" t="s">
        <v>2406</v>
      </c>
      <c r="W232" s="1" t="s">
        <v>74</v>
      </c>
      <c r="X232" s="1" t="s">
        <v>74</v>
      </c>
      <c r="Y232" s="1" t="s">
        <v>74</v>
      </c>
      <c r="Z232" s="1" t="s">
        <v>74</v>
      </c>
      <c r="AA232" s="1" t="s">
        <v>2407</v>
      </c>
      <c r="AB232" s="1" t="s">
        <v>766</v>
      </c>
      <c r="AC232" s="1" t="s">
        <v>74</v>
      </c>
      <c r="AD232" s="1" t="s">
        <v>74</v>
      </c>
      <c r="AE232" s="1" t="s">
        <v>74</v>
      </c>
      <c r="AF232" s="1" t="s">
        <v>74</v>
      </c>
      <c r="AG232" s="1" t="s">
        <v>74</v>
      </c>
      <c r="AH232" s="1" t="s">
        <v>74</v>
      </c>
      <c r="AI232" s="1" t="s">
        <v>74</v>
      </c>
      <c r="AJ232" s="1" t="s">
        <v>74</v>
      </c>
      <c r="AK232" s="1" t="s">
        <v>74</v>
      </c>
      <c r="AL232" s="1" t="s">
        <v>74</v>
      </c>
      <c r="AM232" s="1" t="s">
        <v>74</v>
      </c>
      <c r="AN232" s="1" t="s">
        <v>74</v>
      </c>
      <c r="AO232" s="1" t="s">
        <v>2408</v>
      </c>
      <c r="AP232" s="1" t="s">
        <v>74</v>
      </c>
      <c r="AQ232" s="1" t="s">
        <v>74</v>
      </c>
      <c r="AR232" s="1" t="s">
        <v>74</v>
      </c>
      <c r="AS232" s="1" t="s">
        <v>74</v>
      </c>
      <c r="AT232" s="1" t="s">
        <v>74</v>
      </c>
      <c r="AU232" s="1">
        <v>2018.0</v>
      </c>
      <c r="AV232" s="1">
        <v>13.0</v>
      </c>
      <c r="AW232" s="1">
        <v>1.0</v>
      </c>
      <c r="AX232" s="1" t="s">
        <v>74</v>
      </c>
      <c r="AY232" s="1" t="s">
        <v>74</v>
      </c>
      <c r="AZ232" s="1" t="s">
        <v>74</v>
      </c>
      <c r="BA232" s="1" t="s">
        <v>74</v>
      </c>
      <c r="BB232" s="1">
        <v>945.0</v>
      </c>
      <c r="BC232" s="1">
        <v>953.0</v>
      </c>
      <c r="BD232" s="1" t="s">
        <v>74</v>
      </c>
      <c r="BE232" s="1" t="s">
        <v>2409</v>
      </c>
      <c r="BF232" s="2" t="str">
        <f>HYPERLINK("http://dx.doi.org/10.15376/biores.13.1.945-953","http://dx.doi.org/10.15376/biores.13.1.945-953")</f>
        <v>http://dx.doi.org/10.15376/biores.13.1.945-953</v>
      </c>
      <c r="BG232" s="1" t="s">
        <v>74</v>
      </c>
      <c r="BH232" s="1" t="s">
        <v>74</v>
      </c>
      <c r="BI232" s="1" t="s">
        <v>74</v>
      </c>
      <c r="BJ232" s="1" t="s">
        <v>74</v>
      </c>
      <c r="BK232" s="1" t="s">
        <v>74</v>
      </c>
      <c r="BL232" s="1" t="s">
        <v>74</v>
      </c>
      <c r="BM232" s="1" t="s">
        <v>74</v>
      </c>
      <c r="BN232" s="1" t="s">
        <v>74</v>
      </c>
      <c r="BO232" s="1" t="s">
        <v>74</v>
      </c>
      <c r="BP232" s="1" t="s">
        <v>74</v>
      </c>
      <c r="BQ232" s="1" t="s">
        <v>74</v>
      </c>
      <c r="BR232" s="1" t="s">
        <v>74</v>
      </c>
      <c r="BS232" s="1" t="s">
        <v>2410</v>
      </c>
      <c r="BT232" s="1" t="str">
        <f>HYPERLINK("https%3A%2F%2Fwww.webofscience.com%2Fwos%2Fwoscc%2Ffull-record%2FWOS:000427790000070","View Full Record in Web of Science")</f>
        <v>View Full Record in Web of Science</v>
      </c>
    </row>
    <row r="233" ht="12.75" customHeight="1">
      <c r="A233" s="1" t="s">
        <v>72</v>
      </c>
      <c r="B233" s="1" t="s">
        <v>2411</v>
      </c>
      <c r="C233" s="1" t="s">
        <v>74</v>
      </c>
      <c r="D233" s="1" t="s">
        <v>74</v>
      </c>
      <c r="E233" s="1" t="s">
        <v>74</v>
      </c>
      <c r="F233" s="1" t="s">
        <v>2412</v>
      </c>
      <c r="G233" s="1" t="s">
        <v>74</v>
      </c>
      <c r="H233" s="1" t="s">
        <v>74</v>
      </c>
      <c r="I233" s="1" t="s">
        <v>2413</v>
      </c>
      <c r="J233" s="1" t="s">
        <v>2414</v>
      </c>
      <c r="K233" s="1" t="s">
        <v>74</v>
      </c>
      <c r="L233" s="1" t="s">
        <v>74</v>
      </c>
      <c r="M233" s="1" t="s">
        <v>74</v>
      </c>
      <c r="N233" s="1" t="s">
        <v>74</v>
      </c>
      <c r="O233" s="1" t="s">
        <v>74</v>
      </c>
      <c r="P233" s="1" t="s">
        <v>74</v>
      </c>
      <c r="Q233" s="1" t="s">
        <v>74</v>
      </c>
      <c r="R233" s="1" t="s">
        <v>74</v>
      </c>
      <c r="S233" s="1" t="s">
        <v>74</v>
      </c>
      <c r="T233" s="1" t="s">
        <v>74</v>
      </c>
      <c r="U233" s="1" t="s">
        <v>74</v>
      </c>
      <c r="V233" s="1" t="s">
        <v>2415</v>
      </c>
      <c r="W233" s="1" t="s">
        <v>74</v>
      </c>
      <c r="X233" s="1" t="s">
        <v>74</v>
      </c>
      <c r="Y233" s="1" t="s">
        <v>74</v>
      </c>
      <c r="Z233" s="1" t="s">
        <v>74</v>
      </c>
      <c r="AA233" s="1" t="s">
        <v>2416</v>
      </c>
      <c r="AB233" s="1" t="s">
        <v>2417</v>
      </c>
      <c r="AC233" s="1" t="s">
        <v>74</v>
      </c>
      <c r="AD233" s="1" t="s">
        <v>74</v>
      </c>
      <c r="AE233" s="1" t="s">
        <v>74</v>
      </c>
      <c r="AF233" s="1" t="s">
        <v>74</v>
      </c>
      <c r="AG233" s="1" t="s">
        <v>74</v>
      </c>
      <c r="AH233" s="1" t="s">
        <v>74</v>
      </c>
      <c r="AI233" s="1" t="s">
        <v>74</v>
      </c>
      <c r="AJ233" s="1" t="s">
        <v>74</v>
      </c>
      <c r="AK233" s="1" t="s">
        <v>74</v>
      </c>
      <c r="AL233" s="1" t="s">
        <v>74</v>
      </c>
      <c r="AM233" s="1" t="s">
        <v>74</v>
      </c>
      <c r="AN233" s="1" t="s">
        <v>74</v>
      </c>
      <c r="AO233" s="1" t="s">
        <v>2418</v>
      </c>
      <c r="AP233" s="1" t="s">
        <v>2419</v>
      </c>
      <c r="AQ233" s="1" t="s">
        <v>74</v>
      </c>
      <c r="AR233" s="1" t="s">
        <v>74</v>
      </c>
      <c r="AS233" s="1" t="s">
        <v>74</v>
      </c>
      <c r="AT233" s="1" t="s">
        <v>379</v>
      </c>
      <c r="AU233" s="1">
        <v>2017.0</v>
      </c>
      <c r="AV233" s="1">
        <v>99.0</v>
      </c>
      <c r="AW233" s="1" t="s">
        <v>74</v>
      </c>
      <c r="AX233" s="1">
        <v>1.0</v>
      </c>
      <c r="AY233" s="1" t="s">
        <v>74</v>
      </c>
      <c r="AZ233" s="1" t="s">
        <v>74</v>
      </c>
      <c r="BA233" s="1" t="s">
        <v>74</v>
      </c>
      <c r="BB233" s="1">
        <v>650.0</v>
      </c>
      <c r="BC233" s="1">
        <v>659.0</v>
      </c>
      <c r="BD233" s="1" t="s">
        <v>74</v>
      </c>
      <c r="BE233" s="1" t="s">
        <v>2420</v>
      </c>
      <c r="BF233" s="2" t="str">
        <f>HYPERLINK("http://dx.doi.org/10.1016/j.foodres.2017.06.031","http://dx.doi.org/10.1016/j.foodres.2017.06.031")</f>
        <v>http://dx.doi.org/10.1016/j.foodres.2017.06.031</v>
      </c>
      <c r="BG233" s="1" t="s">
        <v>74</v>
      </c>
      <c r="BH233" s="1" t="s">
        <v>74</v>
      </c>
      <c r="BI233" s="1" t="s">
        <v>74</v>
      </c>
      <c r="BJ233" s="1" t="s">
        <v>74</v>
      </c>
      <c r="BK233" s="1" t="s">
        <v>74</v>
      </c>
      <c r="BL233" s="1" t="s">
        <v>74</v>
      </c>
      <c r="BM233" s="1" t="s">
        <v>74</v>
      </c>
      <c r="BN233" s="1">
        <v>2.8784528E7</v>
      </c>
      <c r="BO233" s="1" t="s">
        <v>74</v>
      </c>
      <c r="BP233" s="1" t="s">
        <v>74</v>
      </c>
      <c r="BQ233" s="1" t="s">
        <v>74</v>
      </c>
      <c r="BR233" s="1" t="s">
        <v>74</v>
      </c>
      <c r="BS233" s="1" t="s">
        <v>2421</v>
      </c>
      <c r="BT233" s="1" t="str">
        <f>HYPERLINK("https%3A%2F%2Fwww.webofscience.com%2Fwos%2Fwoscc%2Ffull-record%2FWOS:000409152200068","View Full Record in Web of Science")</f>
        <v>View Full Record in Web of Science</v>
      </c>
    </row>
    <row r="234" ht="12.75" customHeight="1">
      <c r="A234" s="1" t="s">
        <v>72</v>
      </c>
      <c r="B234" s="1" t="s">
        <v>2422</v>
      </c>
      <c r="C234" s="1" t="s">
        <v>74</v>
      </c>
      <c r="D234" s="1" t="s">
        <v>74</v>
      </c>
      <c r="E234" s="1" t="s">
        <v>74</v>
      </c>
      <c r="F234" s="1" t="s">
        <v>2423</v>
      </c>
      <c r="G234" s="1" t="s">
        <v>74</v>
      </c>
      <c r="H234" s="1" t="s">
        <v>74</v>
      </c>
      <c r="I234" s="1" t="s">
        <v>2424</v>
      </c>
      <c r="J234" s="1" t="s">
        <v>2425</v>
      </c>
      <c r="K234" s="1" t="s">
        <v>74</v>
      </c>
      <c r="L234" s="1" t="s">
        <v>74</v>
      </c>
      <c r="M234" s="1" t="s">
        <v>74</v>
      </c>
      <c r="N234" s="1" t="s">
        <v>74</v>
      </c>
      <c r="O234" s="1" t="s">
        <v>74</v>
      </c>
      <c r="P234" s="1" t="s">
        <v>74</v>
      </c>
      <c r="Q234" s="1" t="s">
        <v>74</v>
      </c>
      <c r="R234" s="1" t="s">
        <v>74</v>
      </c>
      <c r="S234" s="1" t="s">
        <v>74</v>
      </c>
      <c r="T234" s="1" t="s">
        <v>74</v>
      </c>
      <c r="U234" s="1" t="s">
        <v>74</v>
      </c>
      <c r="V234" s="1" t="s">
        <v>2426</v>
      </c>
      <c r="W234" s="1" t="s">
        <v>74</v>
      </c>
      <c r="X234" s="1" t="s">
        <v>74</v>
      </c>
      <c r="Y234" s="1" t="s">
        <v>74</v>
      </c>
      <c r="Z234" s="1" t="s">
        <v>74</v>
      </c>
      <c r="AA234" s="1" t="s">
        <v>2427</v>
      </c>
      <c r="AB234" s="1" t="s">
        <v>2428</v>
      </c>
      <c r="AC234" s="1" t="s">
        <v>74</v>
      </c>
      <c r="AD234" s="1" t="s">
        <v>74</v>
      </c>
      <c r="AE234" s="1" t="s">
        <v>74</v>
      </c>
      <c r="AF234" s="1" t="s">
        <v>74</v>
      </c>
      <c r="AG234" s="1" t="s">
        <v>74</v>
      </c>
      <c r="AH234" s="1" t="s">
        <v>74</v>
      </c>
      <c r="AI234" s="1" t="s">
        <v>74</v>
      </c>
      <c r="AJ234" s="1" t="s">
        <v>74</v>
      </c>
      <c r="AK234" s="1" t="s">
        <v>74</v>
      </c>
      <c r="AL234" s="1" t="s">
        <v>74</v>
      </c>
      <c r="AM234" s="1" t="s">
        <v>74</v>
      </c>
      <c r="AN234" s="1" t="s">
        <v>74</v>
      </c>
      <c r="AO234" s="1" t="s">
        <v>74</v>
      </c>
      <c r="AP234" s="1" t="s">
        <v>2429</v>
      </c>
      <c r="AQ234" s="1" t="s">
        <v>74</v>
      </c>
      <c r="AR234" s="1" t="s">
        <v>74</v>
      </c>
      <c r="AS234" s="1" t="s">
        <v>74</v>
      </c>
      <c r="AT234" s="1" t="s">
        <v>421</v>
      </c>
      <c r="AU234" s="1">
        <v>2017.0</v>
      </c>
      <c r="AV234" s="1">
        <v>7.0</v>
      </c>
      <c r="AW234" s="1">
        <v>5.0</v>
      </c>
      <c r="AX234" s="1" t="s">
        <v>74</v>
      </c>
      <c r="AY234" s="1" t="s">
        <v>74</v>
      </c>
      <c r="AZ234" s="1" t="s">
        <v>74</v>
      </c>
      <c r="BA234" s="1" t="s">
        <v>74</v>
      </c>
      <c r="BB234" s="1" t="s">
        <v>74</v>
      </c>
      <c r="BC234" s="1" t="s">
        <v>74</v>
      </c>
      <c r="BD234" s="1">
        <v>106.0</v>
      </c>
      <c r="BE234" s="1" t="s">
        <v>2430</v>
      </c>
      <c r="BF234" s="2" t="str">
        <f>HYPERLINK("http://dx.doi.org/10.3390/nano7050106","http://dx.doi.org/10.3390/nano7050106")</f>
        <v>http://dx.doi.org/10.3390/nano7050106</v>
      </c>
      <c r="BG234" s="1" t="s">
        <v>74</v>
      </c>
      <c r="BH234" s="1" t="s">
        <v>74</v>
      </c>
      <c r="BI234" s="1" t="s">
        <v>74</v>
      </c>
      <c r="BJ234" s="1" t="s">
        <v>74</v>
      </c>
      <c r="BK234" s="1" t="s">
        <v>74</v>
      </c>
      <c r="BL234" s="1" t="s">
        <v>74</v>
      </c>
      <c r="BM234" s="1" t="s">
        <v>74</v>
      </c>
      <c r="BN234" s="1">
        <v>2.849247E7</v>
      </c>
      <c r="BO234" s="1" t="s">
        <v>74</v>
      </c>
      <c r="BP234" s="1" t="s">
        <v>74</v>
      </c>
      <c r="BQ234" s="1" t="s">
        <v>74</v>
      </c>
      <c r="BR234" s="1" t="s">
        <v>74</v>
      </c>
      <c r="BS234" s="1" t="s">
        <v>2431</v>
      </c>
      <c r="BT234" s="1" t="str">
        <f>HYPERLINK("https%3A%2F%2Fwww.webofscience.com%2Fwos%2Fwoscc%2Ffull-record%2FWOS:000404048600014","View Full Record in Web of Science")</f>
        <v>View Full Record in Web of Science</v>
      </c>
    </row>
    <row r="235" ht="12.75" customHeight="1">
      <c r="A235" s="1" t="s">
        <v>72</v>
      </c>
      <c r="B235" s="1" t="s">
        <v>2432</v>
      </c>
      <c r="C235" s="1" t="s">
        <v>74</v>
      </c>
      <c r="D235" s="1" t="s">
        <v>74</v>
      </c>
      <c r="E235" s="1" t="s">
        <v>74</v>
      </c>
      <c r="F235" s="1" t="s">
        <v>2433</v>
      </c>
      <c r="G235" s="1" t="s">
        <v>74</v>
      </c>
      <c r="H235" s="1" t="s">
        <v>74</v>
      </c>
      <c r="I235" s="1" t="s">
        <v>2434</v>
      </c>
      <c r="J235" s="1" t="s">
        <v>2435</v>
      </c>
      <c r="K235" s="1" t="s">
        <v>74</v>
      </c>
      <c r="L235" s="1" t="s">
        <v>74</v>
      </c>
      <c r="M235" s="1" t="s">
        <v>74</v>
      </c>
      <c r="N235" s="1" t="s">
        <v>74</v>
      </c>
      <c r="O235" s="1" t="s">
        <v>74</v>
      </c>
      <c r="P235" s="1" t="s">
        <v>74</v>
      </c>
      <c r="Q235" s="1" t="s">
        <v>74</v>
      </c>
      <c r="R235" s="1" t="s">
        <v>74</v>
      </c>
      <c r="S235" s="1" t="s">
        <v>74</v>
      </c>
      <c r="T235" s="1" t="s">
        <v>74</v>
      </c>
      <c r="U235" s="1" t="s">
        <v>74</v>
      </c>
      <c r="V235" s="1" t="s">
        <v>2436</v>
      </c>
      <c r="W235" s="1" t="s">
        <v>74</v>
      </c>
      <c r="X235" s="1" t="s">
        <v>74</v>
      </c>
      <c r="Y235" s="1" t="s">
        <v>74</v>
      </c>
      <c r="Z235" s="1" t="s">
        <v>74</v>
      </c>
      <c r="AA235" s="1" t="s">
        <v>2437</v>
      </c>
      <c r="AB235" s="1" t="s">
        <v>2438</v>
      </c>
      <c r="AC235" s="1" t="s">
        <v>74</v>
      </c>
      <c r="AD235" s="1" t="s">
        <v>74</v>
      </c>
      <c r="AE235" s="1" t="s">
        <v>74</v>
      </c>
      <c r="AF235" s="1" t="s">
        <v>74</v>
      </c>
      <c r="AG235" s="1" t="s">
        <v>74</v>
      </c>
      <c r="AH235" s="1" t="s">
        <v>74</v>
      </c>
      <c r="AI235" s="1" t="s">
        <v>74</v>
      </c>
      <c r="AJ235" s="1" t="s">
        <v>74</v>
      </c>
      <c r="AK235" s="1" t="s">
        <v>74</v>
      </c>
      <c r="AL235" s="1" t="s">
        <v>74</v>
      </c>
      <c r="AM235" s="1" t="s">
        <v>74</v>
      </c>
      <c r="AN235" s="1" t="s">
        <v>74</v>
      </c>
      <c r="AO235" s="1" t="s">
        <v>2439</v>
      </c>
      <c r="AP235" s="1" t="s">
        <v>2440</v>
      </c>
      <c r="AQ235" s="1" t="s">
        <v>74</v>
      </c>
      <c r="AR235" s="1" t="s">
        <v>74</v>
      </c>
      <c r="AS235" s="1" t="s">
        <v>74</v>
      </c>
      <c r="AT235" s="1" t="s">
        <v>841</v>
      </c>
      <c r="AU235" s="1">
        <v>2017.0</v>
      </c>
      <c r="AV235" s="1">
        <v>230.0</v>
      </c>
      <c r="AW235" s="1" t="s">
        <v>74</v>
      </c>
      <c r="AX235" s="1" t="s">
        <v>74</v>
      </c>
      <c r="AY235" s="1" t="s">
        <v>74</v>
      </c>
      <c r="AZ235" s="1" t="s">
        <v>74</v>
      </c>
      <c r="BA235" s="1" t="s">
        <v>74</v>
      </c>
      <c r="BB235" s="1">
        <v>56.0</v>
      </c>
      <c r="BC235" s="1">
        <v>66.0</v>
      </c>
      <c r="BD235" s="1" t="s">
        <v>74</v>
      </c>
      <c r="BE235" s="1" t="s">
        <v>2441</v>
      </c>
      <c r="BF235" s="2" t="str">
        <f>HYPERLINK("http://dx.doi.org/10.1016/j.biortech.2017.01.037","http://dx.doi.org/10.1016/j.biortech.2017.01.037")</f>
        <v>http://dx.doi.org/10.1016/j.biortech.2017.01.037</v>
      </c>
      <c r="BG235" s="1" t="s">
        <v>74</v>
      </c>
      <c r="BH235" s="1" t="s">
        <v>74</v>
      </c>
      <c r="BI235" s="1" t="s">
        <v>74</v>
      </c>
      <c r="BJ235" s="1" t="s">
        <v>74</v>
      </c>
      <c r="BK235" s="1" t="s">
        <v>74</v>
      </c>
      <c r="BL235" s="1" t="s">
        <v>74</v>
      </c>
      <c r="BM235" s="1" t="s">
        <v>74</v>
      </c>
      <c r="BN235" s="1">
        <v>2.8160659E7</v>
      </c>
      <c r="BO235" s="1" t="s">
        <v>74</v>
      </c>
      <c r="BP235" s="1" t="s">
        <v>74</v>
      </c>
      <c r="BQ235" s="1" t="s">
        <v>74</v>
      </c>
      <c r="BR235" s="1" t="s">
        <v>74</v>
      </c>
      <c r="BS235" s="1" t="s">
        <v>2442</v>
      </c>
      <c r="BT235" s="1" t="str">
        <f>HYPERLINK("https%3A%2F%2Fwww.webofscience.com%2Fwos%2Fwoscc%2Ffull-record%2FWOS:000400865800008","View Full Record in Web of Science")</f>
        <v>View Full Record in Web of Science</v>
      </c>
    </row>
    <row r="236" ht="12.75" customHeight="1">
      <c r="A236" s="1" t="s">
        <v>72</v>
      </c>
      <c r="B236" s="1" t="s">
        <v>2443</v>
      </c>
      <c r="C236" s="1" t="s">
        <v>74</v>
      </c>
      <c r="D236" s="1" t="s">
        <v>74</v>
      </c>
      <c r="E236" s="1" t="s">
        <v>74</v>
      </c>
      <c r="F236" s="1" t="s">
        <v>2444</v>
      </c>
      <c r="G236" s="1" t="s">
        <v>74</v>
      </c>
      <c r="H236" s="1" t="s">
        <v>74</v>
      </c>
      <c r="I236" s="1" t="s">
        <v>2445</v>
      </c>
      <c r="J236" s="1" t="s">
        <v>2446</v>
      </c>
      <c r="K236" s="1" t="s">
        <v>74</v>
      </c>
      <c r="L236" s="1" t="s">
        <v>74</v>
      </c>
      <c r="M236" s="1" t="s">
        <v>74</v>
      </c>
      <c r="N236" s="1" t="s">
        <v>74</v>
      </c>
      <c r="O236" s="1" t="s">
        <v>74</v>
      </c>
      <c r="P236" s="1" t="s">
        <v>74</v>
      </c>
      <c r="Q236" s="1" t="s">
        <v>74</v>
      </c>
      <c r="R236" s="1" t="s">
        <v>74</v>
      </c>
      <c r="S236" s="1" t="s">
        <v>74</v>
      </c>
      <c r="T236" s="1" t="s">
        <v>74</v>
      </c>
      <c r="U236" s="1" t="s">
        <v>74</v>
      </c>
      <c r="V236" s="1" t="s">
        <v>2447</v>
      </c>
      <c r="W236" s="1" t="s">
        <v>74</v>
      </c>
      <c r="X236" s="1" t="s">
        <v>74</v>
      </c>
      <c r="Y236" s="1" t="s">
        <v>74</v>
      </c>
      <c r="Z236" s="1" t="s">
        <v>74</v>
      </c>
      <c r="AA236" s="1" t="s">
        <v>2448</v>
      </c>
      <c r="AB236" s="1" t="s">
        <v>2449</v>
      </c>
      <c r="AC236" s="1" t="s">
        <v>74</v>
      </c>
      <c r="AD236" s="1" t="s">
        <v>74</v>
      </c>
      <c r="AE236" s="1" t="s">
        <v>74</v>
      </c>
      <c r="AF236" s="1" t="s">
        <v>74</v>
      </c>
      <c r="AG236" s="1" t="s">
        <v>74</v>
      </c>
      <c r="AH236" s="1" t="s">
        <v>74</v>
      </c>
      <c r="AI236" s="1" t="s">
        <v>74</v>
      </c>
      <c r="AJ236" s="1" t="s">
        <v>74</v>
      </c>
      <c r="AK236" s="1" t="s">
        <v>74</v>
      </c>
      <c r="AL236" s="1" t="s">
        <v>74</v>
      </c>
      <c r="AM236" s="1" t="s">
        <v>74</v>
      </c>
      <c r="AN236" s="1" t="s">
        <v>74</v>
      </c>
      <c r="AO236" s="1" t="s">
        <v>2450</v>
      </c>
      <c r="AP236" s="1" t="s">
        <v>2451</v>
      </c>
      <c r="AQ236" s="1" t="s">
        <v>74</v>
      </c>
      <c r="AR236" s="1" t="s">
        <v>74</v>
      </c>
      <c r="AS236" s="1" t="s">
        <v>74</v>
      </c>
      <c r="AT236" s="1" t="s">
        <v>74</v>
      </c>
      <c r="AU236" s="1">
        <v>2017.0</v>
      </c>
      <c r="AV236" s="1">
        <v>2017.0</v>
      </c>
      <c r="AW236" s="1" t="s">
        <v>74</v>
      </c>
      <c r="AX236" s="1" t="s">
        <v>74</v>
      </c>
      <c r="AY236" s="1" t="s">
        <v>74</v>
      </c>
      <c r="AZ236" s="1" t="s">
        <v>74</v>
      </c>
      <c r="BA236" s="1" t="s">
        <v>74</v>
      </c>
      <c r="BB236" s="1" t="s">
        <v>74</v>
      </c>
      <c r="BC236" s="1" t="s">
        <v>74</v>
      </c>
      <c r="BD236" s="1">
        <v>9124240.0</v>
      </c>
      <c r="BE236" s="1" t="s">
        <v>2452</v>
      </c>
      <c r="BF236" s="2" t="str">
        <f>HYPERLINK("http://dx.doi.org/10.1155/2017/9124240","http://dx.doi.org/10.1155/2017/9124240")</f>
        <v>http://dx.doi.org/10.1155/2017/9124240</v>
      </c>
      <c r="BG236" s="1" t="s">
        <v>74</v>
      </c>
      <c r="BH236" s="1" t="s">
        <v>74</v>
      </c>
      <c r="BI236" s="1" t="s">
        <v>74</v>
      </c>
      <c r="BJ236" s="1" t="s">
        <v>74</v>
      </c>
      <c r="BK236" s="1" t="s">
        <v>74</v>
      </c>
      <c r="BL236" s="1" t="s">
        <v>74</v>
      </c>
      <c r="BM236" s="1" t="s">
        <v>74</v>
      </c>
      <c r="BN236" s="1">
        <v>2.9375645E7</v>
      </c>
      <c r="BO236" s="1" t="s">
        <v>74</v>
      </c>
      <c r="BP236" s="1" t="s">
        <v>74</v>
      </c>
      <c r="BQ236" s="1" t="s">
        <v>74</v>
      </c>
      <c r="BR236" s="1" t="s">
        <v>74</v>
      </c>
      <c r="BS236" s="1" t="s">
        <v>2453</v>
      </c>
      <c r="BT236" s="1" t="str">
        <f>HYPERLINK("https%3A%2F%2Fwww.webofscience.com%2Fwos%2Fwoscc%2Ffull-record%2FWOS:000418806800001","View Full Record in Web of Science")</f>
        <v>View Full Record in Web of Science</v>
      </c>
    </row>
    <row r="237" ht="12.75" customHeight="1">
      <c r="A237" s="1" t="s">
        <v>147</v>
      </c>
      <c r="B237" s="1" t="s">
        <v>2454</v>
      </c>
      <c r="C237" s="1" t="s">
        <v>74</v>
      </c>
      <c r="D237" s="1" t="s">
        <v>74</v>
      </c>
      <c r="E237" s="1" t="s">
        <v>793</v>
      </c>
      <c r="F237" s="1" t="s">
        <v>2455</v>
      </c>
      <c r="G237" s="1" t="s">
        <v>74</v>
      </c>
      <c r="H237" s="1" t="s">
        <v>74</v>
      </c>
      <c r="I237" s="1" t="s">
        <v>2456</v>
      </c>
      <c r="J237" s="1" t="s">
        <v>2457</v>
      </c>
      <c r="K237" s="1" t="s">
        <v>74</v>
      </c>
      <c r="L237" s="1" t="s">
        <v>74</v>
      </c>
      <c r="M237" s="1" t="s">
        <v>74</v>
      </c>
      <c r="N237" s="1" t="s">
        <v>74</v>
      </c>
      <c r="O237" s="1" t="s">
        <v>2458</v>
      </c>
      <c r="P237" s="1" t="s">
        <v>1621</v>
      </c>
      <c r="Q237" s="1" t="s">
        <v>2459</v>
      </c>
      <c r="R237" s="1" t="s">
        <v>2460</v>
      </c>
      <c r="S237" s="1" t="s">
        <v>74</v>
      </c>
      <c r="T237" s="1" t="s">
        <v>74</v>
      </c>
      <c r="U237" s="1" t="s">
        <v>74</v>
      </c>
      <c r="V237" s="1" t="s">
        <v>2461</v>
      </c>
      <c r="W237" s="1" t="s">
        <v>74</v>
      </c>
      <c r="X237" s="1" t="s">
        <v>74</v>
      </c>
      <c r="Y237" s="1" t="s">
        <v>74</v>
      </c>
      <c r="Z237" s="1" t="s">
        <v>74</v>
      </c>
      <c r="AA237" s="1" t="s">
        <v>1689</v>
      </c>
      <c r="AB237" s="1" t="s">
        <v>1690</v>
      </c>
      <c r="AC237" s="1" t="s">
        <v>74</v>
      </c>
      <c r="AD237" s="1" t="s">
        <v>74</v>
      </c>
      <c r="AE237" s="1" t="s">
        <v>74</v>
      </c>
      <c r="AF237" s="1" t="s">
        <v>74</v>
      </c>
      <c r="AG237" s="1" t="s">
        <v>74</v>
      </c>
      <c r="AH237" s="1" t="s">
        <v>74</v>
      </c>
      <c r="AI237" s="1" t="s">
        <v>74</v>
      </c>
      <c r="AJ237" s="1" t="s">
        <v>74</v>
      </c>
      <c r="AK237" s="1" t="s">
        <v>74</v>
      </c>
      <c r="AL237" s="1" t="s">
        <v>74</v>
      </c>
      <c r="AM237" s="1" t="s">
        <v>74</v>
      </c>
      <c r="AN237" s="1" t="s">
        <v>74</v>
      </c>
      <c r="AO237" s="1" t="s">
        <v>74</v>
      </c>
      <c r="AP237" s="1" t="s">
        <v>74</v>
      </c>
      <c r="AQ237" s="1" t="s">
        <v>2462</v>
      </c>
      <c r="AR237" s="1" t="s">
        <v>74</v>
      </c>
      <c r="AS237" s="1" t="s">
        <v>74</v>
      </c>
      <c r="AT237" s="1" t="s">
        <v>74</v>
      </c>
      <c r="AU237" s="1">
        <v>2017.0</v>
      </c>
      <c r="AV237" s="1" t="s">
        <v>74</v>
      </c>
      <c r="AW237" s="1" t="s">
        <v>74</v>
      </c>
      <c r="AX237" s="1" t="s">
        <v>74</v>
      </c>
      <c r="AY237" s="1" t="s">
        <v>74</v>
      </c>
      <c r="AZ237" s="1" t="s">
        <v>74</v>
      </c>
      <c r="BA237" s="1" t="s">
        <v>74</v>
      </c>
      <c r="BB237" s="1" t="s">
        <v>74</v>
      </c>
      <c r="BC237" s="1" t="s">
        <v>74</v>
      </c>
      <c r="BD237" s="1" t="s">
        <v>74</v>
      </c>
      <c r="BE237" s="1" t="s">
        <v>74</v>
      </c>
      <c r="BF237" s="1" t="s">
        <v>74</v>
      </c>
      <c r="BG237" s="1" t="s">
        <v>74</v>
      </c>
      <c r="BH237" s="1" t="s">
        <v>74</v>
      </c>
      <c r="BI237" s="1" t="s">
        <v>74</v>
      </c>
      <c r="BJ237" s="1" t="s">
        <v>74</v>
      </c>
      <c r="BK237" s="1" t="s">
        <v>74</v>
      </c>
      <c r="BL237" s="1" t="s">
        <v>74</v>
      </c>
      <c r="BM237" s="1" t="s">
        <v>74</v>
      </c>
      <c r="BN237" s="1" t="s">
        <v>74</v>
      </c>
      <c r="BO237" s="1" t="s">
        <v>74</v>
      </c>
      <c r="BP237" s="1" t="s">
        <v>74</v>
      </c>
      <c r="BQ237" s="1" t="s">
        <v>74</v>
      </c>
      <c r="BR237" s="1" t="s">
        <v>74</v>
      </c>
      <c r="BS237" s="1" t="s">
        <v>2463</v>
      </c>
      <c r="BT237" s="1" t="str">
        <f>HYPERLINK("https%3A%2F%2Fwww.webofscience.com%2Fwos%2Fwoscc%2Ffull-record%2FWOS:000425925000020","View Full Record in Web of Science")</f>
        <v>View Full Record in Web of Science</v>
      </c>
    </row>
    <row r="238" ht="12.75" customHeight="1">
      <c r="A238" s="1" t="s">
        <v>72</v>
      </c>
      <c r="B238" s="1" t="s">
        <v>2464</v>
      </c>
      <c r="C238" s="1" t="s">
        <v>74</v>
      </c>
      <c r="D238" s="1" t="s">
        <v>74</v>
      </c>
      <c r="E238" s="1" t="s">
        <v>74</v>
      </c>
      <c r="F238" s="1" t="s">
        <v>2465</v>
      </c>
      <c r="G238" s="1" t="s">
        <v>74</v>
      </c>
      <c r="H238" s="1" t="s">
        <v>74</v>
      </c>
      <c r="I238" s="1" t="s">
        <v>2466</v>
      </c>
      <c r="J238" s="1" t="s">
        <v>987</v>
      </c>
      <c r="K238" s="1" t="s">
        <v>74</v>
      </c>
      <c r="L238" s="1" t="s">
        <v>74</v>
      </c>
      <c r="M238" s="1" t="s">
        <v>74</v>
      </c>
      <c r="N238" s="1" t="s">
        <v>74</v>
      </c>
      <c r="O238" s="1" t="s">
        <v>74</v>
      </c>
      <c r="P238" s="1" t="s">
        <v>74</v>
      </c>
      <c r="Q238" s="1" t="s">
        <v>74</v>
      </c>
      <c r="R238" s="1" t="s">
        <v>74</v>
      </c>
      <c r="S238" s="1" t="s">
        <v>74</v>
      </c>
      <c r="T238" s="1" t="s">
        <v>74</v>
      </c>
      <c r="U238" s="1" t="s">
        <v>74</v>
      </c>
      <c r="V238" s="1" t="s">
        <v>2467</v>
      </c>
      <c r="W238" s="1" t="s">
        <v>74</v>
      </c>
      <c r="X238" s="1" t="s">
        <v>74</v>
      </c>
      <c r="Y238" s="1" t="s">
        <v>74</v>
      </c>
      <c r="Z238" s="1" t="s">
        <v>74</v>
      </c>
      <c r="AA238" s="1" t="s">
        <v>2468</v>
      </c>
      <c r="AB238" s="1" t="s">
        <v>2469</v>
      </c>
      <c r="AC238" s="1" t="s">
        <v>74</v>
      </c>
      <c r="AD238" s="1" t="s">
        <v>74</v>
      </c>
      <c r="AE238" s="1" t="s">
        <v>74</v>
      </c>
      <c r="AF238" s="1" t="s">
        <v>74</v>
      </c>
      <c r="AG238" s="1" t="s">
        <v>74</v>
      </c>
      <c r="AH238" s="1" t="s">
        <v>74</v>
      </c>
      <c r="AI238" s="1" t="s">
        <v>74</v>
      </c>
      <c r="AJ238" s="1" t="s">
        <v>74</v>
      </c>
      <c r="AK238" s="1" t="s">
        <v>74</v>
      </c>
      <c r="AL238" s="1" t="s">
        <v>74</v>
      </c>
      <c r="AM238" s="1" t="s">
        <v>74</v>
      </c>
      <c r="AN238" s="1" t="s">
        <v>74</v>
      </c>
      <c r="AO238" s="1" t="s">
        <v>991</v>
      </c>
      <c r="AP238" s="1" t="s">
        <v>74</v>
      </c>
      <c r="AQ238" s="1" t="s">
        <v>74</v>
      </c>
      <c r="AR238" s="1" t="s">
        <v>74</v>
      </c>
      <c r="AS238" s="1" t="s">
        <v>74</v>
      </c>
      <c r="AT238" s="1" t="s">
        <v>415</v>
      </c>
      <c r="AU238" s="1">
        <v>2016.0</v>
      </c>
      <c r="AV238" s="1">
        <v>61.0</v>
      </c>
      <c r="AW238" s="1">
        <v>4.0</v>
      </c>
      <c r="AX238" s="1" t="s">
        <v>74</v>
      </c>
      <c r="AY238" s="1" t="s">
        <v>74</v>
      </c>
      <c r="AZ238" s="1" t="s">
        <v>74</v>
      </c>
      <c r="BA238" s="1" t="s">
        <v>74</v>
      </c>
      <c r="BB238" s="1">
        <v>3281.0</v>
      </c>
      <c r="BC238" s="1">
        <v>3286.0</v>
      </c>
      <c r="BD238" s="1" t="s">
        <v>74</v>
      </c>
      <c r="BE238" s="1" t="s">
        <v>2470</v>
      </c>
      <c r="BF238" s="2" t="str">
        <f>HYPERLINK("http://dx.doi.org/10.4067/S0717-97072016000400026","http://dx.doi.org/10.4067/S0717-97072016000400026")</f>
        <v>http://dx.doi.org/10.4067/S0717-97072016000400026</v>
      </c>
      <c r="BG238" s="1" t="s">
        <v>74</v>
      </c>
      <c r="BH238" s="1" t="s">
        <v>74</v>
      </c>
      <c r="BI238" s="1" t="s">
        <v>74</v>
      </c>
      <c r="BJ238" s="1" t="s">
        <v>74</v>
      </c>
      <c r="BK238" s="1" t="s">
        <v>74</v>
      </c>
      <c r="BL238" s="1" t="s">
        <v>74</v>
      </c>
      <c r="BM238" s="1" t="s">
        <v>74</v>
      </c>
      <c r="BN238" s="1" t="s">
        <v>74</v>
      </c>
      <c r="BO238" s="1" t="s">
        <v>74</v>
      </c>
      <c r="BP238" s="1" t="s">
        <v>74</v>
      </c>
      <c r="BQ238" s="1" t="s">
        <v>74</v>
      </c>
      <c r="BR238" s="1" t="s">
        <v>74</v>
      </c>
      <c r="BS238" s="1" t="s">
        <v>2471</v>
      </c>
      <c r="BT238" s="1" t="str">
        <f>HYPERLINK("https%3A%2F%2Fwww.webofscience.com%2Fwos%2Fwoscc%2Ffull-record%2FWOS:000393079900026","View Full Record in Web of Science")</f>
        <v>View Full Record in Web of Science</v>
      </c>
    </row>
    <row r="239" ht="12.75" customHeight="1">
      <c r="A239" s="1" t="s">
        <v>72</v>
      </c>
      <c r="B239" s="1" t="s">
        <v>2472</v>
      </c>
      <c r="C239" s="1" t="s">
        <v>74</v>
      </c>
      <c r="D239" s="1" t="s">
        <v>74</v>
      </c>
      <c r="E239" s="1" t="s">
        <v>74</v>
      </c>
      <c r="F239" s="1" t="s">
        <v>2473</v>
      </c>
      <c r="G239" s="1" t="s">
        <v>74</v>
      </c>
      <c r="H239" s="1" t="s">
        <v>74</v>
      </c>
      <c r="I239" s="1" t="s">
        <v>2474</v>
      </c>
      <c r="J239" s="1" t="s">
        <v>2475</v>
      </c>
      <c r="K239" s="1" t="s">
        <v>74</v>
      </c>
      <c r="L239" s="1" t="s">
        <v>74</v>
      </c>
      <c r="M239" s="1" t="s">
        <v>74</v>
      </c>
      <c r="N239" s="1" t="s">
        <v>74</v>
      </c>
      <c r="O239" s="1" t="s">
        <v>74</v>
      </c>
      <c r="P239" s="1" t="s">
        <v>74</v>
      </c>
      <c r="Q239" s="1" t="s">
        <v>74</v>
      </c>
      <c r="R239" s="1" t="s">
        <v>74</v>
      </c>
      <c r="S239" s="1" t="s">
        <v>74</v>
      </c>
      <c r="T239" s="1" t="s">
        <v>74</v>
      </c>
      <c r="U239" s="1" t="s">
        <v>74</v>
      </c>
      <c r="V239" s="1" t="s">
        <v>2476</v>
      </c>
      <c r="W239" s="1" t="s">
        <v>74</v>
      </c>
      <c r="X239" s="1" t="s">
        <v>74</v>
      </c>
      <c r="Y239" s="1" t="s">
        <v>74</v>
      </c>
      <c r="Z239" s="1" t="s">
        <v>74</v>
      </c>
      <c r="AA239" s="1" t="s">
        <v>2477</v>
      </c>
      <c r="AB239" s="1" t="s">
        <v>2478</v>
      </c>
      <c r="AC239" s="1" t="s">
        <v>74</v>
      </c>
      <c r="AD239" s="1" t="s">
        <v>74</v>
      </c>
      <c r="AE239" s="1" t="s">
        <v>74</v>
      </c>
      <c r="AF239" s="1" t="s">
        <v>74</v>
      </c>
      <c r="AG239" s="1" t="s">
        <v>74</v>
      </c>
      <c r="AH239" s="1" t="s">
        <v>74</v>
      </c>
      <c r="AI239" s="1" t="s">
        <v>74</v>
      </c>
      <c r="AJ239" s="1" t="s">
        <v>74</v>
      </c>
      <c r="AK239" s="1" t="s">
        <v>74</v>
      </c>
      <c r="AL239" s="1" t="s">
        <v>74</v>
      </c>
      <c r="AM239" s="1" t="s">
        <v>74</v>
      </c>
      <c r="AN239" s="1" t="s">
        <v>74</v>
      </c>
      <c r="AO239" s="1" t="s">
        <v>2479</v>
      </c>
      <c r="AP239" s="1" t="s">
        <v>2480</v>
      </c>
      <c r="AQ239" s="1" t="s">
        <v>74</v>
      </c>
      <c r="AR239" s="1" t="s">
        <v>74</v>
      </c>
      <c r="AS239" s="1" t="s">
        <v>74</v>
      </c>
      <c r="AT239" s="1" t="s">
        <v>112</v>
      </c>
      <c r="AU239" s="1">
        <v>2016.0</v>
      </c>
      <c r="AV239" s="1">
        <v>54.0</v>
      </c>
      <c r="AW239" s="1">
        <v>11.0</v>
      </c>
      <c r="AX239" s="1" t="s">
        <v>74</v>
      </c>
      <c r="AY239" s="1" t="s">
        <v>74</v>
      </c>
      <c r="AZ239" s="1" t="s">
        <v>74</v>
      </c>
      <c r="BA239" s="1" t="s">
        <v>74</v>
      </c>
      <c r="BB239" s="1">
        <v>870.0</v>
      </c>
      <c r="BC239" s="1">
        <v>873.0</v>
      </c>
      <c r="BD239" s="1" t="s">
        <v>74</v>
      </c>
      <c r="BE239" s="1" t="s">
        <v>2481</v>
      </c>
      <c r="BF239" s="2" t="str">
        <f>HYPERLINK("http://dx.doi.org/10.1002/mrc.4485","http://dx.doi.org/10.1002/mrc.4485")</f>
        <v>http://dx.doi.org/10.1002/mrc.4485</v>
      </c>
      <c r="BG239" s="1" t="s">
        <v>74</v>
      </c>
      <c r="BH239" s="1" t="s">
        <v>74</v>
      </c>
      <c r="BI239" s="1" t="s">
        <v>74</v>
      </c>
      <c r="BJ239" s="1" t="s">
        <v>74</v>
      </c>
      <c r="BK239" s="1" t="s">
        <v>74</v>
      </c>
      <c r="BL239" s="1" t="s">
        <v>74</v>
      </c>
      <c r="BM239" s="1" t="s">
        <v>74</v>
      </c>
      <c r="BN239" s="1">
        <v>2.741281E7</v>
      </c>
      <c r="BO239" s="1" t="s">
        <v>74</v>
      </c>
      <c r="BP239" s="1" t="s">
        <v>74</v>
      </c>
      <c r="BQ239" s="1" t="s">
        <v>74</v>
      </c>
      <c r="BR239" s="1" t="s">
        <v>74</v>
      </c>
      <c r="BS239" s="1" t="s">
        <v>2482</v>
      </c>
      <c r="BT239" s="1" t="str">
        <f>HYPERLINK("https%3A%2F%2Fwww.webofscience.com%2Fwos%2Fwoscc%2Ffull-record%2FWOS:000386019600002","View Full Record in Web of Science")</f>
        <v>View Full Record in Web of Science</v>
      </c>
    </row>
    <row r="240" ht="12.75" customHeight="1">
      <c r="A240" s="1" t="s">
        <v>72</v>
      </c>
      <c r="B240" s="1" t="s">
        <v>2483</v>
      </c>
      <c r="C240" s="1" t="s">
        <v>74</v>
      </c>
      <c r="D240" s="1" t="s">
        <v>74</v>
      </c>
      <c r="E240" s="1" t="s">
        <v>74</v>
      </c>
      <c r="F240" s="1" t="s">
        <v>2484</v>
      </c>
      <c r="G240" s="1" t="s">
        <v>74</v>
      </c>
      <c r="H240" s="1" t="s">
        <v>74</v>
      </c>
      <c r="I240" s="1" t="s">
        <v>2485</v>
      </c>
      <c r="J240" s="1" t="s">
        <v>2486</v>
      </c>
      <c r="K240" s="1" t="s">
        <v>74</v>
      </c>
      <c r="L240" s="1" t="s">
        <v>74</v>
      </c>
      <c r="M240" s="1" t="s">
        <v>74</v>
      </c>
      <c r="N240" s="1" t="s">
        <v>74</v>
      </c>
      <c r="O240" s="1" t="s">
        <v>74</v>
      </c>
      <c r="P240" s="1" t="s">
        <v>74</v>
      </c>
      <c r="Q240" s="1" t="s">
        <v>74</v>
      </c>
      <c r="R240" s="1" t="s">
        <v>74</v>
      </c>
      <c r="S240" s="1" t="s">
        <v>74</v>
      </c>
      <c r="T240" s="1" t="s">
        <v>74</v>
      </c>
      <c r="U240" s="1" t="s">
        <v>74</v>
      </c>
      <c r="V240" s="1" t="s">
        <v>2487</v>
      </c>
      <c r="W240" s="1" t="s">
        <v>74</v>
      </c>
      <c r="X240" s="1" t="s">
        <v>74</v>
      </c>
      <c r="Y240" s="1" t="s">
        <v>74</v>
      </c>
      <c r="Z240" s="1" t="s">
        <v>74</v>
      </c>
      <c r="AA240" s="1" t="s">
        <v>74</v>
      </c>
      <c r="AB240" s="1" t="s">
        <v>2488</v>
      </c>
      <c r="AC240" s="1" t="s">
        <v>74</v>
      </c>
      <c r="AD240" s="1" t="s">
        <v>74</v>
      </c>
      <c r="AE240" s="1" t="s">
        <v>74</v>
      </c>
      <c r="AF240" s="1" t="s">
        <v>74</v>
      </c>
      <c r="AG240" s="1" t="s">
        <v>74</v>
      </c>
      <c r="AH240" s="1" t="s">
        <v>74</v>
      </c>
      <c r="AI240" s="1" t="s">
        <v>74</v>
      </c>
      <c r="AJ240" s="1" t="s">
        <v>74</v>
      </c>
      <c r="AK240" s="1" t="s">
        <v>74</v>
      </c>
      <c r="AL240" s="1" t="s">
        <v>74</v>
      </c>
      <c r="AM240" s="1" t="s">
        <v>74</v>
      </c>
      <c r="AN240" s="1" t="s">
        <v>74</v>
      </c>
      <c r="AO240" s="1" t="s">
        <v>2489</v>
      </c>
      <c r="AP240" s="1" t="s">
        <v>2490</v>
      </c>
      <c r="AQ240" s="1" t="s">
        <v>74</v>
      </c>
      <c r="AR240" s="1" t="s">
        <v>74</v>
      </c>
      <c r="AS240" s="1" t="s">
        <v>74</v>
      </c>
      <c r="AT240" s="1" t="s">
        <v>74</v>
      </c>
      <c r="AU240" s="1">
        <v>2016.0</v>
      </c>
      <c r="AV240" s="1">
        <v>65.0</v>
      </c>
      <c r="AW240" s="1">
        <v>3.0</v>
      </c>
      <c r="AX240" s="1" t="s">
        <v>74</v>
      </c>
      <c r="AY240" s="1" t="s">
        <v>74</v>
      </c>
      <c r="AZ240" s="1" t="s">
        <v>74</v>
      </c>
      <c r="BA240" s="1" t="s">
        <v>74</v>
      </c>
      <c r="BB240" s="1">
        <v>779.0</v>
      </c>
      <c r="BC240" s="1">
        <v>795.0</v>
      </c>
      <c r="BD240" s="1" t="s">
        <v>74</v>
      </c>
      <c r="BE240" s="1" t="s">
        <v>74</v>
      </c>
      <c r="BF240" s="1" t="s">
        <v>74</v>
      </c>
      <c r="BG240" s="1" t="s">
        <v>74</v>
      </c>
      <c r="BH240" s="1" t="s">
        <v>74</v>
      </c>
      <c r="BI240" s="1" t="s">
        <v>74</v>
      </c>
      <c r="BJ240" s="1" t="s">
        <v>74</v>
      </c>
      <c r="BK240" s="1" t="s">
        <v>74</v>
      </c>
      <c r="BL240" s="1" t="s">
        <v>74</v>
      </c>
      <c r="BM240" s="1" t="s">
        <v>74</v>
      </c>
      <c r="BN240" s="1" t="s">
        <v>74</v>
      </c>
      <c r="BO240" s="1" t="s">
        <v>74</v>
      </c>
      <c r="BP240" s="1" t="s">
        <v>74</v>
      </c>
      <c r="BQ240" s="1" t="s">
        <v>74</v>
      </c>
      <c r="BR240" s="1" t="s">
        <v>74</v>
      </c>
      <c r="BS240" s="1" t="s">
        <v>2491</v>
      </c>
      <c r="BT240" s="1" t="str">
        <f>HYPERLINK("https%3A%2F%2Fwww.webofscience.com%2Fwos%2Fwoscc%2Ffull-record%2FWOS:000381237600003","View Full Record in Web of Science")</f>
        <v>View Full Record in Web of Science</v>
      </c>
    </row>
    <row r="241" ht="12.75" customHeight="1">
      <c r="A241" s="1" t="s">
        <v>341</v>
      </c>
      <c r="B241" s="1" t="s">
        <v>2492</v>
      </c>
      <c r="C241" s="1" t="s">
        <v>74</v>
      </c>
      <c r="D241" s="1" t="s">
        <v>2493</v>
      </c>
      <c r="E241" s="1" t="s">
        <v>74</v>
      </c>
      <c r="F241" s="1" t="s">
        <v>2494</v>
      </c>
      <c r="G241" s="1" t="s">
        <v>74</v>
      </c>
      <c r="H241" s="1" t="s">
        <v>74</v>
      </c>
      <c r="I241" s="1" t="s">
        <v>2495</v>
      </c>
      <c r="J241" s="1" t="s">
        <v>2496</v>
      </c>
      <c r="K241" s="1" t="s">
        <v>2497</v>
      </c>
      <c r="L241" s="1" t="s">
        <v>74</v>
      </c>
      <c r="M241" s="1" t="s">
        <v>74</v>
      </c>
      <c r="N241" s="1" t="s">
        <v>74</v>
      </c>
      <c r="O241" s="1" t="s">
        <v>74</v>
      </c>
      <c r="P241" s="1" t="s">
        <v>74</v>
      </c>
      <c r="Q241" s="1" t="s">
        <v>74</v>
      </c>
      <c r="R241" s="1" t="s">
        <v>74</v>
      </c>
      <c r="S241" s="1" t="s">
        <v>74</v>
      </c>
      <c r="T241" s="1" t="s">
        <v>74</v>
      </c>
      <c r="U241" s="1" t="s">
        <v>74</v>
      </c>
      <c r="V241" s="1" t="s">
        <v>2498</v>
      </c>
      <c r="W241" s="1" t="s">
        <v>74</v>
      </c>
      <c r="X241" s="1" t="s">
        <v>74</v>
      </c>
      <c r="Y241" s="1" t="s">
        <v>74</v>
      </c>
      <c r="Z241" s="1" t="s">
        <v>74</v>
      </c>
      <c r="AA241" s="1" t="s">
        <v>2499</v>
      </c>
      <c r="AB241" s="1" t="s">
        <v>2500</v>
      </c>
      <c r="AC241" s="1" t="s">
        <v>74</v>
      </c>
      <c r="AD241" s="1" t="s">
        <v>74</v>
      </c>
      <c r="AE241" s="1" t="s">
        <v>74</v>
      </c>
      <c r="AF241" s="1" t="s">
        <v>74</v>
      </c>
      <c r="AG241" s="1" t="s">
        <v>74</v>
      </c>
      <c r="AH241" s="1" t="s">
        <v>74</v>
      </c>
      <c r="AI241" s="1" t="s">
        <v>74</v>
      </c>
      <c r="AJ241" s="1" t="s">
        <v>74</v>
      </c>
      <c r="AK241" s="1" t="s">
        <v>74</v>
      </c>
      <c r="AL241" s="1" t="s">
        <v>74</v>
      </c>
      <c r="AM241" s="1" t="s">
        <v>74</v>
      </c>
      <c r="AN241" s="1" t="s">
        <v>74</v>
      </c>
      <c r="AO241" s="1" t="s">
        <v>2501</v>
      </c>
      <c r="AP241" s="1" t="s">
        <v>2502</v>
      </c>
      <c r="AQ241" s="1" t="s">
        <v>2503</v>
      </c>
      <c r="AR241" s="1" t="s">
        <v>74</v>
      </c>
      <c r="AS241" s="1" t="s">
        <v>74</v>
      </c>
      <c r="AT241" s="1" t="s">
        <v>74</v>
      </c>
      <c r="AU241" s="1">
        <v>2016.0</v>
      </c>
      <c r="AV241" s="1">
        <v>1375.0</v>
      </c>
      <c r="AW241" s="1" t="s">
        <v>74</v>
      </c>
      <c r="AX241" s="1" t="s">
        <v>74</v>
      </c>
      <c r="AY241" s="1" t="s">
        <v>74</v>
      </c>
      <c r="AZ241" s="1" t="s">
        <v>74</v>
      </c>
      <c r="BA241" s="1" t="s">
        <v>74</v>
      </c>
      <c r="BB241" s="1">
        <v>41.0</v>
      </c>
      <c r="BC241" s="1">
        <v>54.0</v>
      </c>
      <c r="BD241" s="1" t="s">
        <v>74</v>
      </c>
      <c r="BE241" s="1" t="s">
        <v>2504</v>
      </c>
      <c r="BF241" s="2" t="str">
        <f>HYPERLINK("http://dx.doi.org/10.1007/7651_2015_240","http://dx.doi.org/10.1007/7651_2015_240")</f>
        <v>http://dx.doi.org/10.1007/7651_2015_240</v>
      </c>
      <c r="BG241" s="1" t="s">
        <v>2505</v>
      </c>
      <c r="BH241" s="1" t="s">
        <v>74</v>
      </c>
      <c r="BI241" s="1" t="s">
        <v>74</v>
      </c>
      <c r="BJ241" s="1" t="s">
        <v>74</v>
      </c>
      <c r="BK241" s="1" t="s">
        <v>74</v>
      </c>
      <c r="BL241" s="1" t="s">
        <v>74</v>
      </c>
      <c r="BM241" s="1" t="s">
        <v>74</v>
      </c>
      <c r="BN241" s="1">
        <v>2.57623E7</v>
      </c>
      <c r="BO241" s="1" t="s">
        <v>74</v>
      </c>
      <c r="BP241" s="1" t="s">
        <v>74</v>
      </c>
      <c r="BQ241" s="1" t="s">
        <v>74</v>
      </c>
      <c r="BR241" s="1" t="s">
        <v>74</v>
      </c>
      <c r="BS241" s="1" t="s">
        <v>2506</v>
      </c>
      <c r="BT241" s="1" t="str">
        <f>HYPERLINK("https%3A%2F%2Fwww.webofscience.com%2Fwos%2Fwoscc%2Ffull-record%2FWOS:000687300700004","View Full Record in Web of Science")</f>
        <v>View Full Record in Web of Science</v>
      </c>
    </row>
    <row r="242" ht="12.75" customHeight="1">
      <c r="A242" s="1" t="s">
        <v>72</v>
      </c>
      <c r="B242" s="1" t="s">
        <v>2507</v>
      </c>
      <c r="C242" s="1" t="s">
        <v>74</v>
      </c>
      <c r="D242" s="1" t="s">
        <v>74</v>
      </c>
      <c r="E242" s="1" t="s">
        <v>74</v>
      </c>
      <c r="F242" s="1" t="s">
        <v>2508</v>
      </c>
      <c r="G242" s="1" t="s">
        <v>74</v>
      </c>
      <c r="H242" s="1" t="s">
        <v>74</v>
      </c>
      <c r="I242" s="1" t="s">
        <v>2509</v>
      </c>
      <c r="J242" s="1" t="s">
        <v>2510</v>
      </c>
      <c r="K242" s="1" t="s">
        <v>74</v>
      </c>
      <c r="L242" s="1" t="s">
        <v>74</v>
      </c>
      <c r="M242" s="1" t="s">
        <v>74</v>
      </c>
      <c r="N242" s="1" t="s">
        <v>74</v>
      </c>
      <c r="O242" s="1" t="s">
        <v>74</v>
      </c>
      <c r="P242" s="1" t="s">
        <v>74</v>
      </c>
      <c r="Q242" s="1" t="s">
        <v>74</v>
      </c>
      <c r="R242" s="1" t="s">
        <v>74</v>
      </c>
      <c r="S242" s="1" t="s">
        <v>74</v>
      </c>
      <c r="T242" s="1" t="s">
        <v>74</v>
      </c>
      <c r="U242" s="1" t="s">
        <v>74</v>
      </c>
      <c r="V242" s="1" t="s">
        <v>2511</v>
      </c>
      <c r="W242" s="1" t="s">
        <v>74</v>
      </c>
      <c r="X242" s="1" t="s">
        <v>74</v>
      </c>
      <c r="Y242" s="1" t="s">
        <v>74</v>
      </c>
      <c r="Z242" s="1" t="s">
        <v>74</v>
      </c>
      <c r="AA242" s="1" t="s">
        <v>2512</v>
      </c>
      <c r="AB242" s="1" t="s">
        <v>2513</v>
      </c>
      <c r="AC242" s="1" t="s">
        <v>74</v>
      </c>
      <c r="AD242" s="1" t="s">
        <v>74</v>
      </c>
      <c r="AE242" s="1" t="s">
        <v>74</v>
      </c>
      <c r="AF242" s="1" t="s">
        <v>74</v>
      </c>
      <c r="AG242" s="1" t="s">
        <v>74</v>
      </c>
      <c r="AH242" s="1" t="s">
        <v>74</v>
      </c>
      <c r="AI242" s="1" t="s">
        <v>74</v>
      </c>
      <c r="AJ242" s="1" t="s">
        <v>74</v>
      </c>
      <c r="AK242" s="1" t="s">
        <v>74</v>
      </c>
      <c r="AL242" s="1" t="s">
        <v>74</v>
      </c>
      <c r="AM242" s="1" t="s">
        <v>74</v>
      </c>
      <c r="AN242" s="1" t="s">
        <v>74</v>
      </c>
      <c r="AO242" s="1" t="s">
        <v>2514</v>
      </c>
      <c r="AP242" s="1" t="s">
        <v>2515</v>
      </c>
      <c r="AQ242" s="1" t="s">
        <v>74</v>
      </c>
      <c r="AR242" s="1" t="s">
        <v>74</v>
      </c>
      <c r="AS242" s="1" t="s">
        <v>74</v>
      </c>
      <c r="AT242" s="1" t="s">
        <v>415</v>
      </c>
      <c r="AU242" s="1">
        <v>2015.0</v>
      </c>
      <c r="AV242" s="1">
        <v>72.0</v>
      </c>
      <c r="AW242" s="1">
        <v>11.0</v>
      </c>
      <c r="AX242" s="1" t="s">
        <v>74</v>
      </c>
      <c r="AY242" s="1" t="s">
        <v>74</v>
      </c>
      <c r="AZ242" s="1" t="s">
        <v>74</v>
      </c>
      <c r="BA242" s="1" t="s">
        <v>74</v>
      </c>
      <c r="BB242" s="1">
        <v>1903.0</v>
      </c>
      <c r="BC242" s="1">
        <v>1911.0</v>
      </c>
      <c r="BD242" s="1" t="s">
        <v>74</v>
      </c>
      <c r="BE242" s="1" t="s">
        <v>2516</v>
      </c>
      <c r="BF242" s="2" t="str">
        <f>HYPERLINK("http://dx.doi.org/10.2166/wst.2015.398","http://dx.doi.org/10.2166/wst.2015.398")</f>
        <v>http://dx.doi.org/10.2166/wst.2015.398</v>
      </c>
      <c r="BG242" s="1" t="s">
        <v>74</v>
      </c>
      <c r="BH242" s="1" t="s">
        <v>74</v>
      </c>
      <c r="BI242" s="1" t="s">
        <v>74</v>
      </c>
      <c r="BJ242" s="1" t="s">
        <v>74</v>
      </c>
      <c r="BK242" s="1" t="s">
        <v>74</v>
      </c>
      <c r="BL242" s="1" t="s">
        <v>74</v>
      </c>
      <c r="BM242" s="1" t="s">
        <v>74</v>
      </c>
      <c r="BN242" s="1">
        <v>2.6606083E7</v>
      </c>
      <c r="BO242" s="1" t="s">
        <v>74</v>
      </c>
      <c r="BP242" s="1" t="s">
        <v>74</v>
      </c>
      <c r="BQ242" s="1" t="s">
        <v>74</v>
      </c>
      <c r="BR242" s="1" t="s">
        <v>74</v>
      </c>
      <c r="BS242" s="1" t="s">
        <v>2517</v>
      </c>
      <c r="BT242" s="1" t="str">
        <f>HYPERLINK("https%3A%2F%2Fwww.webofscience.com%2Fwos%2Fwoscc%2Ffull-record%2FWOS:000374292200003","View Full Record in Web of Science")</f>
        <v>View Full Record in Web of Science</v>
      </c>
    </row>
    <row r="243" ht="12.75" customHeight="1">
      <c r="A243" s="1" t="s">
        <v>72</v>
      </c>
      <c r="B243" s="1" t="s">
        <v>2518</v>
      </c>
      <c r="C243" s="1" t="s">
        <v>74</v>
      </c>
      <c r="D243" s="1" t="s">
        <v>74</v>
      </c>
      <c r="E243" s="1" t="s">
        <v>74</v>
      </c>
      <c r="F243" s="1" t="s">
        <v>2519</v>
      </c>
      <c r="G243" s="1" t="s">
        <v>74</v>
      </c>
      <c r="H243" s="1" t="s">
        <v>74</v>
      </c>
      <c r="I243" s="1" t="s">
        <v>2520</v>
      </c>
      <c r="J243" s="1" t="s">
        <v>139</v>
      </c>
      <c r="K243" s="1" t="s">
        <v>74</v>
      </c>
      <c r="L243" s="1" t="s">
        <v>74</v>
      </c>
      <c r="M243" s="1" t="s">
        <v>74</v>
      </c>
      <c r="N243" s="1" t="s">
        <v>74</v>
      </c>
      <c r="O243" s="1" t="s">
        <v>2521</v>
      </c>
      <c r="P243" s="1">
        <v>2014.0</v>
      </c>
      <c r="Q243" s="1" t="s">
        <v>2522</v>
      </c>
      <c r="R243" s="1" t="s">
        <v>2523</v>
      </c>
      <c r="S243" s="1" t="s">
        <v>74</v>
      </c>
      <c r="T243" s="1" t="s">
        <v>74</v>
      </c>
      <c r="U243" s="1" t="s">
        <v>74</v>
      </c>
      <c r="V243" s="1" t="s">
        <v>2524</v>
      </c>
      <c r="W243" s="1" t="s">
        <v>74</v>
      </c>
      <c r="X243" s="1" t="s">
        <v>74</v>
      </c>
      <c r="Y243" s="1" t="s">
        <v>74</v>
      </c>
      <c r="Z243" s="1" t="s">
        <v>74</v>
      </c>
      <c r="AA243" s="1" t="s">
        <v>2525</v>
      </c>
      <c r="AB243" s="1" t="s">
        <v>2526</v>
      </c>
      <c r="AC243" s="1" t="s">
        <v>74</v>
      </c>
      <c r="AD243" s="1" t="s">
        <v>74</v>
      </c>
      <c r="AE243" s="1" t="s">
        <v>74</v>
      </c>
      <c r="AF243" s="1" t="s">
        <v>74</v>
      </c>
      <c r="AG243" s="1" t="s">
        <v>74</v>
      </c>
      <c r="AH243" s="1" t="s">
        <v>74</v>
      </c>
      <c r="AI243" s="1" t="s">
        <v>74</v>
      </c>
      <c r="AJ243" s="1" t="s">
        <v>74</v>
      </c>
      <c r="AK243" s="1" t="s">
        <v>74</v>
      </c>
      <c r="AL243" s="1" t="s">
        <v>74</v>
      </c>
      <c r="AM243" s="1" t="s">
        <v>74</v>
      </c>
      <c r="AN243" s="1" t="s">
        <v>74</v>
      </c>
      <c r="AO243" s="1" t="s">
        <v>143</v>
      </c>
      <c r="AP243" s="1" t="s">
        <v>74</v>
      </c>
      <c r="AQ243" s="1" t="s">
        <v>74</v>
      </c>
      <c r="AR243" s="1" t="s">
        <v>74</v>
      </c>
      <c r="AS243" s="1" t="s">
        <v>74</v>
      </c>
      <c r="AT243" s="1" t="s">
        <v>289</v>
      </c>
      <c r="AU243" s="1">
        <v>2015.0</v>
      </c>
      <c r="AV243" s="1">
        <v>13.0</v>
      </c>
      <c r="AW243" s="1">
        <v>6.0</v>
      </c>
      <c r="AX243" s="1" t="s">
        <v>74</v>
      </c>
      <c r="AY243" s="1" t="s">
        <v>74</v>
      </c>
      <c r="AZ243" s="1" t="s">
        <v>74</v>
      </c>
      <c r="BA243" s="1" t="s">
        <v>74</v>
      </c>
      <c r="BB243" s="1">
        <v>1961.0</v>
      </c>
      <c r="BC243" s="1">
        <v>1965.0</v>
      </c>
      <c r="BD243" s="1" t="s">
        <v>74</v>
      </c>
      <c r="BE243" s="1" t="s">
        <v>2527</v>
      </c>
      <c r="BF243" s="2" t="str">
        <f>HYPERLINK("http://dx.doi.org/10.1109/TLA.2015.7164223","http://dx.doi.org/10.1109/TLA.2015.7164223")</f>
        <v>http://dx.doi.org/10.1109/TLA.2015.7164223</v>
      </c>
      <c r="BG243" s="1" t="s">
        <v>74</v>
      </c>
      <c r="BH243" s="1" t="s">
        <v>74</v>
      </c>
      <c r="BI243" s="1" t="s">
        <v>74</v>
      </c>
      <c r="BJ243" s="1" t="s">
        <v>74</v>
      </c>
      <c r="BK243" s="1" t="s">
        <v>74</v>
      </c>
      <c r="BL243" s="1" t="s">
        <v>74</v>
      </c>
      <c r="BM243" s="1" t="s">
        <v>74</v>
      </c>
      <c r="BN243" s="1" t="s">
        <v>74</v>
      </c>
      <c r="BO243" s="1" t="s">
        <v>74</v>
      </c>
      <c r="BP243" s="1" t="s">
        <v>74</v>
      </c>
      <c r="BQ243" s="1" t="s">
        <v>74</v>
      </c>
      <c r="BR243" s="1" t="s">
        <v>74</v>
      </c>
      <c r="BS243" s="1" t="s">
        <v>2528</v>
      </c>
      <c r="BT243" s="1" t="str">
        <f>HYPERLINK("https%3A%2F%2Fwww.webofscience.com%2Fwos%2Fwoscc%2Ffull-record%2FWOS:000358504700016","View Full Record in Web of Science")</f>
        <v>View Full Record in Web of Science</v>
      </c>
    </row>
    <row r="244" ht="12.75" customHeight="1">
      <c r="A244" s="1" t="s">
        <v>341</v>
      </c>
      <c r="B244" s="1" t="s">
        <v>2529</v>
      </c>
      <c r="C244" s="1" t="s">
        <v>74</v>
      </c>
      <c r="D244" s="1" t="s">
        <v>2530</v>
      </c>
      <c r="E244" s="1" t="s">
        <v>74</v>
      </c>
      <c r="F244" s="1" t="s">
        <v>2531</v>
      </c>
      <c r="G244" s="1" t="s">
        <v>74</v>
      </c>
      <c r="H244" s="1" t="s">
        <v>74</v>
      </c>
      <c r="I244" s="1" t="s">
        <v>2532</v>
      </c>
      <c r="J244" s="1" t="s">
        <v>2533</v>
      </c>
      <c r="K244" s="1" t="s">
        <v>2534</v>
      </c>
      <c r="L244" s="1" t="s">
        <v>74</v>
      </c>
      <c r="M244" s="1" t="s">
        <v>74</v>
      </c>
      <c r="N244" s="1" t="s">
        <v>74</v>
      </c>
      <c r="O244" s="1" t="s">
        <v>74</v>
      </c>
      <c r="P244" s="1" t="s">
        <v>74</v>
      </c>
      <c r="Q244" s="1" t="s">
        <v>74</v>
      </c>
      <c r="R244" s="1" t="s">
        <v>74</v>
      </c>
      <c r="S244" s="1" t="s">
        <v>74</v>
      </c>
      <c r="T244" s="1" t="s">
        <v>74</v>
      </c>
      <c r="U244" s="1" t="s">
        <v>74</v>
      </c>
      <c r="V244" s="1" t="s">
        <v>74</v>
      </c>
      <c r="W244" s="1" t="s">
        <v>74</v>
      </c>
      <c r="X244" s="1" t="s">
        <v>74</v>
      </c>
      <c r="Y244" s="1" t="s">
        <v>74</v>
      </c>
      <c r="Z244" s="1" t="s">
        <v>74</v>
      </c>
      <c r="AA244" s="1" t="s">
        <v>74</v>
      </c>
      <c r="AB244" s="1" t="s">
        <v>74</v>
      </c>
      <c r="AC244" s="1" t="s">
        <v>74</v>
      </c>
      <c r="AD244" s="1" t="s">
        <v>74</v>
      </c>
      <c r="AE244" s="1" t="s">
        <v>74</v>
      </c>
      <c r="AF244" s="1" t="s">
        <v>74</v>
      </c>
      <c r="AG244" s="1" t="s">
        <v>74</v>
      </c>
      <c r="AH244" s="1" t="s">
        <v>74</v>
      </c>
      <c r="AI244" s="1" t="s">
        <v>74</v>
      </c>
      <c r="AJ244" s="1" t="s">
        <v>74</v>
      </c>
      <c r="AK244" s="1" t="s">
        <v>74</v>
      </c>
      <c r="AL244" s="1" t="s">
        <v>74</v>
      </c>
      <c r="AM244" s="1" t="s">
        <v>74</v>
      </c>
      <c r="AN244" s="1" t="s">
        <v>74</v>
      </c>
      <c r="AO244" s="1" t="s">
        <v>2535</v>
      </c>
      <c r="AP244" s="1" t="s">
        <v>74</v>
      </c>
      <c r="AQ244" s="1" t="s">
        <v>2536</v>
      </c>
      <c r="AR244" s="1" t="s">
        <v>74</v>
      </c>
      <c r="AS244" s="1" t="s">
        <v>74</v>
      </c>
      <c r="AT244" s="1" t="s">
        <v>74</v>
      </c>
      <c r="AU244" s="1">
        <v>2015.0</v>
      </c>
      <c r="AV244" s="1" t="s">
        <v>74</v>
      </c>
      <c r="AW244" s="1" t="s">
        <v>74</v>
      </c>
      <c r="AX244" s="1" t="s">
        <v>74</v>
      </c>
      <c r="AY244" s="1" t="s">
        <v>74</v>
      </c>
      <c r="AZ244" s="1" t="s">
        <v>74</v>
      </c>
      <c r="BA244" s="1" t="s">
        <v>74</v>
      </c>
      <c r="BB244" s="1">
        <v>217.0</v>
      </c>
      <c r="BC244" s="1">
        <v>262.0</v>
      </c>
      <c r="BD244" s="1" t="s">
        <v>74</v>
      </c>
      <c r="BE244" s="1" t="s">
        <v>74</v>
      </c>
      <c r="BF244" s="1" t="s">
        <v>74</v>
      </c>
      <c r="BG244" s="1" t="s">
        <v>74</v>
      </c>
      <c r="BH244" s="1" t="s">
        <v>74</v>
      </c>
      <c r="BI244" s="1" t="s">
        <v>74</v>
      </c>
      <c r="BJ244" s="1" t="s">
        <v>74</v>
      </c>
      <c r="BK244" s="1" t="s">
        <v>74</v>
      </c>
      <c r="BL244" s="1" t="s">
        <v>74</v>
      </c>
      <c r="BM244" s="1" t="s">
        <v>74</v>
      </c>
      <c r="BN244" s="1" t="s">
        <v>74</v>
      </c>
      <c r="BO244" s="1" t="s">
        <v>74</v>
      </c>
      <c r="BP244" s="1" t="s">
        <v>74</v>
      </c>
      <c r="BQ244" s="1" t="s">
        <v>74</v>
      </c>
      <c r="BR244" s="1" t="s">
        <v>74</v>
      </c>
      <c r="BS244" s="1" t="s">
        <v>2537</v>
      </c>
      <c r="BT244" s="1" t="str">
        <f>HYPERLINK("https%3A%2F%2Fwww.webofscience.com%2Fwos%2Fwoscc%2Ffull-record%2FWOS:000697592000009","View Full Record in Web of Science")</f>
        <v>View Full Record in Web of Science</v>
      </c>
    </row>
    <row r="245" ht="12.75" customHeight="1">
      <c r="A245" s="1" t="s">
        <v>72</v>
      </c>
      <c r="B245" s="1" t="s">
        <v>2538</v>
      </c>
      <c r="C245" s="1" t="s">
        <v>74</v>
      </c>
      <c r="D245" s="1" t="s">
        <v>74</v>
      </c>
      <c r="E245" s="1" t="s">
        <v>74</v>
      </c>
      <c r="F245" s="1" t="s">
        <v>2539</v>
      </c>
      <c r="G245" s="1" t="s">
        <v>74</v>
      </c>
      <c r="H245" s="1" t="s">
        <v>74</v>
      </c>
      <c r="I245" s="1" t="s">
        <v>2540</v>
      </c>
      <c r="J245" s="1" t="s">
        <v>2541</v>
      </c>
      <c r="K245" s="1" t="s">
        <v>74</v>
      </c>
      <c r="L245" s="1" t="s">
        <v>74</v>
      </c>
      <c r="M245" s="1" t="s">
        <v>74</v>
      </c>
      <c r="N245" s="1" t="s">
        <v>74</v>
      </c>
      <c r="O245" s="1" t="s">
        <v>74</v>
      </c>
      <c r="P245" s="1" t="s">
        <v>74</v>
      </c>
      <c r="Q245" s="1" t="s">
        <v>74</v>
      </c>
      <c r="R245" s="1" t="s">
        <v>74</v>
      </c>
      <c r="S245" s="1" t="s">
        <v>74</v>
      </c>
      <c r="T245" s="1" t="s">
        <v>74</v>
      </c>
      <c r="U245" s="1" t="s">
        <v>74</v>
      </c>
      <c r="V245" s="1" t="s">
        <v>2542</v>
      </c>
      <c r="W245" s="1" t="s">
        <v>74</v>
      </c>
      <c r="X245" s="1" t="s">
        <v>74</v>
      </c>
      <c r="Y245" s="1" t="s">
        <v>74</v>
      </c>
      <c r="Z245" s="1" t="s">
        <v>74</v>
      </c>
      <c r="AA245" s="1" t="s">
        <v>2543</v>
      </c>
      <c r="AB245" s="1" t="s">
        <v>1770</v>
      </c>
      <c r="AC245" s="1" t="s">
        <v>74</v>
      </c>
      <c r="AD245" s="1" t="s">
        <v>74</v>
      </c>
      <c r="AE245" s="1" t="s">
        <v>74</v>
      </c>
      <c r="AF245" s="1" t="s">
        <v>74</v>
      </c>
      <c r="AG245" s="1" t="s">
        <v>74</v>
      </c>
      <c r="AH245" s="1" t="s">
        <v>74</v>
      </c>
      <c r="AI245" s="1" t="s">
        <v>74</v>
      </c>
      <c r="AJ245" s="1" t="s">
        <v>74</v>
      </c>
      <c r="AK245" s="1" t="s">
        <v>74</v>
      </c>
      <c r="AL245" s="1" t="s">
        <v>74</v>
      </c>
      <c r="AM245" s="1" t="s">
        <v>74</v>
      </c>
      <c r="AN245" s="1" t="s">
        <v>74</v>
      </c>
      <c r="AO245" s="1" t="s">
        <v>2544</v>
      </c>
      <c r="AP245" s="1" t="s">
        <v>2545</v>
      </c>
      <c r="AQ245" s="1" t="s">
        <v>74</v>
      </c>
      <c r="AR245" s="1" t="s">
        <v>74</v>
      </c>
      <c r="AS245" s="1" t="s">
        <v>74</v>
      </c>
      <c r="AT245" s="1" t="s">
        <v>74</v>
      </c>
      <c r="AU245" s="1">
        <v>2015.0</v>
      </c>
      <c r="AV245" s="1">
        <v>2015.0</v>
      </c>
      <c r="AW245" s="1" t="s">
        <v>74</v>
      </c>
      <c r="AX245" s="1" t="s">
        <v>74</v>
      </c>
      <c r="AY245" s="1" t="s">
        <v>74</v>
      </c>
      <c r="AZ245" s="1" t="s">
        <v>74</v>
      </c>
      <c r="BA245" s="1" t="s">
        <v>74</v>
      </c>
      <c r="BB245" s="1" t="s">
        <v>74</v>
      </c>
      <c r="BC245" s="1" t="s">
        <v>74</v>
      </c>
      <c r="BD245" s="1">
        <v>210346.0</v>
      </c>
      <c r="BE245" s="1" t="s">
        <v>2546</v>
      </c>
      <c r="BF245" s="2" t="str">
        <f>HYPERLINK("http://dx.doi.org/10.1155/2015/210346","http://dx.doi.org/10.1155/2015/210346")</f>
        <v>http://dx.doi.org/10.1155/2015/210346</v>
      </c>
      <c r="BG245" s="1" t="s">
        <v>74</v>
      </c>
      <c r="BH245" s="1" t="s">
        <v>74</v>
      </c>
      <c r="BI245" s="1" t="s">
        <v>74</v>
      </c>
      <c r="BJ245" s="1" t="s">
        <v>74</v>
      </c>
      <c r="BK245" s="1" t="s">
        <v>74</v>
      </c>
      <c r="BL245" s="1" t="s">
        <v>74</v>
      </c>
      <c r="BM245" s="1" t="s">
        <v>74</v>
      </c>
      <c r="BN245" s="1" t="s">
        <v>74</v>
      </c>
      <c r="BO245" s="1" t="s">
        <v>74</v>
      </c>
      <c r="BP245" s="1" t="s">
        <v>74</v>
      </c>
      <c r="BQ245" s="1" t="s">
        <v>74</v>
      </c>
      <c r="BR245" s="1" t="s">
        <v>74</v>
      </c>
      <c r="BS245" s="1" t="s">
        <v>2547</v>
      </c>
      <c r="BT245" s="1" t="str">
        <f>HYPERLINK("https%3A%2F%2Fwww.webofscience.com%2Fwos%2Fwoscc%2Ffull-record%2FWOS:000358214800001","View Full Record in Web of Science")</f>
        <v>View Full Record in Web of Science</v>
      </c>
    </row>
    <row r="246" ht="12.75" customHeight="1">
      <c r="A246" s="1" t="s">
        <v>72</v>
      </c>
      <c r="B246" s="1" t="s">
        <v>2548</v>
      </c>
      <c r="C246" s="1" t="s">
        <v>74</v>
      </c>
      <c r="D246" s="1" t="s">
        <v>74</v>
      </c>
      <c r="E246" s="1" t="s">
        <v>74</v>
      </c>
      <c r="F246" s="1" t="s">
        <v>2549</v>
      </c>
      <c r="G246" s="1" t="s">
        <v>74</v>
      </c>
      <c r="H246" s="1" t="s">
        <v>74</v>
      </c>
      <c r="I246" s="1" t="s">
        <v>2550</v>
      </c>
      <c r="J246" s="1" t="s">
        <v>2551</v>
      </c>
      <c r="K246" s="1" t="s">
        <v>74</v>
      </c>
      <c r="L246" s="1" t="s">
        <v>74</v>
      </c>
      <c r="M246" s="1" t="s">
        <v>74</v>
      </c>
      <c r="N246" s="1" t="s">
        <v>74</v>
      </c>
      <c r="O246" s="1" t="s">
        <v>74</v>
      </c>
      <c r="P246" s="1" t="s">
        <v>74</v>
      </c>
      <c r="Q246" s="1" t="s">
        <v>74</v>
      </c>
      <c r="R246" s="1" t="s">
        <v>74</v>
      </c>
      <c r="S246" s="1" t="s">
        <v>74</v>
      </c>
      <c r="T246" s="1" t="s">
        <v>74</v>
      </c>
      <c r="U246" s="1" t="s">
        <v>74</v>
      </c>
      <c r="V246" s="1" t="s">
        <v>2552</v>
      </c>
      <c r="W246" s="1" t="s">
        <v>74</v>
      </c>
      <c r="X246" s="1" t="s">
        <v>74</v>
      </c>
      <c r="Y246" s="1" t="s">
        <v>74</v>
      </c>
      <c r="Z246" s="1" t="s">
        <v>74</v>
      </c>
      <c r="AA246" s="1" t="s">
        <v>74</v>
      </c>
      <c r="AB246" s="1" t="s">
        <v>74</v>
      </c>
      <c r="AC246" s="1" t="s">
        <v>74</v>
      </c>
      <c r="AD246" s="1" t="s">
        <v>74</v>
      </c>
      <c r="AE246" s="1" t="s">
        <v>74</v>
      </c>
      <c r="AF246" s="1" t="s">
        <v>74</v>
      </c>
      <c r="AG246" s="1" t="s">
        <v>74</v>
      </c>
      <c r="AH246" s="1" t="s">
        <v>74</v>
      </c>
      <c r="AI246" s="1" t="s">
        <v>74</v>
      </c>
      <c r="AJ246" s="1" t="s">
        <v>74</v>
      </c>
      <c r="AK246" s="1" t="s">
        <v>74</v>
      </c>
      <c r="AL246" s="1" t="s">
        <v>74</v>
      </c>
      <c r="AM246" s="1" t="s">
        <v>74</v>
      </c>
      <c r="AN246" s="1" t="s">
        <v>74</v>
      </c>
      <c r="AO246" s="1" t="s">
        <v>2553</v>
      </c>
      <c r="AP246" s="1" t="s">
        <v>74</v>
      </c>
      <c r="AQ246" s="1" t="s">
        <v>74</v>
      </c>
      <c r="AR246" s="1" t="s">
        <v>74</v>
      </c>
      <c r="AS246" s="1" t="s">
        <v>74</v>
      </c>
      <c r="AT246" s="1" t="s">
        <v>74</v>
      </c>
      <c r="AU246" s="1">
        <v>2015.0</v>
      </c>
      <c r="AV246" s="1">
        <v>177.0</v>
      </c>
      <c r="AW246" s="1" t="s">
        <v>74</v>
      </c>
      <c r="AX246" s="1" t="s">
        <v>74</v>
      </c>
      <c r="AY246" s="1" t="s">
        <v>74</v>
      </c>
      <c r="AZ246" s="1" t="s">
        <v>74</v>
      </c>
      <c r="BA246" s="1" t="s">
        <v>74</v>
      </c>
      <c r="BB246" s="1">
        <v>22.0</v>
      </c>
      <c r="BC246" s="1">
        <v>27.0</v>
      </c>
      <c r="BD246" s="1" t="s">
        <v>74</v>
      </c>
      <c r="BE246" s="1" t="s">
        <v>2554</v>
      </c>
      <c r="BF246" s="2" t="str">
        <f>HYPERLINK("http://dx.doi.org/10.1016/j.micres.2015.05.002","http://dx.doi.org/10.1016/j.micres.2015.05.002")</f>
        <v>http://dx.doi.org/10.1016/j.micres.2015.05.002</v>
      </c>
      <c r="BG246" s="1" t="s">
        <v>74</v>
      </c>
      <c r="BH246" s="1" t="s">
        <v>74</v>
      </c>
      <c r="BI246" s="1" t="s">
        <v>74</v>
      </c>
      <c r="BJ246" s="1" t="s">
        <v>74</v>
      </c>
      <c r="BK246" s="1" t="s">
        <v>74</v>
      </c>
      <c r="BL246" s="1" t="s">
        <v>74</v>
      </c>
      <c r="BM246" s="1" t="s">
        <v>74</v>
      </c>
      <c r="BN246" s="1">
        <v>2.6211962E7</v>
      </c>
      <c r="BO246" s="1" t="s">
        <v>74</v>
      </c>
      <c r="BP246" s="1" t="s">
        <v>74</v>
      </c>
      <c r="BQ246" s="1" t="s">
        <v>74</v>
      </c>
      <c r="BR246" s="1" t="s">
        <v>74</v>
      </c>
      <c r="BS246" s="1" t="s">
        <v>2555</v>
      </c>
      <c r="BT246" s="1" t="str">
        <f>HYPERLINK("https%3A%2F%2Fwww.webofscience.com%2Fwos%2Fwoscc%2Ffull-record%2FWOS:000359963900004","View Full Record in Web of Science")</f>
        <v>View Full Record in Web of Science</v>
      </c>
    </row>
    <row r="247" ht="12.75" customHeight="1">
      <c r="A247" s="1" t="s">
        <v>72</v>
      </c>
      <c r="B247" s="1" t="s">
        <v>2556</v>
      </c>
      <c r="C247" s="1" t="s">
        <v>74</v>
      </c>
      <c r="D247" s="1" t="s">
        <v>74</v>
      </c>
      <c r="E247" s="1" t="s">
        <v>74</v>
      </c>
      <c r="F247" s="1" t="s">
        <v>2557</v>
      </c>
      <c r="G247" s="1" t="s">
        <v>74</v>
      </c>
      <c r="H247" s="1" t="s">
        <v>74</v>
      </c>
      <c r="I247" s="1" t="s">
        <v>2558</v>
      </c>
      <c r="J247" s="1" t="s">
        <v>2559</v>
      </c>
      <c r="K247" s="1" t="s">
        <v>74</v>
      </c>
      <c r="L247" s="1" t="s">
        <v>74</v>
      </c>
      <c r="M247" s="1" t="s">
        <v>74</v>
      </c>
      <c r="N247" s="1" t="s">
        <v>74</v>
      </c>
      <c r="O247" s="1" t="s">
        <v>74</v>
      </c>
      <c r="P247" s="1" t="s">
        <v>74</v>
      </c>
      <c r="Q247" s="1" t="s">
        <v>74</v>
      </c>
      <c r="R247" s="1" t="s">
        <v>74</v>
      </c>
      <c r="S247" s="1" t="s">
        <v>74</v>
      </c>
      <c r="T247" s="1" t="s">
        <v>74</v>
      </c>
      <c r="U247" s="1" t="s">
        <v>74</v>
      </c>
      <c r="V247" s="1" t="s">
        <v>2560</v>
      </c>
      <c r="W247" s="1" t="s">
        <v>74</v>
      </c>
      <c r="X247" s="1" t="s">
        <v>74</v>
      </c>
      <c r="Y247" s="1" t="s">
        <v>74</v>
      </c>
      <c r="Z247" s="1" t="s">
        <v>74</v>
      </c>
      <c r="AA247" s="1" t="s">
        <v>74</v>
      </c>
      <c r="AB247" s="1" t="s">
        <v>2561</v>
      </c>
      <c r="AC247" s="1" t="s">
        <v>74</v>
      </c>
      <c r="AD247" s="1" t="s">
        <v>74</v>
      </c>
      <c r="AE247" s="1" t="s">
        <v>74</v>
      </c>
      <c r="AF247" s="1" t="s">
        <v>74</v>
      </c>
      <c r="AG247" s="1" t="s">
        <v>74</v>
      </c>
      <c r="AH247" s="1" t="s">
        <v>74</v>
      </c>
      <c r="AI247" s="1" t="s">
        <v>74</v>
      </c>
      <c r="AJ247" s="1" t="s">
        <v>74</v>
      </c>
      <c r="AK247" s="1" t="s">
        <v>74</v>
      </c>
      <c r="AL247" s="1" t="s">
        <v>74</v>
      </c>
      <c r="AM247" s="1" t="s">
        <v>74</v>
      </c>
      <c r="AN247" s="1" t="s">
        <v>74</v>
      </c>
      <c r="AO247" s="1" t="s">
        <v>74</v>
      </c>
      <c r="AP247" s="1" t="s">
        <v>2562</v>
      </c>
      <c r="AQ247" s="1" t="s">
        <v>74</v>
      </c>
      <c r="AR247" s="1" t="s">
        <v>74</v>
      </c>
      <c r="AS247" s="1" t="s">
        <v>74</v>
      </c>
      <c r="AT247" s="1" t="s">
        <v>74</v>
      </c>
      <c r="AU247" s="1">
        <v>2015.0</v>
      </c>
      <c r="AV247" s="1">
        <v>14.0</v>
      </c>
      <c r="AW247" s="1">
        <v>2.0</v>
      </c>
      <c r="AX247" s="1" t="s">
        <v>74</v>
      </c>
      <c r="AY247" s="1" t="s">
        <v>74</v>
      </c>
      <c r="AZ247" s="1" t="s">
        <v>74</v>
      </c>
      <c r="BA247" s="1" t="s">
        <v>74</v>
      </c>
      <c r="BB247" s="1">
        <v>6073.0</v>
      </c>
      <c r="BC247" s="1">
        <v>6083.0</v>
      </c>
      <c r="BD247" s="1" t="s">
        <v>74</v>
      </c>
      <c r="BE247" s="1" t="s">
        <v>2563</v>
      </c>
      <c r="BF247" s="2" t="str">
        <f>HYPERLINK("http://dx.doi.org/10.4238/2015.June.8.5","http://dx.doi.org/10.4238/2015.June.8.5")</f>
        <v>http://dx.doi.org/10.4238/2015.June.8.5</v>
      </c>
      <c r="BG247" s="1" t="s">
        <v>74</v>
      </c>
      <c r="BH247" s="1" t="s">
        <v>74</v>
      </c>
      <c r="BI247" s="1" t="s">
        <v>74</v>
      </c>
      <c r="BJ247" s="1" t="s">
        <v>74</v>
      </c>
      <c r="BK247" s="1" t="s">
        <v>74</v>
      </c>
      <c r="BL247" s="1" t="s">
        <v>74</v>
      </c>
      <c r="BM247" s="1" t="s">
        <v>74</v>
      </c>
      <c r="BN247" s="1">
        <v>2.6125808E7</v>
      </c>
      <c r="BO247" s="1" t="s">
        <v>74</v>
      </c>
      <c r="BP247" s="1" t="s">
        <v>74</v>
      </c>
      <c r="BQ247" s="1" t="s">
        <v>74</v>
      </c>
      <c r="BR247" s="1" t="s">
        <v>74</v>
      </c>
      <c r="BS247" s="1" t="s">
        <v>2564</v>
      </c>
      <c r="BT247" s="1" t="str">
        <f>HYPERLINK("https%3A%2F%2Fwww.webofscience.com%2Fwos%2Fwoscc%2Ffull-record%2FWOS:000357189800037","View Full Record in Web of Science")</f>
        <v>View Full Record in Web of Science</v>
      </c>
    </row>
    <row r="248" ht="12.75" customHeight="1">
      <c r="A248" s="1" t="s">
        <v>72</v>
      </c>
      <c r="B248" s="1" t="s">
        <v>2565</v>
      </c>
      <c r="C248" s="1" t="s">
        <v>74</v>
      </c>
      <c r="D248" s="1" t="s">
        <v>74</v>
      </c>
      <c r="E248" s="1" t="s">
        <v>74</v>
      </c>
      <c r="F248" s="1" t="s">
        <v>2566</v>
      </c>
      <c r="G248" s="1" t="s">
        <v>74</v>
      </c>
      <c r="H248" s="1" t="s">
        <v>74</v>
      </c>
      <c r="I248" s="1" t="s">
        <v>2567</v>
      </c>
      <c r="J248" s="1" t="s">
        <v>810</v>
      </c>
      <c r="K248" s="1" t="s">
        <v>74</v>
      </c>
      <c r="L248" s="1" t="s">
        <v>74</v>
      </c>
      <c r="M248" s="1" t="s">
        <v>74</v>
      </c>
      <c r="N248" s="1" t="s">
        <v>74</v>
      </c>
      <c r="O248" s="1" t="s">
        <v>74</v>
      </c>
      <c r="P248" s="1" t="s">
        <v>74</v>
      </c>
      <c r="Q248" s="1" t="s">
        <v>74</v>
      </c>
      <c r="R248" s="1" t="s">
        <v>74</v>
      </c>
      <c r="S248" s="1" t="s">
        <v>74</v>
      </c>
      <c r="T248" s="1" t="s">
        <v>74</v>
      </c>
      <c r="U248" s="1" t="s">
        <v>74</v>
      </c>
      <c r="V248" s="1" t="s">
        <v>2568</v>
      </c>
      <c r="W248" s="1" t="s">
        <v>74</v>
      </c>
      <c r="X248" s="1" t="s">
        <v>74</v>
      </c>
      <c r="Y248" s="1" t="s">
        <v>74</v>
      </c>
      <c r="Z248" s="1" t="s">
        <v>74</v>
      </c>
      <c r="AA248" s="1" t="s">
        <v>2569</v>
      </c>
      <c r="AB248" s="1" t="s">
        <v>2570</v>
      </c>
      <c r="AC248" s="1" t="s">
        <v>74</v>
      </c>
      <c r="AD248" s="1" t="s">
        <v>74</v>
      </c>
      <c r="AE248" s="1" t="s">
        <v>74</v>
      </c>
      <c r="AF248" s="1" t="s">
        <v>74</v>
      </c>
      <c r="AG248" s="1" t="s">
        <v>74</v>
      </c>
      <c r="AH248" s="1" t="s">
        <v>74</v>
      </c>
      <c r="AI248" s="1" t="s">
        <v>74</v>
      </c>
      <c r="AJ248" s="1" t="s">
        <v>74</v>
      </c>
      <c r="AK248" s="1" t="s">
        <v>74</v>
      </c>
      <c r="AL248" s="1" t="s">
        <v>74</v>
      </c>
      <c r="AM248" s="1" t="s">
        <v>74</v>
      </c>
      <c r="AN248" s="1" t="s">
        <v>74</v>
      </c>
      <c r="AO248" s="1" t="s">
        <v>814</v>
      </c>
      <c r="AP248" s="1" t="s">
        <v>815</v>
      </c>
      <c r="AQ248" s="1" t="s">
        <v>74</v>
      </c>
      <c r="AR248" s="1" t="s">
        <v>74</v>
      </c>
      <c r="AS248" s="1" t="s">
        <v>74</v>
      </c>
      <c r="AT248" s="1" t="s">
        <v>2571</v>
      </c>
      <c r="AU248" s="1">
        <v>2014.0</v>
      </c>
      <c r="AV248" s="1">
        <v>420.0</v>
      </c>
      <c r="AW248" s="1">
        <v>1.0</v>
      </c>
      <c r="AX248" s="1" t="s">
        <v>74</v>
      </c>
      <c r="AY248" s="1" t="s">
        <v>74</v>
      </c>
      <c r="AZ248" s="1" t="s">
        <v>74</v>
      </c>
      <c r="BA248" s="1" t="s">
        <v>74</v>
      </c>
      <c r="BB248" s="1">
        <v>1.0</v>
      </c>
      <c r="BC248" s="1">
        <v>19.0</v>
      </c>
      <c r="BD248" s="1" t="s">
        <v>74</v>
      </c>
      <c r="BE248" s="1" t="s">
        <v>2572</v>
      </c>
      <c r="BF248" s="2" t="str">
        <f>HYPERLINK("http://dx.doi.org/10.1016/j.jmaa.2014.05.064","http://dx.doi.org/10.1016/j.jmaa.2014.05.064")</f>
        <v>http://dx.doi.org/10.1016/j.jmaa.2014.05.064</v>
      </c>
      <c r="BG248" s="1" t="s">
        <v>74</v>
      </c>
      <c r="BH248" s="1" t="s">
        <v>74</v>
      </c>
      <c r="BI248" s="1" t="s">
        <v>74</v>
      </c>
      <c r="BJ248" s="1" t="s">
        <v>74</v>
      </c>
      <c r="BK248" s="1" t="s">
        <v>74</v>
      </c>
      <c r="BL248" s="1" t="s">
        <v>74</v>
      </c>
      <c r="BM248" s="1" t="s">
        <v>74</v>
      </c>
      <c r="BN248" s="1" t="s">
        <v>74</v>
      </c>
      <c r="BO248" s="1" t="s">
        <v>74</v>
      </c>
      <c r="BP248" s="1" t="s">
        <v>74</v>
      </c>
      <c r="BQ248" s="1" t="s">
        <v>74</v>
      </c>
      <c r="BR248" s="1" t="s">
        <v>74</v>
      </c>
      <c r="BS248" s="1" t="s">
        <v>2573</v>
      </c>
      <c r="BT248" s="1" t="str">
        <f>HYPERLINK("https%3A%2F%2Fwww.webofscience.com%2Fwos%2Fwoscc%2Ffull-record%2FWOS:000339455500001","View Full Record in Web of Science")</f>
        <v>View Full Record in Web of Science</v>
      </c>
    </row>
    <row r="249" ht="12.75" customHeight="1">
      <c r="A249" s="1" t="s">
        <v>72</v>
      </c>
      <c r="B249" s="1" t="s">
        <v>2574</v>
      </c>
      <c r="C249" s="1" t="s">
        <v>74</v>
      </c>
      <c r="D249" s="1" t="s">
        <v>74</v>
      </c>
      <c r="E249" s="1" t="s">
        <v>74</v>
      </c>
      <c r="F249" s="1" t="s">
        <v>2575</v>
      </c>
      <c r="G249" s="1" t="s">
        <v>74</v>
      </c>
      <c r="H249" s="1" t="s">
        <v>74</v>
      </c>
      <c r="I249" s="1" t="s">
        <v>2576</v>
      </c>
      <c r="J249" s="1" t="s">
        <v>846</v>
      </c>
      <c r="K249" s="1" t="s">
        <v>74</v>
      </c>
      <c r="L249" s="1" t="s">
        <v>74</v>
      </c>
      <c r="M249" s="1" t="s">
        <v>74</v>
      </c>
      <c r="N249" s="1" t="s">
        <v>74</v>
      </c>
      <c r="O249" s="1" t="s">
        <v>74</v>
      </c>
      <c r="P249" s="1" t="s">
        <v>74</v>
      </c>
      <c r="Q249" s="1" t="s">
        <v>74</v>
      </c>
      <c r="R249" s="1" t="s">
        <v>74</v>
      </c>
      <c r="S249" s="1" t="s">
        <v>74</v>
      </c>
      <c r="T249" s="1" t="s">
        <v>74</v>
      </c>
      <c r="U249" s="1" t="s">
        <v>74</v>
      </c>
      <c r="V249" s="1" t="s">
        <v>2577</v>
      </c>
      <c r="W249" s="1" t="s">
        <v>74</v>
      </c>
      <c r="X249" s="1" t="s">
        <v>74</v>
      </c>
      <c r="Y249" s="1" t="s">
        <v>74</v>
      </c>
      <c r="Z249" s="1" t="s">
        <v>74</v>
      </c>
      <c r="AA249" s="1" t="s">
        <v>2578</v>
      </c>
      <c r="AB249" s="1" t="s">
        <v>2579</v>
      </c>
      <c r="AC249" s="1" t="s">
        <v>74</v>
      </c>
      <c r="AD249" s="1" t="s">
        <v>74</v>
      </c>
      <c r="AE249" s="1" t="s">
        <v>74</v>
      </c>
      <c r="AF249" s="1" t="s">
        <v>74</v>
      </c>
      <c r="AG249" s="1" t="s">
        <v>74</v>
      </c>
      <c r="AH249" s="1" t="s">
        <v>74</v>
      </c>
      <c r="AI249" s="1" t="s">
        <v>74</v>
      </c>
      <c r="AJ249" s="1" t="s">
        <v>74</v>
      </c>
      <c r="AK249" s="1" t="s">
        <v>74</v>
      </c>
      <c r="AL249" s="1" t="s">
        <v>74</v>
      </c>
      <c r="AM249" s="1" t="s">
        <v>74</v>
      </c>
      <c r="AN249" s="1" t="s">
        <v>74</v>
      </c>
      <c r="AO249" s="1" t="s">
        <v>850</v>
      </c>
      <c r="AP249" s="1" t="s">
        <v>74</v>
      </c>
      <c r="AQ249" s="1" t="s">
        <v>74</v>
      </c>
      <c r="AR249" s="1" t="s">
        <v>74</v>
      </c>
      <c r="AS249" s="1" t="s">
        <v>74</v>
      </c>
      <c r="AT249" s="1" t="s">
        <v>2580</v>
      </c>
      <c r="AU249" s="1">
        <v>2014.0</v>
      </c>
      <c r="AV249" s="1">
        <v>9.0</v>
      </c>
      <c r="AW249" s="1">
        <v>8.0</v>
      </c>
      <c r="AX249" s="1" t="s">
        <v>74</v>
      </c>
      <c r="AY249" s="1" t="s">
        <v>74</v>
      </c>
      <c r="AZ249" s="1" t="s">
        <v>74</v>
      </c>
      <c r="BA249" s="1" t="s">
        <v>74</v>
      </c>
      <c r="BB249" s="1" t="s">
        <v>74</v>
      </c>
      <c r="BC249" s="1" t="s">
        <v>74</v>
      </c>
      <c r="BD249" s="1" t="s">
        <v>2581</v>
      </c>
      <c r="BE249" s="1" t="s">
        <v>2582</v>
      </c>
      <c r="BF249" s="2" t="str">
        <f>HYPERLINK("http://dx.doi.org/10.1371/journal.pone.0105535","http://dx.doi.org/10.1371/journal.pone.0105535")</f>
        <v>http://dx.doi.org/10.1371/journal.pone.0105535</v>
      </c>
      <c r="BG249" s="1" t="s">
        <v>74</v>
      </c>
      <c r="BH249" s="1" t="s">
        <v>74</v>
      </c>
      <c r="BI249" s="1" t="s">
        <v>74</v>
      </c>
      <c r="BJ249" s="1" t="s">
        <v>74</v>
      </c>
      <c r="BK249" s="1" t="s">
        <v>74</v>
      </c>
      <c r="BL249" s="1" t="s">
        <v>74</v>
      </c>
      <c r="BM249" s="1" t="s">
        <v>74</v>
      </c>
      <c r="BN249" s="1">
        <v>2.5141013E7</v>
      </c>
      <c r="BO249" s="1" t="s">
        <v>74</v>
      </c>
      <c r="BP249" s="1" t="s">
        <v>74</v>
      </c>
      <c r="BQ249" s="1" t="s">
        <v>74</v>
      </c>
      <c r="BR249" s="1" t="s">
        <v>74</v>
      </c>
      <c r="BS249" s="1" t="s">
        <v>2583</v>
      </c>
      <c r="BT249" s="1" t="str">
        <f>HYPERLINK("https%3A%2F%2Fwww.webofscience.com%2Fwos%2Fwoscc%2Ffull-record%2FWOS:000342687200094","View Full Record in Web of Science")</f>
        <v>View Full Record in Web of Science</v>
      </c>
    </row>
    <row r="250" ht="12.75" customHeight="1">
      <c r="A250" s="1" t="s">
        <v>147</v>
      </c>
      <c r="B250" s="1" t="s">
        <v>2584</v>
      </c>
      <c r="C250" s="1" t="s">
        <v>74</v>
      </c>
      <c r="D250" s="1" t="s">
        <v>74</v>
      </c>
      <c r="E250" s="1" t="s">
        <v>793</v>
      </c>
      <c r="F250" s="1" t="s">
        <v>2585</v>
      </c>
      <c r="G250" s="1" t="s">
        <v>74</v>
      </c>
      <c r="H250" s="1" t="s">
        <v>74</v>
      </c>
      <c r="I250" s="1" t="s">
        <v>2586</v>
      </c>
      <c r="J250" s="1" t="s">
        <v>2587</v>
      </c>
      <c r="K250" s="1" t="s">
        <v>2588</v>
      </c>
      <c r="L250" s="1" t="s">
        <v>74</v>
      </c>
      <c r="M250" s="1" t="s">
        <v>74</v>
      </c>
      <c r="N250" s="1" t="s">
        <v>74</v>
      </c>
      <c r="O250" s="1" t="s">
        <v>2589</v>
      </c>
      <c r="P250" s="1" t="s">
        <v>2590</v>
      </c>
      <c r="Q250" s="1" t="s">
        <v>2591</v>
      </c>
      <c r="R250" s="1" t="s">
        <v>2592</v>
      </c>
      <c r="S250" s="1" t="s">
        <v>74</v>
      </c>
      <c r="T250" s="1" t="s">
        <v>74</v>
      </c>
      <c r="U250" s="1" t="s">
        <v>74</v>
      </c>
      <c r="V250" s="1" t="s">
        <v>2593</v>
      </c>
      <c r="W250" s="1" t="s">
        <v>74</v>
      </c>
      <c r="X250" s="1" t="s">
        <v>74</v>
      </c>
      <c r="Y250" s="1" t="s">
        <v>74</v>
      </c>
      <c r="Z250" s="1" t="s">
        <v>74</v>
      </c>
      <c r="AA250" s="1" t="s">
        <v>2594</v>
      </c>
      <c r="AB250" s="1" t="s">
        <v>2595</v>
      </c>
      <c r="AC250" s="1" t="s">
        <v>74</v>
      </c>
      <c r="AD250" s="1" t="s">
        <v>74</v>
      </c>
      <c r="AE250" s="1" t="s">
        <v>74</v>
      </c>
      <c r="AF250" s="1" t="s">
        <v>74</v>
      </c>
      <c r="AG250" s="1" t="s">
        <v>74</v>
      </c>
      <c r="AH250" s="1" t="s">
        <v>74</v>
      </c>
      <c r="AI250" s="1" t="s">
        <v>74</v>
      </c>
      <c r="AJ250" s="1" t="s">
        <v>74</v>
      </c>
      <c r="AK250" s="1" t="s">
        <v>74</v>
      </c>
      <c r="AL250" s="1" t="s">
        <v>74</v>
      </c>
      <c r="AM250" s="1" t="s">
        <v>74</v>
      </c>
      <c r="AN250" s="1" t="s">
        <v>74</v>
      </c>
      <c r="AO250" s="1" t="s">
        <v>2596</v>
      </c>
      <c r="AP250" s="1" t="s">
        <v>74</v>
      </c>
      <c r="AQ250" s="1" t="s">
        <v>2597</v>
      </c>
      <c r="AR250" s="1" t="s">
        <v>74</v>
      </c>
      <c r="AS250" s="1" t="s">
        <v>74</v>
      </c>
      <c r="AT250" s="1" t="s">
        <v>74</v>
      </c>
      <c r="AU250" s="1">
        <v>2014.0</v>
      </c>
      <c r="AV250" s="1" t="s">
        <v>74</v>
      </c>
      <c r="AW250" s="1" t="s">
        <v>74</v>
      </c>
      <c r="AX250" s="1" t="s">
        <v>74</v>
      </c>
      <c r="AY250" s="1" t="s">
        <v>74</v>
      </c>
      <c r="AZ250" s="1" t="s">
        <v>74</v>
      </c>
      <c r="BA250" s="1" t="s">
        <v>74</v>
      </c>
      <c r="BB250" s="1">
        <v>187.0</v>
      </c>
      <c r="BC250" s="1">
        <v>191.0</v>
      </c>
      <c r="BD250" s="1" t="s">
        <v>74</v>
      </c>
      <c r="BE250" s="1" t="s">
        <v>2598</v>
      </c>
      <c r="BF250" s="2" t="str">
        <f>HYPERLINK("http://dx.doi.org/10.1109/ISOT.2014.52","http://dx.doi.org/10.1109/ISOT.2014.52")</f>
        <v>http://dx.doi.org/10.1109/ISOT.2014.52</v>
      </c>
      <c r="BG250" s="1" t="s">
        <v>74</v>
      </c>
      <c r="BH250" s="1" t="s">
        <v>74</v>
      </c>
      <c r="BI250" s="1" t="s">
        <v>74</v>
      </c>
      <c r="BJ250" s="1" t="s">
        <v>74</v>
      </c>
      <c r="BK250" s="1" t="s">
        <v>74</v>
      </c>
      <c r="BL250" s="1" t="s">
        <v>74</v>
      </c>
      <c r="BM250" s="1" t="s">
        <v>74</v>
      </c>
      <c r="BN250" s="1" t="s">
        <v>74</v>
      </c>
      <c r="BO250" s="1" t="s">
        <v>74</v>
      </c>
      <c r="BP250" s="1" t="s">
        <v>74</v>
      </c>
      <c r="BQ250" s="1" t="s">
        <v>74</v>
      </c>
      <c r="BR250" s="1" t="s">
        <v>74</v>
      </c>
      <c r="BS250" s="1" t="s">
        <v>2599</v>
      </c>
      <c r="BT250" s="1" t="str">
        <f>HYPERLINK("https%3A%2F%2Fwww.webofscience.com%2Fwos%2Fwoscc%2Ffull-record%2FWOS:000393497300044","View Full Record in Web of Science")</f>
        <v>View Full Record in Web of Science</v>
      </c>
    </row>
    <row r="251" ht="12.75" customHeight="1">
      <c r="A251" s="1" t="s">
        <v>72</v>
      </c>
      <c r="B251" s="1" t="s">
        <v>2600</v>
      </c>
      <c r="C251" s="1" t="s">
        <v>74</v>
      </c>
      <c r="D251" s="1" t="s">
        <v>74</v>
      </c>
      <c r="E251" s="1" t="s">
        <v>74</v>
      </c>
      <c r="F251" s="1" t="s">
        <v>2601</v>
      </c>
      <c r="G251" s="1" t="s">
        <v>74</v>
      </c>
      <c r="H251" s="1" t="s">
        <v>74</v>
      </c>
      <c r="I251" s="1" t="s">
        <v>2602</v>
      </c>
      <c r="J251" s="1" t="s">
        <v>2603</v>
      </c>
      <c r="K251" s="1" t="s">
        <v>74</v>
      </c>
      <c r="L251" s="1" t="s">
        <v>74</v>
      </c>
      <c r="M251" s="1" t="s">
        <v>74</v>
      </c>
      <c r="N251" s="1" t="s">
        <v>74</v>
      </c>
      <c r="O251" s="1" t="s">
        <v>74</v>
      </c>
      <c r="P251" s="1" t="s">
        <v>74</v>
      </c>
      <c r="Q251" s="1" t="s">
        <v>74</v>
      </c>
      <c r="R251" s="1" t="s">
        <v>74</v>
      </c>
      <c r="S251" s="1" t="s">
        <v>74</v>
      </c>
      <c r="T251" s="1" t="s">
        <v>74</v>
      </c>
      <c r="U251" s="1" t="s">
        <v>74</v>
      </c>
      <c r="V251" s="1" t="s">
        <v>2604</v>
      </c>
      <c r="W251" s="1" t="s">
        <v>74</v>
      </c>
      <c r="X251" s="1" t="s">
        <v>74</v>
      </c>
      <c r="Y251" s="1" t="s">
        <v>74</v>
      </c>
      <c r="Z251" s="1" t="s">
        <v>74</v>
      </c>
      <c r="AA251" s="1" t="s">
        <v>1609</v>
      </c>
      <c r="AB251" s="1" t="s">
        <v>1610</v>
      </c>
      <c r="AC251" s="1" t="s">
        <v>74</v>
      </c>
      <c r="AD251" s="1" t="s">
        <v>74</v>
      </c>
      <c r="AE251" s="1" t="s">
        <v>74</v>
      </c>
      <c r="AF251" s="1" t="s">
        <v>74</v>
      </c>
      <c r="AG251" s="1" t="s">
        <v>74</v>
      </c>
      <c r="AH251" s="1" t="s">
        <v>74</v>
      </c>
      <c r="AI251" s="1" t="s">
        <v>74</v>
      </c>
      <c r="AJ251" s="1" t="s">
        <v>74</v>
      </c>
      <c r="AK251" s="1" t="s">
        <v>74</v>
      </c>
      <c r="AL251" s="1" t="s">
        <v>74</v>
      </c>
      <c r="AM251" s="1" t="s">
        <v>74</v>
      </c>
      <c r="AN251" s="1" t="s">
        <v>74</v>
      </c>
      <c r="AO251" s="1" t="s">
        <v>74</v>
      </c>
      <c r="AP251" s="1" t="s">
        <v>2605</v>
      </c>
      <c r="AQ251" s="1" t="s">
        <v>74</v>
      </c>
      <c r="AR251" s="1" t="s">
        <v>74</v>
      </c>
      <c r="AS251" s="1" t="s">
        <v>74</v>
      </c>
      <c r="AT251" s="1" t="s">
        <v>621</v>
      </c>
      <c r="AU251" s="1">
        <v>2013.0</v>
      </c>
      <c r="AV251" s="1">
        <v>9.0</v>
      </c>
      <c r="AW251" s="1">
        <v>7.0</v>
      </c>
      <c r="AX251" s="1" t="s">
        <v>74</v>
      </c>
      <c r="AY251" s="1" t="s">
        <v>74</v>
      </c>
      <c r="AZ251" s="1" t="s">
        <v>74</v>
      </c>
      <c r="BA251" s="1" t="s">
        <v>74</v>
      </c>
      <c r="BB251" s="1" t="s">
        <v>74</v>
      </c>
      <c r="BC251" s="1" t="s">
        <v>74</v>
      </c>
      <c r="BD251" s="1" t="s">
        <v>2606</v>
      </c>
      <c r="BE251" s="1" t="s">
        <v>2607</v>
      </c>
      <c r="BF251" s="2" t="str">
        <f>HYPERLINK("http://dx.doi.org/10.1371/journal.pcbi.1003125","http://dx.doi.org/10.1371/journal.pcbi.1003125")</f>
        <v>http://dx.doi.org/10.1371/journal.pcbi.1003125</v>
      </c>
      <c r="BG251" s="1" t="s">
        <v>74</v>
      </c>
      <c r="BH251" s="1" t="s">
        <v>74</v>
      </c>
      <c r="BI251" s="1" t="s">
        <v>74</v>
      </c>
      <c r="BJ251" s="1" t="s">
        <v>74</v>
      </c>
      <c r="BK251" s="1" t="s">
        <v>74</v>
      </c>
      <c r="BL251" s="1" t="s">
        <v>74</v>
      </c>
      <c r="BM251" s="1" t="s">
        <v>74</v>
      </c>
      <c r="BN251" s="1">
        <v>2.3874173E7</v>
      </c>
      <c r="BO251" s="1" t="s">
        <v>74</v>
      </c>
      <c r="BP251" s="1" t="s">
        <v>74</v>
      </c>
      <c r="BQ251" s="1" t="s">
        <v>74</v>
      </c>
      <c r="BR251" s="1" t="s">
        <v>74</v>
      </c>
      <c r="BS251" s="1" t="s">
        <v>2608</v>
      </c>
      <c r="BT251" s="1" t="str">
        <f>HYPERLINK("https%3A%2F%2Fwww.webofscience.com%2Fwos%2Fwoscc%2Ffull-record%2FWOS:000322320200013","View Full Record in Web of Science")</f>
        <v>View Full Record in Web of Science</v>
      </c>
    </row>
    <row r="252" ht="12.75" customHeight="1">
      <c r="A252" s="1" t="s">
        <v>72</v>
      </c>
      <c r="B252" s="1" t="s">
        <v>2609</v>
      </c>
      <c r="C252" s="1" t="s">
        <v>74</v>
      </c>
      <c r="D252" s="1" t="s">
        <v>74</v>
      </c>
      <c r="E252" s="1" t="s">
        <v>74</v>
      </c>
      <c r="F252" s="1" t="s">
        <v>2610</v>
      </c>
      <c r="G252" s="1" t="s">
        <v>74</v>
      </c>
      <c r="H252" s="1" t="s">
        <v>74</v>
      </c>
      <c r="I252" s="1" t="s">
        <v>2611</v>
      </c>
      <c r="J252" s="1" t="s">
        <v>1767</v>
      </c>
      <c r="K252" s="1" t="s">
        <v>74</v>
      </c>
      <c r="L252" s="1" t="s">
        <v>74</v>
      </c>
      <c r="M252" s="1" t="s">
        <v>74</v>
      </c>
      <c r="N252" s="1" t="s">
        <v>74</v>
      </c>
      <c r="O252" s="1" t="s">
        <v>74</v>
      </c>
      <c r="P252" s="1" t="s">
        <v>74</v>
      </c>
      <c r="Q252" s="1" t="s">
        <v>74</v>
      </c>
      <c r="R252" s="1" t="s">
        <v>74</v>
      </c>
      <c r="S252" s="1" t="s">
        <v>74</v>
      </c>
      <c r="T252" s="1" t="s">
        <v>74</v>
      </c>
      <c r="U252" s="1" t="s">
        <v>74</v>
      </c>
      <c r="V252" s="1" t="s">
        <v>2612</v>
      </c>
      <c r="W252" s="1" t="s">
        <v>74</v>
      </c>
      <c r="X252" s="1" t="s">
        <v>74</v>
      </c>
      <c r="Y252" s="1" t="s">
        <v>74</v>
      </c>
      <c r="Z252" s="1" t="s">
        <v>74</v>
      </c>
      <c r="AA252" s="1" t="s">
        <v>2543</v>
      </c>
      <c r="AB252" s="1" t="s">
        <v>2613</v>
      </c>
      <c r="AC252" s="1" t="s">
        <v>74</v>
      </c>
      <c r="AD252" s="1" t="s">
        <v>74</v>
      </c>
      <c r="AE252" s="1" t="s">
        <v>74</v>
      </c>
      <c r="AF252" s="1" t="s">
        <v>74</v>
      </c>
      <c r="AG252" s="1" t="s">
        <v>74</v>
      </c>
      <c r="AH252" s="1" t="s">
        <v>74</v>
      </c>
      <c r="AI252" s="1" t="s">
        <v>74</v>
      </c>
      <c r="AJ252" s="1" t="s">
        <v>74</v>
      </c>
      <c r="AK252" s="1" t="s">
        <v>74</v>
      </c>
      <c r="AL252" s="1" t="s">
        <v>74</v>
      </c>
      <c r="AM252" s="1" t="s">
        <v>74</v>
      </c>
      <c r="AN252" s="1" t="s">
        <v>74</v>
      </c>
      <c r="AO252" s="1" t="s">
        <v>1771</v>
      </c>
      <c r="AP252" s="1" t="s">
        <v>1772</v>
      </c>
      <c r="AQ252" s="1" t="s">
        <v>74</v>
      </c>
      <c r="AR252" s="1" t="s">
        <v>74</v>
      </c>
      <c r="AS252" s="1" t="s">
        <v>74</v>
      </c>
      <c r="AT252" s="1" t="s">
        <v>389</v>
      </c>
      <c r="AU252" s="1">
        <v>2013.0</v>
      </c>
      <c r="AV252" s="1">
        <v>10.0</v>
      </c>
      <c r="AW252" s="1">
        <v>2.0</v>
      </c>
      <c r="AX252" s="1" t="s">
        <v>74</v>
      </c>
      <c r="AY252" s="1" t="s">
        <v>74</v>
      </c>
      <c r="AZ252" s="1" t="s">
        <v>74</v>
      </c>
      <c r="BA252" s="1" t="s">
        <v>74</v>
      </c>
      <c r="BB252" s="1" t="s">
        <v>74</v>
      </c>
      <c r="BC252" s="1" t="s">
        <v>74</v>
      </c>
      <c r="BD252" s="1">
        <v>1220030.0</v>
      </c>
      <c r="BE252" s="1" t="s">
        <v>2614</v>
      </c>
      <c r="BF252" s="2" t="str">
        <f>HYPERLINK("http://dx.doi.org/10.1142/S0219887812200307","http://dx.doi.org/10.1142/S0219887812200307")</f>
        <v>http://dx.doi.org/10.1142/S0219887812200307</v>
      </c>
      <c r="BG252" s="1" t="s">
        <v>74</v>
      </c>
      <c r="BH252" s="1" t="s">
        <v>74</v>
      </c>
      <c r="BI252" s="1" t="s">
        <v>74</v>
      </c>
      <c r="BJ252" s="1" t="s">
        <v>74</v>
      </c>
      <c r="BK252" s="1" t="s">
        <v>74</v>
      </c>
      <c r="BL252" s="1" t="s">
        <v>74</v>
      </c>
      <c r="BM252" s="1" t="s">
        <v>74</v>
      </c>
      <c r="BN252" s="1" t="s">
        <v>74</v>
      </c>
      <c r="BO252" s="1" t="s">
        <v>74</v>
      </c>
      <c r="BP252" s="1" t="s">
        <v>74</v>
      </c>
      <c r="BQ252" s="1" t="s">
        <v>74</v>
      </c>
      <c r="BR252" s="1" t="s">
        <v>74</v>
      </c>
      <c r="BS252" s="1" t="s">
        <v>2615</v>
      </c>
      <c r="BT252" s="1" t="str">
        <f>HYPERLINK("https%3A%2F%2Fwww.webofscience.com%2Fwos%2Fwoscc%2Ffull-record%2FWOS:000316949500006","View Full Record in Web of Science")</f>
        <v>View Full Record in Web of Science</v>
      </c>
    </row>
    <row r="253" ht="12.75" customHeight="1">
      <c r="A253" s="1" t="s">
        <v>72</v>
      </c>
      <c r="B253" s="1" t="s">
        <v>2616</v>
      </c>
      <c r="C253" s="1" t="s">
        <v>74</v>
      </c>
      <c r="D253" s="1" t="s">
        <v>74</v>
      </c>
      <c r="E253" s="1" t="s">
        <v>74</v>
      </c>
      <c r="F253" s="1" t="s">
        <v>2617</v>
      </c>
      <c r="G253" s="1" t="s">
        <v>74</v>
      </c>
      <c r="H253" s="1" t="s">
        <v>74</v>
      </c>
      <c r="I253" s="1" t="s">
        <v>2618</v>
      </c>
      <c r="J253" s="1" t="s">
        <v>2619</v>
      </c>
      <c r="K253" s="1" t="s">
        <v>74</v>
      </c>
      <c r="L253" s="1" t="s">
        <v>74</v>
      </c>
      <c r="M253" s="1" t="s">
        <v>74</v>
      </c>
      <c r="N253" s="1" t="s">
        <v>74</v>
      </c>
      <c r="O253" s="1" t="s">
        <v>74</v>
      </c>
      <c r="P253" s="1" t="s">
        <v>74</v>
      </c>
      <c r="Q253" s="1" t="s">
        <v>74</v>
      </c>
      <c r="R253" s="1" t="s">
        <v>74</v>
      </c>
      <c r="S253" s="1" t="s">
        <v>74</v>
      </c>
      <c r="T253" s="1" t="s">
        <v>74</v>
      </c>
      <c r="U253" s="1" t="s">
        <v>74</v>
      </c>
      <c r="V253" s="1" t="s">
        <v>2620</v>
      </c>
      <c r="W253" s="1" t="s">
        <v>74</v>
      </c>
      <c r="X253" s="1" t="s">
        <v>74</v>
      </c>
      <c r="Y253" s="1" t="s">
        <v>74</v>
      </c>
      <c r="Z253" s="1" t="s">
        <v>74</v>
      </c>
      <c r="AA253" s="1" t="s">
        <v>2621</v>
      </c>
      <c r="AB253" s="1" t="s">
        <v>2622</v>
      </c>
      <c r="AC253" s="1" t="s">
        <v>74</v>
      </c>
      <c r="AD253" s="1" t="s">
        <v>74</v>
      </c>
      <c r="AE253" s="1" t="s">
        <v>74</v>
      </c>
      <c r="AF253" s="1" t="s">
        <v>74</v>
      </c>
      <c r="AG253" s="1" t="s">
        <v>74</v>
      </c>
      <c r="AH253" s="1" t="s">
        <v>74</v>
      </c>
      <c r="AI253" s="1" t="s">
        <v>74</v>
      </c>
      <c r="AJ253" s="1" t="s">
        <v>74</v>
      </c>
      <c r="AK253" s="1" t="s">
        <v>74</v>
      </c>
      <c r="AL253" s="1" t="s">
        <v>74</v>
      </c>
      <c r="AM253" s="1" t="s">
        <v>74</v>
      </c>
      <c r="AN253" s="1" t="s">
        <v>74</v>
      </c>
      <c r="AO253" s="1" t="s">
        <v>2623</v>
      </c>
      <c r="AP253" s="1" t="s">
        <v>2624</v>
      </c>
      <c r="AQ253" s="1" t="s">
        <v>74</v>
      </c>
      <c r="AR253" s="1" t="s">
        <v>74</v>
      </c>
      <c r="AS253" s="1" t="s">
        <v>74</v>
      </c>
      <c r="AT253" s="1" t="s">
        <v>676</v>
      </c>
      <c r="AU253" s="1">
        <v>2012.0</v>
      </c>
      <c r="AV253" s="1">
        <v>137.0</v>
      </c>
      <c r="AW253" s="1">
        <v>1.0</v>
      </c>
      <c r="AX253" s="1" t="s">
        <v>74</v>
      </c>
      <c r="AY253" s="1" t="s">
        <v>74</v>
      </c>
      <c r="AZ253" s="1" t="s">
        <v>74</v>
      </c>
      <c r="BA253" s="1" t="s">
        <v>74</v>
      </c>
      <c r="BB253" s="1">
        <v>396.0</v>
      </c>
      <c r="BC253" s="1">
        <v>403.0</v>
      </c>
      <c r="BD253" s="1" t="s">
        <v>74</v>
      </c>
      <c r="BE253" s="1" t="s">
        <v>2625</v>
      </c>
      <c r="BF253" s="2" t="str">
        <f>HYPERLINK("http://dx.doi.org/10.1016/j.matchemphys.2012.09.042","http://dx.doi.org/10.1016/j.matchemphys.2012.09.042")</f>
        <v>http://dx.doi.org/10.1016/j.matchemphys.2012.09.042</v>
      </c>
      <c r="BG253" s="1" t="s">
        <v>74</v>
      </c>
      <c r="BH253" s="1" t="s">
        <v>74</v>
      </c>
      <c r="BI253" s="1" t="s">
        <v>74</v>
      </c>
      <c r="BJ253" s="1" t="s">
        <v>74</v>
      </c>
      <c r="BK253" s="1" t="s">
        <v>74</v>
      </c>
      <c r="BL253" s="1" t="s">
        <v>74</v>
      </c>
      <c r="BM253" s="1" t="s">
        <v>74</v>
      </c>
      <c r="BN253" s="1" t="s">
        <v>74</v>
      </c>
      <c r="BO253" s="1" t="s">
        <v>74</v>
      </c>
      <c r="BP253" s="1" t="s">
        <v>74</v>
      </c>
      <c r="BQ253" s="1" t="s">
        <v>74</v>
      </c>
      <c r="BR253" s="1" t="s">
        <v>74</v>
      </c>
      <c r="BS253" s="1" t="s">
        <v>2626</v>
      </c>
      <c r="BT253" s="1" t="str">
        <f>HYPERLINK("https%3A%2F%2Fwww.webofscience.com%2Fwos%2Fwoscc%2Ffull-record%2FWOS:000312624100058","View Full Record in Web of Science")</f>
        <v>View Full Record in Web of Science</v>
      </c>
    </row>
    <row r="254" ht="12.75" customHeight="1">
      <c r="A254" s="1" t="s">
        <v>72</v>
      </c>
      <c r="B254" s="1" t="s">
        <v>2627</v>
      </c>
      <c r="C254" s="1" t="s">
        <v>74</v>
      </c>
      <c r="D254" s="1" t="s">
        <v>74</v>
      </c>
      <c r="E254" s="1" t="s">
        <v>74</v>
      </c>
      <c r="F254" s="1" t="s">
        <v>2628</v>
      </c>
      <c r="G254" s="1" t="s">
        <v>74</v>
      </c>
      <c r="H254" s="1" t="s">
        <v>74</v>
      </c>
      <c r="I254" s="1" t="s">
        <v>2629</v>
      </c>
      <c r="J254" s="1" t="s">
        <v>2630</v>
      </c>
      <c r="K254" s="1" t="s">
        <v>74</v>
      </c>
      <c r="L254" s="1" t="s">
        <v>74</v>
      </c>
      <c r="M254" s="1" t="s">
        <v>74</v>
      </c>
      <c r="N254" s="1" t="s">
        <v>74</v>
      </c>
      <c r="O254" s="1" t="s">
        <v>74</v>
      </c>
      <c r="P254" s="1" t="s">
        <v>74</v>
      </c>
      <c r="Q254" s="1" t="s">
        <v>74</v>
      </c>
      <c r="R254" s="1" t="s">
        <v>74</v>
      </c>
      <c r="S254" s="1" t="s">
        <v>74</v>
      </c>
      <c r="T254" s="1" t="s">
        <v>74</v>
      </c>
      <c r="U254" s="1" t="s">
        <v>74</v>
      </c>
      <c r="V254" s="1" t="s">
        <v>2631</v>
      </c>
      <c r="W254" s="1" t="s">
        <v>74</v>
      </c>
      <c r="X254" s="1" t="s">
        <v>74</v>
      </c>
      <c r="Y254" s="1" t="s">
        <v>74</v>
      </c>
      <c r="Z254" s="1" t="s">
        <v>74</v>
      </c>
      <c r="AA254" s="1" t="s">
        <v>2632</v>
      </c>
      <c r="AB254" s="1" t="s">
        <v>2633</v>
      </c>
      <c r="AC254" s="1" t="s">
        <v>74</v>
      </c>
      <c r="AD254" s="1" t="s">
        <v>74</v>
      </c>
      <c r="AE254" s="1" t="s">
        <v>74</v>
      </c>
      <c r="AF254" s="1" t="s">
        <v>74</v>
      </c>
      <c r="AG254" s="1" t="s">
        <v>74</v>
      </c>
      <c r="AH254" s="1" t="s">
        <v>74</v>
      </c>
      <c r="AI254" s="1" t="s">
        <v>74</v>
      </c>
      <c r="AJ254" s="1" t="s">
        <v>74</v>
      </c>
      <c r="AK254" s="1" t="s">
        <v>74</v>
      </c>
      <c r="AL254" s="1" t="s">
        <v>74</v>
      </c>
      <c r="AM254" s="1" t="s">
        <v>74</v>
      </c>
      <c r="AN254" s="1" t="s">
        <v>74</v>
      </c>
      <c r="AO254" s="1" t="s">
        <v>2634</v>
      </c>
      <c r="AP254" s="1" t="s">
        <v>74</v>
      </c>
      <c r="AQ254" s="1" t="s">
        <v>74</v>
      </c>
      <c r="AR254" s="1" t="s">
        <v>74</v>
      </c>
      <c r="AS254" s="1" t="s">
        <v>74</v>
      </c>
      <c r="AT254" s="1" t="s">
        <v>621</v>
      </c>
      <c r="AU254" s="1">
        <v>2012.0</v>
      </c>
      <c r="AV254" s="1">
        <v>68.0</v>
      </c>
      <c r="AW254" s="1">
        <v>1.0</v>
      </c>
      <c r="AX254" s="1" t="s">
        <v>74</v>
      </c>
      <c r="AY254" s="1" t="s">
        <v>74</v>
      </c>
      <c r="AZ254" s="1" t="s">
        <v>74</v>
      </c>
      <c r="BA254" s="1" t="s">
        <v>74</v>
      </c>
      <c r="BB254" s="1">
        <v>17.0</v>
      </c>
      <c r="BC254" s="1">
        <v>29.0</v>
      </c>
      <c r="BD254" s="1" t="s">
        <v>74</v>
      </c>
      <c r="BE254" s="1" t="s">
        <v>2635</v>
      </c>
      <c r="BF254" s="2" t="str">
        <f>HYPERLINK("http://dx.doi.org/10.1002/mrm.23190","http://dx.doi.org/10.1002/mrm.23190")</f>
        <v>http://dx.doi.org/10.1002/mrm.23190</v>
      </c>
      <c r="BG254" s="1" t="s">
        <v>74</v>
      </c>
      <c r="BH254" s="1" t="s">
        <v>74</v>
      </c>
      <c r="BI254" s="1" t="s">
        <v>74</v>
      </c>
      <c r="BJ254" s="1" t="s">
        <v>74</v>
      </c>
      <c r="BK254" s="1" t="s">
        <v>74</v>
      </c>
      <c r="BL254" s="1" t="s">
        <v>74</v>
      </c>
      <c r="BM254" s="1" t="s">
        <v>74</v>
      </c>
      <c r="BN254" s="1">
        <v>2.2006642E7</v>
      </c>
      <c r="BO254" s="1" t="s">
        <v>74</v>
      </c>
      <c r="BP254" s="1" t="s">
        <v>74</v>
      </c>
      <c r="BQ254" s="1" t="s">
        <v>74</v>
      </c>
      <c r="BR254" s="1" t="s">
        <v>74</v>
      </c>
      <c r="BS254" s="1" t="s">
        <v>2636</v>
      </c>
      <c r="BT254" s="1" t="str">
        <f>HYPERLINK("https%3A%2F%2Fwww.webofscience.com%2Fwos%2Fwoscc%2Ffull-record%2FWOS:000305119100003","View Full Record in Web of Science")</f>
        <v>View Full Record in Web of Science</v>
      </c>
    </row>
    <row r="255" ht="12.75" customHeight="1">
      <c r="A255" s="1" t="s">
        <v>72</v>
      </c>
      <c r="B255" s="1" t="s">
        <v>2637</v>
      </c>
      <c r="C255" s="1" t="s">
        <v>74</v>
      </c>
      <c r="D255" s="1" t="s">
        <v>74</v>
      </c>
      <c r="E255" s="1" t="s">
        <v>74</v>
      </c>
      <c r="F255" s="1" t="s">
        <v>2638</v>
      </c>
      <c r="G255" s="1" t="s">
        <v>74</v>
      </c>
      <c r="H255" s="1" t="s">
        <v>74</v>
      </c>
      <c r="I255" s="1" t="s">
        <v>2639</v>
      </c>
      <c r="J255" s="1" t="s">
        <v>2640</v>
      </c>
      <c r="K255" s="1" t="s">
        <v>74</v>
      </c>
      <c r="L255" s="1" t="s">
        <v>74</v>
      </c>
      <c r="M255" s="1" t="s">
        <v>74</v>
      </c>
      <c r="N255" s="1" t="s">
        <v>74</v>
      </c>
      <c r="O255" s="1" t="s">
        <v>74</v>
      </c>
      <c r="P255" s="1" t="s">
        <v>74</v>
      </c>
      <c r="Q255" s="1" t="s">
        <v>74</v>
      </c>
      <c r="R255" s="1" t="s">
        <v>74</v>
      </c>
      <c r="S255" s="1" t="s">
        <v>74</v>
      </c>
      <c r="T255" s="1" t="s">
        <v>74</v>
      </c>
      <c r="U255" s="1" t="s">
        <v>74</v>
      </c>
      <c r="V255" s="1" t="s">
        <v>2641</v>
      </c>
      <c r="W255" s="1" t="s">
        <v>74</v>
      </c>
      <c r="X255" s="1" t="s">
        <v>74</v>
      </c>
      <c r="Y255" s="1" t="s">
        <v>74</v>
      </c>
      <c r="Z255" s="1" t="s">
        <v>74</v>
      </c>
      <c r="AA255" s="1" t="s">
        <v>2642</v>
      </c>
      <c r="AB255" s="1" t="s">
        <v>74</v>
      </c>
      <c r="AC255" s="1" t="s">
        <v>74</v>
      </c>
      <c r="AD255" s="1" t="s">
        <v>74</v>
      </c>
      <c r="AE255" s="1" t="s">
        <v>74</v>
      </c>
      <c r="AF255" s="1" t="s">
        <v>74</v>
      </c>
      <c r="AG255" s="1" t="s">
        <v>74</v>
      </c>
      <c r="AH255" s="1" t="s">
        <v>74</v>
      </c>
      <c r="AI255" s="1" t="s">
        <v>74</v>
      </c>
      <c r="AJ255" s="1" t="s">
        <v>74</v>
      </c>
      <c r="AK255" s="1" t="s">
        <v>74</v>
      </c>
      <c r="AL255" s="1" t="s">
        <v>74</v>
      </c>
      <c r="AM255" s="1" t="s">
        <v>74</v>
      </c>
      <c r="AN255" s="1" t="s">
        <v>74</v>
      </c>
      <c r="AO255" s="1" t="s">
        <v>2643</v>
      </c>
      <c r="AP255" s="1" t="s">
        <v>74</v>
      </c>
      <c r="AQ255" s="1" t="s">
        <v>74</v>
      </c>
      <c r="AR255" s="1" t="s">
        <v>74</v>
      </c>
      <c r="AS255" s="1" t="s">
        <v>74</v>
      </c>
      <c r="AT255" s="1" t="s">
        <v>277</v>
      </c>
      <c r="AU255" s="1">
        <v>2012.0</v>
      </c>
      <c r="AV255" s="1">
        <v>60.0</v>
      </c>
      <c r="AW255" s="1">
        <v>2.0</v>
      </c>
      <c r="AX255" s="1" t="s">
        <v>74</v>
      </c>
      <c r="AY255" s="1" t="s">
        <v>74</v>
      </c>
      <c r="AZ255" s="1" t="s">
        <v>74</v>
      </c>
      <c r="BA255" s="1" t="s">
        <v>74</v>
      </c>
      <c r="BB255" s="1">
        <v>747.0</v>
      </c>
      <c r="BC255" s="1">
        <v>760.0</v>
      </c>
      <c r="BD255" s="1" t="s">
        <v>74</v>
      </c>
      <c r="BE255" s="1" t="s">
        <v>2644</v>
      </c>
      <c r="BF255" s="2" t="str">
        <f>HYPERLINK("http://dx.doi.org/10.1007/s11069-011-0048-6","http://dx.doi.org/10.1007/s11069-011-0048-6")</f>
        <v>http://dx.doi.org/10.1007/s11069-011-0048-6</v>
      </c>
      <c r="BG255" s="1" t="s">
        <v>74</v>
      </c>
      <c r="BH255" s="1" t="s">
        <v>74</v>
      </c>
      <c r="BI255" s="1" t="s">
        <v>74</v>
      </c>
      <c r="BJ255" s="1" t="s">
        <v>74</v>
      </c>
      <c r="BK255" s="1" t="s">
        <v>74</v>
      </c>
      <c r="BL255" s="1" t="s">
        <v>74</v>
      </c>
      <c r="BM255" s="1" t="s">
        <v>74</v>
      </c>
      <c r="BN255" s="1" t="s">
        <v>74</v>
      </c>
      <c r="BO255" s="1" t="s">
        <v>74</v>
      </c>
      <c r="BP255" s="1" t="s">
        <v>74</v>
      </c>
      <c r="BQ255" s="1" t="s">
        <v>74</v>
      </c>
      <c r="BR255" s="1" t="s">
        <v>74</v>
      </c>
      <c r="BS255" s="1" t="s">
        <v>2645</v>
      </c>
      <c r="BT255" s="1" t="str">
        <f>HYPERLINK("https%3A%2F%2Fwww.webofscience.com%2Fwos%2Fwoscc%2Ffull-record%2FWOS:000298330300030","View Full Record in Web of Science")</f>
        <v>View Full Record in Web of Science</v>
      </c>
    </row>
    <row r="256" ht="12.75" customHeight="1">
      <c r="A256" s="1" t="s">
        <v>72</v>
      </c>
      <c r="B256" s="1" t="s">
        <v>2646</v>
      </c>
      <c r="C256" s="1" t="s">
        <v>74</v>
      </c>
      <c r="D256" s="1" t="s">
        <v>74</v>
      </c>
      <c r="E256" s="1" t="s">
        <v>74</v>
      </c>
      <c r="F256" s="1" t="s">
        <v>2647</v>
      </c>
      <c r="G256" s="1" t="s">
        <v>74</v>
      </c>
      <c r="H256" s="1" t="s">
        <v>74</v>
      </c>
      <c r="I256" s="1" t="s">
        <v>2648</v>
      </c>
      <c r="J256" s="1" t="s">
        <v>649</v>
      </c>
      <c r="K256" s="1" t="s">
        <v>74</v>
      </c>
      <c r="L256" s="1" t="s">
        <v>74</v>
      </c>
      <c r="M256" s="1" t="s">
        <v>74</v>
      </c>
      <c r="N256" s="1" t="s">
        <v>74</v>
      </c>
      <c r="O256" s="1" t="s">
        <v>74</v>
      </c>
      <c r="P256" s="1" t="s">
        <v>74</v>
      </c>
      <c r="Q256" s="1" t="s">
        <v>74</v>
      </c>
      <c r="R256" s="1" t="s">
        <v>74</v>
      </c>
      <c r="S256" s="1" t="s">
        <v>74</v>
      </c>
      <c r="T256" s="1" t="s">
        <v>74</v>
      </c>
      <c r="U256" s="1" t="s">
        <v>74</v>
      </c>
      <c r="V256" s="1" t="s">
        <v>2649</v>
      </c>
      <c r="W256" s="1" t="s">
        <v>74</v>
      </c>
      <c r="X256" s="1" t="s">
        <v>74</v>
      </c>
      <c r="Y256" s="1" t="s">
        <v>74</v>
      </c>
      <c r="Z256" s="1" t="s">
        <v>74</v>
      </c>
      <c r="AA256" s="1" t="s">
        <v>2650</v>
      </c>
      <c r="AB256" s="1" t="s">
        <v>2651</v>
      </c>
      <c r="AC256" s="1" t="s">
        <v>74</v>
      </c>
      <c r="AD256" s="1" t="s">
        <v>74</v>
      </c>
      <c r="AE256" s="1" t="s">
        <v>74</v>
      </c>
      <c r="AF256" s="1" t="s">
        <v>74</v>
      </c>
      <c r="AG256" s="1" t="s">
        <v>74</v>
      </c>
      <c r="AH256" s="1" t="s">
        <v>74</v>
      </c>
      <c r="AI256" s="1" t="s">
        <v>74</v>
      </c>
      <c r="AJ256" s="1" t="s">
        <v>74</v>
      </c>
      <c r="AK256" s="1" t="s">
        <v>74</v>
      </c>
      <c r="AL256" s="1" t="s">
        <v>74</v>
      </c>
      <c r="AM256" s="1" t="s">
        <v>74</v>
      </c>
      <c r="AN256" s="1" t="s">
        <v>74</v>
      </c>
      <c r="AO256" s="1" t="s">
        <v>653</v>
      </c>
      <c r="AP256" s="1" t="s">
        <v>654</v>
      </c>
      <c r="AQ256" s="1" t="s">
        <v>74</v>
      </c>
      <c r="AR256" s="1" t="s">
        <v>74</v>
      </c>
      <c r="AS256" s="1" t="s">
        <v>74</v>
      </c>
      <c r="AT256" s="1" t="s">
        <v>2652</v>
      </c>
      <c r="AU256" s="1">
        <v>2011.0</v>
      </c>
      <c r="AV256" s="1">
        <v>107.0</v>
      </c>
      <c r="AW256" s="1">
        <v>8.0</v>
      </c>
      <c r="AX256" s="1" t="s">
        <v>74</v>
      </c>
      <c r="AY256" s="1" t="s">
        <v>74</v>
      </c>
      <c r="AZ256" s="1" t="s">
        <v>74</v>
      </c>
      <c r="BA256" s="1" t="s">
        <v>74</v>
      </c>
      <c r="BB256" s="1" t="s">
        <v>74</v>
      </c>
      <c r="BC256" s="1" t="s">
        <v>74</v>
      </c>
      <c r="BD256" s="1">
        <v>80401.0</v>
      </c>
      <c r="BE256" s="1" t="s">
        <v>2653</v>
      </c>
      <c r="BF256" s="2" t="str">
        <f>HYPERLINK("http://dx.doi.org/10.1103/PhysRevLett.107.080401","http://dx.doi.org/10.1103/PhysRevLett.107.080401")</f>
        <v>http://dx.doi.org/10.1103/PhysRevLett.107.080401</v>
      </c>
      <c r="BG256" s="1" t="s">
        <v>74</v>
      </c>
      <c r="BH256" s="1" t="s">
        <v>74</v>
      </c>
      <c r="BI256" s="1" t="s">
        <v>74</v>
      </c>
      <c r="BJ256" s="1" t="s">
        <v>74</v>
      </c>
      <c r="BK256" s="1" t="s">
        <v>74</v>
      </c>
      <c r="BL256" s="1" t="s">
        <v>74</v>
      </c>
      <c r="BM256" s="1" t="s">
        <v>74</v>
      </c>
      <c r="BN256" s="1">
        <v>2.1929147E7</v>
      </c>
      <c r="BO256" s="1" t="s">
        <v>74</v>
      </c>
      <c r="BP256" s="1" t="s">
        <v>74</v>
      </c>
      <c r="BQ256" s="1" t="s">
        <v>74</v>
      </c>
      <c r="BR256" s="1" t="s">
        <v>74</v>
      </c>
      <c r="BS256" s="1" t="s">
        <v>2654</v>
      </c>
      <c r="BT256" s="1" t="str">
        <f>HYPERLINK("https%3A%2F%2Fwww.webofscience.com%2Fwos%2Fwoscc%2Ffull-record%2FWOS:000293921000001","View Full Record in Web of Science")</f>
        <v>View Full Record in Web of Science</v>
      </c>
    </row>
    <row r="257" ht="12.75" customHeight="1">
      <c r="A257" s="1" t="s">
        <v>72</v>
      </c>
      <c r="B257" s="1" t="s">
        <v>2655</v>
      </c>
      <c r="C257" s="1" t="s">
        <v>74</v>
      </c>
      <c r="D257" s="1" t="s">
        <v>74</v>
      </c>
      <c r="E257" s="1" t="s">
        <v>74</v>
      </c>
      <c r="F257" s="1" t="s">
        <v>2656</v>
      </c>
      <c r="G257" s="1" t="s">
        <v>74</v>
      </c>
      <c r="H257" s="1" t="s">
        <v>74</v>
      </c>
      <c r="I257" s="1" t="s">
        <v>2657</v>
      </c>
      <c r="J257" s="1" t="s">
        <v>2658</v>
      </c>
      <c r="K257" s="1" t="s">
        <v>74</v>
      </c>
      <c r="L257" s="1" t="s">
        <v>74</v>
      </c>
      <c r="M257" s="1" t="s">
        <v>74</v>
      </c>
      <c r="N257" s="1" t="s">
        <v>74</v>
      </c>
      <c r="O257" s="1" t="s">
        <v>74</v>
      </c>
      <c r="P257" s="1" t="s">
        <v>74</v>
      </c>
      <c r="Q257" s="1" t="s">
        <v>74</v>
      </c>
      <c r="R257" s="1" t="s">
        <v>74</v>
      </c>
      <c r="S257" s="1" t="s">
        <v>74</v>
      </c>
      <c r="T257" s="1" t="s">
        <v>74</v>
      </c>
      <c r="U257" s="1" t="s">
        <v>74</v>
      </c>
      <c r="V257" s="1" t="s">
        <v>2659</v>
      </c>
      <c r="W257" s="1" t="s">
        <v>74</v>
      </c>
      <c r="X257" s="1" t="s">
        <v>74</v>
      </c>
      <c r="Y257" s="1" t="s">
        <v>74</v>
      </c>
      <c r="Z257" s="1" t="s">
        <v>74</v>
      </c>
      <c r="AA257" s="1" t="s">
        <v>2660</v>
      </c>
      <c r="AB257" s="1" t="s">
        <v>2661</v>
      </c>
      <c r="AC257" s="1" t="s">
        <v>74</v>
      </c>
      <c r="AD257" s="1" t="s">
        <v>74</v>
      </c>
      <c r="AE257" s="1" t="s">
        <v>74</v>
      </c>
      <c r="AF257" s="1" t="s">
        <v>74</v>
      </c>
      <c r="AG257" s="1" t="s">
        <v>74</v>
      </c>
      <c r="AH257" s="1" t="s">
        <v>74</v>
      </c>
      <c r="AI257" s="1" t="s">
        <v>74</v>
      </c>
      <c r="AJ257" s="1" t="s">
        <v>74</v>
      </c>
      <c r="AK257" s="1" t="s">
        <v>74</v>
      </c>
      <c r="AL257" s="1" t="s">
        <v>74</v>
      </c>
      <c r="AM257" s="1" t="s">
        <v>74</v>
      </c>
      <c r="AN257" s="1" t="s">
        <v>74</v>
      </c>
      <c r="AO257" s="1" t="s">
        <v>2662</v>
      </c>
      <c r="AP257" s="1" t="s">
        <v>2663</v>
      </c>
      <c r="AQ257" s="1" t="s">
        <v>74</v>
      </c>
      <c r="AR257" s="1" t="s">
        <v>74</v>
      </c>
      <c r="AS257" s="1" t="s">
        <v>74</v>
      </c>
      <c r="AT257" s="1" t="s">
        <v>379</v>
      </c>
      <c r="AU257" s="1">
        <v>2010.0</v>
      </c>
      <c r="AV257" s="1">
        <v>35.0</v>
      </c>
      <c r="AW257" s="1">
        <v>6.0</v>
      </c>
      <c r="AX257" s="1" t="s">
        <v>74</v>
      </c>
      <c r="AY257" s="1" t="s">
        <v>74</v>
      </c>
      <c r="AZ257" s="1" t="s">
        <v>74</v>
      </c>
      <c r="BA257" s="1" t="s">
        <v>74</v>
      </c>
      <c r="BB257" s="1">
        <v>637.0</v>
      </c>
      <c r="BC257" s="1">
        <v>661.0</v>
      </c>
      <c r="BD257" s="1" t="s">
        <v>74</v>
      </c>
      <c r="BE257" s="1" t="s">
        <v>2664</v>
      </c>
      <c r="BF257" s="2" t="str">
        <f>HYPERLINK("http://dx.doi.org/10.1016/j.is.2009.11.001","http://dx.doi.org/10.1016/j.is.2009.11.001")</f>
        <v>http://dx.doi.org/10.1016/j.is.2009.11.001</v>
      </c>
      <c r="BG257" s="1" t="s">
        <v>74</v>
      </c>
      <c r="BH257" s="1" t="s">
        <v>74</v>
      </c>
      <c r="BI257" s="1" t="s">
        <v>74</v>
      </c>
      <c r="BJ257" s="1" t="s">
        <v>74</v>
      </c>
      <c r="BK257" s="1" t="s">
        <v>74</v>
      </c>
      <c r="BL257" s="1" t="s">
        <v>74</v>
      </c>
      <c r="BM257" s="1" t="s">
        <v>74</v>
      </c>
      <c r="BN257" s="1" t="s">
        <v>74</v>
      </c>
      <c r="BO257" s="1" t="s">
        <v>74</v>
      </c>
      <c r="BP257" s="1" t="s">
        <v>74</v>
      </c>
      <c r="BQ257" s="1" t="s">
        <v>74</v>
      </c>
      <c r="BR257" s="1" t="s">
        <v>74</v>
      </c>
      <c r="BS257" s="1" t="s">
        <v>2665</v>
      </c>
      <c r="BT257" s="1" t="str">
        <f>HYPERLINK("https%3A%2F%2Fwww.webofscience.com%2Fwos%2Fwoscc%2Ffull-record%2FWOS:000278280100002","View Full Record in Web of Science")</f>
        <v>View Full Record in Web of Science</v>
      </c>
    </row>
    <row r="258" ht="12.75" customHeight="1">
      <c r="A258" s="1" t="s">
        <v>72</v>
      </c>
      <c r="B258" s="1" t="s">
        <v>2666</v>
      </c>
      <c r="C258" s="1" t="s">
        <v>74</v>
      </c>
      <c r="D258" s="1" t="s">
        <v>74</v>
      </c>
      <c r="E258" s="1" t="s">
        <v>74</v>
      </c>
      <c r="F258" s="1" t="s">
        <v>2667</v>
      </c>
      <c r="G258" s="1" t="s">
        <v>74</v>
      </c>
      <c r="H258" s="1" t="s">
        <v>74</v>
      </c>
      <c r="I258" s="1" t="s">
        <v>2668</v>
      </c>
      <c r="J258" s="1" t="s">
        <v>302</v>
      </c>
      <c r="K258" s="1" t="s">
        <v>74</v>
      </c>
      <c r="L258" s="1" t="s">
        <v>74</v>
      </c>
      <c r="M258" s="1" t="s">
        <v>74</v>
      </c>
      <c r="N258" s="1" t="s">
        <v>74</v>
      </c>
      <c r="O258" s="1" t="s">
        <v>74</v>
      </c>
      <c r="P258" s="1" t="s">
        <v>74</v>
      </c>
      <c r="Q258" s="1" t="s">
        <v>74</v>
      </c>
      <c r="R258" s="1" t="s">
        <v>74</v>
      </c>
      <c r="S258" s="1" t="s">
        <v>74</v>
      </c>
      <c r="T258" s="1" t="s">
        <v>74</v>
      </c>
      <c r="U258" s="1" t="s">
        <v>74</v>
      </c>
      <c r="V258" s="1" t="s">
        <v>2669</v>
      </c>
      <c r="W258" s="1" t="s">
        <v>74</v>
      </c>
      <c r="X258" s="1" t="s">
        <v>74</v>
      </c>
      <c r="Y258" s="1" t="s">
        <v>74</v>
      </c>
      <c r="Z258" s="1" t="s">
        <v>74</v>
      </c>
      <c r="AA258" s="1" t="s">
        <v>74</v>
      </c>
      <c r="AB258" s="1" t="s">
        <v>74</v>
      </c>
      <c r="AC258" s="1" t="s">
        <v>74</v>
      </c>
      <c r="AD258" s="1" t="s">
        <v>74</v>
      </c>
      <c r="AE258" s="1" t="s">
        <v>74</v>
      </c>
      <c r="AF258" s="1" t="s">
        <v>74</v>
      </c>
      <c r="AG258" s="1" t="s">
        <v>74</v>
      </c>
      <c r="AH258" s="1" t="s">
        <v>74</v>
      </c>
      <c r="AI258" s="1" t="s">
        <v>74</v>
      </c>
      <c r="AJ258" s="1" t="s">
        <v>74</v>
      </c>
      <c r="AK258" s="1" t="s">
        <v>74</v>
      </c>
      <c r="AL258" s="1" t="s">
        <v>74</v>
      </c>
      <c r="AM258" s="1" t="s">
        <v>74</v>
      </c>
      <c r="AN258" s="1" t="s">
        <v>74</v>
      </c>
      <c r="AO258" s="1" t="s">
        <v>306</v>
      </c>
      <c r="AP258" s="1" t="s">
        <v>74</v>
      </c>
      <c r="AQ258" s="1" t="s">
        <v>74</v>
      </c>
      <c r="AR258" s="1" t="s">
        <v>74</v>
      </c>
      <c r="AS258" s="1" t="s">
        <v>74</v>
      </c>
      <c r="AT258" s="1" t="s">
        <v>2670</v>
      </c>
      <c r="AU258" s="1">
        <v>2008.0</v>
      </c>
      <c r="AV258" s="1">
        <v>291.0</v>
      </c>
      <c r="AW258" s="1" t="s">
        <v>308</v>
      </c>
      <c r="AX258" s="1" t="s">
        <v>74</v>
      </c>
      <c r="AY258" s="1" t="s">
        <v>74</v>
      </c>
      <c r="AZ258" s="1" t="s">
        <v>74</v>
      </c>
      <c r="BA258" s="1" t="s">
        <v>74</v>
      </c>
      <c r="BB258" s="1">
        <v>49.0</v>
      </c>
      <c r="BC258" s="1">
        <v>56.0</v>
      </c>
      <c r="BD258" s="1" t="s">
        <v>74</v>
      </c>
      <c r="BE258" s="1" t="s">
        <v>2671</v>
      </c>
      <c r="BF258" s="2" t="str">
        <f>HYPERLINK("http://dx.doi.org/10.1016/j.molcata.2008.05.008","http://dx.doi.org/10.1016/j.molcata.2008.05.008")</f>
        <v>http://dx.doi.org/10.1016/j.molcata.2008.05.008</v>
      </c>
      <c r="BG258" s="1" t="s">
        <v>74</v>
      </c>
      <c r="BH258" s="1" t="s">
        <v>74</v>
      </c>
      <c r="BI258" s="1" t="s">
        <v>74</v>
      </c>
      <c r="BJ258" s="1" t="s">
        <v>74</v>
      </c>
      <c r="BK258" s="1" t="s">
        <v>74</v>
      </c>
      <c r="BL258" s="1" t="s">
        <v>74</v>
      </c>
      <c r="BM258" s="1" t="s">
        <v>74</v>
      </c>
      <c r="BN258" s="1" t="s">
        <v>74</v>
      </c>
      <c r="BO258" s="1" t="s">
        <v>74</v>
      </c>
      <c r="BP258" s="1" t="s">
        <v>74</v>
      </c>
      <c r="BQ258" s="1" t="s">
        <v>74</v>
      </c>
      <c r="BR258" s="1" t="s">
        <v>74</v>
      </c>
      <c r="BS258" s="1" t="s">
        <v>2672</v>
      </c>
      <c r="BT258" s="1" t="str">
        <f>HYPERLINK("https%3A%2F%2Fwww.webofscience.com%2Fwos%2Fwoscc%2Ffull-record%2FWOS:000259902400008","View Full Record in Web of Science")</f>
        <v>View Full Record in Web of Science</v>
      </c>
    </row>
    <row r="259" ht="12.75" customHeight="1">
      <c r="A259" s="1" t="s">
        <v>72</v>
      </c>
      <c r="B259" s="1" t="s">
        <v>2673</v>
      </c>
      <c r="C259" s="1" t="s">
        <v>74</v>
      </c>
      <c r="D259" s="1" t="s">
        <v>74</v>
      </c>
      <c r="E259" s="1" t="s">
        <v>74</v>
      </c>
      <c r="F259" s="1" t="s">
        <v>2674</v>
      </c>
      <c r="G259" s="1" t="s">
        <v>74</v>
      </c>
      <c r="H259" s="1" t="s">
        <v>74</v>
      </c>
      <c r="I259" s="1" t="s">
        <v>2675</v>
      </c>
      <c r="J259" s="1" t="s">
        <v>2676</v>
      </c>
      <c r="K259" s="1" t="s">
        <v>74</v>
      </c>
      <c r="L259" s="1" t="s">
        <v>74</v>
      </c>
      <c r="M259" s="1" t="s">
        <v>74</v>
      </c>
      <c r="N259" s="1" t="s">
        <v>74</v>
      </c>
      <c r="O259" s="1" t="s">
        <v>74</v>
      </c>
      <c r="P259" s="1" t="s">
        <v>74</v>
      </c>
      <c r="Q259" s="1" t="s">
        <v>74</v>
      </c>
      <c r="R259" s="1" t="s">
        <v>74</v>
      </c>
      <c r="S259" s="1" t="s">
        <v>74</v>
      </c>
      <c r="T259" s="1" t="s">
        <v>74</v>
      </c>
      <c r="U259" s="1" t="s">
        <v>74</v>
      </c>
      <c r="V259" s="1" t="s">
        <v>2677</v>
      </c>
      <c r="W259" s="1" t="s">
        <v>74</v>
      </c>
      <c r="X259" s="1" t="s">
        <v>74</v>
      </c>
      <c r="Y259" s="1" t="s">
        <v>74</v>
      </c>
      <c r="Z259" s="1" t="s">
        <v>74</v>
      </c>
      <c r="AA259" s="1" t="s">
        <v>2678</v>
      </c>
      <c r="AB259" s="1" t="s">
        <v>2679</v>
      </c>
      <c r="AC259" s="1" t="s">
        <v>74</v>
      </c>
      <c r="AD259" s="1" t="s">
        <v>74</v>
      </c>
      <c r="AE259" s="1" t="s">
        <v>74</v>
      </c>
      <c r="AF259" s="1" t="s">
        <v>74</v>
      </c>
      <c r="AG259" s="1" t="s">
        <v>74</v>
      </c>
      <c r="AH259" s="1" t="s">
        <v>74</v>
      </c>
      <c r="AI259" s="1" t="s">
        <v>74</v>
      </c>
      <c r="AJ259" s="1" t="s">
        <v>74</v>
      </c>
      <c r="AK259" s="1" t="s">
        <v>74</v>
      </c>
      <c r="AL259" s="1" t="s">
        <v>74</v>
      </c>
      <c r="AM259" s="1" t="s">
        <v>74</v>
      </c>
      <c r="AN259" s="1" t="s">
        <v>74</v>
      </c>
      <c r="AO259" s="1" t="s">
        <v>2680</v>
      </c>
      <c r="AP259" s="1" t="s">
        <v>74</v>
      </c>
      <c r="AQ259" s="1" t="s">
        <v>74</v>
      </c>
      <c r="AR259" s="1" t="s">
        <v>74</v>
      </c>
      <c r="AS259" s="1" t="s">
        <v>74</v>
      </c>
      <c r="AT259" s="1" t="s">
        <v>289</v>
      </c>
      <c r="AU259" s="1">
        <v>2008.0</v>
      </c>
      <c r="AV259" s="1">
        <v>259.0</v>
      </c>
      <c r="AW259" s="1">
        <v>2.0</v>
      </c>
      <c r="AX259" s="1" t="s">
        <v>74</v>
      </c>
      <c r="AY259" s="1" t="s">
        <v>74</v>
      </c>
      <c r="AZ259" s="1" t="s">
        <v>74</v>
      </c>
      <c r="BA259" s="1" t="s">
        <v>74</v>
      </c>
      <c r="BB259" s="1">
        <v>287.0</v>
      </c>
      <c r="BC259" s="1">
        <v>309.0</v>
      </c>
      <c r="BD259" s="1" t="s">
        <v>74</v>
      </c>
      <c r="BE259" s="1" t="s">
        <v>2681</v>
      </c>
      <c r="BF259" s="2" t="str">
        <f>HYPERLINK("http://dx.doi.org/10.1007/s00209-007-0225-1","http://dx.doi.org/10.1007/s00209-007-0225-1")</f>
        <v>http://dx.doi.org/10.1007/s00209-007-0225-1</v>
      </c>
      <c r="BG259" s="1" t="s">
        <v>74</v>
      </c>
      <c r="BH259" s="1" t="s">
        <v>74</v>
      </c>
      <c r="BI259" s="1" t="s">
        <v>74</v>
      </c>
      <c r="BJ259" s="1" t="s">
        <v>74</v>
      </c>
      <c r="BK259" s="1" t="s">
        <v>74</v>
      </c>
      <c r="BL259" s="1" t="s">
        <v>74</v>
      </c>
      <c r="BM259" s="1" t="s">
        <v>74</v>
      </c>
      <c r="BN259" s="1" t="s">
        <v>74</v>
      </c>
      <c r="BO259" s="1" t="s">
        <v>74</v>
      </c>
      <c r="BP259" s="1" t="s">
        <v>74</v>
      </c>
      <c r="BQ259" s="1" t="s">
        <v>74</v>
      </c>
      <c r="BR259" s="1" t="s">
        <v>74</v>
      </c>
      <c r="BS259" s="1" t="s">
        <v>2682</v>
      </c>
      <c r="BT259" s="1" t="str">
        <f>HYPERLINK("https%3A%2F%2Fwww.webofscience.com%2Fwos%2Fwoscc%2Ffull-record%2FWOS:000254261200005","View Full Record in Web of Science")</f>
        <v>View Full Record in Web of Science</v>
      </c>
    </row>
    <row r="260" ht="12.75" customHeight="1">
      <c r="A260" s="1" t="s">
        <v>147</v>
      </c>
      <c r="B260" s="1" t="s">
        <v>2683</v>
      </c>
      <c r="C260" s="1" t="s">
        <v>74</v>
      </c>
      <c r="D260" s="1" t="s">
        <v>2684</v>
      </c>
      <c r="E260" s="1" t="s">
        <v>74</v>
      </c>
      <c r="F260" s="1" t="s">
        <v>2685</v>
      </c>
      <c r="G260" s="1" t="s">
        <v>74</v>
      </c>
      <c r="H260" s="1" t="s">
        <v>74</v>
      </c>
      <c r="I260" s="1" t="s">
        <v>2686</v>
      </c>
      <c r="J260" s="1" t="s">
        <v>2687</v>
      </c>
      <c r="K260" s="1" t="s">
        <v>74</v>
      </c>
      <c r="L260" s="1" t="s">
        <v>74</v>
      </c>
      <c r="M260" s="1" t="s">
        <v>74</v>
      </c>
      <c r="N260" s="1" t="s">
        <v>74</v>
      </c>
      <c r="O260" s="1" t="s">
        <v>2688</v>
      </c>
      <c r="P260" s="1" t="s">
        <v>2689</v>
      </c>
      <c r="Q260" s="1" t="s">
        <v>2690</v>
      </c>
      <c r="R260" s="1" t="s">
        <v>2691</v>
      </c>
      <c r="S260" s="1" t="s">
        <v>74</v>
      </c>
      <c r="T260" s="1" t="s">
        <v>74</v>
      </c>
      <c r="U260" s="1" t="s">
        <v>74</v>
      </c>
      <c r="V260" s="1" t="s">
        <v>2692</v>
      </c>
      <c r="W260" s="1" t="s">
        <v>74</v>
      </c>
      <c r="X260" s="1" t="s">
        <v>74</v>
      </c>
      <c r="Y260" s="1" t="s">
        <v>74</v>
      </c>
      <c r="Z260" s="1" t="s">
        <v>74</v>
      </c>
      <c r="AA260" s="1" t="s">
        <v>74</v>
      </c>
      <c r="AB260" s="1" t="s">
        <v>510</v>
      </c>
      <c r="AC260" s="1" t="s">
        <v>74</v>
      </c>
      <c r="AD260" s="1" t="s">
        <v>74</v>
      </c>
      <c r="AE260" s="1" t="s">
        <v>74</v>
      </c>
      <c r="AF260" s="1" t="s">
        <v>74</v>
      </c>
      <c r="AG260" s="1" t="s">
        <v>74</v>
      </c>
      <c r="AH260" s="1" t="s">
        <v>74</v>
      </c>
      <c r="AI260" s="1" t="s">
        <v>74</v>
      </c>
      <c r="AJ260" s="1" t="s">
        <v>74</v>
      </c>
      <c r="AK260" s="1" t="s">
        <v>74</v>
      </c>
      <c r="AL260" s="1" t="s">
        <v>74</v>
      </c>
      <c r="AM260" s="1" t="s">
        <v>74</v>
      </c>
      <c r="AN260" s="1" t="s">
        <v>74</v>
      </c>
      <c r="AO260" s="1" t="s">
        <v>74</v>
      </c>
      <c r="AP260" s="1" t="s">
        <v>74</v>
      </c>
      <c r="AQ260" s="1" t="s">
        <v>2693</v>
      </c>
      <c r="AR260" s="1" t="s">
        <v>74</v>
      </c>
      <c r="AS260" s="1" t="s">
        <v>74</v>
      </c>
      <c r="AT260" s="1" t="s">
        <v>74</v>
      </c>
      <c r="AU260" s="1">
        <v>2008.0</v>
      </c>
      <c r="AV260" s="1" t="s">
        <v>74</v>
      </c>
      <c r="AW260" s="1" t="s">
        <v>74</v>
      </c>
      <c r="AX260" s="1" t="s">
        <v>74</v>
      </c>
      <c r="AY260" s="1" t="s">
        <v>74</v>
      </c>
      <c r="AZ260" s="1" t="s">
        <v>74</v>
      </c>
      <c r="BA260" s="1" t="s">
        <v>74</v>
      </c>
      <c r="BB260" s="1">
        <v>21.0</v>
      </c>
      <c r="BC260" s="1" t="s">
        <v>265</v>
      </c>
      <c r="BD260" s="1" t="s">
        <v>74</v>
      </c>
      <c r="BE260" s="1" t="s">
        <v>2694</v>
      </c>
      <c r="BF260" s="2" t="str">
        <f>HYPERLINK("http://dx.doi.org/10.1049/cp:20080927","http://dx.doi.org/10.1049/cp:20080927")</f>
        <v>http://dx.doi.org/10.1049/cp:20080927</v>
      </c>
      <c r="BG260" s="1" t="s">
        <v>74</v>
      </c>
      <c r="BH260" s="1" t="s">
        <v>74</v>
      </c>
      <c r="BI260" s="1" t="s">
        <v>74</v>
      </c>
      <c r="BJ260" s="1" t="s">
        <v>74</v>
      </c>
      <c r="BK260" s="1" t="s">
        <v>74</v>
      </c>
      <c r="BL260" s="1" t="s">
        <v>74</v>
      </c>
      <c r="BM260" s="1" t="s">
        <v>74</v>
      </c>
      <c r="BN260" s="1" t="s">
        <v>74</v>
      </c>
      <c r="BO260" s="1" t="s">
        <v>74</v>
      </c>
      <c r="BP260" s="1" t="s">
        <v>74</v>
      </c>
      <c r="BQ260" s="1" t="s">
        <v>74</v>
      </c>
      <c r="BR260" s="1" t="s">
        <v>74</v>
      </c>
      <c r="BS260" s="1" t="s">
        <v>2695</v>
      </c>
      <c r="BT260" s="1" t="str">
        <f>HYPERLINK("https%3A%2F%2Fwww.webofscience.com%2Fwos%2Fwoscc%2Ffull-record%2FWOS:000283615600006","View Full Record in Web of Science")</f>
        <v>View Full Record in Web of Science</v>
      </c>
    </row>
    <row r="261" ht="12.75" customHeight="1">
      <c r="A261" s="1" t="s">
        <v>72</v>
      </c>
      <c r="B261" s="1" t="s">
        <v>2696</v>
      </c>
      <c r="C261" s="1" t="s">
        <v>74</v>
      </c>
      <c r="D261" s="1" t="s">
        <v>74</v>
      </c>
      <c r="E261" s="1" t="s">
        <v>74</v>
      </c>
      <c r="F261" s="1" t="s">
        <v>2697</v>
      </c>
      <c r="G261" s="1" t="s">
        <v>74</v>
      </c>
      <c r="H261" s="1" t="s">
        <v>74</v>
      </c>
      <c r="I261" s="1" t="s">
        <v>2698</v>
      </c>
      <c r="J261" s="1" t="s">
        <v>2699</v>
      </c>
      <c r="K261" s="1" t="s">
        <v>74</v>
      </c>
      <c r="L261" s="1" t="s">
        <v>74</v>
      </c>
      <c r="M261" s="1" t="s">
        <v>74</v>
      </c>
      <c r="N261" s="1" t="s">
        <v>74</v>
      </c>
      <c r="O261" s="1" t="s">
        <v>74</v>
      </c>
      <c r="P261" s="1" t="s">
        <v>74</v>
      </c>
      <c r="Q261" s="1" t="s">
        <v>74</v>
      </c>
      <c r="R261" s="1" t="s">
        <v>74</v>
      </c>
      <c r="S261" s="1" t="s">
        <v>74</v>
      </c>
      <c r="T261" s="1" t="s">
        <v>74</v>
      </c>
      <c r="U261" s="1" t="s">
        <v>74</v>
      </c>
      <c r="V261" s="1" t="s">
        <v>2700</v>
      </c>
      <c r="W261" s="1" t="s">
        <v>74</v>
      </c>
      <c r="X261" s="1" t="s">
        <v>74</v>
      </c>
      <c r="Y261" s="1" t="s">
        <v>74</v>
      </c>
      <c r="Z261" s="1" t="s">
        <v>74</v>
      </c>
      <c r="AA261" s="1" t="s">
        <v>1137</v>
      </c>
      <c r="AB261" s="1" t="s">
        <v>74</v>
      </c>
      <c r="AC261" s="1" t="s">
        <v>74</v>
      </c>
      <c r="AD261" s="1" t="s">
        <v>74</v>
      </c>
      <c r="AE261" s="1" t="s">
        <v>74</v>
      </c>
      <c r="AF261" s="1" t="s">
        <v>74</v>
      </c>
      <c r="AG261" s="1" t="s">
        <v>74</v>
      </c>
      <c r="AH261" s="1" t="s">
        <v>74</v>
      </c>
      <c r="AI261" s="1" t="s">
        <v>74</v>
      </c>
      <c r="AJ261" s="1" t="s">
        <v>74</v>
      </c>
      <c r="AK261" s="1" t="s">
        <v>74</v>
      </c>
      <c r="AL261" s="1" t="s">
        <v>74</v>
      </c>
      <c r="AM261" s="1" t="s">
        <v>74</v>
      </c>
      <c r="AN261" s="1" t="s">
        <v>74</v>
      </c>
      <c r="AO261" s="1" t="s">
        <v>2701</v>
      </c>
      <c r="AP261" s="1" t="s">
        <v>74</v>
      </c>
      <c r="AQ261" s="1" t="s">
        <v>74</v>
      </c>
      <c r="AR261" s="1" t="s">
        <v>74</v>
      </c>
      <c r="AS261" s="1" t="s">
        <v>74</v>
      </c>
      <c r="AT261" s="1" t="s">
        <v>2702</v>
      </c>
      <c r="AU261" s="1">
        <v>2007.0</v>
      </c>
      <c r="AV261" s="1">
        <v>18.0</v>
      </c>
      <c r="AW261" s="1">
        <v>4.0</v>
      </c>
      <c r="AX261" s="1" t="s">
        <v>74</v>
      </c>
      <c r="AY261" s="1" t="s">
        <v>74</v>
      </c>
      <c r="AZ261" s="1" t="s">
        <v>74</v>
      </c>
      <c r="BA261" s="1" t="s">
        <v>74</v>
      </c>
      <c r="BB261" s="1">
        <v>485.0</v>
      </c>
      <c r="BC261" s="1">
        <v>494.0</v>
      </c>
      <c r="BD261" s="1" t="s">
        <v>74</v>
      </c>
      <c r="BE261" s="1" t="s">
        <v>2703</v>
      </c>
      <c r="BF261" s="2" t="str">
        <f>HYPERLINK("http://dx.doi.org/10.1016/S0019-3577(07)80057-7","http://dx.doi.org/10.1016/S0019-3577(07)80057-7")</f>
        <v>http://dx.doi.org/10.1016/S0019-3577(07)80057-7</v>
      </c>
      <c r="BG261" s="1" t="s">
        <v>74</v>
      </c>
      <c r="BH261" s="1" t="s">
        <v>74</v>
      </c>
      <c r="BI261" s="1" t="s">
        <v>74</v>
      </c>
      <c r="BJ261" s="1" t="s">
        <v>74</v>
      </c>
      <c r="BK261" s="1" t="s">
        <v>74</v>
      </c>
      <c r="BL261" s="1" t="s">
        <v>74</v>
      </c>
      <c r="BM261" s="1" t="s">
        <v>74</v>
      </c>
      <c r="BN261" s="1" t="s">
        <v>74</v>
      </c>
      <c r="BO261" s="1" t="s">
        <v>74</v>
      </c>
      <c r="BP261" s="1" t="s">
        <v>74</v>
      </c>
      <c r="BQ261" s="1" t="s">
        <v>74</v>
      </c>
      <c r="BR261" s="1" t="s">
        <v>74</v>
      </c>
      <c r="BS261" s="1" t="s">
        <v>2704</v>
      </c>
      <c r="BT261" s="1" t="str">
        <f>HYPERLINK("https%3A%2F%2Fwww.webofscience.com%2Fwos%2Fwoscc%2Ffull-record%2FWOS:000257128600001","View Full Record in Web of Science")</f>
        <v>View Full Record in Web of Science</v>
      </c>
    </row>
    <row r="262" ht="12.75" customHeight="1">
      <c r="A262" s="1" t="s">
        <v>72</v>
      </c>
      <c r="B262" s="1" t="s">
        <v>2705</v>
      </c>
      <c r="C262" s="1" t="s">
        <v>74</v>
      </c>
      <c r="D262" s="1" t="s">
        <v>74</v>
      </c>
      <c r="E262" s="1" t="s">
        <v>74</v>
      </c>
      <c r="F262" s="1" t="s">
        <v>2705</v>
      </c>
      <c r="G262" s="1" t="s">
        <v>74</v>
      </c>
      <c r="H262" s="1" t="s">
        <v>74</v>
      </c>
      <c r="I262" s="1" t="s">
        <v>2706</v>
      </c>
      <c r="J262" s="1" t="s">
        <v>958</v>
      </c>
      <c r="K262" s="1" t="s">
        <v>74</v>
      </c>
      <c r="L262" s="1" t="s">
        <v>74</v>
      </c>
      <c r="M262" s="1" t="s">
        <v>74</v>
      </c>
      <c r="N262" s="1" t="s">
        <v>74</v>
      </c>
      <c r="O262" s="1" t="s">
        <v>74</v>
      </c>
      <c r="P262" s="1" t="s">
        <v>74</v>
      </c>
      <c r="Q262" s="1" t="s">
        <v>74</v>
      </c>
      <c r="R262" s="1" t="s">
        <v>74</v>
      </c>
      <c r="S262" s="1" t="s">
        <v>74</v>
      </c>
      <c r="T262" s="1" t="s">
        <v>74</v>
      </c>
      <c r="U262" s="1" t="s">
        <v>74</v>
      </c>
      <c r="V262" s="1" t="s">
        <v>2707</v>
      </c>
      <c r="W262" s="1" t="s">
        <v>74</v>
      </c>
      <c r="X262" s="1" t="s">
        <v>74</v>
      </c>
      <c r="Y262" s="1" t="s">
        <v>74</v>
      </c>
      <c r="Z262" s="1" t="s">
        <v>74</v>
      </c>
      <c r="AA262" s="1" t="s">
        <v>2708</v>
      </c>
      <c r="AB262" s="1" t="s">
        <v>2709</v>
      </c>
      <c r="AC262" s="1" t="s">
        <v>74</v>
      </c>
      <c r="AD262" s="1" t="s">
        <v>74</v>
      </c>
      <c r="AE262" s="1" t="s">
        <v>74</v>
      </c>
      <c r="AF262" s="1" t="s">
        <v>74</v>
      </c>
      <c r="AG262" s="1" t="s">
        <v>74</v>
      </c>
      <c r="AH262" s="1" t="s">
        <v>74</v>
      </c>
      <c r="AI262" s="1" t="s">
        <v>74</v>
      </c>
      <c r="AJ262" s="1" t="s">
        <v>74</v>
      </c>
      <c r="AK262" s="1" t="s">
        <v>74</v>
      </c>
      <c r="AL262" s="1" t="s">
        <v>74</v>
      </c>
      <c r="AM262" s="1" t="s">
        <v>74</v>
      </c>
      <c r="AN262" s="1" t="s">
        <v>74</v>
      </c>
      <c r="AO262" s="1" t="s">
        <v>962</v>
      </c>
      <c r="AP262" s="1" t="s">
        <v>74</v>
      </c>
      <c r="AQ262" s="1" t="s">
        <v>74</v>
      </c>
      <c r="AR262" s="1" t="s">
        <v>74</v>
      </c>
      <c r="AS262" s="1" t="s">
        <v>74</v>
      </c>
      <c r="AT262" s="1" t="s">
        <v>74</v>
      </c>
      <c r="AU262" s="1">
        <v>2005.0</v>
      </c>
      <c r="AV262" s="1">
        <v>40.0</v>
      </c>
      <c r="AW262" s="1">
        <v>2.0</v>
      </c>
      <c r="AX262" s="1" t="s">
        <v>74</v>
      </c>
      <c r="AY262" s="1" t="s">
        <v>74</v>
      </c>
      <c r="AZ262" s="1" t="s">
        <v>74</v>
      </c>
      <c r="BA262" s="1" t="s">
        <v>74</v>
      </c>
      <c r="BB262" s="1">
        <v>179.0</v>
      </c>
      <c r="BC262" s="1">
        <v>205.0</v>
      </c>
      <c r="BD262" s="1" t="s">
        <v>74</v>
      </c>
      <c r="BE262" s="1" t="s">
        <v>2710</v>
      </c>
      <c r="BF262" s="2" t="str">
        <f>HYPERLINK("http://dx.doi.org/10.1207/s15327906mbr4002_2","http://dx.doi.org/10.1207/s15327906mbr4002_2")</f>
        <v>http://dx.doi.org/10.1207/s15327906mbr4002_2</v>
      </c>
      <c r="BG262" s="1" t="s">
        <v>74</v>
      </c>
      <c r="BH262" s="1" t="s">
        <v>74</v>
      </c>
      <c r="BI262" s="1" t="s">
        <v>74</v>
      </c>
      <c r="BJ262" s="1" t="s">
        <v>74</v>
      </c>
      <c r="BK262" s="1" t="s">
        <v>74</v>
      </c>
      <c r="BL262" s="1" t="s">
        <v>74</v>
      </c>
      <c r="BM262" s="1" t="s">
        <v>74</v>
      </c>
      <c r="BN262" s="1">
        <v>2.6760106E7</v>
      </c>
      <c r="BO262" s="1" t="s">
        <v>74</v>
      </c>
      <c r="BP262" s="1" t="s">
        <v>74</v>
      </c>
      <c r="BQ262" s="1" t="s">
        <v>74</v>
      </c>
      <c r="BR262" s="1" t="s">
        <v>74</v>
      </c>
      <c r="BS262" s="1" t="s">
        <v>2711</v>
      </c>
      <c r="BT262" s="1" t="str">
        <f>HYPERLINK("https%3A%2F%2Fwww.webofscience.com%2Fwos%2Fwoscc%2Ffull-record%2FWOS:000232538500002","View Full Record in Web of Science")</f>
        <v>View Full Record in Web of Science</v>
      </c>
    </row>
    <row r="263" ht="12.75" customHeight="1">
      <c r="A263" s="1" t="s">
        <v>72</v>
      </c>
      <c r="B263" s="1" t="s">
        <v>2712</v>
      </c>
      <c r="C263" s="1" t="s">
        <v>74</v>
      </c>
      <c r="D263" s="1" t="s">
        <v>74</v>
      </c>
      <c r="E263" s="1" t="s">
        <v>74</v>
      </c>
      <c r="F263" s="1" t="s">
        <v>2712</v>
      </c>
      <c r="G263" s="1" t="s">
        <v>74</v>
      </c>
      <c r="H263" s="1" t="s">
        <v>74</v>
      </c>
      <c r="I263" s="1" t="s">
        <v>2713</v>
      </c>
      <c r="J263" s="1" t="s">
        <v>2714</v>
      </c>
      <c r="K263" s="1" t="s">
        <v>74</v>
      </c>
      <c r="L263" s="1" t="s">
        <v>74</v>
      </c>
      <c r="M263" s="1" t="s">
        <v>74</v>
      </c>
      <c r="N263" s="1" t="s">
        <v>74</v>
      </c>
      <c r="O263" s="1" t="s">
        <v>74</v>
      </c>
      <c r="P263" s="1" t="s">
        <v>74</v>
      </c>
      <c r="Q263" s="1" t="s">
        <v>74</v>
      </c>
      <c r="R263" s="1" t="s">
        <v>74</v>
      </c>
      <c r="S263" s="1" t="s">
        <v>74</v>
      </c>
      <c r="T263" s="1" t="s">
        <v>74</v>
      </c>
      <c r="U263" s="1" t="s">
        <v>74</v>
      </c>
      <c r="V263" s="1" t="s">
        <v>2715</v>
      </c>
      <c r="W263" s="1" t="s">
        <v>74</v>
      </c>
      <c r="X263" s="1" t="s">
        <v>74</v>
      </c>
      <c r="Y263" s="1" t="s">
        <v>74</v>
      </c>
      <c r="Z263" s="1" t="s">
        <v>74</v>
      </c>
      <c r="AA263" s="1" t="s">
        <v>74</v>
      </c>
      <c r="AB263" s="1" t="s">
        <v>74</v>
      </c>
      <c r="AC263" s="1" t="s">
        <v>74</v>
      </c>
      <c r="AD263" s="1" t="s">
        <v>74</v>
      </c>
      <c r="AE263" s="1" t="s">
        <v>74</v>
      </c>
      <c r="AF263" s="1" t="s">
        <v>74</v>
      </c>
      <c r="AG263" s="1" t="s">
        <v>74</v>
      </c>
      <c r="AH263" s="1" t="s">
        <v>74</v>
      </c>
      <c r="AI263" s="1" t="s">
        <v>74</v>
      </c>
      <c r="AJ263" s="1" t="s">
        <v>74</v>
      </c>
      <c r="AK263" s="1" t="s">
        <v>74</v>
      </c>
      <c r="AL263" s="1" t="s">
        <v>74</v>
      </c>
      <c r="AM263" s="1" t="s">
        <v>74</v>
      </c>
      <c r="AN263" s="1" t="s">
        <v>74</v>
      </c>
      <c r="AO263" s="1" t="s">
        <v>2716</v>
      </c>
      <c r="AP263" s="1" t="s">
        <v>74</v>
      </c>
      <c r="AQ263" s="1" t="s">
        <v>74</v>
      </c>
      <c r="AR263" s="1" t="s">
        <v>74</v>
      </c>
      <c r="AS263" s="1" t="s">
        <v>74</v>
      </c>
      <c r="AT263" s="1" t="s">
        <v>277</v>
      </c>
      <c r="AU263" s="1">
        <v>2004.0</v>
      </c>
      <c r="AV263" s="1">
        <v>56.0</v>
      </c>
      <c r="AW263" s="1">
        <v>1.0</v>
      </c>
      <c r="AX263" s="1" t="s">
        <v>74</v>
      </c>
      <c r="AY263" s="1" t="s">
        <v>74</v>
      </c>
      <c r="AZ263" s="1" t="s">
        <v>74</v>
      </c>
      <c r="BA263" s="1" t="s">
        <v>74</v>
      </c>
      <c r="BB263" s="1">
        <v>119.0</v>
      </c>
      <c r="BC263" s="1">
        <v>131.0</v>
      </c>
      <c r="BD263" s="1" t="s">
        <v>74</v>
      </c>
      <c r="BE263" s="1" t="s">
        <v>2717</v>
      </c>
      <c r="BF263" s="2" t="str">
        <f>HYPERLINK("http://dx.doi.org/10.1016/j.na.2003.09.002","http://dx.doi.org/10.1016/j.na.2003.09.002")</f>
        <v>http://dx.doi.org/10.1016/j.na.2003.09.002</v>
      </c>
      <c r="BG263" s="1" t="s">
        <v>74</v>
      </c>
      <c r="BH263" s="1" t="s">
        <v>74</v>
      </c>
      <c r="BI263" s="1" t="s">
        <v>74</v>
      </c>
      <c r="BJ263" s="1" t="s">
        <v>74</v>
      </c>
      <c r="BK263" s="1" t="s">
        <v>74</v>
      </c>
      <c r="BL263" s="1" t="s">
        <v>74</v>
      </c>
      <c r="BM263" s="1" t="s">
        <v>74</v>
      </c>
      <c r="BN263" s="1" t="s">
        <v>74</v>
      </c>
      <c r="BO263" s="1" t="s">
        <v>74</v>
      </c>
      <c r="BP263" s="1" t="s">
        <v>74</v>
      </c>
      <c r="BQ263" s="1" t="s">
        <v>74</v>
      </c>
      <c r="BR263" s="1" t="s">
        <v>74</v>
      </c>
      <c r="BS263" s="1" t="s">
        <v>2718</v>
      </c>
      <c r="BT263" s="1" t="str">
        <f>HYPERLINK("https%3A%2F%2Fwww.webofscience.com%2Fwos%2Fwoscc%2Ffull-record%2FWOS:000187836200006","View Full Record in Web of Science")</f>
        <v>View Full Record in Web of Science</v>
      </c>
    </row>
    <row r="264" ht="12.75" customHeight="1">
      <c r="A264" s="1" t="s">
        <v>72</v>
      </c>
      <c r="B264" s="1" t="s">
        <v>2719</v>
      </c>
      <c r="C264" s="1" t="s">
        <v>74</v>
      </c>
      <c r="D264" s="1" t="s">
        <v>74</v>
      </c>
      <c r="E264" s="1" t="s">
        <v>74</v>
      </c>
      <c r="F264" s="1" t="s">
        <v>2719</v>
      </c>
      <c r="G264" s="1" t="s">
        <v>74</v>
      </c>
      <c r="H264" s="1" t="s">
        <v>74</v>
      </c>
      <c r="I264" s="1" t="s">
        <v>2720</v>
      </c>
      <c r="J264" s="1" t="s">
        <v>1210</v>
      </c>
      <c r="K264" s="1" t="s">
        <v>74</v>
      </c>
      <c r="L264" s="1" t="s">
        <v>74</v>
      </c>
      <c r="M264" s="1" t="s">
        <v>74</v>
      </c>
      <c r="N264" s="1" t="s">
        <v>74</v>
      </c>
      <c r="O264" s="1" t="s">
        <v>74</v>
      </c>
      <c r="P264" s="1" t="s">
        <v>74</v>
      </c>
      <c r="Q264" s="1" t="s">
        <v>74</v>
      </c>
      <c r="R264" s="1" t="s">
        <v>74</v>
      </c>
      <c r="S264" s="1" t="s">
        <v>74</v>
      </c>
      <c r="T264" s="1" t="s">
        <v>74</v>
      </c>
      <c r="U264" s="1" t="s">
        <v>74</v>
      </c>
      <c r="V264" s="1" t="s">
        <v>2721</v>
      </c>
      <c r="W264" s="1" t="s">
        <v>74</v>
      </c>
      <c r="X264" s="1" t="s">
        <v>74</v>
      </c>
      <c r="Y264" s="1" t="s">
        <v>74</v>
      </c>
      <c r="Z264" s="1" t="s">
        <v>74</v>
      </c>
      <c r="AA264" s="1" t="s">
        <v>74</v>
      </c>
      <c r="AB264" s="1" t="s">
        <v>74</v>
      </c>
      <c r="AC264" s="1" t="s">
        <v>74</v>
      </c>
      <c r="AD264" s="1" t="s">
        <v>74</v>
      </c>
      <c r="AE264" s="1" t="s">
        <v>74</v>
      </c>
      <c r="AF264" s="1" t="s">
        <v>74</v>
      </c>
      <c r="AG264" s="1" t="s">
        <v>74</v>
      </c>
      <c r="AH264" s="1" t="s">
        <v>74</v>
      </c>
      <c r="AI264" s="1" t="s">
        <v>74</v>
      </c>
      <c r="AJ264" s="1" t="s">
        <v>74</v>
      </c>
      <c r="AK264" s="1" t="s">
        <v>74</v>
      </c>
      <c r="AL264" s="1" t="s">
        <v>74</v>
      </c>
      <c r="AM264" s="1" t="s">
        <v>74</v>
      </c>
      <c r="AN264" s="1" t="s">
        <v>74</v>
      </c>
      <c r="AO264" s="1" t="s">
        <v>1213</v>
      </c>
      <c r="AP264" s="1" t="s">
        <v>74</v>
      </c>
      <c r="AQ264" s="1" t="s">
        <v>74</v>
      </c>
      <c r="AR264" s="1" t="s">
        <v>74</v>
      </c>
      <c r="AS264" s="1" t="s">
        <v>74</v>
      </c>
      <c r="AT264" s="1" t="s">
        <v>1214</v>
      </c>
      <c r="AU264" s="1">
        <v>2002.0</v>
      </c>
      <c r="AV264" s="1">
        <v>59.0</v>
      </c>
      <c r="AW264" s="1">
        <v>498.0</v>
      </c>
      <c r="AX264" s="1" t="s">
        <v>74</v>
      </c>
      <c r="AY264" s="1" t="s">
        <v>74</v>
      </c>
      <c r="AZ264" s="1" t="s">
        <v>74</v>
      </c>
      <c r="BA264" s="1" t="s">
        <v>74</v>
      </c>
      <c r="BB264" s="1">
        <v>134.0</v>
      </c>
      <c r="BC264" s="1">
        <v>140.0</v>
      </c>
      <c r="BD264" s="1" t="s">
        <v>74</v>
      </c>
      <c r="BE264" s="1" t="s">
        <v>74</v>
      </c>
      <c r="BF264" s="1" t="s">
        <v>74</v>
      </c>
      <c r="BG264" s="1" t="s">
        <v>74</v>
      </c>
      <c r="BH264" s="1" t="s">
        <v>74</v>
      </c>
      <c r="BI264" s="1" t="s">
        <v>74</v>
      </c>
      <c r="BJ264" s="1" t="s">
        <v>74</v>
      </c>
      <c r="BK264" s="1" t="s">
        <v>74</v>
      </c>
      <c r="BL264" s="1" t="s">
        <v>74</v>
      </c>
      <c r="BM264" s="1" t="s">
        <v>74</v>
      </c>
      <c r="BN264" s="1" t="s">
        <v>74</v>
      </c>
      <c r="BO264" s="1" t="s">
        <v>74</v>
      </c>
      <c r="BP264" s="1" t="s">
        <v>74</v>
      </c>
      <c r="BQ264" s="1" t="s">
        <v>74</v>
      </c>
      <c r="BR264" s="1" t="s">
        <v>74</v>
      </c>
      <c r="BS264" s="1" t="s">
        <v>2722</v>
      </c>
      <c r="BT264" s="1" t="str">
        <f>HYPERLINK("https%3A%2F%2Fwww.webofscience.com%2Fwos%2Fwoscc%2Ffull-record%2FWOS:000176029900006","View Full Record in Web of Science")</f>
        <v>View Full Record in Web of Science</v>
      </c>
    </row>
    <row r="265" ht="12.75" customHeight="1">
      <c r="A265" s="1" t="s">
        <v>72</v>
      </c>
      <c r="B265" s="1" t="s">
        <v>2723</v>
      </c>
      <c r="C265" s="1" t="s">
        <v>74</v>
      </c>
      <c r="D265" s="1" t="s">
        <v>74</v>
      </c>
      <c r="E265" s="1" t="s">
        <v>74</v>
      </c>
      <c r="F265" s="1" t="s">
        <v>2723</v>
      </c>
      <c r="G265" s="1" t="s">
        <v>74</v>
      </c>
      <c r="H265" s="1" t="s">
        <v>74</v>
      </c>
      <c r="I265" s="1" t="s">
        <v>2724</v>
      </c>
      <c r="J265" s="1" t="s">
        <v>413</v>
      </c>
      <c r="K265" s="1" t="s">
        <v>74</v>
      </c>
      <c r="L265" s="1" t="s">
        <v>74</v>
      </c>
      <c r="M265" s="1" t="s">
        <v>74</v>
      </c>
      <c r="N265" s="1" t="s">
        <v>74</v>
      </c>
      <c r="O265" s="1" t="s">
        <v>74</v>
      </c>
      <c r="P265" s="1" t="s">
        <v>74</v>
      </c>
      <c r="Q265" s="1" t="s">
        <v>74</v>
      </c>
      <c r="R265" s="1" t="s">
        <v>74</v>
      </c>
      <c r="S265" s="1" t="s">
        <v>74</v>
      </c>
      <c r="T265" s="1" t="s">
        <v>74</v>
      </c>
      <c r="U265" s="1" t="s">
        <v>74</v>
      </c>
      <c r="V265" s="1" t="s">
        <v>2725</v>
      </c>
      <c r="W265" s="1" t="s">
        <v>74</v>
      </c>
      <c r="X265" s="1" t="s">
        <v>74</v>
      </c>
      <c r="Y265" s="1" t="s">
        <v>74</v>
      </c>
      <c r="Z265" s="1" t="s">
        <v>74</v>
      </c>
      <c r="AA265" s="1" t="s">
        <v>2726</v>
      </c>
      <c r="AB265" s="1" t="s">
        <v>2727</v>
      </c>
      <c r="AC265" s="1" t="s">
        <v>74</v>
      </c>
      <c r="AD265" s="1" t="s">
        <v>74</v>
      </c>
      <c r="AE265" s="1" t="s">
        <v>74</v>
      </c>
      <c r="AF265" s="1" t="s">
        <v>74</v>
      </c>
      <c r="AG265" s="1" t="s">
        <v>74</v>
      </c>
      <c r="AH265" s="1" t="s">
        <v>74</v>
      </c>
      <c r="AI265" s="1" t="s">
        <v>74</v>
      </c>
      <c r="AJ265" s="1" t="s">
        <v>74</v>
      </c>
      <c r="AK265" s="1" t="s">
        <v>74</v>
      </c>
      <c r="AL265" s="1" t="s">
        <v>74</v>
      </c>
      <c r="AM265" s="1" t="s">
        <v>74</v>
      </c>
      <c r="AN265" s="1" t="s">
        <v>74</v>
      </c>
      <c r="AO265" s="1" t="s">
        <v>414</v>
      </c>
      <c r="AP265" s="1" t="s">
        <v>74</v>
      </c>
      <c r="AQ265" s="1" t="s">
        <v>74</v>
      </c>
      <c r="AR265" s="1" t="s">
        <v>74</v>
      </c>
      <c r="AS265" s="1" t="s">
        <v>74</v>
      </c>
      <c r="AT265" s="1" t="s">
        <v>415</v>
      </c>
      <c r="AU265" s="1">
        <v>2001.0</v>
      </c>
      <c r="AV265" s="1">
        <v>46.0</v>
      </c>
      <c r="AW265" s="1">
        <v>4.0</v>
      </c>
      <c r="AX265" s="1" t="s">
        <v>74</v>
      </c>
      <c r="AY265" s="1" t="s">
        <v>74</v>
      </c>
      <c r="AZ265" s="1" t="s">
        <v>74</v>
      </c>
      <c r="BA265" s="1" t="s">
        <v>74</v>
      </c>
      <c r="BB265" s="1">
        <v>399.0</v>
      </c>
      <c r="BC265" s="1">
        <v>407.0</v>
      </c>
      <c r="BD265" s="1" t="s">
        <v>74</v>
      </c>
      <c r="BE265" s="1" t="s">
        <v>74</v>
      </c>
      <c r="BF265" s="1" t="s">
        <v>74</v>
      </c>
      <c r="BG265" s="1" t="s">
        <v>74</v>
      </c>
      <c r="BH265" s="1" t="s">
        <v>74</v>
      </c>
      <c r="BI265" s="1" t="s">
        <v>74</v>
      </c>
      <c r="BJ265" s="1" t="s">
        <v>74</v>
      </c>
      <c r="BK265" s="1" t="s">
        <v>74</v>
      </c>
      <c r="BL265" s="1" t="s">
        <v>74</v>
      </c>
      <c r="BM265" s="1" t="s">
        <v>74</v>
      </c>
      <c r="BN265" s="1" t="s">
        <v>74</v>
      </c>
      <c r="BO265" s="1" t="s">
        <v>74</v>
      </c>
      <c r="BP265" s="1" t="s">
        <v>74</v>
      </c>
      <c r="BQ265" s="1" t="s">
        <v>74</v>
      </c>
      <c r="BR265" s="1" t="s">
        <v>74</v>
      </c>
      <c r="BS265" s="1" t="s">
        <v>2728</v>
      </c>
      <c r="BT265" s="1" t="str">
        <f>HYPERLINK("https%3A%2F%2Fwww.webofscience.com%2Fwos%2Fwoscc%2Ffull-record%2FWOS:000173712000002","View Full Record in Web of Science")</f>
        <v>View Full Record in Web of Science</v>
      </c>
    </row>
    <row r="266" ht="12.75" customHeight="1">
      <c r="A266" s="1" t="s">
        <v>72</v>
      </c>
      <c r="B266" s="1" t="s">
        <v>2729</v>
      </c>
      <c r="C266" s="1" t="s">
        <v>74</v>
      </c>
      <c r="D266" s="1" t="s">
        <v>74</v>
      </c>
      <c r="E266" s="1" t="s">
        <v>74</v>
      </c>
      <c r="F266" s="1" t="s">
        <v>2729</v>
      </c>
      <c r="G266" s="1" t="s">
        <v>74</v>
      </c>
      <c r="H266" s="1" t="s">
        <v>74</v>
      </c>
      <c r="I266" s="1" t="s">
        <v>2730</v>
      </c>
      <c r="J266" s="1" t="s">
        <v>1218</v>
      </c>
      <c r="K266" s="1" t="s">
        <v>74</v>
      </c>
      <c r="L266" s="1" t="s">
        <v>74</v>
      </c>
      <c r="M266" s="1" t="s">
        <v>74</v>
      </c>
      <c r="N266" s="1" t="s">
        <v>74</v>
      </c>
      <c r="O266" s="1" t="s">
        <v>74</v>
      </c>
      <c r="P266" s="1" t="s">
        <v>74</v>
      </c>
      <c r="Q266" s="1" t="s">
        <v>74</v>
      </c>
      <c r="R266" s="1" t="s">
        <v>74</v>
      </c>
      <c r="S266" s="1" t="s">
        <v>74</v>
      </c>
      <c r="T266" s="1" t="s">
        <v>74</v>
      </c>
      <c r="U266" s="1" t="s">
        <v>74</v>
      </c>
      <c r="V266" s="1" t="s">
        <v>2731</v>
      </c>
      <c r="W266" s="1" t="s">
        <v>74</v>
      </c>
      <c r="X266" s="1" t="s">
        <v>74</v>
      </c>
      <c r="Y266" s="1" t="s">
        <v>74</v>
      </c>
      <c r="Z266" s="1" t="s">
        <v>74</v>
      </c>
      <c r="AA266" s="1" t="s">
        <v>74</v>
      </c>
      <c r="AB266" s="1" t="s">
        <v>2732</v>
      </c>
      <c r="AC266" s="1" t="s">
        <v>74</v>
      </c>
      <c r="AD266" s="1" t="s">
        <v>74</v>
      </c>
      <c r="AE266" s="1" t="s">
        <v>74</v>
      </c>
      <c r="AF266" s="1" t="s">
        <v>74</v>
      </c>
      <c r="AG266" s="1" t="s">
        <v>74</v>
      </c>
      <c r="AH266" s="1" t="s">
        <v>74</v>
      </c>
      <c r="AI266" s="1" t="s">
        <v>74</v>
      </c>
      <c r="AJ266" s="1" t="s">
        <v>74</v>
      </c>
      <c r="AK266" s="1" t="s">
        <v>74</v>
      </c>
      <c r="AL266" s="1" t="s">
        <v>74</v>
      </c>
      <c r="AM266" s="1" t="s">
        <v>74</v>
      </c>
      <c r="AN266" s="1" t="s">
        <v>74</v>
      </c>
      <c r="AO266" s="1" t="s">
        <v>1221</v>
      </c>
      <c r="AP266" s="1" t="s">
        <v>74</v>
      </c>
      <c r="AQ266" s="1" t="s">
        <v>74</v>
      </c>
      <c r="AR266" s="1" t="s">
        <v>74</v>
      </c>
      <c r="AS266" s="1" t="s">
        <v>74</v>
      </c>
      <c r="AT266" s="1" t="s">
        <v>122</v>
      </c>
      <c r="AU266" s="1">
        <v>2000.0</v>
      </c>
      <c r="AV266" s="1">
        <v>54.0</v>
      </c>
      <c r="AW266" s="1">
        <v>8.0</v>
      </c>
      <c r="AX266" s="1" t="s">
        <v>74</v>
      </c>
      <c r="AY266" s="1" t="s">
        <v>74</v>
      </c>
      <c r="AZ266" s="1" t="s">
        <v>74</v>
      </c>
      <c r="BA266" s="1" t="s">
        <v>74</v>
      </c>
      <c r="BB266" s="1">
        <v>995.0</v>
      </c>
      <c r="BC266" s="1">
        <v>1001.0</v>
      </c>
      <c r="BD266" s="1" t="s">
        <v>74</v>
      </c>
      <c r="BE266" s="1" t="s">
        <v>2733</v>
      </c>
      <c r="BF266" s="2" t="str">
        <f>HYPERLINK("http://dx.doi.org/10.1016/S0031-9422(99)00528-2","http://dx.doi.org/10.1016/S0031-9422(99)00528-2")</f>
        <v>http://dx.doi.org/10.1016/S0031-9422(99)00528-2</v>
      </c>
      <c r="BG266" s="1" t="s">
        <v>74</v>
      </c>
      <c r="BH266" s="1" t="s">
        <v>74</v>
      </c>
      <c r="BI266" s="1" t="s">
        <v>74</v>
      </c>
      <c r="BJ266" s="1" t="s">
        <v>74</v>
      </c>
      <c r="BK266" s="1" t="s">
        <v>74</v>
      </c>
      <c r="BL266" s="1" t="s">
        <v>74</v>
      </c>
      <c r="BM266" s="1" t="s">
        <v>74</v>
      </c>
      <c r="BN266" s="1">
        <v>1.1014304E7</v>
      </c>
      <c r="BO266" s="1" t="s">
        <v>74</v>
      </c>
      <c r="BP266" s="1" t="s">
        <v>74</v>
      </c>
      <c r="BQ266" s="1" t="s">
        <v>74</v>
      </c>
      <c r="BR266" s="1" t="s">
        <v>74</v>
      </c>
      <c r="BS266" s="1" t="s">
        <v>2734</v>
      </c>
      <c r="BT266" s="1" t="str">
        <f>HYPERLINK("https%3A%2F%2Fwww.webofscience.com%2Fwos%2Fwoscc%2Ffull-record%2FWOS:000089391400049","View Full Record in Web of Science")</f>
        <v>View Full Record in Web of Science</v>
      </c>
    </row>
    <row r="267" ht="12.75" customHeight="1">
      <c r="A267" s="1" t="s">
        <v>72</v>
      </c>
      <c r="B267" s="1" t="s">
        <v>2735</v>
      </c>
      <c r="C267" s="1" t="s">
        <v>74</v>
      </c>
      <c r="D267" s="1" t="s">
        <v>74</v>
      </c>
      <c r="E267" s="1" t="s">
        <v>74</v>
      </c>
      <c r="F267" s="1" t="s">
        <v>2735</v>
      </c>
      <c r="G267" s="1" t="s">
        <v>74</v>
      </c>
      <c r="H267" s="1" t="s">
        <v>74</v>
      </c>
      <c r="I267" s="1" t="s">
        <v>2736</v>
      </c>
      <c r="J267" s="1" t="s">
        <v>2737</v>
      </c>
      <c r="K267" s="1" t="s">
        <v>74</v>
      </c>
      <c r="L267" s="1" t="s">
        <v>74</v>
      </c>
      <c r="M267" s="1" t="s">
        <v>74</v>
      </c>
      <c r="N267" s="1" t="s">
        <v>74</v>
      </c>
      <c r="O267" s="1" t="s">
        <v>2738</v>
      </c>
      <c r="P267" s="1">
        <v>1996.0</v>
      </c>
      <c r="Q267" s="1" t="s">
        <v>2739</v>
      </c>
      <c r="R267" s="1" t="s">
        <v>2740</v>
      </c>
      <c r="S267" s="1" t="s">
        <v>74</v>
      </c>
      <c r="T267" s="1" t="s">
        <v>74</v>
      </c>
      <c r="U267" s="1" t="s">
        <v>74</v>
      </c>
      <c r="V267" s="1" t="s">
        <v>2741</v>
      </c>
      <c r="W267" s="1" t="s">
        <v>74</v>
      </c>
      <c r="X267" s="1" t="s">
        <v>74</v>
      </c>
      <c r="Y267" s="1" t="s">
        <v>74</v>
      </c>
      <c r="Z267" s="1" t="s">
        <v>74</v>
      </c>
      <c r="AA267" s="1" t="s">
        <v>74</v>
      </c>
      <c r="AB267" s="1" t="s">
        <v>74</v>
      </c>
      <c r="AC267" s="1" t="s">
        <v>74</v>
      </c>
      <c r="AD267" s="1" t="s">
        <v>74</v>
      </c>
      <c r="AE267" s="1" t="s">
        <v>74</v>
      </c>
      <c r="AF267" s="1" t="s">
        <v>74</v>
      </c>
      <c r="AG267" s="1" t="s">
        <v>74</v>
      </c>
      <c r="AH267" s="1" t="s">
        <v>74</v>
      </c>
      <c r="AI267" s="1" t="s">
        <v>74</v>
      </c>
      <c r="AJ267" s="1" t="s">
        <v>74</v>
      </c>
      <c r="AK267" s="1" t="s">
        <v>74</v>
      </c>
      <c r="AL267" s="1" t="s">
        <v>74</v>
      </c>
      <c r="AM267" s="1" t="s">
        <v>74</v>
      </c>
      <c r="AN267" s="1" t="s">
        <v>74</v>
      </c>
      <c r="AO267" s="1" t="s">
        <v>2742</v>
      </c>
      <c r="AP267" s="1" t="s">
        <v>2743</v>
      </c>
      <c r="AQ267" s="1" t="s">
        <v>74</v>
      </c>
      <c r="AR267" s="1" t="s">
        <v>74</v>
      </c>
      <c r="AS267" s="1" t="s">
        <v>74</v>
      </c>
      <c r="AT267" s="1" t="s">
        <v>74</v>
      </c>
      <c r="AU267" s="1">
        <v>2000.0</v>
      </c>
      <c r="AV267" s="1">
        <v>96.0</v>
      </c>
      <c r="AW267" s="1" t="s">
        <v>74</v>
      </c>
      <c r="AX267" s="1" t="s">
        <v>74</v>
      </c>
      <c r="AY267" s="1" t="s">
        <v>74</v>
      </c>
      <c r="AZ267" s="1" t="s">
        <v>74</v>
      </c>
      <c r="BA267" s="1" t="s">
        <v>74</v>
      </c>
      <c r="BB267" s="1">
        <v>245.0</v>
      </c>
      <c r="BC267" s="1">
        <v>254.0</v>
      </c>
      <c r="BD267" s="1" t="s">
        <v>74</v>
      </c>
      <c r="BE267" s="1" t="s">
        <v>2744</v>
      </c>
      <c r="BF267" s="2" t="str">
        <f>HYPERLINK("http://dx.doi.org/10.1023/A:1018915922011","http://dx.doi.org/10.1023/A:1018915922011")</f>
        <v>http://dx.doi.org/10.1023/A:1018915922011</v>
      </c>
      <c r="BG267" s="1" t="s">
        <v>74</v>
      </c>
      <c r="BH267" s="1" t="s">
        <v>74</v>
      </c>
      <c r="BI267" s="1" t="s">
        <v>74</v>
      </c>
      <c r="BJ267" s="1" t="s">
        <v>74</v>
      </c>
      <c r="BK267" s="1" t="s">
        <v>74</v>
      </c>
      <c r="BL267" s="1" t="s">
        <v>74</v>
      </c>
      <c r="BM267" s="1" t="s">
        <v>74</v>
      </c>
      <c r="BN267" s="1" t="s">
        <v>74</v>
      </c>
      <c r="BO267" s="1" t="s">
        <v>74</v>
      </c>
      <c r="BP267" s="1" t="s">
        <v>74</v>
      </c>
      <c r="BQ267" s="1" t="s">
        <v>74</v>
      </c>
      <c r="BR267" s="1" t="s">
        <v>74</v>
      </c>
      <c r="BS267" s="1" t="s">
        <v>2745</v>
      </c>
      <c r="BT267" s="1" t="str">
        <f>HYPERLINK("https%3A%2F%2Fwww.webofscience.com%2Fwos%2Fwoscc%2Ffull-record%2FWOS:000165797300015","View Full Record in Web of Science")</f>
        <v>View Full Record in Web of Science</v>
      </c>
    </row>
    <row r="268" ht="12.75" customHeight="1">
      <c r="A268" s="1" t="s">
        <v>72</v>
      </c>
      <c r="B268" s="1" t="s">
        <v>2746</v>
      </c>
      <c r="C268" s="1" t="s">
        <v>74</v>
      </c>
      <c r="D268" s="1" t="s">
        <v>74</v>
      </c>
      <c r="E268" s="1" t="s">
        <v>74</v>
      </c>
      <c r="F268" s="1" t="s">
        <v>2746</v>
      </c>
      <c r="G268" s="1" t="s">
        <v>74</v>
      </c>
      <c r="H268" s="1" t="s">
        <v>74</v>
      </c>
      <c r="I268" s="1" t="s">
        <v>2747</v>
      </c>
      <c r="J268" s="1" t="s">
        <v>2748</v>
      </c>
      <c r="K268" s="1" t="s">
        <v>74</v>
      </c>
      <c r="L268" s="1" t="s">
        <v>74</v>
      </c>
      <c r="M268" s="1" t="s">
        <v>74</v>
      </c>
      <c r="N268" s="1" t="s">
        <v>74</v>
      </c>
      <c r="O268" s="1" t="s">
        <v>74</v>
      </c>
      <c r="P268" s="1" t="s">
        <v>74</v>
      </c>
      <c r="Q268" s="1" t="s">
        <v>74</v>
      </c>
      <c r="R268" s="1" t="s">
        <v>74</v>
      </c>
      <c r="S268" s="1" t="s">
        <v>74</v>
      </c>
      <c r="T268" s="1" t="s">
        <v>74</v>
      </c>
      <c r="U268" s="1" t="s">
        <v>74</v>
      </c>
      <c r="V268" s="1" t="s">
        <v>2749</v>
      </c>
      <c r="W268" s="1" t="s">
        <v>74</v>
      </c>
      <c r="X268" s="1" t="s">
        <v>74</v>
      </c>
      <c r="Y268" s="1" t="s">
        <v>74</v>
      </c>
      <c r="Z268" s="1" t="s">
        <v>74</v>
      </c>
      <c r="AA268" s="1" t="s">
        <v>2072</v>
      </c>
      <c r="AB268" s="1" t="s">
        <v>74</v>
      </c>
      <c r="AC268" s="1" t="s">
        <v>74</v>
      </c>
      <c r="AD268" s="1" t="s">
        <v>74</v>
      </c>
      <c r="AE268" s="1" t="s">
        <v>74</v>
      </c>
      <c r="AF268" s="1" t="s">
        <v>74</v>
      </c>
      <c r="AG268" s="1" t="s">
        <v>74</v>
      </c>
      <c r="AH268" s="1" t="s">
        <v>74</v>
      </c>
      <c r="AI268" s="1" t="s">
        <v>74</v>
      </c>
      <c r="AJ268" s="1" t="s">
        <v>74</v>
      </c>
      <c r="AK268" s="1" t="s">
        <v>74</v>
      </c>
      <c r="AL268" s="1" t="s">
        <v>74</v>
      </c>
      <c r="AM268" s="1" t="s">
        <v>74</v>
      </c>
      <c r="AN268" s="1" t="s">
        <v>74</v>
      </c>
      <c r="AO268" s="1" t="s">
        <v>2750</v>
      </c>
      <c r="AP268" s="1" t="s">
        <v>74</v>
      </c>
      <c r="AQ268" s="1" t="s">
        <v>74</v>
      </c>
      <c r="AR268" s="1" t="s">
        <v>74</v>
      </c>
      <c r="AS268" s="1" t="s">
        <v>74</v>
      </c>
      <c r="AT268" s="1" t="s">
        <v>363</v>
      </c>
      <c r="AU268" s="1">
        <v>1998.0</v>
      </c>
      <c r="AV268" s="1">
        <v>68.0</v>
      </c>
      <c r="AW268" s="1">
        <v>4.0</v>
      </c>
      <c r="AX268" s="1" t="s">
        <v>74</v>
      </c>
      <c r="AY268" s="1" t="s">
        <v>74</v>
      </c>
      <c r="AZ268" s="1" t="s">
        <v>74</v>
      </c>
      <c r="BA268" s="1" t="s">
        <v>74</v>
      </c>
      <c r="BB268" s="1">
        <v>447.0</v>
      </c>
      <c r="BC268" s="1">
        <v>452.0</v>
      </c>
      <c r="BD268" s="1" t="s">
        <v>74</v>
      </c>
      <c r="BE268" s="1" t="s">
        <v>2751</v>
      </c>
      <c r="BF268" s="2" t="str">
        <f>HYPERLINK("http://dx.doi.org/10.1111/j.1751-1097.1998.tb02498.x","http://dx.doi.org/10.1111/j.1751-1097.1998.tb02498.x")</f>
        <v>http://dx.doi.org/10.1111/j.1751-1097.1998.tb02498.x</v>
      </c>
      <c r="BG268" s="1" t="s">
        <v>74</v>
      </c>
      <c r="BH268" s="1" t="s">
        <v>74</v>
      </c>
      <c r="BI268" s="1" t="s">
        <v>74</v>
      </c>
      <c r="BJ268" s="1" t="s">
        <v>74</v>
      </c>
      <c r="BK268" s="1" t="s">
        <v>74</v>
      </c>
      <c r="BL268" s="1" t="s">
        <v>74</v>
      </c>
      <c r="BM268" s="1" t="s">
        <v>74</v>
      </c>
      <c r="BN268" s="1" t="s">
        <v>74</v>
      </c>
      <c r="BO268" s="1" t="s">
        <v>74</v>
      </c>
      <c r="BP268" s="1" t="s">
        <v>74</v>
      </c>
      <c r="BQ268" s="1" t="s">
        <v>74</v>
      </c>
      <c r="BR268" s="1" t="s">
        <v>74</v>
      </c>
      <c r="BS268" s="1" t="s">
        <v>2752</v>
      </c>
      <c r="BT268" s="1" t="str">
        <f>HYPERLINK("https%3A%2F%2Fwww.webofscience.com%2Fwos%2Fwoscc%2Ffull-record%2FWOS:000076540100004","View Full Record in Web of Science")</f>
        <v>View Full Record in Web of Science</v>
      </c>
    </row>
    <row r="269" ht="12.75" customHeight="1">
      <c r="A269" s="1" t="s">
        <v>72</v>
      </c>
      <c r="B269" s="1" t="s">
        <v>2753</v>
      </c>
      <c r="C269" s="1" t="s">
        <v>74</v>
      </c>
      <c r="D269" s="1" t="s">
        <v>74</v>
      </c>
      <c r="E269" s="1" t="s">
        <v>74</v>
      </c>
      <c r="F269" s="1" t="s">
        <v>2753</v>
      </c>
      <c r="G269" s="1" t="s">
        <v>74</v>
      </c>
      <c r="H269" s="1" t="s">
        <v>74</v>
      </c>
      <c r="I269" s="1" t="s">
        <v>2754</v>
      </c>
      <c r="J269" s="1" t="s">
        <v>2755</v>
      </c>
      <c r="K269" s="1" t="s">
        <v>74</v>
      </c>
      <c r="L269" s="1" t="s">
        <v>74</v>
      </c>
      <c r="M269" s="1" t="s">
        <v>74</v>
      </c>
      <c r="N269" s="1" t="s">
        <v>74</v>
      </c>
      <c r="O269" s="1" t="s">
        <v>74</v>
      </c>
      <c r="P269" s="1" t="s">
        <v>74</v>
      </c>
      <c r="Q269" s="1" t="s">
        <v>74</v>
      </c>
      <c r="R269" s="1" t="s">
        <v>74</v>
      </c>
      <c r="S269" s="1" t="s">
        <v>74</v>
      </c>
      <c r="T269" s="1" t="s">
        <v>74</v>
      </c>
      <c r="U269" s="1" t="s">
        <v>74</v>
      </c>
      <c r="V269" s="1" t="s">
        <v>2756</v>
      </c>
      <c r="W269" s="1" t="s">
        <v>74</v>
      </c>
      <c r="X269" s="1" t="s">
        <v>74</v>
      </c>
      <c r="Y269" s="1" t="s">
        <v>74</v>
      </c>
      <c r="Z269" s="1" t="s">
        <v>74</v>
      </c>
      <c r="AA269" s="1" t="s">
        <v>2757</v>
      </c>
      <c r="AB269" s="1" t="s">
        <v>2758</v>
      </c>
      <c r="AC269" s="1" t="s">
        <v>74</v>
      </c>
      <c r="AD269" s="1" t="s">
        <v>74</v>
      </c>
      <c r="AE269" s="1" t="s">
        <v>74</v>
      </c>
      <c r="AF269" s="1" t="s">
        <v>74</v>
      </c>
      <c r="AG269" s="1" t="s">
        <v>74</v>
      </c>
      <c r="AH269" s="1" t="s">
        <v>74</v>
      </c>
      <c r="AI269" s="1" t="s">
        <v>74</v>
      </c>
      <c r="AJ269" s="1" t="s">
        <v>74</v>
      </c>
      <c r="AK269" s="1" t="s">
        <v>74</v>
      </c>
      <c r="AL269" s="1" t="s">
        <v>74</v>
      </c>
      <c r="AM269" s="1" t="s">
        <v>74</v>
      </c>
      <c r="AN269" s="1" t="s">
        <v>74</v>
      </c>
      <c r="AO269" s="1" t="s">
        <v>2759</v>
      </c>
      <c r="AP269" s="1" t="s">
        <v>74</v>
      </c>
      <c r="AQ269" s="1" t="s">
        <v>74</v>
      </c>
      <c r="AR269" s="1" t="s">
        <v>74</v>
      </c>
      <c r="AS269" s="1" t="s">
        <v>74</v>
      </c>
      <c r="AT269" s="1" t="s">
        <v>421</v>
      </c>
      <c r="AU269" s="1">
        <v>1997.0</v>
      </c>
      <c r="AV269" s="1" t="s">
        <v>74</v>
      </c>
      <c r="AW269" s="1">
        <v>5.0</v>
      </c>
      <c r="AX269" s="1" t="s">
        <v>74</v>
      </c>
      <c r="AY269" s="1" t="s">
        <v>74</v>
      </c>
      <c r="AZ269" s="1" t="s">
        <v>74</v>
      </c>
      <c r="BA269" s="1" t="s">
        <v>74</v>
      </c>
      <c r="BB269" s="1">
        <v>925.0</v>
      </c>
      <c r="BC269" s="1">
        <v>929.0</v>
      </c>
      <c r="BD269" s="1" t="s">
        <v>74</v>
      </c>
      <c r="BE269" s="1" t="s">
        <v>74</v>
      </c>
      <c r="BF269" s="1" t="s">
        <v>74</v>
      </c>
      <c r="BG269" s="1" t="s">
        <v>74</v>
      </c>
      <c r="BH269" s="1" t="s">
        <v>74</v>
      </c>
      <c r="BI269" s="1" t="s">
        <v>74</v>
      </c>
      <c r="BJ269" s="1" t="s">
        <v>74</v>
      </c>
      <c r="BK269" s="1" t="s">
        <v>74</v>
      </c>
      <c r="BL269" s="1" t="s">
        <v>74</v>
      </c>
      <c r="BM269" s="1" t="s">
        <v>74</v>
      </c>
      <c r="BN269" s="1" t="s">
        <v>74</v>
      </c>
      <c r="BO269" s="1" t="s">
        <v>74</v>
      </c>
      <c r="BP269" s="1" t="s">
        <v>74</v>
      </c>
      <c r="BQ269" s="1" t="s">
        <v>74</v>
      </c>
      <c r="BR269" s="1" t="s">
        <v>74</v>
      </c>
      <c r="BS269" s="1" t="s">
        <v>2760</v>
      </c>
      <c r="BT269" s="1" t="str">
        <f>HYPERLINK("https%3A%2F%2Fwww.webofscience.com%2Fwos%2Fwoscc%2Ffull-record%2FWOS:A1997WZ47100019","View Full Record in Web of Science")</f>
        <v>View Full Record in Web of Science</v>
      </c>
    </row>
    <row r="270" ht="12.75" customHeight="1">
      <c r="A270" s="1" t="s">
        <v>72</v>
      </c>
      <c r="B270" s="1" t="s">
        <v>2761</v>
      </c>
      <c r="C270" s="1" t="s">
        <v>74</v>
      </c>
      <c r="D270" s="1" t="s">
        <v>74</v>
      </c>
      <c r="E270" s="1" t="s">
        <v>74</v>
      </c>
      <c r="F270" s="1" t="s">
        <v>2761</v>
      </c>
      <c r="G270" s="1" t="s">
        <v>74</v>
      </c>
      <c r="H270" s="1" t="s">
        <v>74</v>
      </c>
      <c r="I270" s="1" t="s">
        <v>2762</v>
      </c>
      <c r="J270" s="1" t="s">
        <v>2763</v>
      </c>
      <c r="K270" s="1" t="s">
        <v>74</v>
      </c>
      <c r="L270" s="1" t="s">
        <v>74</v>
      </c>
      <c r="M270" s="1" t="s">
        <v>74</v>
      </c>
      <c r="N270" s="1" t="s">
        <v>74</v>
      </c>
      <c r="O270" s="1" t="s">
        <v>74</v>
      </c>
      <c r="P270" s="1" t="s">
        <v>74</v>
      </c>
      <c r="Q270" s="1" t="s">
        <v>74</v>
      </c>
      <c r="R270" s="1" t="s">
        <v>74</v>
      </c>
      <c r="S270" s="1" t="s">
        <v>74</v>
      </c>
      <c r="T270" s="1" t="s">
        <v>74</v>
      </c>
      <c r="U270" s="1" t="s">
        <v>74</v>
      </c>
      <c r="V270" s="1" t="s">
        <v>2764</v>
      </c>
      <c r="W270" s="1" t="s">
        <v>74</v>
      </c>
      <c r="X270" s="1" t="s">
        <v>74</v>
      </c>
      <c r="Y270" s="1" t="s">
        <v>74</v>
      </c>
      <c r="Z270" s="1" t="s">
        <v>74</v>
      </c>
      <c r="AA270" s="1" t="s">
        <v>2765</v>
      </c>
      <c r="AB270" s="1" t="s">
        <v>2766</v>
      </c>
      <c r="AC270" s="1" t="s">
        <v>74</v>
      </c>
      <c r="AD270" s="1" t="s">
        <v>74</v>
      </c>
      <c r="AE270" s="1" t="s">
        <v>74</v>
      </c>
      <c r="AF270" s="1" t="s">
        <v>74</v>
      </c>
      <c r="AG270" s="1" t="s">
        <v>74</v>
      </c>
      <c r="AH270" s="1" t="s">
        <v>74</v>
      </c>
      <c r="AI270" s="1" t="s">
        <v>74</v>
      </c>
      <c r="AJ270" s="1" t="s">
        <v>74</v>
      </c>
      <c r="AK270" s="1" t="s">
        <v>74</v>
      </c>
      <c r="AL270" s="1" t="s">
        <v>74</v>
      </c>
      <c r="AM270" s="1" t="s">
        <v>74</v>
      </c>
      <c r="AN270" s="1" t="s">
        <v>74</v>
      </c>
      <c r="AO270" s="1" t="s">
        <v>2767</v>
      </c>
      <c r="AP270" s="1" t="s">
        <v>74</v>
      </c>
      <c r="AQ270" s="1" t="s">
        <v>74</v>
      </c>
      <c r="AR270" s="1" t="s">
        <v>74</v>
      </c>
      <c r="AS270" s="1" t="s">
        <v>74</v>
      </c>
      <c r="AT270" s="1" t="s">
        <v>144</v>
      </c>
      <c r="AU270" s="1">
        <v>1997.0</v>
      </c>
      <c r="AV270" s="1">
        <v>29.0</v>
      </c>
      <c r="AW270" s="1">
        <v>2.0</v>
      </c>
      <c r="AX270" s="1" t="s">
        <v>74</v>
      </c>
      <c r="AY270" s="1" t="s">
        <v>74</v>
      </c>
      <c r="AZ270" s="1" t="s">
        <v>74</v>
      </c>
      <c r="BA270" s="1" t="s">
        <v>74</v>
      </c>
      <c r="BB270" s="1">
        <v>264.0</v>
      </c>
      <c r="BC270" s="1">
        <v>282.0</v>
      </c>
      <c r="BD270" s="1" t="s">
        <v>74</v>
      </c>
      <c r="BE270" s="1" t="s">
        <v>2768</v>
      </c>
      <c r="BF270" s="2" t="str">
        <f>HYPERLINK("http://dx.doi.org/10.1177/001391659702900206","http://dx.doi.org/10.1177/001391659702900206")</f>
        <v>http://dx.doi.org/10.1177/001391659702900206</v>
      </c>
      <c r="BG270" s="1" t="s">
        <v>74</v>
      </c>
      <c r="BH270" s="1" t="s">
        <v>74</v>
      </c>
      <c r="BI270" s="1" t="s">
        <v>74</v>
      </c>
      <c r="BJ270" s="1" t="s">
        <v>74</v>
      </c>
      <c r="BK270" s="1" t="s">
        <v>74</v>
      </c>
      <c r="BL270" s="1" t="s">
        <v>74</v>
      </c>
      <c r="BM270" s="1" t="s">
        <v>74</v>
      </c>
      <c r="BN270" s="1" t="s">
        <v>74</v>
      </c>
      <c r="BO270" s="1" t="s">
        <v>74</v>
      </c>
      <c r="BP270" s="1" t="s">
        <v>74</v>
      </c>
      <c r="BQ270" s="1" t="s">
        <v>74</v>
      </c>
      <c r="BR270" s="1" t="s">
        <v>74</v>
      </c>
      <c r="BS270" s="1" t="s">
        <v>2769</v>
      </c>
      <c r="BT270" s="1" t="str">
        <f>HYPERLINK("https%3A%2F%2Fwww.webofscience.com%2Fwos%2Fwoscc%2Ffull-record%2FWOS:A1997WM41600006","View Full Record in Web of Science")</f>
        <v>View Full Record in Web of Science</v>
      </c>
    </row>
    <row r="271" ht="12.75" customHeight="1">
      <c r="A271" s="1" t="s">
        <v>72</v>
      </c>
      <c r="B271" s="1" t="s">
        <v>2770</v>
      </c>
      <c r="C271" s="1" t="s">
        <v>74</v>
      </c>
      <c r="D271" s="1" t="s">
        <v>74</v>
      </c>
      <c r="E271" s="1" t="s">
        <v>74</v>
      </c>
      <c r="F271" s="1" t="s">
        <v>2770</v>
      </c>
      <c r="G271" s="1" t="s">
        <v>74</v>
      </c>
      <c r="H271" s="1" t="s">
        <v>74</v>
      </c>
      <c r="I271" s="1" t="s">
        <v>2771</v>
      </c>
      <c r="J271" s="1" t="s">
        <v>1218</v>
      </c>
      <c r="K271" s="1" t="s">
        <v>74</v>
      </c>
      <c r="L271" s="1" t="s">
        <v>74</v>
      </c>
      <c r="M271" s="1" t="s">
        <v>74</v>
      </c>
      <c r="N271" s="1" t="s">
        <v>74</v>
      </c>
      <c r="O271" s="1" t="s">
        <v>74</v>
      </c>
      <c r="P271" s="1" t="s">
        <v>74</v>
      </c>
      <c r="Q271" s="1" t="s">
        <v>74</v>
      </c>
      <c r="R271" s="1" t="s">
        <v>74</v>
      </c>
      <c r="S271" s="1" t="s">
        <v>74</v>
      </c>
      <c r="T271" s="1" t="s">
        <v>74</v>
      </c>
      <c r="U271" s="1" t="s">
        <v>74</v>
      </c>
      <c r="V271" s="1" t="s">
        <v>2772</v>
      </c>
      <c r="W271" s="1" t="s">
        <v>74</v>
      </c>
      <c r="X271" s="1" t="s">
        <v>74</v>
      </c>
      <c r="Y271" s="1" t="s">
        <v>74</v>
      </c>
      <c r="Z271" s="1" t="s">
        <v>74</v>
      </c>
      <c r="AA271" s="1" t="s">
        <v>74</v>
      </c>
      <c r="AB271" s="1" t="s">
        <v>74</v>
      </c>
      <c r="AC271" s="1" t="s">
        <v>74</v>
      </c>
      <c r="AD271" s="1" t="s">
        <v>74</v>
      </c>
      <c r="AE271" s="1" t="s">
        <v>74</v>
      </c>
      <c r="AF271" s="1" t="s">
        <v>74</v>
      </c>
      <c r="AG271" s="1" t="s">
        <v>74</v>
      </c>
      <c r="AH271" s="1" t="s">
        <v>74</v>
      </c>
      <c r="AI271" s="1" t="s">
        <v>74</v>
      </c>
      <c r="AJ271" s="1" t="s">
        <v>74</v>
      </c>
      <c r="AK271" s="1" t="s">
        <v>74</v>
      </c>
      <c r="AL271" s="1" t="s">
        <v>74</v>
      </c>
      <c r="AM271" s="1" t="s">
        <v>74</v>
      </c>
      <c r="AN271" s="1" t="s">
        <v>74</v>
      </c>
      <c r="AO271" s="1" t="s">
        <v>1221</v>
      </c>
      <c r="AP271" s="1" t="s">
        <v>74</v>
      </c>
      <c r="AQ271" s="1" t="s">
        <v>74</v>
      </c>
      <c r="AR271" s="1" t="s">
        <v>74</v>
      </c>
      <c r="AS271" s="1" t="s">
        <v>74</v>
      </c>
      <c r="AT271" s="1" t="s">
        <v>415</v>
      </c>
      <c r="AU271" s="1">
        <v>1994.0</v>
      </c>
      <c r="AV271" s="1">
        <v>37.0</v>
      </c>
      <c r="AW271" s="1">
        <v>6.0</v>
      </c>
      <c r="AX271" s="1" t="s">
        <v>74</v>
      </c>
      <c r="AY271" s="1" t="s">
        <v>74</v>
      </c>
      <c r="AZ271" s="1" t="s">
        <v>74</v>
      </c>
      <c r="BA271" s="1" t="s">
        <v>74</v>
      </c>
      <c r="BB271" s="1">
        <v>1585.0</v>
      </c>
      <c r="BC271" s="1">
        <v>1587.0</v>
      </c>
      <c r="BD271" s="1" t="s">
        <v>74</v>
      </c>
      <c r="BE271" s="1" t="s">
        <v>2773</v>
      </c>
      <c r="BF271" s="2" t="str">
        <f>HYPERLINK("http://dx.doi.org/10.1016/S0031-9422(00)89571-0","http://dx.doi.org/10.1016/S0031-9422(00)89571-0")</f>
        <v>http://dx.doi.org/10.1016/S0031-9422(00)89571-0</v>
      </c>
      <c r="BG271" s="1" t="s">
        <v>74</v>
      </c>
      <c r="BH271" s="1" t="s">
        <v>74</v>
      </c>
      <c r="BI271" s="1" t="s">
        <v>74</v>
      </c>
      <c r="BJ271" s="1" t="s">
        <v>74</v>
      </c>
      <c r="BK271" s="1" t="s">
        <v>74</v>
      </c>
      <c r="BL271" s="1" t="s">
        <v>74</v>
      </c>
      <c r="BM271" s="1" t="s">
        <v>74</v>
      </c>
      <c r="BN271" s="1">
        <v>7765999.0</v>
      </c>
      <c r="BO271" s="1" t="s">
        <v>74</v>
      </c>
      <c r="BP271" s="1" t="s">
        <v>74</v>
      </c>
      <c r="BQ271" s="1" t="s">
        <v>74</v>
      </c>
      <c r="BR271" s="1" t="s">
        <v>74</v>
      </c>
      <c r="BS271" s="1" t="s">
        <v>2774</v>
      </c>
      <c r="BT271" s="1" t="str">
        <f>HYPERLINK("https%3A%2F%2Fwww.webofscience.com%2Fwos%2Fwoscc%2Ffull-record%2FWOS:A1994QN60900005","View Full Record in Web of Science")</f>
        <v>View Full Record in Web of Science</v>
      </c>
    </row>
    <row r="272" ht="12.75" customHeight="1">
      <c r="A272" s="1" t="s">
        <v>72</v>
      </c>
      <c r="B272" s="1" t="s">
        <v>2775</v>
      </c>
      <c r="C272" s="1" t="s">
        <v>74</v>
      </c>
      <c r="D272" s="1" t="s">
        <v>74</v>
      </c>
      <c r="E272" s="1" t="s">
        <v>74</v>
      </c>
      <c r="F272" s="1" t="s">
        <v>2775</v>
      </c>
      <c r="G272" s="1" t="s">
        <v>74</v>
      </c>
      <c r="H272" s="1" t="s">
        <v>74</v>
      </c>
      <c r="I272" s="1" t="s">
        <v>2776</v>
      </c>
      <c r="J272" s="1" t="s">
        <v>2065</v>
      </c>
      <c r="K272" s="1" t="s">
        <v>74</v>
      </c>
      <c r="L272" s="1" t="s">
        <v>74</v>
      </c>
      <c r="M272" s="1" t="s">
        <v>74</v>
      </c>
      <c r="N272" s="1" t="s">
        <v>74</v>
      </c>
      <c r="O272" s="1" t="s">
        <v>74</v>
      </c>
      <c r="P272" s="1" t="s">
        <v>74</v>
      </c>
      <c r="Q272" s="1" t="s">
        <v>74</v>
      </c>
      <c r="R272" s="1" t="s">
        <v>74</v>
      </c>
      <c r="S272" s="1" t="s">
        <v>74</v>
      </c>
      <c r="T272" s="1" t="s">
        <v>74</v>
      </c>
      <c r="U272" s="1" t="s">
        <v>74</v>
      </c>
      <c r="V272" s="1" t="s">
        <v>2777</v>
      </c>
      <c r="W272" s="1" t="s">
        <v>74</v>
      </c>
      <c r="X272" s="1" t="s">
        <v>74</v>
      </c>
      <c r="Y272" s="1" t="s">
        <v>74</v>
      </c>
      <c r="Z272" s="1" t="s">
        <v>74</v>
      </c>
      <c r="AA272" s="1" t="s">
        <v>2778</v>
      </c>
      <c r="AB272" s="1" t="s">
        <v>2779</v>
      </c>
      <c r="AC272" s="1" t="s">
        <v>74</v>
      </c>
      <c r="AD272" s="1" t="s">
        <v>74</v>
      </c>
      <c r="AE272" s="1" t="s">
        <v>74</v>
      </c>
      <c r="AF272" s="1" t="s">
        <v>74</v>
      </c>
      <c r="AG272" s="1" t="s">
        <v>74</v>
      </c>
      <c r="AH272" s="1" t="s">
        <v>74</v>
      </c>
      <c r="AI272" s="1" t="s">
        <v>74</v>
      </c>
      <c r="AJ272" s="1" t="s">
        <v>74</v>
      </c>
      <c r="AK272" s="1" t="s">
        <v>74</v>
      </c>
      <c r="AL272" s="1" t="s">
        <v>74</v>
      </c>
      <c r="AM272" s="1" t="s">
        <v>74</v>
      </c>
      <c r="AN272" s="1" t="s">
        <v>74</v>
      </c>
      <c r="AO272" s="1" t="s">
        <v>2780</v>
      </c>
      <c r="AP272" s="1" t="s">
        <v>74</v>
      </c>
      <c r="AQ272" s="1" t="s">
        <v>74</v>
      </c>
      <c r="AR272" s="1" t="s">
        <v>74</v>
      </c>
      <c r="AS272" s="1" t="s">
        <v>74</v>
      </c>
      <c r="AT272" s="1" t="s">
        <v>2781</v>
      </c>
      <c r="AU272" s="1">
        <v>1991.0</v>
      </c>
      <c r="AV272" s="1">
        <v>44.0</v>
      </c>
      <c r="AW272" s="1">
        <v>8.0</v>
      </c>
      <c r="AX272" s="1" t="s">
        <v>74</v>
      </c>
      <c r="AY272" s="1" t="s">
        <v>74</v>
      </c>
      <c r="AZ272" s="1" t="s">
        <v>74</v>
      </c>
      <c r="BA272" s="1" t="s">
        <v>74</v>
      </c>
      <c r="BB272" s="1">
        <v>3577.0</v>
      </c>
      <c r="BC272" s="1">
        <v>3598.0</v>
      </c>
      <c r="BD272" s="1" t="s">
        <v>74</v>
      </c>
      <c r="BE272" s="1" t="s">
        <v>2782</v>
      </c>
      <c r="BF272" s="2" t="str">
        <f>HYPERLINK("http://dx.doi.org/10.1103/PhysRevB.44.3577","http://dx.doi.org/10.1103/PhysRevB.44.3577")</f>
        <v>http://dx.doi.org/10.1103/PhysRevB.44.3577</v>
      </c>
      <c r="BG272" s="1" t="s">
        <v>74</v>
      </c>
      <c r="BH272" s="1" t="s">
        <v>74</v>
      </c>
      <c r="BI272" s="1" t="s">
        <v>74</v>
      </c>
      <c r="BJ272" s="1" t="s">
        <v>74</v>
      </c>
      <c r="BK272" s="1" t="s">
        <v>74</v>
      </c>
      <c r="BL272" s="1" t="s">
        <v>74</v>
      </c>
      <c r="BM272" s="1" t="s">
        <v>74</v>
      </c>
      <c r="BN272" s="1">
        <v>9999987.0</v>
      </c>
      <c r="BO272" s="1" t="s">
        <v>74</v>
      </c>
      <c r="BP272" s="1" t="s">
        <v>74</v>
      </c>
      <c r="BQ272" s="1" t="s">
        <v>74</v>
      </c>
      <c r="BR272" s="1" t="s">
        <v>74</v>
      </c>
      <c r="BS272" s="1" t="s">
        <v>2783</v>
      </c>
      <c r="BT272" s="1" t="str">
        <f>HYPERLINK("https%3A%2F%2Fwww.webofscience.com%2Fwos%2Fwoscc%2Ffull-record%2FWOS:A1991GC99500009","View Full Record in Web of Science")</f>
        <v>View Full Record in Web of Science</v>
      </c>
    </row>
    <row r="273" ht="12.75" customHeight="1">
      <c r="A273" s="1" t="s">
        <v>72</v>
      </c>
      <c r="B273" s="1" t="s">
        <v>2784</v>
      </c>
      <c r="C273" s="1" t="s">
        <v>74</v>
      </c>
      <c r="D273" s="1" t="s">
        <v>74</v>
      </c>
      <c r="E273" s="1" t="s">
        <v>74</v>
      </c>
      <c r="F273" s="1" t="s">
        <v>2784</v>
      </c>
      <c r="G273" s="1" t="s">
        <v>74</v>
      </c>
      <c r="H273" s="1" t="s">
        <v>74</v>
      </c>
      <c r="I273" s="1" t="s">
        <v>2785</v>
      </c>
      <c r="J273" s="1" t="s">
        <v>413</v>
      </c>
      <c r="K273" s="1" t="s">
        <v>74</v>
      </c>
      <c r="L273" s="1" t="s">
        <v>74</v>
      </c>
      <c r="M273" s="1" t="s">
        <v>74</v>
      </c>
      <c r="N273" s="1" t="s">
        <v>74</v>
      </c>
      <c r="O273" s="1" t="s">
        <v>74</v>
      </c>
      <c r="P273" s="1" t="s">
        <v>74</v>
      </c>
      <c r="Q273" s="1" t="s">
        <v>74</v>
      </c>
      <c r="R273" s="1" t="s">
        <v>74</v>
      </c>
      <c r="S273" s="1" t="s">
        <v>74</v>
      </c>
      <c r="T273" s="1" t="s">
        <v>74</v>
      </c>
      <c r="U273" s="1" t="s">
        <v>74</v>
      </c>
      <c r="V273" s="1" t="s">
        <v>74</v>
      </c>
      <c r="W273" s="1" t="s">
        <v>74</v>
      </c>
      <c r="X273" s="1" t="s">
        <v>74</v>
      </c>
      <c r="Y273" s="1" t="s">
        <v>74</v>
      </c>
      <c r="Z273" s="1" t="s">
        <v>74</v>
      </c>
      <c r="AA273" s="1" t="s">
        <v>74</v>
      </c>
      <c r="AB273" s="1" t="s">
        <v>74</v>
      </c>
      <c r="AC273" s="1" t="s">
        <v>74</v>
      </c>
      <c r="AD273" s="1" t="s">
        <v>74</v>
      </c>
      <c r="AE273" s="1" t="s">
        <v>74</v>
      </c>
      <c r="AF273" s="1" t="s">
        <v>74</v>
      </c>
      <c r="AG273" s="1" t="s">
        <v>74</v>
      </c>
      <c r="AH273" s="1" t="s">
        <v>74</v>
      </c>
      <c r="AI273" s="1" t="s">
        <v>74</v>
      </c>
      <c r="AJ273" s="1" t="s">
        <v>74</v>
      </c>
      <c r="AK273" s="1" t="s">
        <v>74</v>
      </c>
      <c r="AL273" s="1" t="s">
        <v>74</v>
      </c>
      <c r="AM273" s="1" t="s">
        <v>74</v>
      </c>
      <c r="AN273" s="1" t="s">
        <v>74</v>
      </c>
      <c r="AO273" s="1" t="s">
        <v>414</v>
      </c>
      <c r="AP273" s="1" t="s">
        <v>74</v>
      </c>
      <c r="AQ273" s="1" t="s">
        <v>74</v>
      </c>
      <c r="AR273" s="1" t="s">
        <v>74</v>
      </c>
      <c r="AS273" s="1" t="s">
        <v>74</v>
      </c>
      <c r="AT273" s="1" t="s">
        <v>415</v>
      </c>
      <c r="AU273" s="1">
        <v>1988.0</v>
      </c>
      <c r="AV273" s="1">
        <v>33.0</v>
      </c>
      <c r="AW273" s="1">
        <v>4.0</v>
      </c>
      <c r="AX273" s="1" t="s">
        <v>74</v>
      </c>
      <c r="AY273" s="1" t="s">
        <v>74</v>
      </c>
      <c r="AZ273" s="1" t="s">
        <v>74</v>
      </c>
      <c r="BA273" s="1" t="s">
        <v>74</v>
      </c>
      <c r="BB273" s="1">
        <v>239.0</v>
      </c>
      <c r="BC273" s="1">
        <v>241.0</v>
      </c>
      <c r="BD273" s="1" t="s">
        <v>74</v>
      </c>
      <c r="BE273" s="1" t="s">
        <v>74</v>
      </c>
      <c r="BF273" s="1" t="s">
        <v>74</v>
      </c>
      <c r="BG273" s="1" t="s">
        <v>74</v>
      </c>
      <c r="BH273" s="1" t="s">
        <v>74</v>
      </c>
      <c r="BI273" s="1" t="s">
        <v>74</v>
      </c>
      <c r="BJ273" s="1" t="s">
        <v>74</v>
      </c>
      <c r="BK273" s="1" t="s">
        <v>74</v>
      </c>
      <c r="BL273" s="1" t="s">
        <v>74</v>
      </c>
      <c r="BM273" s="1" t="s">
        <v>74</v>
      </c>
      <c r="BN273" s="1" t="s">
        <v>74</v>
      </c>
      <c r="BO273" s="1" t="s">
        <v>74</v>
      </c>
      <c r="BP273" s="1" t="s">
        <v>74</v>
      </c>
      <c r="BQ273" s="1" t="s">
        <v>74</v>
      </c>
      <c r="BR273" s="1" t="s">
        <v>74</v>
      </c>
      <c r="BS273" s="1" t="s">
        <v>2786</v>
      </c>
      <c r="BT273" s="1" t="str">
        <f>HYPERLINK("https%3A%2F%2Fwww.webofscience.com%2Fwos%2Fwoscc%2Ffull-record%2FWOS:A1988R501200008","View Full Record in Web of Science")</f>
        <v>View Full Record in Web of Science</v>
      </c>
    </row>
    <row r="274" ht="12.75" customHeight="1">
      <c r="A274" s="1" t="s">
        <v>72</v>
      </c>
      <c r="B274" s="1" t="s">
        <v>437</v>
      </c>
      <c r="C274" s="1" t="s">
        <v>74</v>
      </c>
      <c r="D274" s="1" t="s">
        <v>74</v>
      </c>
      <c r="E274" s="1" t="s">
        <v>74</v>
      </c>
      <c r="F274" s="1" t="s">
        <v>437</v>
      </c>
      <c r="G274" s="1" t="s">
        <v>74</v>
      </c>
      <c r="H274" s="1" t="s">
        <v>74</v>
      </c>
      <c r="I274" s="1" t="s">
        <v>2787</v>
      </c>
      <c r="J274" s="1" t="s">
        <v>2788</v>
      </c>
      <c r="K274" s="1" t="s">
        <v>74</v>
      </c>
      <c r="L274" s="1" t="s">
        <v>74</v>
      </c>
      <c r="M274" s="1" t="s">
        <v>74</v>
      </c>
      <c r="N274" s="1" t="s">
        <v>74</v>
      </c>
      <c r="O274" s="1" t="s">
        <v>74</v>
      </c>
      <c r="P274" s="1" t="s">
        <v>74</v>
      </c>
      <c r="Q274" s="1" t="s">
        <v>74</v>
      </c>
      <c r="R274" s="1" t="s">
        <v>74</v>
      </c>
      <c r="S274" s="1" t="s">
        <v>74</v>
      </c>
      <c r="T274" s="1" t="s">
        <v>74</v>
      </c>
      <c r="U274" s="1" t="s">
        <v>74</v>
      </c>
      <c r="V274" s="1" t="s">
        <v>74</v>
      </c>
      <c r="W274" s="1" t="s">
        <v>74</v>
      </c>
      <c r="X274" s="1" t="s">
        <v>74</v>
      </c>
      <c r="Y274" s="1" t="s">
        <v>74</v>
      </c>
      <c r="Z274" s="1" t="s">
        <v>74</v>
      </c>
      <c r="AA274" s="1" t="s">
        <v>2789</v>
      </c>
      <c r="AB274" s="1" t="s">
        <v>74</v>
      </c>
      <c r="AC274" s="1" t="s">
        <v>74</v>
      </c>
      <c r="AD274" s="1" t="s">
        <v>74</v>
      </c>
      <c r="AE274" s="1" t="s">
        <v>74</v>
      </c>
      <c r="AF274" s="1" t="s">
        <v>74</v>
      </c>
      <c r="AG274" s="1" t="s">
        <v>74</v>
      </c>
      <c r="AH274" s="1" t="s">
        <v>74</v>
      </c>
      <c r="AI274" s="1" t="s">
        <v>74</v>
      </c>
      <c r="AJ274" s="1" t="s">
        <v>74</v>
      </c>
      <c r="AK274" s="1" t="s">
        <v>74</v>
      </c>
      <c r="AL274" s="1" t="s">
        <v>74</v>
      </c>
      <c r="AM274" s="1" t="s">
        <v>74</v>
      </c>
      <c r="AN274" s="1" t="s">
        <v>74</v>
      </c>
      <c r="AO274" s="1" t="s">
        <v>2790</v>
      </c>
      <c r="AP274" s="1" t="s">
        <v>74</v>
      </c>
      <c r="AQ274" s="1" t="s">
        <v>74</v>
      </c>
      <c r="AR274" s="1" t="s">
        <v>74</v>
      </c>
      <c r="AS274" s="1" t="s">
        <v>74</v>
      </c>
      <c r="AT274" s="1" t="s">
        <v>74</v>
      </c>
      <c r="AU274" s="1">
        <v>1983.0</v>
      </c>
      <c r="AV274" s="1">
        <v>48.0</v>
      </c>
      <c r="AW274" s="1">
        <v>5.0</v>
      </c>
      <c r="AX274" s="1" t="s">
        <v>74</v>
      </c>
      <c r="AY274" s="1" t="s">
        <v>74</v>
      </c>
      <c r="AZ274" s="1" t="s">
        <v>74</v>
      </c>
      <c r="BA274" s="1" t="s">
        <v>74</v>
      </c>
      <c r="BB274" s="1">
        <v>1513.0</v>
      </c>
      <c r="BC274" s="1">
        <v>1519.0</v>
      </c>
      <c r="BD274" s="1" t="s">
        <v>74</v>
      </c>
      <c r="BE274" s="1" t="s">
        <v>2791</v>
      </c>
      <c r="BF274" s="2" t="str">
        <f>HYPERLINK("http://dx.doi.org/10.1135/cccc19831513","http://dx.doi.org/10.1135/cccc19831513")</f>
        <v>http://dx.doi.org/10.1135/cccc19831513</v>
      </c>
      <c r="BG274" s="1" t="s">
        <v>74</v>
      </c>
      <c r="BH274" s="1" t="s">
        <v>74</v>
      </c>
      <c r="BI274" s="1" t="s">
        <v>74</v>
      </c>
      <c r="BJ274" s="1" t="s">
        <v>74</v>
      </c>
      <c r="BK274" s="1" t="s">
        <v>74</v>
      </c>
      <c r="BL274" s="1" t="s">
        <v>74</v>
      </c>
      <c r="BM274" s="1" t="s">
        <v>74</v>
      </c>
      <c r="BN274" s="1" t="s">
        <v>74</v>
      </c>
      <c r="BO274" s="1" t="s">
        <v>74</v>
      </c>
      <c r="BP274" s="1" t="s">
        <v>74</v>
      </c>
      <c r="BQ274" s="1" t="s">
        <v>74</v>
      </c>
      <c r="BR274" s="1" t="s">
        <v>74</v>
      </c>
      <c r="BS274" s="1" t="s">
        <v>2792</v>
      </c>
      <c r="BT274" s="1" t="str">
        <f>HYPERLINK("https%3A%2F%2Fwww.webofscience.com%2Fwos%2Fwoscc%2Ffull-record%2FWOS:A1983QT80600030","View Full Record in Web of Science")</f>
        <v>View Full Record in Web of Science</v>
      </c>
    </row>
    <row r="275" ht="12.75" customHeight="1">
      <c r="A275" s="1" t="s">
        <v>72</v>
      </c>
      <c r="B275" s="1" t="s">
        <v>2793</v>
      </c>
      <c r="C275" s="1" t="s">
        <v>74</v>
      </c>
      <c r="D275" s="1" t="s">
        <v>74</v>
      </c>
      <c r="E275" s="1" t="s">
        <v>74</v>
      </c>
      <c r="F275" s="1" t="s">
        <v>2793</v>
      </c>
      <c r="G275" s="1" t="s">
        <v>74</v>
      </c>
      <c r="H275" s="1" t="s">
        <v>74</v>
      </c>
      <c r="I275" s="1" t="s">
        <v>2794</v>
      </c>
      <c r="J275" s="1" t="s">
        <v>2795</v>
      </c>
      <c r="K275" s="1" t="s">
        <v>74</v>
      </c>
      <c r="L275" s="1" t="s">
        <v>74</v>
      </c>
      <c r="M275" s="1" t="s">
        <v>74</v>
      </c>
      <c r="N275" s="1" t="s">
        <v>74</v>
      </c>
      <c r="O275" s="1" t="s">
        <v>74</v>
      </c>
      <c r="P275" s="1" t="s">
        <v>74</v>
      </c>
      <c r="Q275" s="1" t="s">
        <v>74</v>
      </c>
      <c r="R275" s="1" t="s">
        <v>74</v>
      </c>
      <c r="S275" s="1" t="s">
        <v>74</v>
      </c>
      <c r="T275" s="1" t="s">
        <v>74</v>
      </c>
      <c r="U275" s="1" t="s">
        <v>74</v>
      </c>
      <c r="V275" s="1" t="s">
        <v>74</v>
      </c>
      <c r="W275" s="1" t="s">
        <v>74</v>
      </c>
      <c r="X275" s="1" t="s">
        <v>74</v>
      </c>
      <c r="Y275" s="1" t="s">
        <v>74</v>
      </c>
      <c r="Z275" s="1" t="s">
        <v>74</v>
      </c>
      <c r="AA275" s="1" t="s">
        <v>74</v>
      </c>
      <c r="AB275" s="1" t="s">
        <v>74</v>
      </c>
      <c r="AC275" s="1" t="s">
        <v>74</v>
      </c>
      <c r="AD275" s="1" t="s">
        <v>74</v>
      </c>
      <c r="AE275" s="1" t="s">
        <v>74</v>
      </c>
      <c r="AF275" s="1" t="s">
        <v>74</v>
      </c>
      <c r="AG275" s="1" t="s">
        <v>74</v>
      </c>
      <c r="AH275" s="1" t="s">
        <v>74</v>
      </c>
      <c r="AI275" s="1" t="s">
        <v>74</v>
      </c>
      <c r="AJ275" s="1" t="s">
        <v>74</v>
      </c>
      <c r="AK275" s="1" t="s">
        <v>74</v>
      </c>
      <c r="AL275" s="1" t="s">
        <v>74</v>
      </c>
      <c r="AM275" s="1" t="s">
        <v>74</v>
      </c>
      <c r="AN275" s="1" t="s">
        <v>74</v>
      </c>
      <c r="AO275" s="1" t="s">
        <v>2796</v>
      </c>
      <c r="AP275" s="1" t="s">
        <v>74</v>
      </c>
      <c r="AQ275" s="1" t="s">
        <v>74</v>
      </c>
      <c r="AR275" s="1" t="s">
        <v>74</v>
      </c>
      <c r="AS275" s="1" t="s">
        <v>74</v>
      </c>
      <c r="AT275" s="1" t="s">
        <v>74</v>
      </c>
      <c r="AU275" s="1">
        <v>1983.0</v>
      </c>
      <c r="AV275" s="1">
        <v>34.0</v>
      </c>
      <c r="AW275" s="1">
        <v>5.0</v>
      </c>
      <c r="AX275" s="1" t="s">
        <v>74</v>
      </c>
      <c r="AY275" s="1" t="s">
        <v>74</v>
      </c>
      <c r="AZ275" s="1" t="s">
        <v>74</v>
      </c>
      <c r="BA275" s="1" t="s">
        <v>74</v>
      </c>
      <c r="BB275" s="1">
        <v>728.0</v>
      </c>
      <c r="BC275" s="1">
        <v>745.0</v>
      </c>
      <c r="BD275" s="1" t="s">
        <v>74</v>
      </c>
      <c r="BE275" s="1" t="s">
        <v>2797</v>
      </c>
      <c r="BF275" s="2" t="str">
        <f>HYPERLINK("http://dx.doi.org/10.1007/BF00948811","http://dx.doi.org/10.1007/BF00948811")</f>
        <v>http://dx.doi.org/10.1007/BF00948811</v>
      </c>
      <c r="BG275" s="1" t="s">
        <v>74</v>
      </c>
      <c r="BH275" s="1" t="s">
        <v>74</v>
      </c>
      <c r="BI275" s="1" t="s">
        <v>74</v>
      </c>
      <c r="BJ275" s="1" t="s">
        <v>74</v>
      </c>
      <c r="BK275" s="1" t="s">
        <v>74</v>
      </c>
      <c r="BL275" s="1" t="s">
        <v>74</v>
      </c>
      <c r="BM275" s="1" t="s">
        <v>74</v>
      </c>
      <c r="BN275" s="1" t="s">
        <v>74</v>
      </c>
      <c r="BO275" s="1" t="s">
        <v>74</v>
      </c>
      <c r="BP275" s="1" t="s">
        <v>74</v>
      </c>
      <c r="BQ275" s="1" t="s">
        <v>74</v>
      </c>
      <c r="BR275" s="1" t="s">
        <v>74</v>
      </c>
      <c r="BS275" s="1" t="s">
        <v>2798</v>
      </c>
      <c r="BT275" s="1" t="str">
        <f>HYPERLINK("https%3A%2F%2Fwww.webofscience.com%2Fwos%2Fwoscc%2Ffull-record%2FWOS:A1983RQ70400011","View Full Record in Web of Science")</f>
        <v>View Full Record in Web of Science</v>
      </c>
    </row>
    <row r="276" ht="12.75" customHeight="1">
      <c r="A276" s="1" t="s">
        <v>72</v>
      </c>
      <c r="B276" s="1" t="s">
        <v>2799</v>
      </c>
      <c r="C276" s="1" t="s">
        <v>74</v>
      </c>
      <c r="D276" s="1" t="s">
        <v>74</v>
      </c>
      <c r="E276" s="1" t="s">
        <v>74</v>
      </c>
      <c r="F276" s="1" t="s">
        <v>2800</v>
      </c>
      <c r="G276" s="1" t="s">
        <v>74</v>
      </c>
      <c r="H276" s="1" t="s">
        <v>74</v>
      </c>
      <c r="I276" s="1" t="s">
        <v>2801</v>
      </c>
      <c r="J276" s="1" t="s">
        <v>2802</v>
      </c>
      <c r="K276" s="1" t="s">
        <v>74</v>
      </c>
      <c r="L276" s="1" t="s">
        <v>74</v>
      </c>
      <c r="M276" s="1" t="s">
        <v>74</v>
      </c>
      <c r="N276" s="1" t="s">
        <v>74</v>
      </c>
      <c r="O276" s="1" t="s">
        <v>74</v>
      </c>
      <c r="P276" s="1" t="s">
        <v>74</v>
      </c>
      <c r="Q276" s="1" t="s">
        <v>74</v>
      </c>
      <c r="R276" s="1" t="s">
        <v>74</v>
      </c>
      <c r="S276" s="1" t="s">
        <v>74</v>
      </c>
      <c r="T276" s="1" t="s">
        <v>74</v>
      </c>
      <c r="U276" s="1" t="s">
        <v>74</v>
      </c>
      <c r="V276" s="1" t="s">
        <v>2803</v>
      </c>
      <c r="W276" s="1" t="s">
        <v>74</v>
      </c>
      <c r="X276" s="1" t="s">
        <v>74</v>
      </c>
      <c r="Y276" s="1" t="s">
        <v>74</v>
      </c>
      <c r="Z276" s="1" t="s">
        <v>74</v>
      </c>
      <c r="AA276" s="1" t="s">
        <v>74</v>
      </c>
      <c r="AB276" s="1" t="s">
        <v>74</v>
      </c>
      <c r="AC276" s="1" t="s">
        <v>74</v>
      </c>
      <c r="AD276" s="1" t="s">
        <v>74</v>
      </c>
      <c r="AE276" s="1" t="s">
        <v>74</v>
      </c>
      <c r="AF276" s="1" t="s">
        <v>74</v>
      </c>
      <c r="AG276" s="1" t="s">
        <v>74</v>
      </c>
      <c r="AH276" s="1" t="s">
        <v>74</v>
      </c>
      <c r="AI276" s="1" t="s">
        <v>74</v>
      </c>
      <c r="AJ276" s="1" t="s">
        <v>74</v>
      </c>
      <c r="AK276" s="1" t="s">
        <v>74</v>
      </c>
      <c r="AL276" s="1" t="s">
        <v>74</v>
      </c>
      <c r="AM276" s="1" t="s">
        <v>74</v>
      </c>
      <c r="AN276" s="1" t="s">
        <v>74</v>
      </c>
      <c r="AO276" s="1" t="s">
        <v>2804</v>
      </c>
      <c r="AP276" s="1" t="s">
        <v>2805</v>
      </c>
      <c r="AQ276" s="1" t="s">
        <v>74</v>
      </c>
      <c r="AR276" s="1" t="s">
        <v>74</v>
      </c>
      <c r="AS276" s="1" t="s">
        <v>74</v>
      </c>
      <c r="AT276" s="1" t="s">
        <v>2806</v>
      </c>
      <c r="AU276" s="1">
        <v>2025.0</v>
      </c>
      <c r="AV276" s="1">
        <v>46.0</v>
      </c>
      <c r="AW276" s="1">
        <v>2.0</v>
      </c>
      <c r="AX276" s="1" t="s">
        <v>74</v>
      </c>
      <c r="AY276" s="1" t="s">
        <v>74</v>
      </c>
      <c r="AZ276" s="1" t="s">
        <v>74</v>
      </c>
      <c r="BA276" s="1" t="s">
        <v>74</v>
      </c>
      <c r="BB276" s="1">
        <v>173.0</v>
      </c>
      <c r="BC276" s="1">
        <v>178.0</v>
      </c>
      <c r="BD276" s="1" t="s">
        <v>74</v>
      </c>
      <c r="BE276" s="1" t="s">
        <v>74</v>
      </c>
      <c r="BF276" s="1" t="s">
        <v>74</v>
      </c>
      <c r="BG276" s="1" t="s">
        <v>74</v>
      </c>
      <c r="BH276" s="1" t="s">
        <v>74</v>
      </c>
      <c r="BI276" s="1" t="s">
        <v>74</v>
      </c>
      <c r="BJ276" s="1" t="s">
        <v>74</v>
      </c>
      <c r="BK276" s="1" t="s">
        <v>74</v>
      </c>
      <c r="BL276" s="1" t="s">
        <v>74</v>
      </c>
      <c r="BM276" s="1" t="s">
        <v>74</v>
      </c>
      <c r="BN276" s="1" t="s">
        <v>74</v>
      </c>
      <c r="BO276" s="1" t="s">
        <v>74</v>
      </c>
      <c r="BP276" s="1" t="s">
        <v>74</v>
      </c>
      <c r="BQ276" s="1" t="s">
        <v>74</v>
      </c>
      <c r="BR276" s="1" t="s">
        <v>74</v>
      </c>
      <c r="BS276" s="1" t="s">
        <v>2807</v>
      </c>
      <c r="BT276" s="1" t="str">
        <f>HYPERLINK("https%3A%2F%2Fwww.webofscience.com%2Fwos%2Fwoscc%2Ffull-record%2FWOS:001465249300004","View Full Record in Web of Science")</f>
        <v>View Full Record in Web of Science</v>
      </c>
    </row>
    <row r="277" ht="12.75" customHeight="1">
      <c r="A277" s="1" t="s">
        <v>72</v>
      </c>
      <c r="B277" s="1" t="s">
        <v>2808</v>
      </c>
      <c r="C277" s="1" t="s">
        <v>74</v>
      </c>
      <c r="D277" s="1" t="s">
        <v>74</v>
      </c>
      <c r="E277" s="1" t="s">
        <v>74</v>
      </c>
      <c r="F277" s="1" t="s">
        <v>2809</v>
      </c>
      <c r="G277" s="1" t="s">
        <v>74</v>
      </c>
      <c r="H277" s="1" t="s">
        <v>74</v>
      </c>
      <c r="I277" s="1" t="s">
        <v>2810</v>
      </c>
      <c r="J277" s="1" t="s">
        <v>2811</v>
      </c>
      <c r="K277" s="1" t="s">
        <v>74</v>
      </c>
      <c r="L277" s="1" t="s">
        <v>74</v>
      </c>
      <c r="M277" s="1" t="s">
        <v>74</v>
      </c>
      <c r="N277" s="1" t="s">
        <v>74</v>
      </c>
      <c r="O277" s="1" t="s">
        <v>74</v>
      </c>
      <c r="P277" s="1" t="s">
        <v>74</v>
      </c>
      <c r="Q277" s="1" t="s">
        <v>74</v>
      </c>
      <c r="R277" s="1" t="s">
        <v>74</v>
      </c>
      <c r="S277" s="1" t="s">
        <v>74</v>
      </c>
      <c r="T277" s="1" t="s">
        <v>74</v>
      </c>
      <c r="U277" s="1" t="s">
        <v>74</v>
      </c>
      <c r="V277" s="1" t="s">
        <v>2812</v>
      </c>
      <c r="W277" s="1" t="s">
        <v>74</v>
      </c>
      <c r="X277" s="1" t="s">
        <v>74</v>
      </c>
      <c r="Y277" s="1" t="s">
        <v>74</v>
      </c>
      <c r="Z277" s="1" t="s">
        <v>74</v>
      </c>
      <c r="AA277" s="1" t="s">
        <v>2543</v>
      </c>
      <c r="AB277" s="1" t="s">
        <v>1770</v>
      </c>
      <c r="AC277" s="1" t="s">
        <v>74</v>
      </c>
      <c r="AD277" s="1" t="s">
        <v>74</v>
      </c>
      <c r="AE277" s="1" t="s">
        <v>74</v>
      </c>
      <c r="AF277" s="1" t="s">
        <v>74</v>
      </c>
      <c r="AG277" s="1" t="s">
        <v>74</v>
      </c>
      <c r="AH277" s="1" t="s">
        <v>74</v>
      </c>
      <c r="AI277" s="1" t="s">
        <v>74</v>
      </c>
      <c r="AJ277" s="1" t="s">
        <v>74</v>
      </c>
      <c r="AK277" s="1" t="s">
        <v>74</v>
      </c>
      <c r="AL277" s="1" t="s">
        <v>74</v>
      </c>
      <c r="AM277" s="1" t="s">
        <v>74</v>
      </c>
      <c r="AN277" s="1" t="s">
        <v>74</v>
      </c>
      <c r="AO277" s="1" t="s">
        <v>2813</v>
      </c>
      <c r="AP277" s="1" t="s">
        <v>2814</v>
      </c>
      <c r="AQ277" s="1" t="s">
        <v>74</v>
      </c>
      <c r="AR277" s="1" t="s">
        <v>74</v>
      </c>
      <c r="AS277" s="1" t="s">
        <v>74</v>
      </c>
      <c r="AT277" s="1" t="s">
        <v>363</v>
      </c>
      <c r="AU277" s="1">
        <v>2024.0</v>
      </c>
      <c r="AV277" s="1">
        <v>1007.0</v>
      </c>
      <c r="AW277" s="1" t="s">
        <v>74</v>
      </c>
      <c r="AX277" s="1" t="s">
        <v>74</v>
      </c>
      <c r="AY277" s="1" t="s">
        <v>74</v>
      </c>
      <c r="AZ277" s="1" t="s">
        <v>74</v>
      </c>
      <c r="BA277" s="1" t="s">
        <v>74</v>
      </c>
      <c r="BB277" s="1" t="s">
        <v>74</v>
      </c>
      <c r="BC277" s="1" t="s">
        <v>74</v>
      </c>
      <c r="BD277" s="1">
        <v>116680.0</v>
      </c>
      <c r="BE277" s="1" t="s">
        <v>2815</v>
      </c>
      <c r="BF277" s="2" t="str">
        <f>HYPERLINK("http://dx.doi.org/10.1016/j.nuclphysb.2024.116680","http://dx.doi.org/10.1016/j.nuclphysb.2024.116680")</f>
        <v>http://dx.doi.org/10.1016/j.nuclphysb.2024.116680</v>
      </c>
      <c r="BG277" s="1" t="s">
        <v>74</v>
      </c>
      <c r="BH277" s="1" t="s">
        <v>2816</v>
      </c>
      <c r="BI277" s="1" t="s">
        <v>74</v>
      </c>
      <c r="BJ277" s="1" t="s">
        <v>74</v>
      </c>
      <c r="BK277" s="1" t="s">
        <v>74</v>
      </c>
      <c r="BL277" s="1" t="s">
        <v>74</v>
      </c>
      <c r="BM277" s="1" t="s">
        <v>74</v>
      </c>
      <c r="BN277" s="1" t="s">
        <v>74</v>
      </c>
      <c r="BO277" s="1" t="s">
        <v>74</v>
      </c>
      <c r="BP277" s="1" t="s">
        <v>74</v>
      </c>
      <c r="BQ277" s="1" t="s">
        <v>74</v>
      </c>
      <c r="BR277" s="1" t="s">
        <v>74</v>
      </c>
      <c r="BS277" s="1" t="s">
        <v>2817</v>
      </c>
      <c r="BT277" s="1" t="str">
        <f>HYPERLINK("https%3A%2F%2Fwww.webofscience.com%2Fwos%2Fwoscc%2Ffull-record%2FWOS:001316255000001","View Full Record in Web of Science")</f>
        <v>View Full Record in Web of Science</v>
      </c>
    </row>
    <row r="278" ht="12.75" customHeight="1">
      <c r="A278" s="1" t="s">
        <v>72</v>
      </c>
      <c r="B278" s="1" t="s">
        <v>2818</v>
      </c>
      <c r="C278" s="1" t="s">
        <v>74</v>
      </c>
      <c r="D278" s="1" t="s">
        <v>74</v>
      </c>
      <c r="E278" s="1" t="s">
        <v>74</v>
      </c>
      <c r="F278" s="1" t="s">
        <v>2819</v>
      </c>
      <c r="G278" s="1" t="s">
        <v>74</v>
      </c>
      <c r="H278" s="1" t="s">
        <v>74</v>
      </c>
      <c r="I278" s="1" t="s">
        <v>2820</v>
      </c>
      <c r="J278" s="1" t="s">
        <v>2821</v>
      </c>
      <c r="K278" s="1" t="s">
        <v>74</v>
      </c>
      <c r="L278" s="1" t="s">
        <v>74</v>
      </c>
      <c r="M278" s="1" t="s">
        <v>74</v>
      </c>
      <c r="N278" s="1" t="s">
        <v>74</v>
      </c>
      <c r="O278" s="1" t="s">
        <v>74</v>
      </c>
      <c r="P278" s="1" t="s">
        <v>74</v>
      </c>
      <c r="Q278" s="1" t="s">
        <v>74</v>
      </c>
      <c r="R278" s="1" t="s">
        <v>74</v>
      </c>
      <c r="S278" s="1" t="s">
        <v>74</v>
      </c>
      <c r="T278" s="1" t="s">
        <v>74</v>
      </c>
      <c r="U278" s="1" t="s">
        <v>74</v>
      </c>
      <c r="V278" s="1" t="s">
        <v>2822</v>
      </c>
      <c r="W278" s="1" t="s">
        <v>74</v>
      </c>
      <c r="X278" s="1" t="s">
        <v>74</v>
      </c>
      <c r="Y278" s="1" t="s">
        <v>74</v>
      </c>
      <c r="Z278" s="1" t="s">
        <v>74</v>
      </c>
      <c r="AA278" s="1" t="s">
        <v>2823</v>
      </c>
      <c r="AB278" s="1" t="s">
        <v>74</v>
      </c>
      <c r="AC278" s="1" t="s">
        <v>74</v>
      </c>
      <c r="AD278" s="1" t="s">
        <v>74</v>
      </c>
      <c r="AE278" s="1" t="s">
        <v>74</v>
      </c>
      <c r="AF278" s="1" t="s">
        <v>74</v>
      </c>
      <c r="AG278" s="1" t="s">
        <v>74</v>
      </c>
      <c r="AH278" s="1" t="s">
        <v>74</v>
      </c>
      <c r="AI278" s="1" t="s">
        <v>74</v>
      </c>
      <c r="AJ278" s="1" t="s">
        <v>74</v>
      </c>
      <c r="AK278" s="1" t="s">
        <v>74</v>
      </c>
      <c r="AL278" s="1" t="s">
        <v>74</v>
      </c>
      <c r="AM278" s="1" t="s">
        <v>74</v>
      </c>
      <c r="AN278" s="1" t="s">
        <v>74</v>
      </c>
      <c r="AO278" s="1" t="s">
        <v>2824</v>
      </c>
      <c r="AP278" s="1" t="s">
        <v>2825</v>
      </c>
      <c r="AQ278" s="1" t="s">
        <v>74</v>
      </c>
      <c r="AR278" s="1" t="s">
        <v>74</v>
      </c>
      <c r="AS278" s="1" t="s">
        <v>74</v>
      </c>
      <c r="AT278" s="1" t="s">
        <v>74</v>
      </c>
      <c r="AU278" s="1">
        <v>2024.0</v>
      </c>
      <c r="AV278" s="1">
        <v>24.0</v>
      </c>
      <c r="AW278" s="1">
        <v>44.0</v>
      </c>
      <c r="AX278" s="1" t="s">
        <v>74</v>
      </c>
      <c r="AY278" s="1" t="s">
        <v>74</v>
      </c>
      <c r="AZ278" s="1" t="s">
        <v>74</v>
      </c>
      <c r="BA278" s="1" t="s">
        <v>74</v>
      </c>
      <c r="BB278" s="1" t="s">
        <v>74</v>
      </c>
      <c r="BC278" s="1" t="s">
        <v>74</v>
      </c>
      <c r="BD278" s="1" t="s">
        <v>2826</v>
      </c>
      <c r="BE278" s="1" t="s">
        <v>2827</v>
      </c>
      <c r="BF278" s="2" t="str">
        <f>HYPERLINK("http://dx.doi.org/10.14195/2183-5462_44_9","http://dx.doi.org/10.14195/2183-5462_44_9")</f>
        <v>http://dx.doi.org/10.14195/2183-5462_44_9</v>
      </c>
      <c r="BG278" s="1" t="s">
        <v>74</v>
      </c>
      <c r="BH278" s="1" t="s">
        <v>74</v>
      </c>
      <c r="BI278" s="1" t="s">
        <v>74</v>
      </c>
      <c r="BJ278" s="1" t="s">
        <v>74</v>
      </c>
      <c r="BK278" s="1" t="s">
        <v>74</v>
      </c>
      <c r="BL278" s="1" t="s">
        <v>74</v>
      </c>
      <c r="BM278" s="1" t="s">
        <v>74</v>
      </c>
      <c r="BN278" s="1" t="s">
        <v>74</v>
      </c>
      <c r="BO278" s="1" t="s">
        <v>74</v>
      </c>
      <c r="BP278" s="1" t="s">
        <v>74</v>
      </c>
      <c r="BQ278" s="1" t="s">
        <v>74</v>
      </c>
      <c r="BR278" s="1" t="s">
        <v>74</v>
      </c>
      <c r="BS278" s="1" t="s">
        <v>2828</v>
      </c>
      <c r="BT278" s="1" t="str">
        <f>HYPERLINK("https%3A%2F%2Fwww.webofscience.com%2Fwos%2Fwoscc%2Ffull-record%2FWOS:001274072700001","View Full Record in Web of Science")</f>
        <v>View Full Record in Web of Science</v>
      </c>
    </row>
    <row r="279" ht="12.75" customHeight="1">
      <c r="A279" s="1" t="s">
        <v>72</v>
      </c>
      <c r="B279" s="1" t="s">
        <v>2829</v>
      </c>
      <c r="C279" s="1" t="s">
        <v>74</v>
      </c>
      <c r="D279" s="1" t="s">
        <v>74</v>
      </c>
      <c r="E279" s="1" t="s">
        <v>74</v>
      </c>
      <c r="F279" s="1" t="s">
        <v>2830</v>
      </c>
      <c r="G279" s="1" t="s">
        <v>74</v>
      </c>
      <c r="H279" s="1" t="s">
        <v>74</v>
      </c>
      <c r="I279" s="1" t="s">
        <v>2831</v>
      </c>
      <c r="J279" s="1" t="s">
        <v>2832</v>
      </c>
      <c r="K279" s="1" t="s">
        <v>74</v>
      </c>
      <c r="L279" s="1" t="s">
        <v>74</v>
      </c>
      <c r="M279" s="1" t="s">
        <v>74</v>
      </c>
      <c r="N279" s="1" t="s">
        <v>74</v>
      </c>
      <c r="O279" s="1" t="s">
        <v>74</v>
      </c>
      <c r="P279" s="1" t="s">
        <v>74</v>
      </c>
      <c r="Q279" s="1" t="s">
        <v>74</v>
      </c>
      <c r="R279" s="1" t="s">
        <v>74</v>
      </c>
      <c r="S279" s="1" t="s">
        <v>74</v>
      </c>
      <c r="T279" s="1" t="s">
        <v>74</v>
      </c>
      <c r="U279" s="1" t="s">
        <v>74</v>
      </c>
      <c r="V279" s="1" t="s">
        <v>2833</v>
      </c>
      <c r="W279" s="1" t="s">
        <v>74</v>
      </c>
      <c r="X279" s="1" t="s">
        <v>74</v>
      </c>
      <c r="Y279" s="1" t="s">
        <v>74</v>
      </c>
      <c r="Z279" s="1" t="s">
        <v>74</v>
      </c>
      <c r="AA279" s="1" t="s">
        <v>2834</v>
      </c>
      <c r="AB279" s="1" t="s">
        <v>2835</v>
      </c>
      <c r="AC279" s="1" t="s">
        <v>74</v>
      </c>
      <c r="AD279" s="1" t="s">
        <v>74</v>
      </c>
      <c r="AE279" s="1" t="s">
        <v>74</v>
      </c>
      <c r="AF279" s="1" t="s">
        <v>74</v>
      </c>
      <c r="AG279" s="1" t="s">
        <v>74</v>
      </c>
      <c r="AH279" s="1" t="s">
        <v>74</v>
      </c>
      <c r="AI279" s="1" t="s">
        <v>74</v>
      </c>
      <c r="AJ279" s="1" t="s">
        <v>74</v>
      </c>
      <c r="AK279" s="1" t="s">
        <v>74</v>
      </c>
      <c r="AL279" s="1" t="s">
        <v>74</v>
      </c>
      <c r="AM279" s="1" t="s">
        <v>74</v>
      </c>
      <c r="AN279" s="1" t="s">
        <v>74</v>
      </c>
      <c r="AO279" s="1" t="s">
        <v>2836</v>
      </c>
      <c r="AP279" s="1" t="s">
        <v>2837</v>
      </c>
      <c r="AQ279" s="1" t="s">
        <v>74</v>
      </c>
      <c r="AR279" s="1" t="s">
        <v>74</v>
      </c>
      <c r="AS279" s="1" t="s">
        <v>74</v>
      </c>
      <c r="AT279" s="1" t="s">
        <v>144</v>
      </c>
      <c r="AU279" s="1">
        <v>2024.0</v>
      </c>
      <c r="AV279" s="1">
        <v>28.0</v>
      </c>
      <c r="AW279" s="1" t="s">
        <v>326</v>
      </c>
      <c r="AX279" s="1" t="s">
        <v>74</v>
      </c>
      <c r="AY279" s="1" t="s">
        <v>74</v>
      </c>
      <c r="AZ279" s="1" t="s">
        <v>1042</v>
      </c>
      <c r="BA279" s="1" t="s">
        <v>74</v>
      </c>
      <c r="BB279" s="1">
        <v>677.0</v>
      </c>
      <c r="BC279" s="1">
        <v>682.0</v>
      </c>
      <c r="BD279" s="1" t="s">
        <v>74</v>
      </c>
      <c r="BE279" s="1" t="s">
        <v>2838</v>
      </c>
      <c r="BF279" s="2" t="str">
        <f>HYPERLINK("http://dx.doi.org/10.1007/s10008-023-05764-8","http://dx.doi.org/10.1007/s10008-023-05764-8")</f>
        <v>http://dx.doi.org/10.1007/s10008-023-05764-8</v>
      </c>
      <c r="BG279" s="1" t="s">
        <v>74</v>
      </c>
      <c r="BH279" s="1" t="s">
        <v>2839</v>
      </c>
      <c r="BI279" s="1" t="s">
        <v>74</v>
      </c>
      <c r="BJ279" s="1" t="s">
        <v>74</v>
      </c>
      <c r="BK279" s="1" t="s">
        <v>74</v>
      </c>
      <c r="BL279" s="1" t="s">
        <v>74</v>
      </c>
      <c r="BM279" s="1" t="s">
        <v>74</v>
      </c>
      <c r="BN279" s="1" t="s">
        <v>74</v>
      </c>
      <c r="BO279" s="1" t="s">
        <v>74</v>
      </c>
      <c r="BP279" s="1" t="s">
        <v>74</v>
      </c>
      <c r="BQ279" s="1" t="s">
        <v>74</v>
      </c>
      <c r="BR279" s="1" t="s">
        <v>74</v>
      </c>
      <c r="BS279" s="1" t="s">
        <v>2840</v>
      </c>
      <c r="BT279" s="1" t="str">
        <f>HYPERLINK("https%3A%2F%2Fwww.webofscience.com%2Fwos%2Fwoscc%2Ffull-record%2FWOS:001205213900001","View Full Record in Web of Science")</f>
        <v>View Full Record in Web of Science</v>
      </c>
    </row>
    <row r="280" ht="12.75" customHeight="1">
      <c r="A280" s="1" t="s">
        <v>72</v>
      </c>
      <c r="B280" s="1" t="s">
        <v>2841</v>
      </c>
      <c r="C280" s="1" t="s">
        <v>74</v>
      </c>
      <c r="D280" s="1" t="s">
        <v>74</v>
      </c>
      <c r="E280" s="1" t="s">
        <v>74</v>
      </c>
      <c r="F280" s="1" t="s">
        <v>2842</v>
      </c>
      <c r="G280" s="1" t="s">
        <v>74</v>
      </c>
      <c r="H280" s="1" t="s">
        <v>74</v>
      </c>
      <c r="I280" s="1" t="s">
        <v>2843</v>
      </c>
      <c r="J280" s="1" t="s">
        <v>540</v>
      </c>
      <c r="K280" s="1" t="s">
        <v>74</v>
      </c>
      <c r="L280" s="1" t="s">
        <v>74</v>
      </c>
      <c r="M280" s="1" t="s">
        <v>74</v>
      </c>
      <c r="N280" s="1" t="s">
        <v>74</v>
      </c>
      <c r="O280" s="1" t="s">
        <v>541</v>
      </c>
      <c r="P280" s="1" t="s">
        <v>542</v>
      </c>
      <c r="Q280" s="1" t="s">
        <v>543</v>
      </c>
      <c r="R280" s="1" t="s">
        <v>544</v>
      </c>
      <c r="S280" s="1" t="s">
        <v>74</v>
      </c>
      <c r="T280" s="1" t="s">
        <v>74</v>
      </c>
      <c r="U280" s="1" t="s">
        <v>74</v>
      </c>
      <c r="V280" s="1" t="s">
        <v>74</v>
      </c>
      <c r="W280" s="1" t="s">
        <v>74</v>
      </c>
      <c r="X280" s="1" t="s">
        <v>74</v>
      </c>
      <c r="Y280" s="1" t="s">
        <v>74</v>
      </c>
      <c r="Z280" s="1" t="s">
        <v>74</v>
      </c>
      <c r="AA280" s="1" t="s">
        <v>2844</v>
      </c>
      <c r="AB280" s="1" t="s">
        <v>546</v>
      </c>
      <c r="AC280" s="1" t="s">
        <v>74</v>
      </c>
      <c r="AD280" s="1" t="s">
        <v>74</v>
      </c>
      <c r="AE280" s="1" t="s">
        <v>74</v>
      </c>
      <c r="AF280" s="1" t="s">
        <v>74</v>
      </c>
      <c r="AG280" s="1" t="s">
        <v>74</v>
      </c>
      <c r="AH280" s="1" t="s">
        <v>74</v>
      </c>
      <c r="AI280" s="1" t="s">
        <v>74</v>
      </c>
      <c r="AJ280" s="1" t="s">
        <v>74</v>
      </c>
      <c r="AK280" s="1" t="s">
        <v>74</v>
      </c>
      <c r="AL280" s="1" t="s">
        <v>74</v>
      </c>
      <c r="AM280" s="1" t="s">
        <v>74</v>
      </c>
      <c r="AN280" s="1" t="s">
        <v>74</v>
      </c>
      <c r="AO280" s="1" t="s">
        <v>547</v>
      </c>
      <c r="AP280" s="1" t="s">
        <v>548</v>
      </c>
      <c r="AQ280" s="1" t="s">
        <v>74</v>
      </c>
      <c r="AR280" s="1" t="s">
        <v>74</v>
      </c>
      <c r="AS280" s="1" t="s">
        <v>74</v>
      </c>
      <c r="AT280" s="1" t="s">
        <v>112</v>
      </c>
      <c r="AU280" s="1">
        <v>2023.0</v>
      </c>
      <c r="AV280" s="1">
        <v>148.0</v>
      </c>
      <c r="AW280" s="1" t="s">
        <v>74</v>
      </c>
      <c r="AX280" s="1" t="s">
        <v>74</v>
      </c>
      <c r="AY280" s="1" t="s">
        <v>74</v>
      </c>
      <c r="AZ280" s="1" t="s">
        <v>74</v>
      </c>
      <c r="BA280" s="1">
        <v>104999.0</v>
      </c>
      <c r="BB280" s="1" t="s">
        <v>74</v>
      </c>
      <c r="BC280" s="1" t="s">
        <v>74</v>
      </c>
      <c r="BD280" s="1" t="s">
        <v>74</v>
      </c>
      <c r="BE280" s="1" t="s">
        <v>74</v>
      </c>
      <c r="BF280" s="1" t="s">
        <v>74</v>
      </c>
      <c r="BG280" s="1" t="s">
        <v>74</v>
      </c>
      <c r="BH280" s="1" t="s">
        <v>74</v>
      </c>
      <c r="BI280" s="1" t="s">
        <v>74</v>
      </c>
      <c r="BJ280" s="1" t="s">
        <v>74</v>
      </c>
      <c r="BK280" s="1" t="s">
        <v>74</v>
      </c>
      <c r="BL280" s="1" t="s">
        <v>74</v>
      </c>
      <c r="BM280" s="1" t="s">
        <v>74</v>
      </c>
      <c r="BN280" s="1" t="s">
        <v>74</v>
      </c>
      <c r="BO280" s="1" t="s">
        <v>74</v>
      </c>
      <c r="BP280" s="1" t="s">
        <v>74</v>
      </c>
      <c r="BQ280" s="1" t="s">
        <v>74</v>
      </c>
      <c r="BR280" s="1" t="s">
        <v>74</v>
      </c>
      <c r="BS280" s="1" t="s">
        <v>2845</v>
      </c>
      <c r="BT280" s="1" t="str">
        <f>HYPERLINK("https%3A%2F%2Fwww.webofscience.com%2Fwos%2Fwoscc%2Ffull-record%2FWOS:001058416200078","View Full Record in Web of Science")</f>
        <v>View Full Record in Web of Science</v>
      </c>
    </row>
    <row r="281" ht="12.75" customHeight="1">
      <c r="A281" s="1" t="s">
        <v>72</v>
      </c>
      <c r="B281" s="1" t="s">
        <v>2846</v>
      </c>
      <c r="C281" s="1" t="s">
        <v>74</v>
      </c>
      <c r="D281" s="1" t="s">
        <v>74</v>
      </c>
      <c r="E281" s="1" t="s">
        <v>74</v>
      </c>
      <c r="F281" s="1" t="s">
        <v>2847</v>
      </c>
      <c r="G281" s="1" t="s">
        <v>74</v>
      </c>
      <c r="H281" s="1" t="s">
        <v>74</v>
      </c>
      <c r="I281" s="1" t="s">
        <v>2848</v>
      </c>
      <c r="J281" s="1" t="s">
        <v>2849</v>
      </c>
      <c r="K281" s="1" t="s">
        <v>74</v>
      </c>
      <c r="L281" s="1" t="s">
        <v>74</v>
      </c>
      <c r="M281" s="1" t="s">
        <v>74</v>
      </c>
      <c r="N281" s="1" t="s">
        <v>74</v>
      </c>
      <c r="O281" s="1" t="s">
        <v>74</v>
      </c>
      <c r="P281" s="1" t="s">
        <v>74</v>
      </c>
      <c r="Q281" s="1" t="s">
        <v>74</v>
      </c>
      <c r="R281" s="1" t="s">
        <v>74</v>
      </c>
      <c r="S281" s="1" t="s">
        <v>74</v>
      </c>
      <c r="T281" s="1" t="s">
        <v>74</v>
      </c>
      <c r="U281" s="1" t="s">
        <v>74</v>
      </c>
      <c r="V281" s="1" t="s">
        <v>2850</v>
      </c>
      <c r="W281" s="1" t="s">
        <v>74</v>
      </c>
      <c r="X281" s="1" t="s">
        <v>74</v>
      </c>
      <c r="Y281" s="1" t="s">
        <v>74</v>
      </c>
      <c r="Z281" s="1" t="s">
        <v>74</v>
      </c>
      <c r="AA281" s="1" t="s">
        <v>2851</v>
      </c>
      <c r="AB281" s="1" t="s">
        <v>2852</v>
      </c>
      <c r="AC281" s="1" t="s">
        <v>74</v>
      </c>
      <c r="AD281" s="1" t="s">
        <v>74</v>
      </c>
      <c r="AE281" s="1" t="s">
        <v>74</v>
      </c>
      <c r="AF281" s="1" t="s">
        <v>74</v>
      </c>
      <c r="AG281" s="1" t="s">
        <v>74</v>
      </c>
      <c r="AH281" s="1" t="s">
        <v>74</v>
      </c>
      <c r="AI281" s="1" t="s">
        <v>74</v>
      </c>
      <c r="AJ281" s="1" t="s">
        <v>74</v>
      </c>
      <c r="AK281" s="1" t="s">
        <v>74</v>
      </c>
      <c r="AL281" s="1" t="s">
        <v>74</v>
      </c>
      <c r="AM281" s="1" t="s">
        <v>74</v>
      </c>
      <c r="AN281" s="1" t="s">
        <v>74</v>
      </c>
      <c r="AO281" s="1" t="s">
        <v>2853</v>
      </c>
      <c r="AP281" s="1" t="s">
        <v>2854</v>
      </c>
      <c r="AQ281" s="1" t="s">
        <v>74</v>
      </c>
      <c r="AR281" s="1" t="s">
        <v>74</v>
      </c>
      <c r="AS281" s="1" t="s">
        <v>74</v>
      </c>
      <c r="AT281" s="1" t="s">
        <v>277</v>
      </c>
      <c r="AU281" s="1">
        <v>2024.0</v>
      </c>
      <c r="AV281" s="1">
        <v>39.0</v>
      </c>
      <c r="AW281" s="1">
        <v>1.0</v>
      </c>
      <c r="AX281" s="1" t="s">
        <v>74</v>
      </c>
      <c r="AY281" s="1" t="s">
        <v>74</v>
      </c>
      <c r="AZ281" s="1" t="s">
        <v>74</v>
      </c>
      <c r="BA281" s="1" t="s">
        <v>74</v>
      </c>
      <c r="BB281" s="1">
        <v>36.0</v>
      </c>
      <c r="BC281" s="1">
        <v>47.0</v>
      </c>
      <c r="BD281" s="1" t="s">
        <v>74</v>
      </c>
      <c r="BE281" s="1" t="s">
        <v>2855</v>
      </c>
      <c r="BF281" s="2" t="str">
        <f>HYPERLINK("http://dx.doi.org/10.1002/hpm.3711","http://dx.doi.org/10.1002/hpm.3711")</f>
        <v>http://dx.doi.org/10.1002/hpm.3711</v>
      </c>
      <c r="BG281" s="1" t="s">
        <v>74</v>
      </c>
      <c r="BH281" s="1" t="s">
        <v>2856</v>
      </c>
      <c r="BI281" s="1" t="s">
        <v>74</v>
      </c>
      <c r="BJ281" s="1" t="s">
        <v>74</v>
      </c>
      <c r="BK281" s="1" t="s">
        <v>74</v>
      </c>
      <c r="BL281" s="1" t="s">
        <v>74</v>
      </c>
      <c r="BM281" s="1" t="s">
        <v>74</v>
      </c>
      <c r="BN281" s="1">
        <v>3.7796724E7</v>
      </c>
      <c r="BO281" s="1" t="s">
        <v>74</v>
      </c>
      <c r="BP281" s="1" t="s">
        <v>74</v>
      </c>
      <c r="BQ281" s="1" t="s">
        <v>74</v>
      </c>
      <c r="BR281" s="1" t="s">
        <v>74</v>
      </c>
      <c r="BS281" s="1" t="s">
        <v>2857</v>
      </c>
      <c r="BT281" s="1" t="str">
        <f>HYPERLINK("https%3A%2F%2Fwww.webofscience.com%2Fwos%2Fwoscc%2Ffull-record%2FWOS:001075901900001","View Full Record in Web of Science")</f>
        <v>View Full Record in Web of Science</v>
      </c>
    </row>
    <row r="282" ht="12.75" customHeight="1">
      <c r="A282" s="1" t="s">
        <v>72</v>
      </c>
      <c r="B282" s="1" t="s">
        <v>2858</v>
      </c>
      <c r="C282" s="1" t="s">
        <v>74</v>
      </c>
      <c r="D282" s="1" t="s">
        <v>74</v>
      </c>
      <c r="E282" s="1" t="s">
        <v>74</v>
      </c>
      <c r="F282" s="1" t="s">
        <v>2859</v>
      </c>
      <c r="G282" s="1" t="s">
        <v>74</v>
      </c>
      <c r="H282" s="1" t="s">
        <v>74</v>
      </c>
      <c r="I282" s="1" t="s">
        <v>2860</v>
      </c>
      <c r="J282" s="1" t="s">
        <v>2861</v>
      </c>
      <c r="K282" s="1" t="s">
        <v>74</v>
      </c>
      <c r="L282" s="1" t="s">
        <v>74</v>
      </c>
      <c r="M282" s="1" t="s">
        <v>74</v>
      </c>
      <c r="N282" s="1" t="s">
        <v>74</v>
      </c>
      <c r="O282" s="1" t="s">
        <v>74</v>
      </c>
      <c r="P282" s="1" t="s">
        <v>74</v>
      </c>
      <c r="Q282" s="1" t="s">
        <v>74</v>
      </c>
      <c r="R282" s="1" t="s">
        <v>74</v>
      </c>
      <c r="S282" s="1" t="s">
        <v>74</v>
      </c>
      <c r="T282" s="1" t="s">
        <v>74</v>
      </c>
      <c r="U282" s="1" t="s">
        <v>74</v>
      </c>
      <c r="V282" s="1" t="s">
        <v>2862</v>
      </c>
      <c r="W282" s="1" t="s">
        <v>74</v>
      </c>
      <c r="X282" s="1" t="s">
        <v>74</v>
      </c>
      <c r="Y282" s="1" t="s">
        <v>74</v>
      </c>
      <c r="Z282" s="1" t="s">
        <v>74</v>
      </c>
      <c r="AA282" s="1" t="s">
        <v>2863</v>
      </c>
      <c r="AB282" s="1" t="s">
        <v>2864</v>
      </c>
      <c r="AC282" s="1" t="s">
        <v>74</v>
      </c>
      <c r="AD282" s="1" t="s">
        <v>74</v>
      </c>
      <c r="AE282" s="1" t="s">
        <v>74</v>
      </c>
      <c r="AF282" s="1" t="s">
        <v>74</v>
      </c>
      <c r="AG282" s="1" t="s">
        <v>74</v>
      </c>
      <c r="AH282" s="1" t="s">
        <v>74</v>
      </c>
      <c r="AI282" s="1" t="s">
        <v>74</v>
      </c>
      <c r="AJ282" s="1" t="s">
        <v>74</v>
      </c>
      <c r="AK282" s="1" t="s">
        <v>74</v>
      </c>
      <c r="AL282" s="1" t="s">
        <v>74</v>
      </c>
      <c r="AM282" s="1" t="s">
        <v>74</v>
      </c>
      <c r="AN282" s="1" t="s">
        <v>74</v>
      </c>
      <c r="AO282" s="1" t="s">
        <v>2865</v>
      </c>
      <c r="AP282" s="1" t="s">
        <v>2866</v>
      </c>
      <c r="AQ282" s="1" t="s">
        <v>74</v>
      </c>
      <c r="AR282" s="1" t="s">
        <v>74</v>
      </c>
      <c r="AS282" s="1" t="s">
        <v>74</v>
      </c>
      <c r="AT282" s="1" t="s">
        <v>379</v>
      </c>
      <c r="AU282" s="1">
        <v>2023.0</v>
      </c>
      <c r="AV282" s="1">
        <v>153.0</v>
      </c>
      <c r="AW282" s="1" t="s">
        <v>74</v>
      </c>
      <c r="AX282" s="1" t="s">
        <v>74</v>
      </c>
      <c r="AY282" s="1" t="s">
        <v>74</v>
      </c>
      <c r="AZ282" s="1" t="s">
        <v>74</v>
      </c>
      <c r="BA282" s="1" t="s">
        <v>74</v>
      </c>
      <c r="BB282" s="1">
        <v>19.0</v>
      </c>
      <c r="BC282" s="1">
        <v>32.0</v>
      </c>
      <c r="BD282" s="1" t="s">
        <v>74</v>
      </c>
      <c r="BE282" s="1" t="s">
        <v>2867</v>
      </c>
      <c r="BF282" s="2" t="str">
        <f>HYPERLINK("http://dx.doi.org/10.1016/j.ijrefrig.2023.06.026","http://dx.doi.org/10.1016/j.ijrefrig.2023.06.026")</f>
        <v>http://dx.doi.org/10.1016/j.ijrefrig.2023.06.026</v>
      </c>
      <c r="BG282" s="1" t="s">
        <v>74</v>
      </c>
      <c r="BH282" s="1" t="s">
        <v>2868</v>
      </c>
      <c r="BI282" s="1" t="s">
        <v>74</v>
      </c>
      <c r="BJ282" s="1" t="s">
        <v>74</v>
      </c>
      <c r="BK282" s="1" t="s">
        <v>74</v>
      </c>
      <c r="BL282" s="1" t="s">
        <v>74</v>
      </c>
      <c r="BM282" s="1" t="s">
        <v>74</v>
      </c>
      <c r="BN282" s="1" t="s">
        <v>74</v>
      </c>
      <c r="BO282" s="1" t="s">
        <v>74</v>
      </c>
      <c r="BP282" s="1" t="s">
        <v>74</v>
      </c>
      <c r="BQ282" s="1" t="s">
        <v>74</v>
      </c>
      <c r="BR282" s="1" t="s">
        <v>74</v>
      </c>
      <c r="BS282" s="1" t="s">
        <v>2869</v>
      </c>
      <c r="BT282" s="1" t="str">
        <f>HYPERLINK("https%3A%2F%2Fwww.webofscience.com%2Fwos%2Fwoscc%2Ffull-record%2FWOS:001083202400001","View Full Record in Web of Science")</f>
        <v>View Full Record in Web of Science</v>
      </c>
    </row>
    <row r="283" ht="12.75" customHeight="1">
      <c r="A283" s="1" t="s">
        <v>72</v>
      </c>
      <c r="B283" s="1" t="s">
        <v>2870</v>
      </c>
      <c r="C283" s="1" t="s">
        <v>74</v>
      </c>
      <c r="D283" s="1" t="s">
        <v>74</v>
      </c>
      <c r="E283" s="1" t="s">
        <v>74</v>
      </c>
      <c r="F283" s="1" t="s">
        <v>2871</v>
      </c>
      <c r="G283" s="1" t="s">
        <v>74</v>
      </c>
      <c r="H283" s="1" t="s">
        <v>74</v>
      </c>
      <c r="I283" s="1" t="s">
        <v>2872</v>
      </c>
      <c r="J283" s="1" t="s">
        <v>2873</v>
      </c>
      <c r="K283" s="1" t="s">
        <v>74</v>
      </c>
      <c r="L283" s="1" t="s">
        <v>74</v>
      </c>
      <c r="M283" s="1" t="s">
        <v>74</v>
      </c>
      <c r="N283" s="1" t="s">
        <v>74</v>
      </c>
      <c r="O283" s="1" t="s">
        <v>74</v>
      </c>
      <c r="P283" s="1" t="s">
        <v>74</v>
      </c>
      <c r="Q283" s="1" t="s">
        <v>74</v>
      </c>
      <c r="R283" s="1" t="s">
        <v>74</v>
      </c>
      <c r="S283" s="1" t="s">
        <v>74</v>
      </c>
      <c r="T283" s="1" t="s">
        <v>74</v>
      </c>
      <c r="U283" s="1" t="s">
        <v>74</v>
      </c>
      <c r="V283" s="1" t="s">
        <v>2874</v>
      </c>
      <c r="W283" s="1" t="s">
        <v>74</v>
      </c>
      <c r="X283" s="1" t="s">
        <v>74</v>
      </c>
      <c r="Y283" s="1" t="s">
        <v>74</v>
      </c>
      <c r="Z283" s="1" t="s">
        <v>74</v>
      </c>
      <c r="AA283" s="1" t="s">
        <v>2875</v>
      </c>
      <c r="AB283" s="1" t="s">
        <v>2876</v>
      </c>
      <c r="AC283" s="1" t="s">
        <v>74</v>
      </c>
      <c r="AD283" s="1" t="s">
        <v>74</v>
      </c>
      <c r="AE283" s="1" t="s">
        <v>74</v>
      </c>
      <c r="AF283" s="1" t="s">
        <v>74</v>
      </c>
      <c r="AG283" s="1" t="s">
        <v>74</v>
      </c>
      <c r="AH283" s="1" t="s">
        <v>74</v>
      </c>
      <c r="AI283" s="1" t="s">
        <v>74</v>
      </c>
      <c r="AJ283" s="1" t="s">
        <v>74</v>
      </c>
      <c r="AK283" s="1" t="s">
        <v>74</v>
      </c>
      <c r="AL283" s="1" t="s">
        <v>74</v>
      </c>
      <c r="AM283" s="1" t="s">
        <v>74</v>
      </c>
      <c r="AN283" s="1" t="s">
        <v>74</v>
      </c>
      <c r="AO283" s="1" t="s">
        <v>2877</v>
      </c>
      <c r="AP283" s="1" t="s">
        <v>2878</v>
      </c>
      <c r="AQ283" s="1" t="s">
        <v>74</v>
      </c>
      <c r="AR283" s="1" t="s">
        <v>74</v>
      </c>
      <c r="AS283" s="1" t="s">
        <v>74</v>
      </c>
      <c r="AT283" s="1" t="s">
        <v>841</v>
      </c>
      <c r="AU283" s="1">
        <v>2023.0</v>
      </c>
      <c r="AV283" s="1">
        <v>322.0</v>
      </c>
      <c r="AW283" s="1" t="s">
        <v>74</v>
      </c>
      <c r="AX283" s="1" t="s">
        <v>74</v>
      </c>
      <c r="AY283" s="1" t="s">
        <v>74</v>
      </c>
      <c r="AZ283" s="1" t="s">
        <v>74</v>
      </c>
      <c r="BA283" s="1" t="s">
        <v>74</v>
      </c>
      <c r="BB283" s="1" t="s">
        <v>74</v>
      </c>
      <c r="BC283" s="1" t="s">
        <v>74</v>
      </c>
      <c r="BD283" s="1">
        <v>115134.0</v>
      </c>
      <c r="BE283" s="1" t="s">
        <v>2879</v>
      </c>
      <c r="BF283" s="2" t="str">
        <f>HYPERLINK("http://dx.doi.org/10.1016/j.psychres.2023.115134","http://dx.doi.org/10.1016/j.psychres.2023.115134")</f>
        <v>http://dx.doi.org/10.1016/j.psychres.2023.115134</v>
      </c>
      <c r="BG283" s="1" t="s">
        <v>74</v>
      </c>
      <c r="BH283" s="1" t="s">
        <v>2880</v>
      </c>
      <c r="BI283" s="1" t="s">
        <v>74</v>
      </c>
      <c r="BJ283" s="1" t="s">
        <v>74</v>
      </c>
      <c r="BK283" s="1" t="s">
        <v>74</v>
      </c>
      <c r="BL283" s="1" t="s">
        <v>74</v>
      </c>
      <c r="BM283" s="1" t="s">
        <v>74</v>
      </c>
      <c r="BN283" s="1">
        <v>3.687141E7</v>
      </c>
      <c r="BO283" s="1" t="s">
        <v>74</v>
      </c>
      <c r="BP283" s="1" t="s">
        <v>74</v>
      </c>
      <c r="BQ283" s="1" t="s">
        <v>74</v>
      </c>
      <c r="BR283" s="1" t="s">
        <v>74</v>
      </c>
      <c r="BS283" s="1" t="s">
        <v>2881</v>
      </c>
      <c r="BT283" s="1" t="str">
        <f>HYPERLINK("https%3A%2F%2Fwww.webofscience.com%2Fwos%2Fwoscc%2Ffull-record%2FWOS:000953218600001","View Full Record in Web of Science")</f>
        <v>View Full Record in Web of Science</v>
      </c>
    </row>
    <row r="284" ht="12.75" customHeight="1">
      <c r="A284" s="1" t="s">
        <v>72</v>
      </c>
      <c r="B284" s="1" t="s">
        <v>2882</v>
      </c>
      <c r="C284" s="1" t="s">
        <v>74</v>
      </c>
      <c r="D284" s="1" t="s">
        <v>74</v>
      </c>
      <c r="E284" s="1" t="s">
        <v>74</v>
      </c>
      <c r="F284" s="1" t="s">
        <v>2883</v>
      </c>
      <c r="G284" s="1" t="s">
        <v>74</v>
      </c>
      <c r="H284" s="1" t="s">
        <v>74</v>
      </c>
      <c r="I284" s="1" t="s">
        <v>2884</v>
      </c>
      <c r="J284" s="1" t="s">
        <v>2885</v>
      </c>
      <c r="K284" s="1" t="s">
        <v>74</v>
      </c>
      <c r="L284" s="1" t="s">
        <v>74</v>
      </c>
      <c r="M284" s="1" t="s">
        <v>74</v>
      </c>
      <c r="N284" s="1" t="s">
        <v>74</v>
      </c>
      <c r="O284" s="1" t="s">
        <v>74</v>
      </c>
      <c r="P284" s="1" t="s">
        <v>74</v>
      </c>
      <c r="Q284" s="1" t="s">
        <v>74</v>
      </c>
      <c r="R284" s="1" t="s">
        <v>74</v>
      </c>
      <c r="S284" s="1" t="s">
        <v>74</v>
      </c>
      <c r="T284" s="1" t="s">
        <v>74</v>
      </c>
      <c r="U284" s="1" t="s">
        <v>74</v>
      </c>
      <c r="V284" s="1" t="s">
        <v>2886</v>
      </c>
      <c r="W284" s="1" t="s">
        <v>74</v>
      </c>
      <c r="X284" s="1" t="s">
        <v>74</v>
      </c>
      <c r="Y284" s="1" t="s">
        <v>74</v>
      </c>
      <c r="Z284" s="1" t="s">
        <v>74</v>
      </c>
      <c r="AA284" s="1" t="s">
        <v>74</v>
      </c>
      <c r="AB284" s="1" t="s">
        <v>74</v>
      </c>
      <c r="AC284" s="1" t="s">
        <v>74</v>
      </c>
      <c r="AD284" s="1" t="s">
        <v>74</v>
      </c>
      <c r="AE284" s="1" t="s">
        <v>74</v>
      </c>
      <c r="AF284" s="1" t="s">
        <v>74</v>
      </c>
      <c r="AG284" s="1" t="s">
        <v>74</v>
      </c>
      <c r="AH284" s="1" t="s">
        <v>74</v>
      </c>
      <c r="AI284" s="1" t="s">
        <v>74</v>
      </c>
      <c r="AJ284" s="1" t="s">
        <v>74</v>
      </c>
      <c r="AK284" s="1" t="s">
        <v>74</v>
      </c>
      <c r="AL284" s="1" t="s">
        <v>74</v>
      </c>
      <c r="AM284" s="1" t="s">
        <v>74</v>
      </c>
      <c r="AN284" s="1" t="s">
        <v>74</v>
      </c>
      <c r="AO284" s="1" t="s">
        <v>2887</v>
      </c>
      <c r="AP284" s="1" t="s">
        <v>2888</v>
      </c>
      <c r="AQ284" s="1" t="s">
        <v>74</v>
      </c>
      <c r="AR284" s="1" t="s">
        <v>74</v>
      </c>
      <c r="AS284" s="1" t="s">
        <v>74</v>
      </c>
      <c r="AT284" s="1" t="s">
        <v>277</v>
      </c>
      <c r="AU284" s="1">
        <v>2023.0</v>
      </c>
      <c r="AV284" s="1">
        <v>62.0</v>
      </c>
      <c r="AW284" s="1">
        <v>1.0</v>
      </c>
      <c r="AX284" s="1" t="s">
        <v>74</v>
      </c>
      <c r="AY284" s="1" t="s">
        <v>74</v>
      </c>
      <c r="AZ284" s="1" t="s">
        <v>74</v>
      </c>
      <c r="BA284" s="1" t="s">
        <v>74</v>
      </c>
      <c r="BB284" s="1" t="s">
        <v>74</v>
      </c>
      <c r="BC284" s="1" t="s">
        <v>74</v>
      </c>
      <c r="BD284" s="1">
        <v>16.0</v>
      </c>
      <c r="BE284" s="1" t="s">
        <v>2889</v>
      </c>
      <c r="BF284" s="2" t="str">
        <f>HYPERLINK("http://dx.doi.org/10.1007/s00526-022-02366-6","http://dx.doi.org/10.1007/s00526-022-02366-6")</f>
        <v>http://dx.doi.org/10.1007/s00526-022-02366-6</v>
      </c>
      <c r="BG284" s="1" t="s">
        <v>74</v>
      </c>
      <c r="BH284" s="1" t="s">
        <v>74</v>
      </c>
      <c r="BI284" s="1" t="s">
        <v>74</v>
      </c>
      <c r="BJ284" s="1" t="s">
        <v>74</v>
      </c>
      <c r="BK284" s="1" t="s">
        <v>74</v>
      </c>
      <c r="BL284" s="1" t="s">
        <v>74</v>
      </c>
      <c r="BM284" s="1" t="s">
        <v>74</v>
      </c>
      <c r="BN284" s="1" t="s">
        <v>74</v>
      </c>
      <c r="BO284" s="1" t="s">
        <v>74</v>
      </c>
      <c r="BP284" s="1" t="s">
        <v>74</v>
      </c>
      <c r="BQ284" s="1" t="s">
        <v>74</v>
      </c>
      <c r="BR284" s="1" t="s">
        <v>74</v>
      </c>
      <c r="BS284" s="1" t="s">
        <v>2890</v>
      </c>
      <c r="BT284" s="1" t="str">
        <f>HYPERLINK("https%3A%2F%2Fwww.webofscience.com%2Fwos%2Fwoscc%2Ffull-record%2FWOS:000879074900018","View Full Record in Web of Science")</f>
        <v>View Full Record in Web of Science</v>
      </c>
    </row>
    <row r="285" ht="12.75" customHeight="1">
      <c r="A285" s="1" t="s">
        <v>72</v>
      </c>
      <c r="B285" s="1" t="s">
        <v>2891</v>
      </c>
      <c r="C285" s="1" t="s">
        <v>74</v>
      </c>
      <c r="D285" s="1" t="s">
        <v>74</v>
      </c>
      <c r="E285" s="1" t="s">
        <v>74</v>
      </c>
      <c r="F285" s="1" t="s">
        <v>2892</v>
      </c>
      <c r="G285" s="1" t="s">
        <v>74</v>
      </c>
      <c r="H285" s="1" t="s">
        <v>74</v>
      </c>
      <c r="I285" s="1" t="s">
        <v>2893</v>
      </c>
      <c r="J285" s="1" t="s">
        <v>628</v>
      </c>
      <c r="K285" s="1" t="s">
        <v>74</v>
      </c>
      <c r="L285" s="1" t="s">
        <v>74</v>
      </c>
      <c r="M285" s="1" t="s">
        <v>74</v>
      </c>
      <c r="N285" s="1" t="s">
        <v>74</v>
      </c>
      <c r="O285" s="1" t="s">
        <v>74</v>
      </c>
      <c r="P285" s="1" t="s">
        <v>74</v>
      </c>
      <c r="Q285" s="1" t="s">
        <v>74</v>
      </c>
      <c r="R285" s="1" t="s">
        <v>74</v>
      </c>
      <c r="S285" s="1" t="s">
        <v>74</v>
      </c>
      <c r="T285" s="1" t="s">
        <v>74</v>
      </c>
      <c r="U285" s="1" t="s">
        <v>74</v>
      </c>
      <c r="V285" s="1" t="s">
        <v>2894</v>
      </c>
      <c r="W285" s="1" t="s">
        <v>74</v>
      </c>
      <c r="X285" s="1" t="s">
        <v>74</v>
      </c>
      <c r="Y285" s="1" t="s">
        <v>74</v>
      </c>
      <c r="Z285" s="1" t="s">
        <v>74</v>
      </c>
      <c r="AA285" s="1" t="s">
        <v>2895</v>
      </c>
      <c r="AB285" s="1" t="s">
        <v>2896</v>
      </c>
      <c r="AC285" s="1" t="s">
        <v>74</v>
      </c>
      <c r="AD285" s="1" t="s">
        <v>74</v>
      </c>
      <c r="AE285" s="1" t="s">
        <v>74</v>
      </c>
      <c r="AF285" s="1" t="s">
        <v>74</v>
      </c>
      <c r="AG285" s="1" t="s">
        <v>74</v>
      </c>
      <c r="AH285" s="1" t="s">
        <v>74</v>
      </c>
      <c r="AI285" s="1" t="s">
        <v>74</v>
      </c>
      <c r="AJ285" s="1" t="s">
        <v>74</v>
      </c>
      <c r="AK285" s="1" t="s">
        <v>74</v>
      </c>
      <c r="AL285" s="1" t="s">
        <v>74</v>
      </c>
      <c r="AM285" s="1" t="s">
        <v>74</v>
      </c>
      <c r="AN285" s="1" t="s">
        <v>74</v>
      </c>
      <c r="AO285" s="1" t="s">
        <v>632</v>
      </c>
      <c r="AP285" s="1" t="s">
        <v>74</v>
      </c>
      <c r="AQ285" s="1" t="s">
        <v>74</v>
      </c>
      <c r="AR285" s="1" t="s">
        <v>74</v>
      </c>
      <c r="AS285" s="1" t="s">
        <v>74</v>
      </c>
      <c r="AT285" s="1" t="s">
        <v>415</v>
      </c>
      <c r="AU285" s="1">
        <v>2022.0</v>
      </c>
      <c r="AV285" s="1">
        <v>36.0</v>
      </c>
      <c r="AW285" s="1" t="s">
        <v>74</v>
      </c>
      <c r="AX285" s="1" t="s">
        <v>74</v>
      </c>
      <c r="AY285" s="1" t="s">
        <v>74</v>
      </c>
      <c r="AZ285" s="1" t="s">
        <v>74</v>
      </c>
      <c r="BA285" s="1" t="s">
        <v>74</v>
      </c>
      <c r="BB285" s="1" t="s">
        <v>74</v>
      </c>
      <c r="BC285" s="1" t="s">
        <v>74</v>
      </c>
      <c r="BD285" s="1">
        <v>101125.0</v>
      </c>
      <c r="BE285" s="1" t="s">
        <v>2897</v>
      </c>
      <c r="BF285" s="2" t="str">
        <f>HYPERLINK("http://dx.doi.org/10.1016/j.coelec.2022.101125","http://dx.doi.org/10.1016/j.coelec.2022.101125")</f>
        <v>http://dx.doi.org/10.1016/j.coelec.2022.101125</v>
      </c>
      <c r="BG285" s="1" t="s">
        <v>74</v>
      </c>
      <c r="BH285" s="1" t="s">
        <v>2898</v>
      </c>
      <c r="BI285" s="1" t="s">
        <v>74</v>
      </c>
      <c r="BJ285" s="1" t="s">
        <v>74</v>
      </c>
      <c r="BK285" s="1" t="s">
        <v>74</v>
      </c>
      <c r="BL285" s="1" t="s">
        <v>74</v>
      </c>
      <c r="BM285" s="1" t="s">
        <v>74</v>
      </c>
      <c r="BN285" s="1" t="s">
        <v>74</v>
      </c>
      <c r="BO285" s="1" t="s">
        <v>74</v>
      </c>
      <c r="BP285" s="1" t="s">
        <v>74</v>
      </c>
      <c r="BQ285" s="1" t="s">
        <v>74</v>
      </c>
      <c r="BR285" s="1" t="s">
        <v>74</v>
      </c>
      <c r="BS285" s="1" t="s">
        <v>2899</v>
      </c>
      <c r="BT285" s="1" t="str">
        <f>HYPERLINK("https%3A%2F%2Fwww.webofscience.com%2Fwos%2Fwoscc%2Ffull-record%2FWOS:000881797500001","View Full Record in Web of Science")</f>
        <v>View Full Record in Web of Science</v>
      </c>
    </row>
    <row r="286" ht="12.75" customHeight="1">
      <c r="A286" s="1" t="s">
        <v>72</v>
      </c>
      <c r="B286" s="1" t="s">
        <v>2900</v>
      </c>
      <c r="C286" s="1" t="s">
        <v>74</v>
      </c>
      <c r="D286" s="1" t="s">
        <v>74</v>
      </c>
      <c r="E286" s="1" t="s">
        <v>74</v>
      </c>
      <c r="F286" s="1" t="s">
        <v>2901</v>
      </c>
      <c r="G286" s="1" t="s">
        <v>74</v>
      </c>
      <c r="H286" s="1" t="s">
        <v>74</v>
      </c>
      <c r="I286" s="1" t="s">
        <v>2902</v>
      </c>
      <c r="J286" s="1" t="s">
        <v>2903</v>
      </c>
      <c r="K286" s="1" t="s">
        <v>74</v>
      </c>
      <c r="L286" s="1" t="s">
        <v>74</v>
      </c>
      <c r="M286" s="1" t="s">
        <v>74</v>
      </c>
      <c r="N286" s="1" t="s">
        <v>74</v>
      </c>
      <c r="O286" s="1" t="s">
        <v>74</v>
      </c>
      <c r="P286" s="1" t="s">
        <v>74</v>
      </c>
      <c r="Q286" s="1" t="s">
        <v>74</v>
      </c>
      <c r="R286" s="1" t="s">
        <v>74</v>
      </c>
      <c r="S286" s="1" t="s">
        <v>74</v>
      </c>
      <c r="T286" s="1" t="s">
        <v>74</v>
      </c>
      <c r="U286" s="1" t="s">
        <v>74</v>
      </c>
      <c r="V286" s="1" t="s">
        <v>2904</v>
      </c>
      <c r="W286" s="1" t="s">
        <v>74</v>
      </c>
      <c r="X286" s="1" t="s">
        <v>74</v>
      </c>
      <c r="Y286" s="1" t="s">
        <v>74</v>
      </c>
      <c r="Z286" s="1" t="s">
        <v>74</v>
      </c>
      <c r="AA286" s="1" t="s">
        <v>2905</v>
      </c>
      <c r="AB286" s="1" t="s">
        <v>2906</v>
      </c>
      <c r="AC286" s="1" t="s">
        <v>74</v>
      </c>
      <c r="AD286" s="1" t="s">
        <v>74</v>
      </c>
      <c r="AE286" s="1" t="s">
        <v>74</v>
      </c>
      <c r="AF286" s="1" t="s">
        <v>74</v>
      </c>
      <c r="AG286" s="1" t="s">
        <v>74</v>
      </c>
      <c r="AH286" s="1" t="s">
        <v>74</v>
      </c>
      <c r="AI286" s="1" t="s">
        <v>74</v>
      </c>
      <c r="AJ286" s="1" t="s">
        <v>74</v>
      </c>
      <c r="AK286" s="1" t="s">
        <v>74</v>
      </c>
      <c r="AL286" s="1" t="s">
        <v>74</v>
      </c>
      <c r="AM286" s="1" t="s">
        <v>74</v>
      </c>
      <c r="AN286" s="1" t="s">
        <v>74</v>
      </c>
      <c r="AO286" s="1" t="s">
        <v>2907</v>
      </c>
      <c r="AP286" s="1" t="s">
        <v>74</v>
      </c>
      <c r="AQ286" s="1" t="s">
        <v>74</v>
      </c>
      <c r="AR286" s="1" t="s">
        <v>74</v>
      </c>
      <c r="AS286" s="1" t="s">
        <v>74</v>
      </c>
      <c r="AT286" s="1" t="s">
        <v>2908</v>
      </c>
      <c r="AU286" s="1">
        <v>2022.0</v>
      </c>
      <c r="AV286" s="1">
        <v>19.0</v>
      </c>
      <c r="AW286" s="1">
        <v>1.0</v>
      </c>
      <c r="AX286" s="1" t="s">
        <v>74</v>
      </c>
      <c r="AY286" s="1" t="s">
        <v>74</v>
      </c>
      <c r="AZ286" s="1" t="s">
        <v>74</v>
      </c>
      <c r="BA286" s="1" t="s">
        <v>74</v>
      </c>
      <c r="BB286" s="1" t="s">
        <v>74</v>
      </c>
      <c r="BC286" s="1" t="s">
        <v>74</v>
      </c>
      <c r="BD286" s="1">
        <v>46.0</v>
      </c>
      <c r="BE286" s="1" t="s">
        <v>2909</v>
      </c>
      <c r="BF286" s="2" t="str">
        <f>HYPERLINK("http://dx.doi.org/10.1186/s41239-022-00346-6","http://dx.doi.org/10.1186/s41239-022-00346-6")</f>
        <v>http://dx.doi.org/10.1186/s41239-022-00346-6</v>
      </c>
      <c r="BG286" s="1" t="s">
        <v>74</v>
      </c>
      <c r="BH286" s="1" t="s">
        <v>74</v>
      </c>
      <c r="BI286" s="1" t="s">
        <v>74</v>
      </c>
      <c r="BJ286" s="1" t="s">
        <v>74</v>
      </c>
      <c r="BK286" s="1" t="s">
        <v>74</v>
      </c>
      <c r="BL286" s="1" t="s">
        <v>74</v>
      </c>
      <c r="BM286" s="1" t="s">
        <v>74</v>
      </c>
      <c r="BN286" s="1" t="s">
        <v>74</v>
      </c>
      <c r="BO286" s="1" t="s">
        <v>74</v>
      </c>
      <c r="BP286" s="1" t="s">
        <v>74</v>
      </c>
      <c r="BQ286" s="1" t="s">
        <v>74</v>
      </c>
      <c r="BR286" s="1" t="s">
        <v>74</v>
      </c>
      <c r="BS286" s="1" t="s">
        <v>2910</v>
      </c>
      <c r="BT286" s="1" t="str">
        <f>HYPERLINK("https%3A%2F%2Fwww.webofscience.com%2Fwos%2Fwoscc%2Ffull-record%2FWOS:000841755800001","View Full Record in Web of Science")</f>
        <v>View Full Record in Web of Science</v>
      </c>
    </row>
    <row r="287" ht="12.75" customHeight="1">
      <c r="A287" s="1" t="s">
        <v>72</v>
      </c>
      <c r="B287" s="1" t="s">
        <v>2911</v>
      </c>
      <c r="C287" s="1" t="s">
        <v>74</v>
      </c>
      <c r="D287" s="1" t="s">
        <v>74</v>
      </c>
      <c r="E287" s="1" t="s">
        <v>74</v>
      </c>
      <c r="F287" s="1" t="s">
        <v>2912</v>
      </c>
      <c r="G287" s="1" t="s">
        <v>74</v>
      </c>
      <c r="H287" s="1" t="s">
        <v>74</v>
      </c>
      <c r="I287" s="1" t="s">
        <v>2913</v>
      </c>
      <c r="J287" s="1" t="s">
        <v>2914</v>
      </c>
      <c r="K287" s="1" t="s">
        <v>74</v>
      </c>
      <c r="L287" s="1" t="s">
        <v>74</v>
      </c>
      <c r="M287" s="1" t="s">
        <v>74</v>
      </c>
      <c r="N287" s="1" t="s">
        <v>74</v>
      </c>
      <c r="O287" s="1" t="s">
        <v>74</v>
      </c>
      <c r="P287" s="1" t="s">
        <v>74</v>
      </c>
      <c r="Q287" s="1" t="s">
        <v>74</v>
      </c>
      <c r="R287" s="1" t="s">
        <v>74</v>
      </c>
      <c r="S287" s="1" t="s">
        <v>74</v>
      </c>
      <c r="T287" s="1" t="s">
        <v>74</v>
      </c>
      <c r="U287" s="1" t="s">
        <v>74</v>
      </c>
      <c r="V287" s="1" t="s">
        <v>2915</v>
      </c>
      <c r="W287" s="1" t="s">
        <v>74</v>
      </c>
      <c r="X287" s="1" t="s">
        <v>74</v>
      </c>
      <c r="Y287" s="1" t="s">
        <v>74</v>
      </c>
      <c r="Z287" s="1" t="s">
        <v>74</v>
      </c>
      <c r="AA287" s="1" t="s">
        <v>2916</v>
      </c>
      <c r="AB287" s="1" t="s">
        <v>2917</v>
      </c>
      <c r="AC287" s="1" t="s">
        <v>74</v>
      </c>
      <c r="AD287" s="1" t="s">
        <v>74</v>
      </c>
      <c r="AE287" s="1" t="s">
        <v>74</v>
      </c>
      <c r="AF287" s="1" t="s">
        <v>74</v>
      </c>
      <c r="AG287" s="1" t="s">
        <v>74</v>
      </c>
      <c r="AH287" s="1" t="s">
        <v>74</v>
      </c>
      <c r="AI287" s="1" t="s">
        <v>74</v>
      </c>
      <c r="AJ287" s="1" t="s">
        <v>74</v>
      </c>
      <c r="AK287" s="1" t="s">
        <v>74</v>
      </c>
      <c r="AL287" s="1" t="s">
        <v>74</v>
      </c>
      <c r="AM287" s="1" t="s">
        <v>74</v>
      </c>
      <c r="AN287" s="1" t="s">
        <v>74</v>
      </c>
      <c r="AO287" s="1" t="s">
        <v>2918</v>
      </c>
      <c r="AP287" s="1" t="s">
        <v>74</v>
      </c>
      <c r="AQ287" s="1" t="s">
        <v>74</v>
      </c>
      <c r="AR287" s="1" t="s">
        <v>74</v>
      </c>
      <c r="AS287" s="1" t="s">
        <v>74</v>
      </c>
      <c r="AT287" s="1" t="s">
        <v>2919</v>
      </c>
      <c r="AU287" s="1">
        <v>2022.0</v>
      </c>
      <c r="AV287" s="1">
        <v>18.0</v>
      </c>
      <c r="AW287" s="1">
        <v>1.0</v>
      </c>
      <c r="AX287" s="1" t="s">
        <v>74</v>
      </c>
      <c r="AY287" s="1" t="s">
        <v>74</v>
      </c>
      <c r="AZ287" s="1" t="s">
        <v>74</v>
      </c>
      <c r="BA287" s="1" t="s">
        <v>74</v>
      </c>
      <c r="BB287" s="1" t="s">
        <v>74</v>
      </c>
      <c r="BC287" s="1" t="s">
        <v>74</v>
      </c>
      <c r="BD287" s="1" t="s">
        <v>74</v>
      </c>
      <c r="BE287" s="1" t="s">
        <v>2920</v>
      </c>
      <c r="BF287" s="2" t="str">
        <f>HYPERLINK("http://dx.doi.org/10.1103/PhysRevApplied.18.014078","http://dx.doi.org/10.1103/PhysRevApplied.18.014078")</f>
        <v>http://dx.doi.org/10.1103/PhysRevApplied.18.014078</v>
      </c>
      <c r="BG287" s="1" t="s">
        <v>74</v>
      </c>
      <c r="BH287" s="1" t="s">
        <v>74</v>
      </c>
      <c r="BI287" s="1" t="s">
        <v>74</v>
      </c>
      <c r="BJ287" s="1" t="s">
        <v>74</v>
      </c>
      <c r="BK287" s="1" t="s">
        <v>74</v>
      </c>
      <c r="BL287" s="1" t="s">
        <v>74</v>
      </c>
      <c r="BM287" s="1" t="s">
        <v>74</v>
      </c>
      <c r="BN287" s="1" t="s">
        <v>74</v>
      </c>
      <c r="BO287" s="1" t="s">
        <v>74</v>
      </c>
      <c r="BP287" s="1" t="s">
        <v>74</v>
      </c>
      <c r="BQ287" s="1" t="s">
        <v>74</v>
      </c>
      <c r="BR287" s="1" t="s">
        <v>74</v>
      </c>
      <c r="BS287" s="1" t="s">
        <v>2921</v>
      </c>
      <c r="BT287" s="1" t="str">
        <f>HYPERLINK("https%3A%2F%2Fwww.webofscience.com%2Fwos%2Fwoscc%2Ffull-record%2FWOS:000899592400005","View Full Record in Web of Science")</f>
        <v>View Full Record in Web of Science</v>
      </c>
    </row>
    <row r="288" ht="12.75" customHeight="1">
      <c r="A288" s="1" t="s">
        <v>72</v>
      </c>
      <c r="B288" s="1" t="s">
        <v>2922</v>
      </c>
      <c r="C288" s="1" t="s">
        <v>74</v>
      </c>
      <c r="D288" s="1" t="s">
        <v>74</v>
      </c>
      <c r="E288" s="1" t="s">
        <v>74</v>
      </c>
      <c r="F288" s="1" t="s">
        <v>2923</v>
      </c>
      <c r="G288" s="1" t="s">
        <v>74</v>
      </c>
      <c r="H288" s="1" t="s">
        <v>74</v>
      </c>
      <c r="I288" s="1" t="s">
        <v>2924</v>
      </c>
      <c r="J288" s="1" t="s">
        <v>2925</v>
      </c>
      <c r="K288" s="1" t="s">
        <v>74</v>
      </c>
      <c r="L288" s="1" t="s">
        <v>74</v>
      </c>
      <c r="M288" s="1" t="s">
        <v>74</v>
      </c>
      <c r="N288" s="1" t="s">
        <v>74</v>
      </c>
      <c r="O288" s="1" t="s">
        <v>74</v>
      </c>
      <c r="P288" s="1" t="s">
        <v>74</v>
      </c>
      <c r="Q288" s="1" t="s">
        <v>74</v>
      </c>
      <c r="R288" s="1" t="s">
        <v>74</v>
      </c>
      <c r="S288" s="1" t="s">
        <v>74</v>
      </c>
      <c r="T288" s="1" t="s">
        <v>74</v>
      </c>
      <c r="U288" s="1" t="s">
        <v>74</v>
      </c>
      <c r="V288" s="1" t="s">
        <v>2926</v>
      </c>
      <c r="W288" s="1" t="s">
        <v>74</v>
      </c>
      <c r="X288" s="1" t="s">
        <v>74</v>
      </c>
      <c r="Y288" s="1" t="s">
        <v>74</v>
      </c>
      <c r="Z288" s="1" t="s">
        <v>74</v>
      </c>
      <c r="AA288" s="1" t="s">
        <v>2927</v>
      </c>
      <c r="AB288" s="1" t="s">
        <v>1414</v>
      </c>
      <c r="AC288" s="1" t="s">
        <v>74</v>
      </c>
      <c r="AD288" s="1" t="s">
        <v>74</v>
      </c>
      <c r="AE288" s="1" t="s">
        <v>74</v>
      </c>
      <c r="AF288" s="1" t="s">
        <v>74</v>
      </c>
      <c r="AG288" s="1" t="s">
        <v>74</v>
      </c>
      <c r="AH288" s="1" t="s">
        <v>74</v>
      </c>
      <c r="AI288" s="1" t="s">
        <v>74</v>
      </c>
      <c r="AJ288" s="1" t="s">
        <v>74</v>
      </c>
      <c r="AK288" s="1" t="s">
        <v>74</v>
      </c>
      <c r="AL288" s="1" t="s">
        <v>74</v>
      </c>
      <c r="AM288" s="1" t="s">
        <v>74</v>
      </c>
      <c r="AN288" s="1" t="s">
        <v>74</v>
      </c>
      <c r="AO288" s="1" t="s">
        <v>74</v>
      </c>
      <c r="AP288" s="1" t="s">
        <v>2928</v>
      </c>
      <c r="AQ288" s="1" t="s">
        <v>74</v>
      </c>
      <c r="AR288" s="1" t="s">
        <v>74</v>
      </c>
      <c r="AS288" s="1" t="s">
        <v>74</v>
      </c>
      <c r="AT288" s="1" t="s">
        <v>2929</v>
      </c>
      <c r="AU288" s="1">
        <v>2022.0</v>
      </c>
      <c r="AV288" s="1">
        <v>13.0</v>
      </c>
      <c r="AW288" s="1" t="s">
        <v>74</v>
      </c>
      <c r="AX288" s="1" t="s">
        <v>74</v>
      </c>
      <c r="AY288" s="1" t="s">
        <v>74</v>
      </c>
      <c r="AZ288" s="1" t="s">
        <v>74</v>
      </c>
      <c r="BA288" s="1" t="s">
        <v>74</v>
      </c>
      <c r="BB288" s="1" t="s">
        <v>74</v>
      </c>
      <c r="BC288" s="1" t="s">
        <v>74</v>
      </c>
      <c r="BD288" s="1">
        <v>855077.0</v>
      </c>
      <c r="BE288" s="1" t="s">
        <v>2930</v>
      </c>
      <c r="BF288" s="2" t="str">
        <f>HYPERLINK("http://dx.doi.org/10.3389/fmicb.2022.855077","http://dx.doi.org/10.3389/fmicb.2022.855077")</f>
        <v>http://dx.doi.org/10.3389/fmicb.2022.855077</v>
      </c>
      <c r="BG288" s="1" t="s">
        <v>74</v>
      </c>
      <c r="BH288" s="1" t="s">
        <v>74</v>
      </c>
      <c r="BI288" s="1" t="s">
        <v>74</v>
      </c>
      <c r="BJ288" s="1" t="s">
        <v>74</v>
      </c>
      <c r="BK288" s="1" t="s">
        <v>74</v>
      </c>
      <c r="BL288" s="1" t="s">
        <v>74</v>
      </c>
      <c r="BM288" s="1" t="s">
        <v>74</v>
      </c>
      <c r="BN288" s="1">
        <v>3.5387087E7</v>
      </c>
      <c r="BO288" s="1" t="s">
        <v>74</v>
      </c>
      <c r="BP288" s="1" t="s">
        <v>74</v>
      </c>
      <c r="BQ288" s="1" t="s">
        <v>74</v>
      </c>
      <c r="BR288" s="1" t="s">
        <v>74</v>
      </c>
      <c r="BS288" s="1" t="s">
        <v>2931</v>
      </c>
      <c r="BT288" s="1" t="str">
        <f>HYPERLINK("https%3A%2F%2Fwww.webofscience.com%2Fwos%2Fwoscc%2Ffull-record%2FWOS:000782130600001","View Full Record in Web of Science")</f>
        <v>View Full Record in Web of Science</v>
      </c>
    </row>
    <row r="289" ht="12.75" customHeight="1">
      <c r="A289" s="1" t="s">
        <v>72</v>
      </c>
      <c r="B289" s="1" t="s">
        <v>2932</v>
      </c>
      <c r="C289" s="1" t="s">
        <v>74</v>
      </c>
      <c r="D289" s="1" t="s">
        <v>74</v>
      </c>
      <c r="E289" s="1" t="s">
        <v>74</v>
      </c>
      <c r="F289" s="1" t="s">
        <v>2933</v>
      </c>
      <c r="G289" s="1" t="s">
        <v>74</v>
      </c>
      <c r="H289" s="1" t="s">
        <v>74</v>
      </c>
      <c r="I289" s="1" t="s">
        <v>2934</v>
      </c>
      <c r="J289" s="1" t="s">
        <v>2935</v>
      </c>
      <c r="K289" s="1" t="s">
        <v>74</v>
      </c>
      <c r="L289" s="1" t="s">
        <v>74</v>
      </c>
      <c r="M289" s="1" t="s">
        <v>74</v>
      </c>
      <c r="N289" s="1" t="s">
        <v>74</v>
      </c>
      <c r="O289" s="1" t="s">
        <v>74</v>
      </c>
      <c r="P289" s="1" t="s">
        <v>74</v>
      </c>
      <c r="Q289" s="1" t="s">
        <v>74</v>
      </c>
      <c r="R289" s="1" t="s">
        <v>74</v>
      </c>
      <c r="S289" s="1" t="s">
        <v>74</v>
      </c>
      <c r="T289" s="1" t="s">
        <v>74</v>
      </c>
      <c r="U289" s="1" t="s">
        <v>74</v>
      </c>
      <c r="V289" s="1" t="s">
        <v>2936</v>
      </c>
      <c r="W289" s="1" t="s">
        <v>74</v>
      </c>
      <c r="X289" s="1" t="s">
        <v>74</v>
      </c>
      <c r="Y289" s="1" t="s">
        <v>74</v>
      </c>
      <c r="Z289" s="1" t="s">
        <v>74</v>
      </c>
      <c r="AA289" s="1" t="s">
        <v>74</v>
      </c>
      <c r="AB289" s="1" t="s">
        <v>2937</v>
      </c>
      <c r="AC289" s="1" t="s">
        <v>74</v>
      </c>
      <c r="AD289" s="1" t="s">
        <v>74</v>
      </c>
      <c r="AE289" s="1" t="s">
        <v>74</v>
      </c>
      <c r="AF289" s="1" t="s">
        <v>74</v>
      </c>
      <c r="AG289" s="1" t="s">
        <v>74</v>
      </c>
      <c r="AH289" s="1" t="s">
        <v>74</v>
      </c>
      <c r="AI289" s="1" t="s">
        <v>74</v>
      </c>
      <c r="AJ289" s="1" t="s">
        <v>74</v>
      </c>
      <c r="AK289" s="1" t="s">
        <v>74</v>
      </c>
      <c r="AL289" s="1" t="s">
        <v>74</v>
      </c>
      <c r="AM289" s="1" t="s">
        <v>74</v>
      </c>
      <c r="AN289" s="1" t="s">
        <v>74</v>
      </c>
      <c r="AO289" s="1" t="s">
        <v>2938</v>
      </c>
      <c r="AP289" s="1" t="s">
        <v>2939</v>
      </c>
      <c r="AQ289" s="1" t="s">
        <v>74</v>
      </c>
      <c r="AR289" s="1" t="s">
        <v>74</v>
      </c>
      <c r="AS289" s="1" t="s">
        <v>74</v>
      </c>
      <c r="AT289" s="1" t="s">
        <v>277</v>
      </c>
      <c r="AU289" s="1">
        <v>2022.0</v>
      </c>
      <c r="AV289" s="1">
        <v>69.0</v>
      </c>
      <c r="AW289" s="1">
        <v>1.0</v>
      </c>
      <c r="AX289" s="1" t="s">
        <v>74</v>
      </c>
      <c r="AY289" s="1" t="s">
        <v>74</v>
      </c>
      <c r="AZ289" s="1" t="s">
        <v>74</v>
      </c>
      <c r="BA289" s="1" t="s">
        <v>74</v>
      </c>
      <c r="BB289" s="1">
        <v>503.0</v>
      </c>
      <c r="BC289" s="1">
        <v>512.0</v>
      </c>
      <c r="BD289" s="1" t="s">
        <v>74</v>
      </c>
      <c r="BE289" s="1" t="s">
        <v>2940</v>
      </c>
      <c r="BF289" s="2" t="str">
        <f>HYPERLINK("http://dx.doi.org/10.1109/TBME.2021.3100288","http://dx.doi.org/10.1109/TBME.2021.3100288")</f>
        <v>http://dx.doi.org/10.1109/TBME.2021.3100288</v>
      </c>
      <c r="BG289" s="1" t="s">
        <v>74</v>
      </c>
      <c r="BH289" s="1" t="s">
        <v>74</v>
      </c>
      <c r="BI289" s="1" t="s">
        <v>74</v>
      </c>
      <c r="BJ289" s="1" t="s">
        <v>74</v>
      </c>
      <c r="BK289" s="1" t="s">
        <v>74</v>
      </c>
      <c r="BL289" s="1" t="s">
        <v>74</v>
      </c>
      <c r="BM289" s="1" t="s">
        <v>74</v>
      </c>
      <c r="BN289" s="1">
        <v>3.4314353E7</v>
      </c>
      <c r="BO289" s="1" t="s">
        <v>74</v>
      </c>
      <c r="BP289" s="1" t="s">
        <v>74</v>
      </c>
      <c r="BQ289" s="1" t="s">
        <v>74</v>
      </c>
      <c r="BR289" s="1" t="s">
        <v>74</v>
      </c>
      <c r="BS289" s="1" t="s">
        <v>2941</v>
      </c>
      <c r="BT289" s="1" t="str">
        <f>HYPERLINK("https%3A%2F%2Fwww.webofscience.com%2Fwos%2Fwoscc%2Ffull-record%2FWOS:000733943200054","View Full Record in Web of Science")</f>
        <v>View Full Record in Web of Science</v>
      </c>
    </row>
    <row r="290" ht="12.75" customHeight="1">
      <c r="A290" s="1" t="s">
        <v>72</v>
      </c>
      <c r="B290" s="1" t="s">
        <v>2942</v>
      </c>
      <c r="C290" s="1" t="s">
        <v>74</v>
      </c>
      <c r="D290" s="1" t="s">
        <v>74</v>
      </c>
      <c r="E290" s="1" t="s">
        <v>74</v>
      </c>
      <c r="F290" s="1" t="s">
        <v>2943</v>
      </c>
      <c r="G290" s="1" t="s">
        <v>74</v>
      </c>
      <c r="H290" s="1" t="s">
        <v>74</v>
      </c>
      <c r="I290" s="1" t="s">
        <v>2944</v>
      </c>
      <c r="J290" s="1" t="s">
        <v>2945</v>
      </c>
      <c r="K290" s="1" t="s">
        <v>74</v>
      </c>
      <c r="L290" s="1" t="s">
        <v>74</v>
      </c>
      <c r="M290" s="1" t="s">
        <v>74</v>
      </c>
      <c r="N290" s="1" t="s">
        <v>74</v>
      </c>
      <c r="O290" s="1" t="s">
        <v>74</v>
      </c>
      <c r="P290" s="1" t="s">
        <v>74</v>
      </c>
      <c r="Q290" s="1" t="s">
        <v>74</v>
      </c>
      <c r="R290" s="1" t="s">
        <v>74</v>
      </c>
      <c r="S290" s="1" t="s">
        <v>74</v>
      </c>
      <c r="T290" s="1" t="s">
        <v>74</v>
      </c>
      <c r="U290" s="1" t="s">
        <v>74</v>
      </c>
      <c r="V290" s="1" t="s">
        <v>2946</v>
      </c>
      <c r="W290" s="1" t="s">
        <v>74</v>
      </c>
      <c r="X290" s="1" t="s">
        <v>74</v>
      </c>
      <c r="Y290" s="1" t="s">
        <v>74</v>
      </c>
      <c r="Z290" s="1" t="s">
        <v>74</v>
      </c>
      <c r="AA290" s="1" t="s">
        <v>2947</v>
      </c>
      <c r="AB290" s="1" t="s">
        <v>2948</v>
      </c>
      <c r="AC290" s="1" t="s">
        <v>74</v>
      </c>
      <c r="AD290" s="1" t="s">
        <v>74</v>
      </c>
      <c r="AE290" s="1" t="s">
        <v>74</v>
      </c>
      <c r="AF290" s="1" t="s">
        <v>74</v>
      </c>
      <c r="AG290" s="1" t="s">
        <v>74</v>
      </c>
      <c r="AH290" s="1" t="s">
        <v>74</v>
      </c>
      <c r="AI290" s="1" t="s">
        <v>74</v>
      </c>
      <c r="AJ290" s="1" t="s">
        <v>74</v>
      </c>
      <c r="AK290" s="1" t="s">
        <v>74</v>
      </c>
      <c r="AL290" s="1" t="s">
        <v>74</v>
      </c>
      <c r="AM290" s="1" t="s">
        <v>74</v>
      </c>
      <c r="AN290" s="1" t="s">
        <v>74</v>
      </c>
      <c r="AO290" s="1" t="s">
        <v>2949</v>
      </c>
      <c r="AP290" s="1" t="s">
        <v>74</v>
      </c>
      <c r="AQ290" s="1" t="s">
        <v>74</v>
      </c>
      <c r="AR290" s="1" t="s">
        <v>74</v>
      </c>
      <c r="AS290" s="1" t="s">
        <v>74</v>
      </c>
      <c r="AT290" s="1" t="s">
        <v>74</v>
      </c>
      <c r="AU290" s="1">
        <v>2022.0</v>
      </c>
      <c r="AV290" s="1">
        <v>50.0</v>
      </c>
      <c r="AW290" s="1" t="s">
        <v>74</v>
      </c>
      <c r="AX290" s="1" t="s">
        <v>74</v>
      </c>
      <c r="AY290" s="1" t="s">
        <v>74</v>
      </c>
      <c r="AZ290" s="1" t="s">
        <v>74</v>
      </c>
      <c r="BA290" s="1" t="s">
        <v>74</v>
      </c>
      <c r="BB290" s="1" t="s">
        <v>74</v>
      </c>
      <c r="BC290" s="1" t="s">
        <v>74</v>
      </c>
      <c r="BD290" s="1" t="s">
        <v>74</v>
      </c>
      <c r="BE290" s="1" t="s">
        <v>2950</v>
      </c>
      <c r="BF290" s="2" t="str">
        <f>HYPERLINK("http://dx.doi.org/10.22352/MAGALLANIA202250005","http://dx.doi.org/10.22352/MAGALLANIA202250005")</f>
        <v>http://dx.doi.org/10.22352/MAGALLANIA202250005</v>
      </c>
      <c r="BG290" s="1" t="s">
        <v>74</v>
      </c>
      <c r="BH290" s="1" t="s">
        <v>74</v>
      </c>
      <c r="BI290" s="1" t="s">
        <v>74</v>
      </c>
      <c r="BJ290" s="1" t="s">
        <v>74</v>
      </c>
      <c r="BK290" s="1" t="s">
        <v>74</v>
      </c>
      <c r="BL290" s="1" t="s">
        <v>74</v>
      </c>
      <c r="BM290" s="1" t="s">
        <v>74</v>
      </c>
      <c r="BN290" s="1" t="s">
        <v>74</v>
      </c>
      <c r="BO290" s="1" t="s">
        <v>74</v>
      </c>
      <c r="BP290" s="1" t="s">
        <v>74</v>
      </c>
      <c r="BQ290" s="1" t="s">
        <v>74</v>
      </c>
      <c r="BR290" s="1" t="s">
        <v>74</v>
      </c>
      <c r="BS290" s="1" t="s">
        <v>2951</v>
      </c>
      <c r="BT290" s="1" t="str">
        <f>HYPERLINK("https%3A%2F%2Fwww.webofscience.com%2Fwos%2Fwoscc%2Ffull-record%2FWOS:000800390500004","View Full Record in Web of Science")</f>
        <v>View Full Record in Web of Science</v>
      </c>
    </row>
    <row r="291" ht="12.75" customHeight="1">
      <c r="A291" s="1" t="s">
        <v>72</v>
      </c>
      <c r="B291" s="1" t="s">
        <v>2952</v>
      </c>
      <c r="C291" s="1" t="s">
        <v>74</v>
      </c>
      <c r="D291" s="1" t="s">
        <v>74</v>
      </c>
      <c r="E291" s="1" t="s">
        <v>74</v>
      </c>
      <c r="F291" s="1" t="s">
        <v>2953</v>
      </c>
      <c r="G291" s="1" t="s">
        <v>74</v>
      </c>
      <c r="H291" s="1" t="s">
        <v>74</v>
      </c>
      <c r="I291" s="1" t="s">
        <v>2954</v>
      </c>
      <c r="J291" s="1" t="s">
        <v>2955</v>
      </c>
      <c r="K291" s="1" t="s">
        <v>74</v>
      </c>
      <c r="L291" s="1" t="s">
        <v>74</v>
      </c>
      <c r="M291" s="1" t="s">
        <v>74</v>
      </c>
      <c r="N291" s="1" t="s">
        <v>74</v>
      </c>
      <c r="O291" s="1" t="s">
        <v>74</v>
      </c>
      <c r="P291" s="1" t="s">
        <v>74</v>
      </c>
      <c r="Q291" s="1" t="s">
        <v>74</v>
      </c>
      <c r="R291" s="1" t="s">
        <v>74</v>
      </c>
      <c r="S291" s="1" t="s">
        <v>74</v>
      </c>
      <c r="T291" s="1" t="s">
        <v>74</v>
      </c>
      <c r="U291" s="1" t="s">
        <v>74</v>
      </c>
      <c r="V291" s="1" t="s">
        <v>2956</v>
      </c>
      <c r="W291" s="1" t="s">
        <v>74</v>
      </c>
      <c r="X291" s="1" t="s">
        <v>74</v>
      </c>
      <c r="Y291" s="1" t="s">
        <v>74</v>
      </c>
      <c r="Z291" s="1" t="s">
        <v>74</v>
      </c>
      <c r="AA291" s="1" t="s">
        <v>74</v>
      </c>
      <c r="AB291" s="1" t="s">
        <v>2957</v>
      </c>
      <c r="AC291" s="1" t="s">
        <v>74</v>
      </c>
      <c r="AD291" s="1" t="s">
        <v>74</v>
      </c>
      <c r="AE291" s="1" t="s">
        <v>74</v>
      </c>
      <c r="AF291" s="1" t="s">
        <v>74</v>
      </c>
      <c r="AG291" s="1" t="s">
        <v>74</v>
      </c>
      <c r="AH291" s="1" t="s">
        <v>74</v>
      </c>
      <c r="AI291" s="1" t="s">
        <v>74</v>
      </c>
      <c r="AJ291" s="1" t="s">
        <v>74</v>
      </c>
      <c r="AK291" s="1" t="s">
        <v>74</v>
      </c>
      <c r="AL291" s="1" t="s">
        <v>74</v>
      </c>
      <c r="AM291" s="1" t="s">
        <v>74</v>
      </c>
      <c r="AN291" s="1" t="s">
        <v>74</v>
      </c>
      <c r="AO291" s="1" t="s">
        <v>2958</v>
      </c>
      <c r="AP291" s="1" t="s">
        <v>2959</v>
      </c>
      <c r="AQ291" s="1" t="s">
        <v>74</v>
      </c>
      <c r="AR291" s="1" t="s">
        <v>74</v>
      </c>
      <c r="AS291" s="1" t="s">
        <v>74</v>
      </c>
      <c r="AT291" s="1" t="s">
        <v>621</v>
      </c>
      <c r="AU291" s="1">
        <v>2022.0</v>
      </c>
      <c r="AV291" s="1">
        <v>45.0</v>
      </c>
      <c r="AW291" s="1">
        <v>7.0</v>
      </c>
      <c r="AX291" s="1" t="s">
        <v>74</v>
      </c>
      <c r="AY291" s="1" t="s">
        <v>74</v>
      </c>
      <c r="AZ291" s="1" t="s">
        <v>74</v>
      </c>
      <c r="BA291" s="1" t="s">
        <v>74</v>
      </c>
      <c r="BB291" s="1" t="s">
        <v>74</v>
      </c>
      <c r="BC291" s="1" t="s">
        <v>74</v>
      </c>
      <c r="BD291" s="1" t="s">
        <v>2960</v>
      </c>
      <c r="BE291" s="1" t="s">
        <v>2961</v>
      </c>
      <c r="BF291" s="2" t="str">
        <f>HYPERLINK("http://dx.doi.org/10.1111/jfpe.13837","http://dx.doi.org/10.1111/jfpe.13837")</f>
        <v>http://dx.doi.org/10.1111/jfpe.13837</v>
      </c>
      <c r="BG291" s="1" t="s">
        <v>74</v>
      </c>
      <c r="BH291" s="1" t="s">
        <v>668</v>
      </c>
      <c r="BI291" s="1" t="s">
        <v>74</v>
      </c>
      <c r="BJ291" s="1" t="s">
        <v>74</v>
      </c>
      <c r="BK291" s="1" t="s">
        <v>74</v>
      </c>
      <c r="BL291" s="1" t="s">
        <v>74</v>
      </c>
      <c r="BM291" s="1" t="s">
        <v>74</v>
      </c>
      <c r="BN291" s="1" t="s">
        <v>74</v>
      </c>
      <c r="BO291" s="1" t="s">
        <v>74</v>
      </c>
      <c r="BP291" s="1" t="s">
        <v>74</v>
      </c>
      <c r="BQ291" s="1" t="s">
        <v>74</v>
      </c>
      <c r="BR291" s="1" t="s">
        <v>74</v>
      </c>
      <c r="BS291" s="1" t="s">
        <v>2962</v>
      </c>
      <c r="BT291" s="1" t="str">
        <f>HYPERLINK("https%3A%2F%2Fwww.webofscience.com%2Fwos%2Fwoscc%2Ffull-record%2FWOS:000686942300001","View Full Record in Web of Science")</f>
        <v>View Full Record in Web of Science</v>
      </c>
    </row>
    <row r="292" ht="12.75" customHeight="1">
      <c r="A292" s="1" t="s">
        <v>72</v>
      </c>
      <c r="B292" s="1" t="s">
        <v>2963</v>
      </c>
      <c r="C292" s="1" t="s">
        <v>74</v>
      </c>
      <c r="D292" s="1" t="s">
        <v>74</v>
      </c>
      <c r="E292" s="1" t="s">
        <v>74</v>
      </c>
      <c r="F292" s="1" t="s">
        <v>2964</v>
      </c>
      <c r="G292" s="1" t="s">
        <v>74</v>
      </c>
      <c r="H292" s="1" t="s">
        <v>74</v>
      </c>
      <c r="I292" s="1" t="s">
        <v>2965</v>
      </c>
      <c r="J292" s="1" t="s">
        <v>2435</v>
      </c>
      <c r="K292" s="1" t="s">
        <v>74</v>
      </c>
      <c r="L292" s="1" t="s">
        <v>74</v>
      </c>
      <c r="M292" s="1" t="s">
        <v>74</v>
      </c>
      <c r="N292" s="1" t="s">
        <v>74</v>
      </c>
      <c r="O292" s="1" t="s">
        <v>74</v>
      </c>
      <c r="P292" s="1" t="s">
        <v>74</v>
      </c>
      <c r="Q292" s="1" t="s">
        <v>74</v>
      </c>
      <c r="R292" s="1" t="s">
        <v>74</v>
      </c>
      <c r="S292" s="1" t="s">
        <v>74</v>
      </c>
      <c r="T292" s="1" t="s">
        <v>74</v>
      </c>
      <c r="U292" s="1" t="s">
        <v>74</v>
      </c>
      <c r="V292" s="1" t="s">
        <v>2966</v>
      </c>
      <c r="W292" s="1" t="s">
        <v>74</v>
      </c>
      <c r="X292" s="1" t="s">
        <v>74</v>
      </c>
      <c r="Y292" s="1" t="s">
        <v>74</v>
      </c>
      <c r="Z292" s="1" t="s">
        <v>74</v>
      </c>
      <c r="AA292" s="1" t="s">
        <v>2967</v>
      </c>
      <c r="AB292" s="1" t="s">
        <v>2968</v>
      </c>
      <c r="AC292" s="1" t="s">
        <v>74</v>
      </c>
      <c r="AD292" s="1" t="s">
        <v>74</v>
      </c>
      <c r="AE292" s="1" t="s">
        <v>74</v>
      </c>
      <c r="AF292" s="1" t="s">
        <v>74</v>
      </c>
      <c r="AG292" s="1" t="s">
        <v>74</v>
      </c>
      <c r="AH292" s="1" t="s">
        <v>74</v>
      </c>
      <c r="AI292" s="1" t="s">
        <v>74</v>
      </c>
      <c r="AJ292" s="1" t="s">
        <v>74</v>
      </c>
      <c r="AK292" s="1" t="s">
        <v>74</v>
      </c>
      <c r="AL292" s="1" t="s">
        <v>74</v>
      </c>
      <c r="AM292" s="1" t="s">
        <v>74</v>
      </c>
      <c r="AN292" s="1" t="s">
        <v>74</v>
      </c>
      <c r="AO292" s="1" t="s">
        <v>2439</v>
      </c>
      <c r="AP292" s="1" t="s">
        <v>2440</v>
      </c>
      <c r="AQ292" s="1" t="s">
        <v>74</v>
      </c>
      <c r="AR292" s="1" t="s">
        <v>74</v>
      </c>
      <c r="AS292" s="1" t="s">
        <v>74</v>
      </c>
      <c r="AT292" s="1" t="s">
        <v>415</v>
      </c>
      <c r="AU292" s="1">
        <v>2021.0</v>
      </c>
      <c r="AV292" s="1">
        <v>341.0</v>
      </c>
      <c r="AW292" s="1" t="s">
        <v>74</v>
      </c>
      <c r="AX292" s="1" t="s">
        <v>74</v>
      </c>
      <c r="AY292" s="1" t="s">
        <v>74</v>
      </c>
      <c r="AZ292" s="1" t="s">
        <v>74</v>
      </c>
      <c r="BA292" s="1" t="s">
        <v>74</v>
      </c>
      <c r="BB292" s="1" t="s">
        <v>74</v>
      </c>
      <c r="BC292" s="1" t="s">
        <v>74</v>
      </c>
      <c r="BD292" s="1">
        <v>125769.0</v>
      </c>
      <c r="BE292" s="1" t="s">
        <v>2969</v>
      </c>
      <c r="BF292" s="2" t="str">
        <f>HYPERLINK("http://dx.doi.org/10.1016/j.biortech.2021.125769","http://dx.doi.org/10.1016/j.biortech.2021.125769")</f>
        <v>http://dx.doi.org/10.1016/j.biortech.2021.125769</v>
      </c>
      <c r="BG292" s="1" t="s">
        <v>74</v>
      </c>
      <c r="BH292" s="1" t="s">
        <v>668</v>
      </c>
      <c r="BI292" s="1" t="s">
        <v>74</v>
      </c>
      <c r="BJ292" s="1" t="s">
        <v>74</v>
      </c>
      <c r="BK292" s="1" t="s">
        <v>74</v>
      </c>
      <c r="BL292" s="1" t="s">
        <v>74</v>
      </c>
      <c r="BM292" s="1" t="s">
        <v>74</v>
      </c>
      <c r="BN292" s="1">
        <v>3.441666E7</v>
      </c>
      <c r="BO292" s="1" t="s">
        <v>74</v>
      </c>
      <c r="BP292" s="1" t="s">
        <v>74</v>
      </c>
      <c r="BQ292" s="1" t="s">
        <v>74</v>
      </c>
      <c r="BR292" s="1" t="s">
        <v>74</v>
      </c>
      <c r="BS292" s="1" t="s">
        <v>2970</v>
      </c>
      <c r="BT292" s="1" t="str">
        <f>HYPERLINK("https%3A%2F%2Fwww.webofscience.com%2Fwos%2Fwoscc%2Ffull-record%2FWOS:000694798100010","View Full Record in Web of Science")</f>
        <v>View Full Record in Web of Science</v>
      </c>
    </row>
    <row r="293" ht="12.75" customHeight="1">
      <c r="A293" s="1" t="s">
        <v>72</v>
      </c>
      <c r="B293" s="1" t="s">
        <v>2971</v>
      </c>
      <c r="C293" s="1" t="s">
        <v>74</v>
      </c>
      <c r="D293" s="1" t="s">
        <v>74</v>
      </c>
      <c r="E293" s="1" t="s">
        <v>74</v>
      </c>
      <c r="F293" s="1" t="s">
        <v>2972</v>
      </c>
      <c r="G293" s="1" t="s">
        <v>74</v>
      </c>
      <c r="H293" s="1" t="s">
        <v>74</v>
      </c>
      <c r="I293" s="1" t="s">
        <v>2973</v>
      </c>
      <c r="J293" s="1" t="s">
        <v>553</v>
      </c>
      <c r="K293" s="1" t="s">
        <v>74</v>
      </c>
      <c r="L293" s="1" t="s">
        <v>74</v>
      </c>
      <c r="M293" s="1" t="s">
        <v>74</v>
      </c>
      <c r="N293" s="1" t="s">
        <v>74</v>
      </c>
      <c r="O293" s="1" t="s">
        <v>74</v>
      </c>
      <c r="P293" s="1" t="s">
        <v>74</v>
      </c>
      <c r="Q293" s="1" t="s">
        <v>74</v>
      </c>
      <c r="R293" s="1" t="s">
        <v>74</v>
      </c>
      <c r="S293" s="1" t="s">
        <v>74</v>
      </c>
      <c r="T293" s="1" t="s">
        <v>74</v>
      </c>
      <c r="U293" s="1" t="s">
        <v>74</v>
      </c>
      <c r="V293" s="1" t="s">
        <v>2974</v>
      </c>
      <c r="W293" s="1" t="s">
        <v>74</v>
      </c>
      <c r="X293" s="1" t="s">
        <v>74</v>
      </c>
      <c r="Y293" s="1" t="s">
        <v>74</v>
      </c>
      <c r="Z293" s="1" t="s">
        <v>74</v>
      </c>
      <c r="AA293" s="1" t="s">
        <v>2975</v>
      </c>
      <c r="AB293" s="1" t="s">
        <v>2976</v>
      </c>
      <c r="AC293" s="1" t="s">
        <v>74</v>
      </c>
      <c r="AD293" s="1" t="s">
        <v>74</v>
      </c>
      <c r="AE293" s="1" t="s">
        <v>74</v>
      </c>
      <c r="AF293" s="1" t="s">
        <v>74</v>
      </c>
      <c r="AG293" s="1" t="s">
        <v>74</v>
      </c>
      <c r="AH293" s="1" t="s">
        <v>74</v>
      </c>
      <c r="AI293" s="1" t="s">
        <v>74</v>
      </c>
      <c r="AJ293" s="1" t="s">
        <v>74</v>
      </c>
      <c r="AK293" s="1" t="s">
        <v>74</v>
      </c>
      <c r="AL293" s="1" t="s">
        <v>74</v>
      </c>
      <c r="AM293" s="1" t="s">
        <v>74</v>
      </c>
      <c r="AN293" s="1" t="s">
        <v>74</v>
      </c>
      <c r="AO293" s="1" t="s">
        <v>74</v>
      </c>
      <c r="AP293" s="1" t="s">
        <v>557</v>
      </c>
      <c r="AQ293" s="1" t="s">
        <v>74</v>
      </c>
      <c r="AR293" s="1" t="s">
        <v>74</v>
      </c>
      <c r="AS293" s="1" t="s">
        <v>74</v>
      </c>
      <c r="AT293" s="1" t="s">
        <v>621</v>
      </c>
      <c r="AU293" s="1">
        <v>2021.0</v>
      </c>
      <c r="AV293" s="1">
        <v>13.0</v>
      </c>
      <c r="AW293" s="1">
        <v>14.0</v>
      </c>
      <c r="AX293" s="1" t="s">
        <v>74</v>
      </c>
      <c r="AY293" s="1" t="s">
        <v>74</v>
      </c>
      <c r="AZ293" s="1" t="s">
        <v>74</v>
      </c>
      <c r="BA293" s="1" t="s">
        <v>74</v>
      </c>
      <c r="BB293" s="1" t="s">
        <v>74</v>
      </c>
      <c r="BC293" s="1" t="s">
        <v>74</v>
      </c>
      <c r="BD293" s="1">
        <v>2265.0</v>
      </c>
      <c r="BE293" s="1" t="s">
        <v>2977</v>
      </c>
      <c r="BF293" s="2" t="str">
        <f>HYPERLINK("http://dx.doi.org/10.3390/polym13142265","http://dx.doi.org/10.3390/polym13142265")</f>
        <v>http://dx.doi.org/10.3390/polym13142265</v>
      </c>
      <c r="BG293" s="1" t="s">
        <v>74</v>
      </c>
      <c r="BH293" s="1" t="s">
        <v>74</v>
      </c>
      <c r="BI293" s="1" t="s">
        <v>74</v>
      </c>
      <c r="BJ293" s="1" t="s">
        <v>74</v>
      </c>
      <c r="BK293" s="1" t="s">
        <v>74</v>
      </c>
      <c r="BL293" s="1" t="s">
        <v>74</v>
      </c>
      <c r="BM293" s="1" t="s">
        <v>74</v>
      </c>
      <c r="BN293" s="1">
        <v>3.4301023E7</v>
      </c>
      <c r="BO293" s="1" t="s">
        <v>74</v>
      </c>
      <c r="BP293" s="1" t="s">
        <v>74</v>
      </c>
      <c r="BQ293" s="1" t="s">
        <v>74</v>
      </c>
      <c r="BR293" s="1" t="s">
        <v>74</v>
      </c>
      <c r="BS293" s="1" t="s">
        <v>2978</v>
      </c>
      <c r="BT293" s="1" t="str">
        <f>HYPERLINK("https%3A%2F%2Fwww.webofscience.com%2Fwos%2Fwoscc%2Ffull-record%2FWOS:000677016600001","View Full Record in Web of Science")</f>
        <v>View Full Record in Web of Science</v>
      </c>
    </row>
    <row r="294" ht="12.75" customHeight="1">
      <c r="A294" s="1" t="s">
        <v>72</v>
      </c>
      <c r="B294" s="1" t="s">
        <v>2979</v>
      </c>
      <c r="C294" s="1" t="s">
        <v>74</v>
      </c>
      <c r="D294" s="1" t="s">
        <v>74</v>
      </c>
      <c r="E294" s="1" t="s">
        <v>74</v>
      </c>
      <c r="F294" s="1" t="s">
        <v>2980</v>
      </c>
      <c r="G294" s="1" t="s">
        <v>74</v>
      </c>
      <c r="H294" s="1" t="s">
        <v>74</v>
      </c>
      <c r="I294" s="1" t="s">
        <v>2981</v>
      </c>
      <c r="J294" s="1" t="s">
        <v>472</v>
      </c>
      <c r="K294" s="1" t="s">
        <v>74</v>
      </c>
      <c r="L294" s="1" t="s">
        <v>74</v>
      </c>
      <c r="M294" s="1" t="s">
        <v>74</v>
      </c>
      <c r="N294" s="1" t="s">
        <v>74</v>
      </c>
      <c r="O294" s="1" t="s">
        <v>74</v>
      </c>
      <c r="P294" s="1" t="s">
        <v>74</v>
      </c>
      <c r="Q294" s="1" t="s">
        <v>74</v>
      </c>
      <c r="R294" s="1" t="s">
        <v>74</v>
      </c>
      <c r="S294" s="1" t="s">
        <v>74</v>
      </c>
      <c r="T294" s="1" t="s">
        <v>74</v>
      </c>
      <c r="U294" s="1" t="s">
        <v>74</v>
      </c>
      <c r="V294" s="1" t="s">
        <v>2982</v>
      </c>
      <c r="W294" s="1" t="s">
        <v>74</v>
      </c>
      <c r="X294" s="1" t="s">
        <v>74</v>
      </c>
      <c r="Y294" s="1" t="s">
        <v>74</v>
      </c>
      <c r="Z294" s="1" t="s">
        <v>74</v>
      </c>
      <c r="AA294" s="1" t="s">
        <v>2983</v>
      </c>
      <c r="AB294" s="1" t="s">
        <v>2984</v>
      </c>
      <c r="AC294" s="1" t="s">
        <v>74</v>
      </c>
      <c r="AD294" s="1" t="s">
        <v>74</v>
      </c>
      <c r="AE294" s="1" t="s">
        <v>74</v>
      </c>
      <c r="AF294" s="1" t="s">
        <v>74</v>
      </c>
      <c r="AG294" s="1" t="s">
        <v>74</v>
      </c>
      <c r="AH294" s="1" t="s">
        <v>74</v>
      </c>
      <c r="AI294" s="1" t="s">
        <v>74</v>
      </c>
      <c r="AJ294" s="1" t="s">
        <v>74</v>
      </c>
      <c r="AK294" s="1" t="s">
        <v>74</v>
      </c>
      <c r="AL294" s="1" t="s">
        <v>74</v>
      </c>
      <c r="AM294" s="1" t="s">
        <v>74</v>
      </c>
      <c r="AN294" s="1" t="s">
        <v>74</v>
      </c>
      <c r="AO294" s="1" t="s">
        <v>476</v>
      </c>
      <c r="AP294" s="1" t="s">
        <v>477</v>
      </c>
      <c r="AQ294" s="1" t="s">
        <v>74</v>
      </c>
      <c r="AR294" s="1" t="s">
        <v>74</v>
      </c>
      <c r="AS294" s="1" t="s">
        <v>74</v>
      </c>
      <c r="AT294" s="1" t="s">
        <v>2105</v>
      </c>
      <c r="AU294" s="1">
        <v>2021.0</v>
      </c>
      <c r="AV294" s="1">
        <v>274.0</v>
      </c>
      <c r="AW294" s="1" t="s">
        <v>74</v>
      </c>
      <c r="AX294" s="1" t="s">
        <v>74</v>
      </c>
      <c r="AY294" s="1" t="s">
        <v>74</v>
      </c>
      <c r="AZ294" s="1" t="s">
        <v>74</v>
      </c>
      <c r="BA294" s="1" t="s">
        <v>74</v>
      </c>
      <c r="BB294" s="1" t="s">
        <v>74</v>
      </c>
      <c r="BC294" s="1" t="s">
        <v>74</v>
      </c>
      <c r="BD294" s="1">
        <v>119008.0</v>
      </c>
      <c r="BE294" s="1" t="s">
        <v>2985</v>
      </c>
      <c r="BF294" s="2" t="str">
        <f>HYPERLINK("http://dx.doi.org/10.1016/j.seppur.2021.119008","http://dx.doi.org/10.1016/j.seppur.2021.119008")</f>
        <v>http://dx.doi.org/10.1016/j.seppur.2021.119008</v>
      </c>
      <c r="BG294" s="1" t="s">
        <v>74</v>
      </c>
      <c r="BH294" s="1" t="s">
        <v>2986</v>
      </c>
      <c r="BI294" s="1" t="s">
        <v>74</v>
      </c>
      <c r="BJ294" s="1" t="s">
        <v>74</v>
      </c>
      <c r="BK294" s="1" t="s">
        <v>74</v>
      </c>
      <c r="BL294" s="1" t="s">
        <v>74</v>
      </c>
      <c r="BM294" s="1" t="s">
        <v>74</v>
      </c>
      <c r="BN294" s="1" t="s">
        <v>74</v>
      </c>
      <c r="BO294" s="1" t="s">
        <v>74</v>
      </c>
      <c r="BP294" s="1" t="s">
        <v>74</v>
      </c>
      <c r="BQ294" s="1" t="s">
        <v>74</v>
      </c>
      <c r="BR294" s="1" t="s">
        <v>74</v>
      </c>
      <c r="BS294" s="1" t="s">
        <v>2987</v>
      </c>
      <c r="BT294" s="1" t="str">
        <f>HYPERLINK("https%3A%2F%2Fwww.webofscience.com%2Fwos%2Fwoscc%2Ffull-record%2FWOS:000668912400001","View Full Record in Web of Science")</f>
        <v>View Full Record in Web of Science</v>
      </c>
    </row>
    <row r="295" ht="12.75" customHeight="1">
      <c r="A295" s="1" t="s">
        <v>72</v>
      </c>
      <c r="B295" s="1" t="s">
        <v>2988</v>
      </c>
      <c r="C295" s="1" t="s">
        <v>74</v>
      </c>
      <c r="D295" s="1" t="s">
        <v>74</v>
      </c>
      <c r="E295" s="1" t="s">
        <v>74</v>
      </c>
      <c r="F295" s="1" t="s">
        <v>2989</v>
      </c>
      <c r="G295" s="1" t="s">
        <v>74</v>
      </c>
      <c r="H295" s="1" t="s">
        <v>74</v>
      </c>
      <c r="I295" s="1" t="s">
        <v>2990</v>
      </c>
      <c r="J295" s="1" t="s">
        <v>1859</v>
      </c>
      <c r="K295" s="1" t="s">
        <v>74</v>
      </c>
      <c r="L295" s="1" t="s">
        <v>74</v>
      </c>
      <c r="M295" s="1" t="s">
        <v>74</v>
      </c>
      <c r="N295" s="1" t="s">
        <v>74</v>
      </c>
      <c r="O295" s="1" t="s">
        <v>74</v>
      </c>
      <c r="P295" s="1" t="s">
        <v>74</v>
      </c>
      <c r="Q295" s="1" t="s">
        <v>74</v>
      </c>
      <c r="R295" s="1" t="s">
        <v>74</v>
      </c>
      <c r="S295" s="1" t="s">
        <v>74</v>
      </c>
      <c r="T295" s="1" t="s">
        <v>74</v>
      </c>
      <c r="U295" s="1" t="s">
        <v>74</v>
      </c>
      <c r="V295" s="1" t="s">
        <v>2991</v>
      </c>
      <c r="W295" s="1" t="s">
        <v>74</v>
      </c>
      <c r="X295" s="1" t="s">
        <v>74</v>
      </c>
      <c r="Y295" s="1" t="s">
        <v>74</v>
      </c>
      <c r="Z295" s="1" t="s">
        <v>74</v>
      </c>
      <c r="AA295" s="1" t="s">
        <v>74</v>
      </c>
      <c r="AB295" s="1" t="s">
        <v>2992</v>
      </c>
      <c r="AC295" s="1" t="s">
        <v>74</v>
      </c>
      <c r="AD295" s="1" t="s">
        <v>74</v>
      </c>
      <c r="AE295" s="1" t="s">
        <v>74</v>
      </c>
      <c r="AF295" s="1" t="s">
        <v>74</v>
      </c>
      <c r="AG295" s="1" t="s">
        <v>74</v>
      </c>
      <c r="AH295" s="1" t="s">
        <v>74</v>
      </c>
      <c r="AI295" s="1" t="s">
        <v>74</v>
      </c>
      <c r="AJ295" s="1" t="s">
        <v>74</v>
      </c>
      <c r="AK295" s="1" t="s">
        <v>74</v>
      </c>
      <c r="AL295" s="1" t="s">
        <v>74</v>
      </c>
      <c r="AM295" s="1" t="s">
        <v>74</v>
      </c>
      <c r="AN295" s="1" t="s">
        <v>74</v>
      </c>
      <c r="AO295" s="1" t="s">
        <v>1862</v>
      </c>
      <c r="AP295" s="1" t="s">
        <v>2993</v>
      </c>
      <c r="AQ295" s="1" t="s">
        <v>74</v>
      </c>
      <c r="AR295" s="1" t="s">
        <v>74</v>
      </c>
      <c r="AS295" s="1" t="s">
        <v>74</v>
      </c>
      <c r="AT295" s="1" t="s">
        <v>841</v>
      </c>
      <c r="AU295" s="1">
        <v>2021.0</v>
      </c>
      <c r="AV295" s="1">
        <v>242.0</v>
      </c>
      <c r="AW295" s="1">
        <v>2.0</v>
      </c>
      <c r="AX295" s="1" t="s">
        <v>74</v>
      </c>
      <c r="AY295" s="1" t="s">
        <v>74</v>
      </c>
      <c r="AZ295" s="1" t="s">
        <v>74</v>
      </c>
      <c r="BA295" s="1" t="s">
        <v>74</v>
      </c>
      <c r="BB295" s="1">
        <v>707.0</v>
      </c>
      <c r="BC295" s="1">
        <v>767.0</v>
      </c>
      <c r="BD295" s="1" t="s">
        <v>74</v>
      </c>
      <c r="BE295" s="1" t="s">
        <v>2994</v>
      </c>
      <c r="BF295" s="2" t="str">
        <f>HYPERLINK("http://dx.doi.org/10.1007/s11856-021-2143-z","http://dx.doi.org/10.1007/s11856-021-2143-z")</f>
        <v>http://dx.doi.org/10.1007/s11856-021-2143-z</v>
      </c>
      <c r="BG295" s="1" t="s">
        <v>74</v>
      </c>
      <c r="BH295" s="1" t="s">
        <v>2986</v>
      </c>
      <c r="BI295" s="1" t="s">
        <v>74</v>
      </c>
      <c r="BJ295" s="1" t="s">
        <v>74</v>
      </c>
      <c r="BK295" s="1" t="s">
        <v>74</v>
      </c>
      <c r="BL295" s="1" t="s">
        <v>74</v>
      </c>
      <c r="BM295" s="1" t="s">
        <v>74</v>
      </c>
      <c r="BN295" s="1" t="s">
        <v>74</v>
      </c>
      <c r="BO295" s="1" t="s">
        <v>74</v>
      </c>
      <c r="BP295" s="1" t="s">
        <v>74</v>
      </c>
      <c r="BQ295" s="1" t="s">
        <v>74</v>
      </c>
      <c r="BR295" s="1" t="s">
        <v>74</v>
      </c>
      <c r="BS295" s="1" t="s">
        <v>2995</v>
      </c>
      <c r="BT295" s="1" t="str">
        <f>HYPERLINK("https%3A%2F%2Fwww.webofscience.com%2Fwos%2Fwoscc%2Ffull-record%2FWOS:000648210000005","View Full Record in Web of Science")</f>
        <v>View Full Record in Web of Science</v>
      </c>
    </row>
    <row r="296" ht="12.75" customHeight="1">
      <c r="A296" s="1" t="s">
        <v>72</v>
      </c>
      <c r="B296" s="1" t="s">
        <v>2996</v>
      </c>
      <c r="C296" s="1" t="s">
        <v>74</v>
      </c>
      <c r="D296" s="1" t="s">
        <v>74</v>
      </c>
      <c r="E296" s="1" t="s">
        <v>74</v>
      </c>
      <c r="F296" s="1" t="s">
        <v>2997</v>
      </c>
      <c r="G296" s="1" t="s">
        <v>74</v>
      </c>
      <c r="H296" s="1" t="s">
        <v>74</v>
      </c>
      <c r="I296" s="1" t="s">
        <v>2998</v>
      </c>
      <c r="J296" s="1" t="s">
        <v>2999</v>
      </c>
      <c r="K296" s="1" t="s">
        <v>74</v>
      </c>
      <c r="L296" s="1" t="s">
        <v>74</v>
      </c>
      <c r="M296" s="1" t="s">
        <v>74</v>
      </c>
      <c r="N296" s="1" t="s">
        <v>74</v>
      </c>
      <c r="O296" s="1" t="s">
        <v>74</v>
      </c>
      <c r="P296" s="1" t="s">
        <v>74</v>
      </c>
      <c r="Q296" s="1" t="s">
        <v>74</v>
      </c>
      <c r="R296" s="1" t="s">
        <v>74</v>
      </c>
      <c r="S296" s="1" t="s">
        <v>74</v>
      </c>
      <c r="T296" s="1" t="s">
        <v>74</v>
      </c>
      <c r="U296" s="1" t="s">
        <v>74</v>
      </c>
      <c r="V296" s="1" t="s">
        <v>3000</v>
      </c>
      <c r="W296" s="1" t="s">
        <v>74</v>
      </c>
      <c r="X296" s="1" t="s">
        <v>74</v>
      </c>
      <c r="Y296" s="1" t="s">
        <v>74</v>
      </c>
      <c r="Z296" s="1" t="s">
        <v>74</v>
      </c>
      <c r="AA296" s="1" t="s">
        <v>3001</v>
      </c>
      <c r="AB296" s="1" t="s">
        <v>3002</v>
      </c>
      <c r="AC296" s="1" t="s">
        <v>74</v>
      </c>
      <c r="AD296" s="1" t="s">
        <v>74</v>
      </c>
      <c r="AE296" s="1" t="s">
        <v>74</v>
      </c>
      <c r="AF296" s="1" t="s">
        <v>74</v>
      </c>
      <c r="AG296" s="1" t="s">
        <v>74</v>
      </c>
      <c r="AH296" s="1" t="s">
        <v>74</v>
      </c>
      <c r="AI296" s="1" t="s">
        <v>74</v>
      </c>
      <c r="AJ296" s="1" t="s">
        <v>74</v>
      </c>
      <c r="AK296" s="1" t="s">
        <v>74</v>
      </c>
      <c r="AL296" s="1" t="s">
        <v>74</v>
      </c>
      <c r="AM296" s="1" t="s">
        <v>74</v>
      </c>
      <c r="AN296" s="1" t="s">
        <v>74</v>
      </c>
      <c r="AO296" s="1" t="s">
        <v>3003</v>
      </c>
      <c r="AP296" s="1" t="s">
        <v>3004</v>
      </c>
      <c r="AQ296" s="1" t="s">
        <v>74</v>
      </c>
      <c r="AR296" s="1" t="s">
        <v>74</v>
      </c>
      <c r="AS296" s="1" t="s">
        <v>74</v>
      </c>
      <c r="AT296" s="1" t="s">
        <v>580</v>
      </c>
      <c r="AU296" s="1">
        <v>2021.0</v>
      </c>
      <c r="AV296" s="1">
        <v>291.0</v>
      </c>
      <c r="AW296" s="1" t="s">
        <v>74</v>
      </c>
      <c r="AX296" s="1" t="s">
        <v>74</v>
      </c>
      <c r="AY296" s="1" t="s">
        <v>74</v>
      </c>
      <c r="AZ296" s="1" t="s">
        <v>74</v>
      </c>
      <c r="BA296" s="1" t="s">
        <v>74</v>
      </c>
      <c r="BB296" s="1" t="s">
        <v>74</v>
      </c>
      <c r="BC296" s="1" t="s">
        <v>74</v>
      </c>
      <c r="BD296" s="1">
        <v>120117.0</v>
      </c>
      <c r="BE296" s="1" t="s">
        <v>3005</v>
      </c>
      <c r="BF296" s="2" t="str">
        <f>HYPERLINK("http://dx.doi.org/10.1016/j.fuel.2020.120117","http://dx.doi.org/10.1016/j.fuel.2020.120117")</f>
        <v>http://dx.doi.org/10.1016/j.fuel.2020.120117</v>
      </c>
      <c r="BG296" s="1" t="s">
        <v>74</v>
      </c>
      <c r="BH296" s="1" t="s">
        <v>3006</v>
      </c>
      <c r="BI296" s="1" t="s">
        <v>74</v>
      </c>
      <c r="BJ296" s="1" t="s">
        <v>74</v>
      </c>
      <c r="BK296" s="1" t="s">
        <v>74</v>
      </c>
      <c r="BL296" s="1" t="s">
        <v>74</v>
      </c>
      <c r="BM296" s="1" t="s">
        <v>74</v>
      </c>
      <c r="BN296" s="1" t="s">
        <v>74</v>
      </c>
      <c r="BO296" s="1" t="s">
        <v>74</v>
      </c>
      <c r="BP296" s="1" t="s">
        <v>74</v>
      </c>
      <c r="BQ296" s="1" t="s">
        <v>74</v>
      </c>
      <c r="BR296" s="1" t="s">
        <v>74</v>
      </c>
      <c r="BS296" s="1" t="s">
        <v>3007</v>
      </c>
      <c r="BT296" s="1" t="str">
        <f>HYPERLINK("https%3A%2F%2Fwww.webofscience.com%2Fwos%2Fwoscc%2Ffull-record%2FWOS:000651786400003","View Full Record in Web of Science")</f>
        <v>View Full Record in Web of Science</v>
      </c>
    </row>
    <row r="297" ht="12.75" customHeight="1">
      <c r="A297" s="1" t="s">
        <v>72</v>
      </c>
      <c r="B297" s="1" t="s">
        <v>3008</v>
      </c>
      <c r="C297" s="1" t="s">
        <v>74</v>
      </c>
      <c r="D297" s="1" t="s">
        <v>74</v>
      </c>
      <c r="E297" s="1" t="s">
        <v>74</v>
      </c>
      <c r="F297" s="1" t="s">
        <v>3009</v>
      </c>
      <c r="G297" s="1" t="s">
        <v>74</v>
      </c>
      <c r="H297" s="1" t="s">
        <v>74</v>
      </c>
      <c r="I297" s="1" t="s">
        <v>3010</v>
      </c>
      <c r="J297" s="1" t="s">
        <v>3011</v>
      </c>
      <c r="K297" s="1" t="s">
        <v>74</v>
      </c>
      <c r="L297" s="1" t="s">
        <v>74</v>
      </c>
      <c r="M297" s="1" t="s">
        <v>74</v>
      </c>
      <c r="N297" s="1" t="s">
        <v>74</v>
      </c>
      <c r="O297" s="1" t="s">
        <v>74</v>
      </c>
      <c r="P297" s="1" t="s">
        <v>74</v>
      </c>
      <c r="Q297" s="1" t="s">
        <v>74</v>
      </c>
      <c r="R297" s="1" t="s">
        <v>74</v>
      </c>
      <c r="S297" s="1" t="s">
        <v>74</v>
      </c>
      <c r="T297" s="1" t="s">
        <v>74</v>
      </c>
      <c r="U297" s="1" t="s">
        <v>74</v>
      </c>
      <c r="V297" s="1" t="s">
        <v>3012</v>
      </c>
      <c r="W297" s="1" t="s">
        <v>74</v>
      </c>
      <c r="X297" s="1" t="s">
        <v>74</v>
      </c>
      <c r="Y297" s="1" t="s">
        <v>74</v>
      </c>
      <c r="Z297" s="1" t="s">
        <v>74</v>
      </c>
      <c r="AA297" s="1" t="s">
        <v>3013</v>
      </c>
      <c r="AB297" s="1" t="s">
        <v>3014</v>
      </c>
      <c r="AC297" s="1" t="s">
        <v>74</v>
      </c>
      <c r="AD297" s="1" t="s">
        <v>74</v>
      </c>
      <c r="AE297" s="1" t="s">
        <v>74</v>
      </c>
      <c r="AF297" s="1" t="s">
        <v>74</v>
      </c>
      <c r="AG297" s="1" t="s">
        <v>74</v>
      </c>
      <c r="AH297" s="1" t="s">
        <v>74</v>
      </c>
      <c r="AI297" s="1" t="s">
        <v>74</v>
      </c>
      <c r="AJ297" s="1" t="s">
        <v>74</v>
      </c>
      <c r="AK297" s="1" t="s">
        <v>74</v>
      </c>
      <c r="AL297" s="1" t="s">
        <v>74</v>
      </c>
      <c r="AM297" s="1" t="s">
        <v>74</v>
      </c>
      <c r="AN297" s="1" t="s">
        <v>74</v>
      </c>
      <c r="AO297" s="1" t="s">
        <v>3015</v>
      </c>
      <c r="AP297" s="1" t="s">
        <v>3016</v>
      </c>
      <c r="AQ297" s="1" t="s">
        <v>74</v>
      </c>
      <c r="AR297" s="1" t="s">
        <v>74</v>
      </c>
      <c r="AS297" s="1" t="s">
        <v>74</v>
      </c>
      <c r="AT297" s="1" t="s">
        <v>379</v>
      </c>
      <c r="AU297" s="1">
        <v>2020.0</v>
      </c>
      <c r="AV297" s="1">
        <v>39.0</v>
      </c>
      <c r="AW297" s="1">
        <v>4.0</v>
      </c>
      <c r="AX297" s="1" t="s">
        <v>74</v>
      </c>
      <c r="AY297" s="1" t="s">
        <v>74</v>
      </c>
      <c r="AZ297" s="1" t="s">
        <v>1042</v>
      </c>
      <c r="BA297" s="1" t="s">
        <v>74</v>
      </c>
      <c r="BB297" s="1">
        <v>483.0</v>
      </c>
      <c r="BC297" s="1">
        <v>499.0</v>
      </c>
      <c r="BD297" s="1" t="s">
        <v>74</v>
      </c>
      <c r="BE297" s="1" t="s">
        <v>3017</v>
      </c>
      <c r="BF297" s="2" t="str">
        <f>HYPERLINK("http://dx.doi.org/10.1111/blar.12989","http://dx.doi.org/10.1111/blar.12989")</f>
        <v>http://dx.doi.org/10.1111/blar.12989</v>
      </c>
      <c r="BG297" s="1" t="s">
        <v>74</v>
      </c>
      <c r="BH297" s="1" t="s">
        <v>74</v>
      </c>
      <c r="BI297" s="1" t="s">
        <v>74</v>
      </c>
      <c r="BJ297" s="1" t="s">
        <v>74</v>
      </c>
      <c r="BK297" s="1" t="s">
        <v>74</v>
      </c>
      <c r="BL297" s="1" t="s">
        <v>74</v>
      </c>
      <c r="BM297" s="1" t="s">
        <v>74</v>
      </c>
      <c r="BN297" s="1" t="s">
        <v>74</v>
      </c>
      <c r="BO297" s="1" t="s">
        <v>74</v>
      </c>
      <c r="BP297" s="1" t="s">
        <v>74</v>
      </c>
      <c r="BQ297" s="1" t="s">
        <v>74</v>
      </c>
      <c r="BR297" s="1" t="s">
        <v>74</v>
      </c>
      <c r="BS297" s="1" t="s">
        <v>3018</v>
      </c>
      <c r="BT297" s="1" t="str">
        <f>HYPERLINK("https%3A%2F%2Fwww.webofscience.com%2Fwos%2Fwoscc%2Ffull-record%2FWOS:000570202900006","View Full Record in Web of Science")</f>
        <v>View Full Record in Web of Science</v>
      </c>
    </row>
    <row r="298" ht="12.75" customHeight="1">
      <c r="A298" s="1" t="s">
        <v>72</v>
      </c>
      <c r="B298" s="1" t="s">
        <v>3019</v>
      </c>
      <c r="C298" s="1" t="s">
        <v>74</v>
      </c>
      <c r="D298" s="1" t="s">
        <v>74</v>
      </c>
      <c r="E298" s="1" t="s">
        <v>74</v>
      </c>
      <c r="F298" s="1" t="s">
        <v>3020</v>
      </c>
      <c r="G298" s="1" t="s">
        <v>74</v>
      </c>
      <c r="H298" s="1" t="s">
        <v>74</v>
      </c>
      <c r="I298" s="1" t="s">
        <v>3021</v>
      </c>
      <c r="J298" s="1" t="s">
        <v>3022</v>
      </c>
      <c r="K298" s="1" t="s">
        <v>74</v>
      </c>
      <c r="L298" s="1" t="s">
        <v>74</v>
      </c>
      <c r="M298" s="1" t="s">
        <v>74</v>
      </c>
      <c r="N298" s="1" t="s">
        <v>74</v>
      </c>
      <c r="O298" s="1" t="s">
        <v>74</v>
      </c>
      <c r="P298" s="1" t="s">
        <v>74</v>
      </c>
      <c r="Q298" s="1" t="s">
        <v>74</v>
      </c>
      <c r="R298" s="1" t="s">
        <v>74</v>
      </c>
      <c r="S298" s="1" t="s">
        <v>74</v>
      </c>
      <c r="T298" s="1" t="s">
        <v>74</v>
      </c>
      <c r="U298" s="1" t="s">
        <v>74</v>
      </c>
      <c r="V298" s="1" t="s">
        <v>3023</v>
      </c>
      <c r="W298" s="1" t="s">
        <v>74</v>
      </c>
      <c r="X298" s="1" t="s">
        <v>74</v>
      </c>
      <c r="Y298" s="1" t="s">
        <v>74</v>
      </c>
      <c r="Z298" s="1" t="s">
        <v>74</v>
      </c>
      <c r="AA298" s="1" t="s">
        <v>3024</v>
      </c>
      <c r="AB298" s="1" t="s">
        <v>3025</v>
      </c>
      <c r="AC298" s="1" t="s">
        <v>74</v>
      </c>
      <c r="AD298" s="1" t="s">
        <v>74</v>
      </c>
      <c r="AE298" s="1" t="s">
        <v>74</v>
      </c>
      <c r="AF298" s="1" t="s">
        <v>74</v>
      </c>
      <c r="AG298" s="1" t="s">
        <v>74</v>
      </c>
      <c r="AH298" s="1" t="s">
        <v>74</v>
      </c>
      <c r="AI298" s="1" t="s">
        <v>74</v>
      </c>
      <c r="AJ298" s="1" t="s">
        <v>74</v>
      </c>
      <c r="AK298" s="1" t="s">
        <v>74</v>
      </c>
      <c r="AL298" s="1" t="s">
        <v>74</v>
      </c>
      <c r="AM298" s="1" t="s">
        <v>74</v>
      </c>
      <c r="AN298" s="1" t="s">
        <v>74</v>
      </c>
      <c r="AO298" s="1" t="s">
        <v>74</v>
      </c>
      <c r="AP298" s="1" t="s">
        <v>3026</v>
      </c>
      <c r="AQ298" s="1" t="s">
        <v>74</v>
      </c>
      <c r="AR298" s="1" t="s">
        <v>74</v>
      </c>
      <c r="AS298" s="1" t="s">
        <v>74</v>
      </c>
      <c r="AT298" s="1" t="s">
        <v>2652</v>
      </c>
      <c r="AU298" s="1">
        <v>2020.0</v>
      </c>
      <c r="AV298" s="1">
        <v>10.0</v>
      </c>
      <c r="AW298" s="1">
        <v>50.0</v>
      </c>
      <c r="AX298" s="1" t="s">
        <v>74</v>
      </c>
      <c r="AY298" s="1" t="s">
        <v>74</v>
      </c>
      <c r="AZ298" s="1" t="s">
        <v>74</v>
      </c>
      <c r="BA298" s="1" t="s">
        <v>74</v>
      </c>
      <c r="BB298" s="1">
        <v>29705.0</v>
      </c>
      <c r="BC298" s="1">
        <v>29711.0</v>
      </c>
      <c r="BD298" s="1" t="s">
        <v>74</v>
      </c>
      <c r="BE298" s="1" t="s">
        <v>3027</v>
      </c>
      <c r="BF298" s="2" t="str">
        <f>HYPERLINK("http://dx.doi.org/10.1039/d0ra05939k","http://dx.doi.org/10.1039/d0ra05939k")</f>
        <v>http://dx.doi.org/10.1039/d0ra05939k</v>
      </c>
      <c r="BG298" s="1" t="s">
        <v>74</v>
      </c>
      <c r="BH298" s="1" t="s">
        <v>74</v>
      </c>
      <c r="BI298" s="1" t="s">
        <v>74</v>
      </c>
      <c r="BJ298" s="1" t="s">
        <v>74</v>
      </c>
      <c r="BK298" s="1" t="s">
        <v>74</v>
      </c>
      <c r="BL298" s="1" t="s">
        <v>74</v>
      </c>
      <c r="BM298" s="1" t="s">
        <v>74</v>
      </c>
      <c r="BN298" s="1">
        <v>3.5518239E7</v>
      </c>
      <c r="BO298" s="1" t="s">
        <v>74</v>
      </c>
      <c r="BP298" s="1" t="s">
        <v>74</v>
      </c>
      <c r="BQ298" s="1" t="s">
        <v>74</v>
      </c>
      <c r="BR298" s="1" t="s">
        <v>74</v>
      </c>
      <c r="BS298" s="1" t="s">
        <v>3028</v>
      </c>
      <c r="BT298" s="1" t="str">
        <f>HYPERLINK("https%3A%2F%2Fwww.webofscience.com%2Fwos%2Fwoscc%2Ffull-record%2FWOS:000561946700011","View Full Record in Web of Science")</f>
        <v>View Full Record in Web of Science</v>
      </c>
    </row>
    <row r="299" ht="12.75" customHeight="1">
      <c r="A299" s="1" t="s">
        <v>72</v>
      </c>
      <c r="B299" s="1" t="s">
        <v>493</v>
      </c>
      <c r="C299" s="1" t="s">
        <v>74</v>
      </c>
      <c r="D299" s="1" t="s">
        <v>74</v>
      </c>
      <c r="E299" s="1" t="s">
        <v>74</v>
      </c>
      <c r="F299" s="1" t="s">
        <v>494</v>
      </c>
      <c r="G299" s="1" t="s">
        <v>74</v>
      </c>
      <c r="H299" s="1" t="s">
        <v>74</v>
      </c>
      <c r="I299" s="1" t="s">
        <v>3029</v>
      </c>
      <c r="J299" s="1" t="s">
        <v>3030</v>
      </c>
      <c r="K299" s="1" t="s">
        <v>74</v>
      </c>
      <c r="L299" s="1" t="s">
        <v>74</v>
      </c>
      <c r="M299" s="1" t="s">
        <v>74</v>
      </c>
      <c r="N299" s="1" t="s">
        <v>74</v>
      </c>
      <c r="O299" s="1" t="s">
        <v>74</v>
      </c>
      <c r="P299" s="1" t="s">
        <v>74</v>
      </c>
      <c r="Q299" s="1" t="s">
        <v>74</v>
      </c>
      <c r="R299" s="1" t="s">
        <v>74</v>
      </c>
      <c r="S299" s="1" t="s">
        <v>74</v>
      </c>
      <c r="T299" s="1" t="s">
        <v>74</v>
      </c>
      <c r="U299" s="1" t="s">
        <v>74</v>
      </c>
      <c r="V299" s="1" t="s">
        <v>3031</v>
      </c>
      <c r="W299" s="1" t="s">
        <v>74</v>
      </c>
      <c r="X299" s="1" t="s">
        <v>74</v>
      </c>
      <c r="Y299" s="1" t="s">
        <v>74</v>
      </c>
      <c r="Z299" s="1" t="s">
        <v>74</v>
      </c>
      <c r="AA299" s="1" t="s">
        <v>498</v>
      </c>
      <c r="AB299" s="1" t="s">
        <v>3032</v>
      </c>
      <c r="AC299" s="1" t="s">
        <v>74</v>
      </c>
      <c r="AD299" s="1" t="s">
        <v>74</v>
      </c>
      <c r="AE299" s="1" t="s">
        <v>74</v>
      </c>
      <c r="AF299" s="1" t="s">
        <v>74</v>
      </c>
      <c r="AG299" s="1" t="s">
        <v>74</v>
      </c>
      <c r="AH299" s="1" t="s">
        <v>74</v>
      </c>
      <c r="AI299" s="1" t="s">
        <v>74</v>
      </c>
      <c r="AJ299" s="1" t="s">
        <v>74</v>
      </c>
      <c r="AK299" s="1" t="s">
        <v>74</v>
      </c>
      <c r="AL299" s="1" t="s">
        <v>74</v>
      </c>
      <c r="AM299" s="1" t="s">
        <v>74</v>
      </c>
      <c r="AN299" s="1" t="s">
        <v>74</v>
      </c>
      <c r="AO299" s="1" t="s">
        <v>74</v>
      </c>
      <c r="AP299" s="1" t="s">
        <v>3033</v>
      </c>
      <c r="AQ299" s="1" t="s">
        <v>74</v>
      </c>
      <c r="AR299" s="1" t="s">
        <v>74</v>
      </c>
      <c r="AS299" s="1" t="s">
        <v>74</v>
      </c>
      <c r="AT299" s="1" t="s">
        <v>144</v>
      </c>
      <c r="AU299" s="1">
        <v>2020.0</v>
      </c>
      <c r="AV299" s="1">
        <v>8.0</v>
      </c>
      <c r="AW299" s="1">
        <v>3.0</v>
      </c>
      <c r="AX299" s="1" t="s">
        <v>74</v>
      </c>
      <c r="AY299" s="1" t="s">
        <v>74</v>
      </c>
      <c r="AZ299" s="1" t="s">
        <v>74</v>
      </c>
      <c r="BA299" s="1" t="s">
        <v>74</v>
      </c>
      <c r="BB299" s="1" t="s">
        <v>74</v>
      </c>
      <c r="BC299" s="1" t="s">
        <v>74</v>
      </c>
      <c r="BD299" s="1">
        <v>403.0</v>
      </c>
      <c r="BE299" s="1" t="s">
        <v>3034</v>
      </c>
      <c r="BF299" s="2" t="str">
        <f>HYPERLINK("http://dx.doi.org/10.3390/math8030403","http://dx.doi.org/10.3390/math8030403")</f>
        <v>http://dx.doi.org/10.3390/math8030403</v>
      </c>
      <c r="BG299" s="1" t="s">
        <v>74</v>
      </c>
      <c r="BH299" s="1" t="s">
        <v>74</v>
      </c>
      <c r="BI299" s="1" t="s">
        <v>74</v>
      </c>
      <c r="BJ299" s="1" t="s">
        <v>74</v>
      </c>
      <c r="BK299" s="1" t="s">
        <v>74</v>
      </c>
      <c r="BL299" s="1" t="s">
        <v>74</v>
      </c>
      <c r="BM299" s="1" t="s">
        <v>74</v>
      </c>
      <c r="BN299" s="1" t="s">
        <v>74</v>
      </c>
      <c r="BO299" s="1" t="s">
        <v>74</v>
      </c>
      <c r="BP299" s="1" t="s">
        <v>74</v>
      </c>
      <c r="BQ299" s="1" t="s">
        <v>74</v>
      </c>
      <c r="BR299" s="1" t="s">
        <v>74</v>
      </c>
      <c r="BS299" s="1" t="s">
        <v>3035</v>
      </c>
      <c r="BT299" s="1" t="str">
        <f>HYPERLINK("https%3A%2F%2Fwww.webofscience.com%2Fwos%2Fwoscc%2Ffull-record%2FWOS:000524085900102","View Full Record in Web of Science")</f>
        <v>View Full Record in Web of Science</v>
      </c>
    </row>
    <row r="300" ht="12.75" customHeight="1">
      <c r="A300" s="1" t="s">
        <v>72</v>
      </c>
      <c r="B300" s="1" t="s">
        <v>3036</v>
      </c>
      <c r="C300" s="1" t="s">
        <v>74</v>
      </c>
      <c r="D300" s="1" t="s">
        <v>74</v>
      </c>
      <c r="E300" s="1" t="s">
        <v>74</v>
      </c>
      <c r="F300" s="1" t="s">
        <v>3037</v>
      </c>
      <c r="G300" s="1" t="s">
        <v>74</v>
      </c>
      <c r="H300" s="1" t="s">
        <v>74</v>
      </c>
      <c r="I300" s="1" t="s">
        <v>3038</v>
      </c>
      <c r="J300" s="1" t="s">
        <v>3039</v>
      </c>
      <c r="K300" s="1" t="s">
        <v>74</v>
      </c>
      <c r="L300" s="1" t="s">
        <v>74</v>
      </c>
      <c r="M300" s="1" t="s">
        <v>74</v>
      </c>
      <c r="N300" s="1" t="s">
        <v>74</v>
      </c>
      <c r="O300" s="1" t="s">
        <v>74</v>
      </c>
      <c r="P300" s="1" t="s">
        <v>74</v>
      </c>
      <c r="Q300" s="1" t="s">
        <v>74</v>
      </c>
      <c r="R300" s="1" t="s">
        <v>74</v>
      </c>
      <c r="S300" s="1" t="s">
        <v>74</v>
      </c>
      <c r="T300" s="1" t="s">
        <v>74</v>
      </c>
      <c r="U300" s="1" t="s">
        <v>74</v>
      </c>
      <c r="V300" s="1" t="s">
        <v>3040</v>
      </c>
      <c r="W300" s="1" t="s">
        <v>74</v>
      </c>
      <c r="X300" s="1" t="s">
        <v>74</v>
      </c>
      <c r="Y300" s="1" t="s">
        <v>74</v>
      </c>
      <c r="Z300" s="1" t="s">
        <v>74</v>
      </c>
      <c r="AA300" s="1" t="s">
        <v>74</v>
      </c>
      <c r="AB300" s="1" t="s">
        <v>3041</v>
      </c>
      <c r="AC300" s="1" t="s">
        <v>74</v>
      </c>
      <c r="AD300" s="1" t="s">
        <v>74</v>
      </c>
      <c r="AE300" s="1" t="s">
        <v>74</v>
      </c>
      <c r="AF300" s="1" t="s">
        <v>74</v>
      </c>
      <c r="AG300" s="1" t="s">
        <v>74</v>
      </c>
      <c r="AH300" s="1" t="s">
        <v>74</v>
      </c>
      <c r="AI300" s="1" t="s">
        <v>74</v>
      </c>
      <c r="AJ300" s="1" t="s">
        <v>74</v>
      </c>
      <c r="AK300" s="1" t="s">
        <v>74</v>
      </c>
      <c r="AL300" s="1" t="s">
        <v>74</v>
      </c>
      <c r="AM300" s="1" t="s">
        <v>74</v>
      </c>
      <c r="AN300" s="1" t="s">
        <v>74</v>
      </c>
      <c r="AO300" s="1" t="s">
        <v>3042</v>
      </c>
      <c r="AP300" s="1" t="s">
        <v>3043</v>
      </c>
      <c r="AQ300" s="1" t="s">
        <v>74</v>
      </c>
      <c r="AR300" s="1" t="s">
        <v>74</v>
      </c>
      <c r="AS300" s="1" t="s">
        <v>74</v>
      </c>
      <c r="AT300" s="1" t="s">
        <v>74</v>
      </c>
      <c r="AU300" s="1">
        <v>2020.0</v>
      </c>
      <c r="AV300" s="1">
        <v>36.0</v>
      </c>
      <c r="AW300" s="1" t="s">
        <v>74</v>
      </c>
      <c r="AX300" s="1" t="s">
        <v>74</v>
      </c>
      <c r="AY300" s="1" t="s">
        <v>74</v>
      </c>
      <c r="AZ300" s="1" t="s">
        <v>74</v>
      </c>
      <c r="BA300" s="1" t="s">
        <v>74</v>
      </c>
      <c r="BB300" s="1" t="s">
        <v>74</v>
      </c>
      <c r="BC300" s="1" t="s">
        <v>74</v>
      </c>
      <c r="BD300" s="1" t="s">
        <v>3044</v>
      </c>
      <c r="BE300" s="1" t="s">
        <v>3045</v>
      </c>
      <c r="BF300" s="2" t="str">
        <f>HYPERLINK("http://dx.doi.org/10.1590/0104-4060.76140","http://dx.doi.org/10.1590/0104-4060.76140")</f>
        <v>http://dx.doi.org/10.1590/0104-4060.76140</v>
      </c>
      <c r="BG300" s="1" t="s">
        <v>74</v>
      </c>
      <c r="BH300" s="1" t="s">
        <v>74</v>
      </c>
      <c r="BI300" s="1" t="s">
        <v>74</v>
      </c>
      <c r="BJ300" s="1" t="s">
        <v>74</v>
      </c>
      <c r="BK300" s="1" t="s">
        <v>74</v>
      </c>
      <c r="BL300" s="1" t="s">
        <v>74</v>
      </c>
      <c r="BM300" s="1" t="s">
        <v>74</v>
      </c>
      <c r="BN300" s="1" t="s">
        <v>74</v>
      </c>
      <c r="BO300" s="1" t="s">
        <v>74</v>
      </c>
      <c r="BP300" s="1" t="s">
        <v>74</v>
      </c>
      <c r="BQ300" s="1" t="s">
        <v>74</v>
      </c>
      <c r="BR300" s="1" t="s">
        <v>74</v>
      </c>
      <c r="BS300" s="1" t="s">
        <v>3046</v>
      </c>
      <c r="BT300" s="1" t="str">
        <f>HYPERLINK("https%3A%2F%2Fwww.webofscience.com%2Fwos%2Fwoscc%2Ffull-record%2FWOS:000612105300053","View Full Record in Web of Science")</f>
        <v>View Full Record in Web of Science</v>
      </c>
    </row>
    <row r="301" ht="12.75" customHeight="1">
      <c r="A301" s="1" t="s">
        <v>86</v>
      </c>
      <c r="B301" s="1" t="s">
        <v>3047</v>
      </c>
      <c r="C301" s="1" t="s">
        <v>74</v>
      </c>
      <c r="D301" s="1" t="s">
        <v>74</v>
      </c>
      <c r="E301" s="1" t="s">
        <v>3048</v>
      </c>
      <c r="F301" s="1" t="s">
        <v>3049</v>
      </c>
      <c r="G301" s="1" t="s">
        <v>74</v>
      </c>
      <c r="H301" s="1" t="s">
        <v>74</v>
      </c>
      <c r="I301" s="1" t="s">
        <v>3050</v>
      </c>
      <c r="J301" s="1" t="s">
        <v>3051</v>
      </c>
      <c r="K301" s="1" t="s">
        <v>74</v>
      </c>
      <c r="L301" s="1" t="s">
        <v>74</v>
      </c>
      <c r="M301" s="1" t="s">
        <v>74</v>
      </c>
      <c r="N301" s="1" t="s">
        <v>74</v>
      </c>
      <c r="O301" s="1" t="s">
        <v>74</v>
      </c>
      <c r="P301" s="1" t="s">
        <v>74</v>
      </c>
      <c r="Q301" s="1" t="s">
        <v>74</v>
      </c>
      <c r="R301" s="1" t="s">
        <v>74</v>
      </c>
      <c r="S301" s="1" t="s">
        <v>74</v>
      </c>
      <c r="T301" s="1" t="s">
        <v>74</v>
      </c>
      <c r="U301" s="1" t="s">
        <v>74</v>
      </c>
      <c r="V301" s="1" t="s">
        <v>3052</v>
      </c>
      <c r="W301" s="1" t="s">
        <v>74</v>
      </c>
      <c r="X301" s="1" t="s">
        <v>74</v>
      </c>
      <c r="Y301" s="1" t="s">
        <v>74</v>
      </c>
      <c r="Z301" s="1" t="s">
        <v>74</v>
      </c>
      <c r="AA301" s="1" t="s">
        <v>74</v>
      </c>
      <c r="AB301" s="1" t="s">
        <v>74</v>
      </c>
      <c r="AC301" s="1" t="s">
        <v>74</v>
      </c>
      <c r="AD301" s="1" t="s">
        <v>74</v>
      </c>
      <c r="AE301" s="1" t="s">
        <v>74</v>
      </c>
      <c r="AF301" s="1" t="s">
        <v>74</v>
      </c>
      <c r="AG301" s="1" t="s">
        <v>74</v>
      </c>
      <c r="AH301" s="1" t="s">
        <v>74</v>
      </c>
      <c r="AI301" s="1" t="s">
        <v>74</v>
      </c>
      <c r="AJ301" s="1" t="s">
        <v>74</v>
      </c>
      <c r="AK301" s="1" t="s">
        <v>74</v>
      </c>
      <c r="AL301" s="1" t="s">
        <v>74</v>
      </c>
      <c r="AM301" s="1" t="s">
        <v>74</v>
      </c>
      <c r="AN301" s="1" t="s">
        <v>74</v>
      </c>
      <c r="AO301" s="1" t="s">
        <v>74</v>
      </c>
      <c r="AP301" s="1" t="s">
        <v>74</v>
      </c>
      <c r="AQ301" s="1" t="s">
        <v>3053</v>
      </c>
      <c r="AR301" s="1" t="s">
        <v>74</v>
      </c>
      <c r="AS301" s="1" t="s">
        <v>74</v>
      </c>
      <c r="AT301" s="1" t="s">
        <v>74</v>
      </c>
      <c r="AU301" s="1">
        <v>2020.0</v>
      </c>
      <c r="AV301" s="1" t="s">
        <v>74</v>
      </c>
      <c r="AW301" s="1" t="s">
        <v>74</v>
      </c>
      <c r="AX301" s="1" t="s">
        <v>74</v>
      </c>
      <c r="AY301" s="1" t="s">
        <v>74</v>
      </c>
      <c r="AZ301" s="1" t="s">
        <v>74</v>
      </c>
      <c r="BA301" s="1" t="s">
        <v>74</v>
      </c>
      <c r="BB301" s="1">
        <v>109.0</v>
      </c>
      <c r="BC301" s="1">
        <v>124.0</v>
      </c>
      <c r="BD301" s="1" t="s">
        <v>74</v>
      </c>
      <c r="BE301" s="1" t="s">
        <v>74</v>
      </c>
      <c r="BF301" s="1" t="s">
        <v>74</v>
      </c>
      <c r="BG301" s="1" t="s">
        <v>74</v>
      </c>
      <c r="BH301" s="1" t="s">
        <v>74</v>
      </c>
      <c r="BI301" s="1" t="s">
        <v>74</v>
      </c>
      <c r="BJ301" s="1" t="s">
        <v>74</v>
      </c>
      <c r="BK301" s="1" t="s">
        <v>74</v>
      </c>
      <c r="BL301" s="1" t="s">
        <v>74</v>
      </c>
      <c r="BM301" s="1" t="s">
        <v>74</v>
      </c>
      <c r="BN301" s="1" t="s">
        <v>74</v>
      </c>
      <c r="BO301" s="1" t="s">
        <v>74</v>
      </c>
      <c r="BP301" s="1" t="s">
        <v>74</v>
      </c>
      <c r="BQ301" s="1" t="s">
        <v>74</v>
      </c>
      <c r="BR301" s="1" t="s">
        <v>74</v>
      </c>
      <c r="BS301" s="1" t="s">
        <v>3054</v>
      </c>
      <c r="BT301" s="1" t="str">
        <f>HYPERLINK("https%3A%2F%2Fwww.webofscience.com%2Fwos%2Fwoscc%2Ffull-record%2FWOS:000608874800007","View Full Record in Web of Science")</f>
        <v>View Full Record in Web of Science</v>
      </c>
    </row>
    <row r="302" ht="12.75" customHeight="1">
      <c r="A302" s="1" t="s">
        <v>72</v>
      </c>
      <c r="B302" s="1" t="s">
        <v>3055</v>
      </c>
      <c r="C302" s="1" t="s">
        <v>74</v>
      </c>
      <c r="D302" s="1" t="s">
        <v>74</v>
      </c>
      <c r="E302" s="1" t="s">
        <v>74</v>
      </c>
      <c r="F302" s="1" t="s">
        <v>3056</v>
      </c>
      <c r="G302" s="1" t="s">
        <v>74</v>
      </c>
      <c r="H302" s="1" t="s">
        <v>74</v>
      </c>
      <c r="I302" s="1" t="s">
        <v>3057</v>
      </c>
      <c r="J302" s="1" t="s">
        <v>997</v>
      </c>
      <c r="K302" s="1" t="s">
        <v>74</v>
      </c>
      <c r="L302" s="1" t="s">
        <v>74</v>
      </c>
      <c r="M302" s="1" t="s">
        <v>74</v>
      </c>
      <c r="N302" s="1" t="s">
        <v>74</v>
      </c>
      <c r="O302" s="1" t="s">
        <v>74</v>
      </c>
      <c r="P302" s="1" t="s">
        <v>74</v>
      </c>
      <c r="Q302" s="1" t="s">
        <v>74</v>
      </c>
      <c r="R302" s="1" t="s">
        <v>74</v>
      </c>
      <c r="S302" s="1" t="s">
        <v>74</v>
      </c>
      <c r="T302" s="1" t="s">
        <v>74</v>
      </c>
      <c r="U302" s="1" t="s">
        <v>74</v>
      </c>
      <c r="V302" s="1" t="s">
        <v>3058</v>
      </c>
      <c r="W302" s="1" t="s">
        <v>74</v>
      </c>
      <c r="X302" s="1" t="s">
        <v>74</v>
      </c>
      <c r="Y302" s="1" t="s">
        <v>74</v>
      </c>
      <c r="Z302" s="1" t="s">
        <v>74</v>
      </c>
      <c r="AA302" s="1" t="s">
        <v>74</v>
      </c>
      <c r="AB302" s="1" t="s">
        <v>3059</v>
      </c>
      <c r="AC302" s="1" t="s">
        <v>74</v>
      </c>
      <c r="AD302" s="1" t="s">
        <v>74</v>
      </c>
      <c r="AE302" s="1" t="s">
        <v>74</v>
      </c>
      <c r="AF302" s="1" t="s">
        <v>74</v>
      </c>
      <c r="AG302" s="1" t="s">
        <v>74</v>
      </c>
      <c r="AH302" s="1" t="s">
        <v>74</v>
      </c>
      <c r="AI302" s="1" t="s">
        <v>74</v>
      </c>
      <c r="AJ302" s="1" t="s">
        <v>74</v>
      </c>
      <c r="AK302" s="1" t="s">
        <v>74</v>
      </c>
      <c r="AL302" s="1" t="s">
        <v>74</v>
      </c>
      <c r="AM302" s="1" t="s">
        <v>74</v>
      </c>
      <c r="AN302" s="1" t="s">
        <v>74</v>
      </c>
      <c r="AO302" s="1" t="s">
        <v>3060</v>
      </c>
      <c r="AP302" s="1" t="s">
        <v>3061</v>
      </c>
      <c r="AQ302" s="1" t="s">
        <v>74</v>
      </c>
      <c r="AR302" s="1" t="s">
        <v>74</v>
      </c>
      <c r="AS302" s="1" t="s">
        <v>74</v>
      </c>
      <c r="AT302" s="1" t="s">
        <v>3062</v>
      </c>
      <c r="AU302" s="1">
        <v>2019.0</v>
      </c>
      <c r="AV302" s="1">
        <v>100.0</v>
      </c>
      <c r="AW302" s="1">
        <v>8.0</v>
      </c>
      <c r="AX302" s="1" t="s">
        <v>74</v>
      </c>
      <c r="AY302" s="1" t="s">
        <v>74</v>
      </c>
      <c r="AZ302" s="1" t="s">
        <v>74</v>
      </c>
      <c r="BA302" s="1" t="s">
        <v>74</v>
      </c>
      <c r="BB302" s="1" t="s">
        <v>74</v>
      </c>
      <c r="BC302" s="1" t="s">
        <v>74</v>
      </c>
      <c r="BD302" s="1">
        <v>83524.0</v>
      </c>
      <c r="BE302" s="1" t="s">
        <v>3063</v>
      </c>
      <c r="BF302" s="2" t="str">
        <f>HYPERLINK("http://dx.doi.org/10.1103/PhysRevD.100.083524","http://dx.doi.org/10.1103/PhysRevD.100.083524")</f>
        <v>http://dx.doi.org/10.1103/PhysRevD.100.083524</v>
      </c>
      <c r="BG302" s="1" t="s">
        <v>74</v>
      </c>
      <c r="BH302" s="1" t="s">
        <v>74</v>
      </c>
      <c r="BI302" s="1" t="s">
        <v>74</v>
      </c>
      <c r="BJ302" s="1" t="s">
        <v>74</v>
      </c>
      <c r="BK302" s="1" t="s">
        <v>74</v>
      </c>
      <c r="BL302" s="1" t="s">
        <v>74</v>
      </c>
      <c r="BM302" s="1" t="s">
        <v>74</v>
      </c>
      <c r="BN302" s="1" t="s">
        <v>74</v>
      </c>
      <c r="BO302" s="1" t="s">
        <v>74</v>
      </c>
      <c r="BP302" s="1" t="s">
        <v>74</v>
      </c>
      <c r="BQ302" s="1" t="s">
        <v>74</v>
      </c>
      <c r="BR302" s="1" t="s">
        <v>74</v>
      </c>
      <c r="BS302" s="1" t="s">
        <v>3064</v>
      </c>
      <c r="BT302" s="1" t="str">
        <f>HYPERLINK("https%3A%2F%2Fwww.webofscience.com%2Fwos%2Fwoscc%2Ffull-record%2FWOS:000489827700009","View Full Record in Web of Science")</f>
        <v>View Full Record in Web of Science</v>
      </c>
    </row>
    <row r="303" ht="12.75" customHeight="1">
      <c r="A303" s="1" t="s">
        <v>72</v>
      </c>
      <c r="B303" s="1" t="s">
        <v>3065</v>
      </c>
      <c r="C303" s="1" t="s">
        <v>74</v>
      </c>
      <c r="D303" s="1" t="s">
        <v>74</v>
      </c>
      <c r="E303" s="1" t="s">
        <v>74</v>
      </c>
      <c r="F303" s="1" t="s">
        <v>3066</v>
      </c>
      <c r="G303" s="1" t="s">
        <v>74</v>
      </c>
      <c r="H303" s="1" t="s">
        <v>74</v>
      </c>
      <c r="I303" s="1" t="s">
        <v>3067</v>
      </c>
      <c r="J303" s="1" t="s">
        <v>3068</v>
      </c>
      <c r="K303" s="1" t="s">
        <v>74</v>
      </c>
      <c r="L303" s="1" t="s">
        <v>74</v>
      </c>
      <c r="M303" s="1" t="s">
        <v>74</v>
      </c>
      <c r="N303" s="1" t="s">
        <v>74</v>
      </c>
      <c r="O303" s="1" t="s">
        <v>3069</v>
      </c>
      <c r="P303" s="1" t="s">
        <v>3070</v>
      </c>
      <c r="Q303" s="1" t="s">
        <v>3071</v>
      </c>
      <c r="R303" s="1" t="s">
        <v>3072</v>
      </c>
      <c r="S303" s="1" t="s">
        <v>74</v>
      </c>
      <c r="T303" s="1" t="s">
        <v>74</v>
      </c>
      <c r="U303" s="1" t="s">
        <v>74</v>
      </c>
      <c r="V303" s="1" t="s">
        <v>74</v>
      </c>
      <c r="W303" s="1" t="s">
        <v>74</v>
      </c>
      <c r="X303" s="1" t="s">
        <v>74</v>
      </c>
      <c r="Y303" s="1" t="s">
        <v>74</v>
      </c>
      <c r="Z303" s="1" t="s">
        <v>74</v>
      </c>
      <c r="AA303" s="1" t="s">
        <v>3073</v>
      </c>
      <c r="AB303" s="1" t="s">
        <v>74</v>
      </c>
      <c r="AC303" s="1" t="s">
        <v>74</v>
      </c>
      <c r="AD303" s="1" t="s">
        <v>74</v>
      </c>
      <c r="AE303" s="1" t="s">
        <v>74</v>
      </c>
      <c r="AF303" s="1" t="s">
        <v>74</v>
      </c>
      <c r="AG303" s="1" t="s">
        <v>74</v>
      </c>
      <c r="AH303" s="1" t="s">
        <v>74</v>
      </c>
      <c r="AI303" s="1" t="s">
        <v>74</v>
      </c>
      <c r="AJ303" s="1" t="s">
        <v>74</v>
      </c>
      <c r="AK303" s="1" t="s">
        <v>74</v>
      </c>
      <c r="AL303" s="1" t="s">
        <v>74</v>
      </c>
      <c r="AM303" s="1" t="s">
        <v>74</v>
      </c>
      <c r="AN303" s="1" t="s">
        <v>74</v>
      </c>
      <c r="AO303" s="1" t="s">
        <v>3074</v>
      </c>
      <c r="AP303" s="1" t="s">
        <v>3075</v>
      </c>
      <c r="AQ303" s="1" t="s">
        <v>74</v>
      </c>
      <c r="AR303" s="1" t="s">
        <v>74</v>
      </c>
      <c r="AS303" s="1" t="s">
        <v>74</v>
      </c>
      <c r="AT303" s="1" t="s">
        <v>122</v>
      </c>
      <c r="AU303" s="1">
        <v>2019.0</v>
      </c>
      <c r="AV303" s="1">
        <v>83.0</v>
      </c>
      <c r="AW303" s="1" t="s">
        <v>74</v>
      </c>
      <c r="AX303" s="1" t="s">
        <v>74</v>
      </c>
      <c r="AY303" s="1" t="s">
        <v>74</v>
      </c>
      <c r="AZ303" s="1" t="s">
        <v>74</v>
      </c>
      <c r="BA303" s="1" t="s">
        <v>3076</v>
      </c>
      <c r="BB303" s="1" t="s">
        <v>3077</v>
      </c>
      <c r="BC303" s="1" t="s">
        <v>3077</v>
      </c>
      <c r="BD303" s="1" t="s">
        <v>74</v>
      </c>
      <c r="BE303" s="1" t="s">
        <v>3078</v>
      </c>
      <c r="BF303" s="2" t="str">
        <f>HYPERLINK("http://dx.doi.org/10.1016/j.placenta.2019.06.096","http://dx.doi.org/10.1016/j.placenta.2019.06.096")</f>
        <v>http://dx.doi.org/10.1016/j.placenta.2019.06.096</v>
      </c>
      <c r="BG303" s="1" t="s">
        <v>74</v>
      </c>
      <c r="BH303" s="1" t="s">
        <v>74</v>
      </c>
      <c r="BI303" s="1" t="s">
        <v>74</v>
      </c>
      <c r="BJ303" s="1" t="s">
        <v>74</v>
      </c>
      <c r="BK303" s="1" t="s">
        <v>74</v>
      </c>
      <c r="BL303" s="1" t="s">
        <v>74</v>
      </c>
      <c r="BM303" s="1" t="s">
        <v>74</v>
      </c>
      <c r="BN303" s="1" t="s">
        <v>74</v>
      </c>
      <c r="BO303" s="1" t="s">
        <v>74</v>
      </c>
      <c r="BP303" s="1" t="s">
        <v>74</v>
      </c>
      <c r="BQ303" s="1" t="s">
        <v>74</v>
      </c>
      <c r="BR303" s="1" t="s">
        <v>74</v>
      </c>
      <c r="BS303" s="1" t="s">
        <v>3079</v>
      </c>
      <c r="BT303" s="1" t="str">
        <f>HYPERLINK("https%3A%2F%2Fwww.webofscience.com%2Fwos%2Fwoscc%2Ffull-record%2FWOS:000483998500095","View Full Record in Web of Science")</f>
        <v>View Full Record in Web of Science</v>
      </c>
    </row>
    <row r="304" ht="12.75" customHeight="1">
      <c r="A304" s="1" t="s">
        <v>72</v>
      </c>
      <c r="B304" s="1" t="s">
        <v>3080</v>
      </c>
      <c r="C304" s="1" t="s">
        <v>74</v>
      </c>
      <c r="D304" s="1" t="s">
        <v>74</v>
      </c>
      <c r="E304" s="1" t="s">
        <v>74</v>
      </c>
      <c r="F304" s="1" t="s">
        <v>3081</v>
      </c>
      <c r="G304" s="1" t="s">
        <v>74</v>
      </c>
      <c r="H304" s="1" t="s">
        <v>74</v>
      </c>
      <c r="I304" s="1" t="s">
        <v>3082</v>
      </c>
      <c r="J304" s="1" t="s">
        <v>3083</v>
      </c>
      <c r="K304" s="1" t="s">
        <v>74</v>
      </c>
      <c r="L304" s="1" t="s">
        <v>74</v>
      </c>
      <c r="M304" s="1" t="s">
        <v>74</v>
      </c>
      <c r="N304" s="1" t="s">
        <v>74</v>
      </c>
      <c r="O304" s="1" t="s">
        <v>74</v>
      </c>
      <c r="P304" s="1" t="s">
        <v>74</v>
      </c>
      <c r="Q304" s="1" t="s">
        <v>74</v>
      </c>
      <c r="R304" s="1" t="s">
        <v>74</v>
      </c>
      <c r="S304" s="1" t="s">
        <v>74</v>
      </c>
      <c r="T304" s="1" t="s">
        <v>74</v>
      </c>
      <c r="U304" s="1" t="s">
        <v>74</v>
      </c>
      <c r="V304" s="1" t="s">
        <v>3084</v>
      </c>
      <c r="W304" s="1" t="s">
        <v>74</v>
      </c>
      <c r="X304" s="1" t="s">
        <v>74</v>
      </c>
      <c r="Y304" s="1" t="s">
        <v>74</v>
      </c>
      <c r="Z304" s="1" t="s">
        <v>74</v>
      </c>
      <c r="AA304" s="1" t="s">
        <v>3085</v>
      </c>
      <c r="AB304" s="1" t="s">
        <v>3086</v>
      </c>
      <c r="AC304" s="1" t="s">
        <v>74</v>
      </c>
      <c r="AD304" s="1" t="s">
        <v>74</v>
      </c>
      <c r="AE304" s="1" t="s">
        <v>74</v>
      </c>
      <c r="AF304" s="1" t="s">
        <v>74</v>
      </c>
      <c r="AG304" s="1" t="s">
        <v>74</v>
      </c>
      <c r="AH304" s="1" t="s">
        <v>74</v>
      </c>
      <c r="AI304" s="1" t="s">
        <v>74</v>
      </c>
      <c r="AJ304" s="1" t="s">
        <v>74</v>
      </c>
      <c r="AK304" s="1" t="s">
        <v>74</v>
      </c>
      <c r="AL304" s="1" t="s">
        <v>74</v>
      </c>
      <c r="AM304" s="1" t="s">
        <v>74</v>
      </c>
      <c r="AN304" s="1" t="s">
        <v>74</v>
      </c>
      <c r="AO304" s="1" t="s">
        <v>3087</v>
      </c>
      <c r="AP304" s="1" t="s">
        <v>3088</v>
      </c>
      <c r="AQ304" s="1" t="s">
        <v>74</v>
      </c>
      <c r="AR304" s="1" t="s">
        <v>74</v>
      </c>
      <c r="AS304" s="1" t="s">
        <v>74</v>
      </c>
      <c r="AT304" s="1" t="s">
        <v>3089</v>
      </c>
      <c r="AU304" s="1">
        <v>2019.0</v>
      </c>
      <c r="AV304" s="1">
        <v>52.0</v>
      </c>
      <c r="AW304" s="1" t="s">
        <v>74</v>
      </c>
      <c r="AX304" s="1" t="s">
        <v>74</v>
      </c>
      <c r="AY304" s="1" t="s">
        <v>74</v>
      </c>
      <c r="AZ304" s="1" t="s">
        <v>74</v>
      </c>
      <c r="BA304" s="1" t="s">
        <v>74</v>
      </c>
      <c r="BB304" s="1" t="s">
        <v>74</v>
      </c>
      <c r="BC304" s="1" t="s">
        <v>74</v>
      </c>
      <c r="BD304" s="1">
        <v>5.0</v>
      </c>
      <c r="BE304" s="1" t="s">
        <v>3090</v>
      </c>
      <c r="BF304" s="2" t="str">
        <f>HYPERLINK("http://dx.doi.org/10.1186/s40659-018-0210-7","http://dx.doi.org/10.1186/s40659-018-0210-7")</f>
        <v>http://dx.doi.org/10.1186/s40659-018-0210-7</v>
      </c>
      <c r="BG304" s="1" t="s">
        <v>74</v>
      </c>
      <c r="BH304" s="1" t="s">
        <v>74</v>
      </c>
      <c r="BI304" s="1" t="s">
        <v>74</v>
      </c>
      <c r="BJ304" s="1" t="s">
        <v>74</v>
      </c>
      <c r="BK304" s="1" t="s">
        <v>74</v>
      </c>
      <c r="BL304" s="1" t="s">
        <v>74</v>
      </c>
      <c r="BM304" s="1" t="s">
        <v>74</v>
      </c>
      <c r="BN304" s="1">
        <v>3.0717794E7</v>
      </c>
      <c r="BO304" s="1" t="s">
        <v>74</v>
      </c>
      <c r="BP304" s="1" t="s">
        <v>74</v>
      </c>
      <c r="BQ304" s="1" t="s">
        <v>74</v>
      </c>
      <c r="BR304" s="1" t="s">
        <v>74</v>
      </c>
      <c r="BS304" s="1" t="s">
        <v>3091</v>
      </c>
      <c r="BT304" s="1" t="str">
        <f>HYPERLINK("https%3A%2F%2Fwww.webofscience.com%2Fwos%2Fwoscc%2Ffull-record%2FWOS:000458233500002","View Full Record in Web of Science")</f>
        <v>View Full Record in Web of Science</v>
      </c>
    </row>
    <row r="305" ht="12.75" customHeight="1">
      <c r="A305" s="1" t="s">
        <v>147</v>
      </c>
      <c r="B305" s="1" t="s">
        <v>3092</v>
      </c>
      <c r="C305" s="1" t="s">
        <v>74</v>
      </c>
      <c r="D305" s="1" t="s">
        <v>74</v>
      </c>
      <c r="E305" s="1" t="s">
        <v>793</v>
      </c>
      <c r="F305" s="1" t="s">
        <v>3093</v>
      </c>
      <c r="G305" s="1" t="s">
        <v>74</v>
      </c>
      <c r="H305" s="1" t="s">
        <v>74</v>
      </c>
      <c r="I305" s="1" t="s">
        <v>3094</v>
      </c>
      <c r="J305" s="1" t="s">
        <v>3095</v>
      </c>
      <c r="K305" s="1" t="s">
        <v>74</v>
      </c>
      <c r="L305" s="1" t="s">
        <v>74</v>
      </c>
      <c r="M305" s="1" t="s">
        <v>74</v>
      </c>
      <c r="N305" s="1" t="s">
        <v>74</v>
      </c>
      <c r="O305" s="1" t="s">
        <v>3096</v>
      </c>
      <c r="P305" s="1" t="s">
        <v>3097</v>
      </c>
      <c r="Q305" s="1" t="s">
        <v>3098</v>
      </c>
      <c r="R305" s="1" t="s">
        <v>3099</v>
      </c>
      <c r="S305" s="1" t="s">
        <v>74</v>
      </c>
      <c r="T305" s="1" t="s">
        <v>74</v>
      </c>
      <c r="U305" s="1" t="s">
        <v>74</v>
      </c>
      <c r="V305" s="1" t="s">
        <v>3100</v>
      </c>
      <c r="W305" s="1" t="s">
        <v>74</v>
      </c>
      <c r="X305" s="1" t="s">
        <v>74</v>
      </c>
      <c r="Y305" s="1" t="s">
        <v>74</v>
      </c>
      <c r="Z305" s="1" t="s">
        <v>74</v>
      </c>
      <c r="AA305" s="1" t="s">
        <v>3101</v>
      </c>
      <c r="AB305" s="1" t="s">
        <v>3102</v>
      </c>
      <c r="AC305" s="1" t="s">
        <v>74</v>
      </c>
      <c r="AD305" s="1" t="s">
        <v>74</v>
      </c>
      <c r="AE305" s="1" t="s">
        <v>74</v>
      </c>
      <c r="AF305" s="1" t="s">
        <v>74</v>
      </c>
      <c r="AG305" s="1" t="s">
        <v>74</v>
      </c>
      <c r="AH305" s="1" t="s">
        <v>74</v>
      </c>
      <c r="AI305" s="1" t="s">
        <v>74</v>
      </c>
      <c r="AJ305" s="1" t="s">
        <v>74</v>
      </c>
      <c r="AK305" s="1" t="s">
        <v>74</v>
      </c>
      <c r="AL305" s="1" t="s">
        <v>74</v>
      </c>
      <c r="AM305" s="1" t="s">
        <v>74</v>
      </c>
      <c r="AN305" s="1" t="s">
        <v>74</v>
      </c>
      <c r="AO305" s="1" t="s">
        <v>74</v>
      </c>
      <c r="AP305" s="1" t="s">
        <v>74</v>
      </c>
      <c r="AQ305" s="1" t="s">
        <v>3103</v>
      </c>
      <c r="AR305" s="1" t="s">
        <v>74</v>
      </c>
      <c r="AS305" s="1" t="s">
        <v>74</v>
      </c>
      <c r="AT305" s="1" t="s">
        <v>74</v>
      </c>
      <c r="AU305" s="1">
        <v>2019.0</v>
      </c>
      <c r="AV305" s="1" t="s">
        <v>74</v>
      </c>
      <c r="AW305" s="1" t="s">
        <v>74</v>
      </c>
      <c r="AX305" s="1" t="s">
        <v>74</v>
      </c>
      <c r="AY305" s="1" t="s">
        <v>74</v>
      </c>
      <c r="AZ305" s="1" t="s">
        <v>74</v>
      </c>
      <c r="BA305" s="1" t="s">
        <v>74</v>
      </c>
      <c r="BB305" s="1" t="s">
        <v>74</v>
      </c>
      <c r="BC305" s="1" t="s">
        <v>74</v>
      </c>
      <c r="BD305" s="1" t="s">
        <v>74</v>
      </c>
      <c r="BE305" s="1" t="s">
        <v>3104</v>
      </c>
      <c r="BF305" s="2" t="str">
        <f>HYPERLINK("http://dx.doi.org/10.1109/chilecon47746.2019.8988085","http://dx.doi.org/10.1109/chilecon47746.2019.8988085")</f>
        <v>http://dx.doi.org/10.1109/chilecon47746.2019.8988085</v>
      </c>
      <c r="BG305" s="1" t="s">
        <v>74</v>
      </c>
      <c r="BH305" s="1" t="s">
        <v>74</v>
      </c>
      <c r="BI305" s="1" t="s">
        <v>74</v>
      </c>
      <c r="BJ305" s="1" t="s">
        <v>74</v>
      </c>
      <c r="BK305" s="1" t="s">
        <v>74</v>
      </c>
      <c r="BL305" s="1" t="s">
        <v>74</v>
      </c>
      <c r="BM305" s="1" t="s">
        <v>74</v>
      </c>
      <c r="BN305" s="1" t="s">
        <v>74</v>
      </c>
      <c r="BO305" s="1" t="s">
        <v>74</v>
      </c>
      <c r="BP305" s="1" t="s">
        <v>74</v>
      </c>
      <c r="BQ305" s="1" t="s">
        <v>74</v>
      </c>
      <c r="BR305" s="1" t="s">
        <v>74</v>
      </c>
      <c r="BS305" s="1" t="s">
        <v>3105</v>
      </c>
      <c r="BT305" s="1" t="str">
        <f>HYPERLINK("https%3A%2F%2Fwww.webofscience.com%2Fwos%2Fwoscc%2Ffull-record%2FWOS:000542919100188","View Full Record in Web of Science")</f>
        <v>View Full Record in Web of Science</v>
      </c>
    </row>
    <row r="306" ht="12.75" customHeight="1">
      <c r="A306" s="1" t="s">
        <v>147</v>
      </c>
      <c r="B306" s="1" t="s">
        <v>3106</v>
      </c>
      <c r="C306" s="1" t="s">
        <v>74</v>
      </c>
      <c r="D306" s="1" t="s">
        <v>74</v>
      </c>
      <c r="E306" s="1" t="s">
        <v>793</v>
      </c>
      <c r="F306" s="1" t="s">
        <v>3107</v>
      </c>
      <c r="G306" s="1" t="s">
        <v>74</v>
      </c>
      <c r="H306" s="1" t="s">
        <v>74</v>
      </c>
      <c r="I306" s="1" t="s">
        <v>3108</v>
      </c>
      <c r="J306" s="1" t="s">
        <v>3109</v>
      </c>
      <c r="K306" s="1" t="s">
        <v>3110</v>
      </c>
      <c r="L306" s="1" t="s">
        <v>74</v>
      </c>
      <c r="M306" s="1" t="s">
        <v>74</v>
      </c>
      <c r="N306" s="1" t="s">
        <v>74</v>
      </c>
      <c r="O306" s="1" t="s">
        <v>3111</v>
      </c>
      <c r="P306" s="1" t="s">
        <v>3112</v>
      </c>
      <c r="Q306" s="1" t="s">
        <v>1134</v>
      </c>
      <c r="R306" s="1" t="s">
        <v>3113</v>
      </c>
      <c r="S306" s="1" t="s">
        <v>1135</v>
      </c>
      <c r="T306" s="1" t="s">
        <v>74</v>
      </c>
      <c r="U306" s="1" t="s">
        <v>74</v>
      </c>
      <c r="V306" s="1" t="s">
        <v>3114</v>
      </c>
      <c r="W306" s="1" t="s">
        <v>74</v>
      </c>
      <c r="X306" s="1" t="s">
        <v>74</v>
      </c>
      <c r="Y306" s="1" t="s">
        <v>74</v>
      </c>
      <c r="Z306" s="1" t="s">
        <v>74</v>
      </c>
      <c r="AA306" s="1" t="s">
        <v>3115</v>
      </c>
      <c r="AB306" s="1" t="s">
        <v>3116</v>
      </c>
      <c r="AC306" s="1" t="s">
        <v>74</v>
      </c>
      <c r="AD306" s="1" t="s">
        <v>74</v>
      </c>
      <c r="AE306" s="1" t="s">
        <v>74</v>
      </c>
      <c r="AF306" s="1" t="s">
        <v>74</v>
      </c>
      <c r="AG306" s="1" t="s">
        <v>74</v>
      </c>
      <c r="AH306" s="1" t="s">
        <v>74</v>
      </c>
      <c r="AI306" s="1" t="s">
        <v>74</v>
      </c>
      <c r="AJ306" s="1" t="s">
        <v>74</v>
      </c>
      <c r="AK306" s="1" t="s">
        <v>74</v>
      </c>
      <c r="AL306" s="1" t="s">
        <v>74</v>
      </c>
      <c r="AM306" s="1" t="s">
        <v>74</v>
      </c>
      <c r="AN306" s="1" t="s">
        <v>74</v>
      </c>
      <c r="AO306" s="1" t="s">
        <v>3117</v>
      </c>
      <c r="AP306" s="1" t="s">
        <v>74</v>
      </c>
      <c r="AQ306" s="1" t="s">
        <v>3118</v>
      </c>
      <c r="AR306" s="1" t="s">
        <v>74</v>
      </c>
      <c r="AS306" s="1" t="s">
        <v>74</v>
      </c>
      <c r="AT306" s="1" t="s">
        <v>74</v>
      </c>
      <c r="AU306" s="1">
        <v>2019.0</v>
      </c>
      <c r="AV306" s="1" t="s">
        <v>74</v>
      </c>
      <c r="AW306" s="1" t="s">
        <v>74</v>
      </c>
      <c r="AX306" s="1" t="s">
        <v>74</v>
      </c>
      <c r="AY306" s="1" t="s">
        <v>74</v>
      </c>
      <c r="AZ306" s="1" t="s">
        <v>74</v>
      </c>
      <c r="BA306" s="1" t="s">
        <v>74</v>
      </c>
      <c r="BB306" s="1" t="s">
        <v>74</v>
      </c>
      <c r="BC306" s="1" t="s">
        <v>74</v>
      </c>
      <c r="BD306" s="1" t="s">
        <v>74</v>
      </c>
      <c r="BE306" s="1" t="s">
        <v>3119</v>
      </c>
      <c r="BF306" s="2" t="str">
        <f>HYPERLINK("http://dx.doi.org/10.1109/SCCC49216.2019.8966437","http://dx.doi.org/10.1109/SCCC49216.2019.8966437")</f>
        <v>http://dx.doi.org/10.1109/SCCC49216.2019.8966437</v>
      </c>
      <c r="BG306" s="1" t="s">
        <v>74</v>
      </c>
      <c r="BH306" s="1" t="s">
        <v>74</v>
      </c>
      <c r="BI306" s="1" t="s">
        <v>74</v>
      </c>
      <c r="BJ306" s="1" t="s">
        <v>74</v>
      </c>
      <c r="BK306" s="1" t="s">
        <v>74</v>
      </c>
      <c r="BL306" s="1" t="s">
        <v>74</v>
      </c>
      <c r="BM306" s="1" t="s">
        <v>74</v>
      </c>
      <c r="BN306" s="1" t="s">
        <v>74</v>
      </c>
      <c r="BO306" s="1" t="s">
        <v>74</v>
      </c>
      <c r="BP306" s="1" t="s">
        <v>74</v>
      </c>
      <c r="BQ306" s="1" t="s">
        <v>74</v>
      </c>
      <c r="BR306" s="1" t="s">
        <v>74</v>
      </c>
      <c r="BS306" s="1" t="s">
        <v>3120</v>
      </c>
      <c r="BT306" s="1" t="str">
        <f>HYPERLINK("https%3A%2F%2Fwww.webofscience.com%2Fwos%2Fwoscc%2Ffull-record%2FWOS:000540055800045","View Full Record in Web of Science")</f>
        <v>View Full Record in Web of Science</v>
      </c>
    </row>
    <row r="307" ht="12.75" customHeight="1">
      <c r="A307" s="1" t="s">
        <v>72</v>
      </c>
      <c r="B307" s="1" t="s">
        <v>3121</v>
      </c>
      <c r="C307" s="1" t="s">
        <v>74</v>
      </c>
      <c r="D307" s="1" t="s">
        <v>74</v>
      </c>
      <c r="E307" s="1" t="s">
        <v>74</v>
      </c>
      <c r="F307" s="1" t="s">
        <v>3122</v>
      </c>
      <c r="G307" s="1" t="s">
        <v>74</v>
      </c>
      <c r="H307" s="1" t="s">
        <v>74</v>
      </c>
      <c r="I307" s="1" t="s">
        <v>3123</v>
      </c>
      <c r="J307" s="1" t="s">
        <v>3124</v>
      </c>
      <c r="K307" s="1" t="s">
        <v>74</v>
      </c>
      <c r="L307" s="1" t="s">
        <v>74</v>
      </c>
      <c r="M307" s="1" t="s">
        <v>74</v>
      </c>
      <c r="N307" s="1" t="s">
        <v>74</v>
      </c>
      <c r="O307" s="1" t="s">
        <v>74</v>
      </c>
      <c r="P307" s="1" t="s">
        <v>74</v>
      </c>
      <c r="Q307" s="1" t="s">
        <v>74</v>
      </c>
      <c r="R307" s="1" t="s">
        <v>74</v>
      </c>
      <c r="S307" s="1" t="s">
        <v>74</v>
      </c>
      <c r="T307" s="1" t="s">
        <v>74</v>
      </c>
      <c r="U307" s="1" t="s">
        <v>74</v>
      </c>
      <c r="V307" s="1" t="s">
        <v>3125</v>
      </c>
      <c r="W307" s="1" t="s">
        <v>74</v>
      </c>
      <c r="X307" s="1" t="s">
        <v>74</v>
      </c>
      <c r="Y307" s="1" t="s">
        <v>74</v>
      </c>
      <c r="Z307" s="1" t="s">
        <v>74</v>
      </c>
      <c r="AA307" s="1" t="s">
        <v>3126</v>
      </c>
      <c r="AB307" s="1" t="s">
        <v>3127</v>
      </c>
      <c r="AC307" s="1" t="s">
        <v>74</v>
      </c>
      <c r="AD307" s="1" t="s">
        <v>74</v>
      </c>
      <c r="AE307" s="1" t="s">
        <v>74</v>
      </c>
      <c r="AF307" s="1" t="s">
        <v>74</v>
      </c>
      <c r="AG307" s="1" t="s">
        <v>74</v>
      </c>
      <c r="AH307" s="1" t="s">
        <v>74</v>
      </c>
      <c r="AI307" s="1" t="s">
        <v>74</v>
      </c>
      <c r="AJ307" s="1" t="s">
        <v>74</v>
      </c>
      <c r="AK307" s="1" t="s">
        <v>74</v>
      </c>
      <c r="AL307" s="1" t="s">
        <v>74</v>
      </c>
      <c r="AM307" s="1" t="s">
        <v>74</v>
      </c>
      <c r="AN307" s="1" t="s">
        <v>74</v>
      </c>
      <c r="AO307" s="1" t="s">
        <v>3128</v>
      </c>
      <c r="AP307" s="1" t="s">
        <v>3129</v>
      </c>
      <c r="AQ307" s="1" t="s">
        <v>74</v>
      </c>
      <c r="AR307" s="1" t="s">
        <v>74</v>
      </c>
      <c r="AS307" s="1" t="s">
        <v>74</v>
      </c>
      <c r="AT307" s="1" t="s">
        <v>277</v>
      </c>
      <c r="AU307" s="1">
        <v>2019.0</v>
      </c>
      <c r="AV307" s="1">
        <v>26.0</v>
      </c>
      <c r="AW307" s="1">
        <v>3.0</v>
      </c>
      <c r="AX307" s="1" t="s">
        <v>74</v>
      </c>
      <c r="AY307" s="1" t="s">
        <v>74</v>
      </c>
      <c r="AZ307" s="1" t="s">
        <v>74</v>
      </c>
      <c r="BA307" s="1" t="s">
        <v>74</v>
      </c>
      <c r="BB307" s="1">
        <v>2580.0</v>
      </c>
      <c r="BC307" s="1">
        <v>2591.0</v>
      </c>
      <c r="BD307" s="1" t="s">
        <v>74</v>
      </c>
      <c r="BE307" s="1" t="s">
        <v>3130</v>
      </c>
      <c r="BF307" s="2" t="str">
        <f>HYPERLINK("http://dx.doi.org/10.1007/s11356-018-3768-2","http://dx.doi.org/10.1007/s11356-018-3768-2")</f>
        <v>http://dx.doi.org/10.1007/s11356-018-3768-2</v>
      </c>
      <c r="BG307" s="1" t="s">
        <v>74</v>
      </c>
      <c r="BH307" s="1" t="s">
        <v>74</v>
      </c>
      <c r="BI307" s="1" t="s">
        <v>74</v>
      </c>
      <c r="BJ307" s="1" t="s">
        <v>74</v>
      </c>
      <c r="BK307" s="1" t="s">
        <v>74</v>
      </c>
      <c r="BL307" s="1" t="s">
        <v>74</v>
      </c>
      <c r="BM307" s="1" t="s">
        <v>74</v>
      </c>
      <c r="BN307" s="1">
        <v>3.0474812E7</v>
      </c>
      <c r="BO307" s="1" t="s">
        <v>74</v>
      </c>
      <c r="BP307" s="1" t="s">
        <v>74</v>
      </c>
      <c r="BQ307" s="1" t="s">
        <v>74</v>
      </c>
      <c r="BR307" s="1" t="s">
        <v>74</v>
      </c>
      <c r="BS307" s="1" t="s">
        <v>3131</v>
      </c>
      <c r="BT307" s="1" t="str">
        <f>HYPERLINK("https%3A%2F%2Fwww.webofscience.com%2Fwos%2Fwoscc%2Ffull-record%2FWOS:000456198400045","View Full Record in Web of Science")</f>
        <v>View Full Record in Web of Science</v>
      </c>
    </row>
    <row r="308" ht="12.75" customHeight="1">
      <c r="A308" s="1" t="s">
        <v>72</v>
      </c>
      <c r="B308" s="1" t="s">
        <v>3132</v>
      </c>
      <c r="C308" s="1" t="s">
        <v>74</v>
      </c>
      <c r="D308" s="1" t="s">
        <v>74</v>
      </c>
      <c r="E308" s="1" t="s">
        <v>74</v>
      </c>
      <c r="F308" s="1" t="s">
        <v>3133</v>
      </c>
      <c r="G308" s="1" t="s">
        <v>74</v>
      </c>
      <c r="H308" s="1" t="s">
        <v>74</v>
      </c>
      <c r="I308" s="1" t="s">
        <v>3134</v>
      </c>
      <c r="J308" s="1" t="s">
        <v>3135</v>
      </c>
      <c r="K308" s="1" t="s">
        <v>74</v>
      </c>
      <c r="L308" s="1" t="s">
        <v>74</v>
      </c>
      <c r="M308" s="1" t="s">
        <v>74</v>
      </c>
      <c r="N308" s="1" t="s">
        <v>74</v>
      </c>
      <c r="O308" s="1" t="s">
        <v>74</v>
      </c>
      <c r="P308" s="1" t="s">
        <v>74</v>
      </c>
      <c r="Q308" s="1" t="s">
        <v>74</v>
      </c>
      <c r="R308" s="1" t="s">
        <v>74</v>
      </c>
      <c r="S308" s="1" t="s">
        <v>74</v>
      </c>
      <c r="T308" s="1" t="s">
        <v>74</v>
      </c>
      <c r="U308" s="1" t="s">
        <v>74</v>
      </c>
      <c r="V308" s="1" t="s">
        <v>3136</v>
      </c>
      <c r="W308" s="1" t="s">
        <v>74</v>
      </c>
      <c r="X308" s="1" t="s">
        <v>74</v>
      </c>
      <c r="Y308" s="1" t="s">
        <v>74</v>
      </c>
      <c r="Z308" s="1" t="s">
        <v>74</v>
      </c>
      <c r="AA308" s="1" t="s">
        <v>3137</v>
      </c>
      <c r="AB308" s="1" t="s">
        <v>3138</v>
      </c>
      <c r="AC308" s="1" t="s">
        <v>74</v>
      </c>
      <c r="AD308" s="1" t="s">
        <v>74</v>
      </c>
      <c r="AE308" s="1" t="s">
        <v>74</v>
      </c>
      <c r="AF308" s="1" t="s">
        <v>74</v>
      </c>
      <c r="AG308" s="1" t="s">
        <v>74</v>
      </c>
      <c r="AH308" s="1" t="s">
        <v>74</v>
      </c>
      <c r="AI308" s="1" t="s">
        <v>74</v>
      </c>
      <c r="AJ308" s="1" t="s">
        <v>74</v>
      </c>
      <c r="AK308" s="1" t="s">
        <v>74</v>
      </c>
      <c r="AL308" s="1" t="s">
        <v>74</v>
      </c>
      <c r="AM308" s="1" t="s">
        <v>74</v>
      </c>
      <c r="AN308" s="1" t="s">
        <v>74</v>
      </c>
      <c r="AO308" s="1" t="s">
        <v>3139</v>
      </c>
      <c r="AP308" s="1" t="s">
        <v>3140</v>
      </c>
      <c r="AQ308" s="1" t="s">
        <v>74</v>
      </c>
      <c r="AR308" s="1" t="s">
        <v>74</v>
      </c>
      <c r="AS308" s="1" t="s">
        <v>74</v>
      </c>
      <c r="AT308" s="1" t="s">
        <v>112</v>
      </c>
      <c r="AU308" s="1">
        <v>2018.0</v>
      </c>
      <c r="AV308" s="1">
        <v>118.0</v>
      </c>
      <c r="AW308" s="1" t="s">
        <v>74</v>
      </c>
      <c r="AX308" s="1" t="s">
        <v>74</v>
      </c>
      <c r="AY308" s="1" t="s">
        <v>74</v>
      </c>
      <c r="AZ308" s="1" t="s">
        <v>74</v>
      </c>
      <c r="BA308" s="1" t="s">
        <v>74</v>
      </c>
      <c r="BB308" s="1">
        <v>102.0</v>
      </c>
      <c r="BC308" s="1">
        <v>108.0</v>
      </c>
      <c r="BD308" s="1" t="s">
        <v>74</v>
      </c>
      <c r="BE308" s="1" t="s">
        <v>3141</v>
      </c>
      <c r="BF308" s="2" t="str">
        <f>HYPERLINK("http://dx.doi.org/10.1016/j.enzmictec.2018.08.003","http://dx.doi.org/10.1016/j.enzmictec.2018.08.003")</f>
        <v>http://dx.doi.org/10.1016/j.enzmictec.2018.08.003</v>
      </c>
      <c r="BG308" s="1" t="s">
        <v>74</v>
      </c>
      <c r="BH308" s="1" t="s">
        <v>74</v>
      </c>
      <c r="BI308" s="1" t="s">
        <v>74</v>
      </c>
      <c r="BJ308" s="1" t="s">
        <v>74</v>
      </c>
      <c r="BK308" s="1" t="s">
        <v>74</v>
      </c>
      <c r="BL308" s="1" t="s">
        <v>74</v>
      </c>
      <c r="BM308" s="1" t="s">
        <v>74</v>
      </c>
      <c r="BN308" s="1">
        <v>3.0143193E7</v>
      </c>
      <c r="BO308" s="1" t="s">
        <v>74</v>
      </c>
      <c r="BP308" s="1" t="s">
        <v>74</v>
      </c>
      <c r="BQ308" s="1" t="s">
        <v>74</v>
      </c>
      <c r="BR308" s="1" t="s">
        <v>74</v>
      </c>
      <c r="BS308" s="1" t="s">
        <v>3142</v>
      </c>
      <c r="BT308" s="1" t="str">
        <f>HYPERLINK("https%3A%2F%2Fwww.webofscience.com%2Fwos%2Fwoscc%2Ffull-record%2FWOS:000444929600014","View Full Record in Web of Science")</f>
        <v>View Full Record in Web of Science</v>
      </c>
    </row>
    <row r="309" ht="12.75" customHeight="1">
      <c r="A309" s="1" t="s">
        <v>72</v>
      </c>
      <c r="B309" s="1" t="s">
        <v>3143</v>
      </c>
      <c r="C309" s="1" t="s">
        <v>74</v>
      </c>
      <c r="D309" s="1" t="s">
        <v>74</v>
      </c>
      <c r="E309" s="1" t="s">
        <v>74</v>
      </c>
      <c r="F309" s="1" t="s">
        <v>3144</v>
      </c>
      <c r="G309" s="1" t="s">
        <v>74</v>
      </c>
      <c r="H309" s="1" t="s">
        <v>74</v>
      </c>
      <c r="I309" s="1" t="s">
        <v>3145</v>
      </c>
      <c r="J309" s="1" t="s">
        <v>3146</v>
      </c>
      <c r="K309" s="1" t="s">
        <v>74</v>
      </c>
      <c r="L309" s="1" t="s">
        <v>74</v>
      </c>
      <c r="M309" s="1" t="s">
        <v>74</v>
      </c>
      <c r="N309" s="1" t="s">
        <v>74</v>
      </c>
      <c r="O309" s="1" t="s">
        <v>74</v>
      </c>
      <c r="P309" s="1" t="s">
        <v>74</v>
      </c>
      <c r="Q309" s="1" t="s">
        <v>74</v>
      </c>
      <c r="R309" s="1" t="s">
        <v>74</v>
      </c>
      <c r="S309" s="1" t="s">
        <v>74</v>
      </c>
      <c r="T309" s="1" t="s">
        <v>74</v>
      </c>
      <c r="U309" s="1" t="s">
        <v>74</v>
      </c>
      <c r="V309" s="1" t="s">
        <v>3147</v>
      </c>
      <c r="W309" s="1" t="s">
        <v>74</v>
      </c>
      <c r="X309" s="1" t="s">
        <v>74</v>
      </c>
      <c r="Y309" s="1" t="s">
        <v>74</v>
      </c>
      <c r="Z309" s="1" t="s">
        <v>74</v>
      </c>
      <c r="AA309" s="1" t="s">
        <v>74</v>
      </c>
      <c r="AB309" s="1" t="s">
        <v>3148</v>
      </c>
      <c r="AC309" s="1" t="s">
        <v>74</v>
      </c>
      <c r="AD309" s="1" t="s">
        <v>74</v>
      </c>
      <c r="AE309" s="1" t="s">
        <v>74</v>
      </c>
      <c r="AF309" s="1" t="s">
        <v>74</v>
      </c>
      <c r="AG309" s="1" t="s">
        <v>74</v>
      </c>
      <c r="AH309" s="1" t="s">
        <v>74</v>
      </c>
      <c r="AI309" s="1" t="s">
        <v>74</v>
      </c>
      <c r="AJ309" s="1" t="s">
        <v>74</v>
      </c>
      <c r="AK309" s="1" t="s">
        <v>74</v>
      </c>
      <c r="AL309" s="1" t="s">
        <v>74</v>
      </c>
      <c r="AM309" s="1" t="s">
        <v>74</v>
      </c>
      <c r="AN309" s="1" t="s">
        <v>74</v>
      </c>
      <c r="AO309" s="1" t="s">
        <v>3149</v>
      </c>
      <c r="AP309" s="1" t="s">
        <v>3150</v>
      </c>
      <c r="AQ309" s="1" t="s">
        <v>74</v>
      </c>
      <c r="AR309" s="1" t="s">
        <v>74</v>
      </c>
      <c r="AS309" s="1" t="s">
        <v>74</v>
      </c>
      <c r="AT309" s="1" t="s">
        <v>363</v>
      </c>
      <c r="AU309" s="1">
        <v>2018.0</v>
      </c>
      <c r="AV309" s="1">
        <v>25.0</v>
      </c>
      <c r="AW309" s="1">
        <v>5.0</v>
      </c>
      <c r="AX309" s="1" t="s">
        <v>74</v>
      </c>
      <c r="AY309" s="1" t="s">
        <v>74</v>
      </c>
      <c r="AZ309" s="1" t="s">
        <v>74</v>
      </c>
      <c r="BA309" s="1" t="s">
        <v>74</v>
      </c>
      <c r="BB309" s="1" t="s">
        <v>74</v>
      </c>
      <c r="BC309" s="1" t="s">
        <v>74</v>
      </c>
      <c r="BD309" s="1">
        <v>41.0</v>
      </c>
      <c r="BE309" s="1" t="s">
        <v>3151</v>
      </c>
      <c r="BF309" s="2" t="str">
        <f>HYPERLINK("http://dx.doi.org/10.1007/s00030-018-0532-8","http://dx.doi.org/10.1007/s00030-018-0532-8")</f>
        <v>http://dx.doi.org/10.1007/s00030-018-0532-8</v>
      </c>
      <c r="BG309" s="1" t="s">
        <v>74</v>
      </c>
      <c r="BH309" s="1" t="s">
        <v>74</v>
      </c>
      <c r="BI309" s="1" t="s">
        <v>74</v>
      </c>
      <c r="BJ309" s="1" t="s">
        <v>74</v>
      </c>
      <c r="BK309" s="1" t="s">
        <v>74</v>
      </c>
      <c r="BL309" s="1" t="s">
        <v>74</v>
      </c>
      <c r="BM309" s="1" t="s">
        <v>74</v>
      </c>
      <c r="BN309" s="1" t="s">
        <v>74</v>
      </c>
      <c r="BO309" s="1" t="s">
        <v>74</v>
      </c>
      <c r="BP309" s="1" t="s">
        <v>74</v>
      </c>
      <c r="BQ309" s="1" t="s">
        <v>74</v>
      </c>
      <c r="BR309" s="1" t="s">
        <v>74</v>
      </c>
      <c r="BS309" s="1" t="s">
        <v>3152</v>
      </c>
      <c r="BT309" s="1" t="str">
        <f>HYPERLINK("https%3A%2F%2Fwww.webofscience.com%2Fwos%2Fwoscc%2Ffull-record%2FWOS:000441247800001","View Full Record in Web of Science")</f>
        <v>View Full Record in Web of Science</v>
      </c>
    </row>
    <row r="310" ht="12.75" customHeight="1">
      <c r="A310" s="1" t="s">
        <v>72</v>
      </c>
      <c r="B310" s="1" t="s">
        <v>3153</v>
      </c>
      <c r="C310" s="1" t="s">
        <v>74</v>
      </c>
      <c r="D310" s="1" t="s">
        <v>74</v>
      </c>
      <c r="E310" s="1" t="s">
        <v>74</v>
      </c>
      <c r="F310" s="1" t="s">
        <v>3154</v>
      </c>
      <c r="G310" s="1" t="s">
        <v>74</v>
      </c>
      <c r="H310" s="1" t="s">
        <v>74</v>
      </c>
      <c r="I310" s="1" t="s">
        <v>3155</v>
      </c>
      <c r="J310" s="1" t="s">
        <v>3156</v>
      </c>
      <c r="K310" s="1" t="s">
        <v>74</v>
      </c>
      <c r="L310" s="1" t="s">
        <v>74</v>
      </c>
      <c r="M310" s="1" t="s">
        <v>74</v>
      </c>
      <c r="N310" s="1" t="s">
        <v>74</v>
      </c>
      <c r="O310" s="1" t="s">
        <v>3157</v>
      </c>
      <c r="P310" s="1" t="s">
        <v>3158</v>
      </c>
      <c r="Q310" s="1" t="s">
        <v>3159</v>
      </c>
      <c r="R310" s="1" t="s">
        <v>74</v>
      </c>
      <c r="S310" s="1" t="s">
        <v>3160</v>
      </c>
      <c r="T310" s="1" t="s">
        <v>74</v>
      </c>
      <c r="U310" s="1" t="s">
        <v>74</v>
      </c>
      <c r="V310" s="1" t="s">
        <v>3161</v>
      </c>
      <c r="W310" s="1" t="s">
        <v>74</v>
      </c>
      <c r="X310" s="1" t="s">
        <v>74</v>
      </c>
      <c r="Y310" s="1" t="s">
        <v>74</v>
      </c>
      <c r="Z310" s="1" t="s">
        <v>74</v>
      </c>
      <c r="AA310" s="1" t="s">
        <v>3162</v>
      </c>
      <c r="AB310" s="1" t="s">
        <v>3163</v>
      </c>
      <c r="AC310" s="1" t="s">
        <v>74</v>
      </c>
      <c r="AD310" s="1" t="s">
        <v>74</v>
      </c>
      <c r="AE310" s="1" t="s">
        <v>74</v>
      </c>
      <c r="AF310" s="1" t="s">
        <v>74</v>
      </c>
      <c r="AG310" s="1" t="s">
        <v>74</v>
      </c>
      <c r="AH310" s="1" t="s">
        <v>74</v>
      </c>
      <c r="AI310" s="1" t="s">
        <v>74</v>
      </c>
      <c r="AJ310" s="1" t="s">
        <v>74</v>
      </c>
      <c r="AK310" s="1" t="s">
        <v>74</v>
      </c>
      <c r="AL310" s="1" t="s">
        <v>74</v>
      </c>
      <c r="AM310" s="1" t="s">
        <v>74</v>
      </c>
      <c r="AN310" s="1" t="s">
        <v>74</v>
      </c>
      <c r="AO310" s="1" t="s">
        <v>2865</v>
      </c>
      <c r="AP310" s="1" t="s">
        <v>2866</v>
      </c>
      <c r="AQ310" s="1" t="s">
        <v>74</v>
      </c>
      <c r="AR310" s="1" t="s">
        <v>74</v>
      </c>
      <c r="AS310" s="1" t="s">
        <v>74</v>
      </c>
      <c r="AT310" s="1" t="s">
        <v>379</v>
      </c>
      <c r="AU310" s="1">
        <v>2018.0</v>
      </c>
      <c r="AV310" s="1">
        <v>93.0</v>
      </c>
      <c r="AW310" s="1" t="s">
        <v>74</v>
      </c>
      <c r="AX310" s="1" t="s">
        <v>74</v>
      </c>
      <c r="AY310" s="1" t="s">
        <v>74</v>
      </c>
      <c r="AZ310" s="1" t="s">
        <v>74</v>
      </c>
      <c r="BA310" s="1" t="s">
        <v>74</v>
      </c>
      <c r="BB310" s="1">
        <v>29.0</v>
      </c>
      <c r="BC310" s="1">
        <v>37.0</v>
      </c>
      <c r="BD310" s="1" t="s">
        <v>74</v>
      </c>
      <c r="BE310" s="1" t="s">
        <v>3164</v>
      </c>
      <c r="BF310" s="2" t="str">
        <f>HYPERLINK("http://dx.doi.org/10.1016/j.ijrefrig.2018.06.003","http://dx.doi.org/10.1016/j.ijrefrig.2018.06.003")</f>
        <v>http://dx.doi.org/10.1016/j.ijrefrig.2018.06.003</v>
      </c>
      <c r="BG310" s="1" t="s">
        <v>74</v>
      </c>
      <c r="BH310" s="1" t="s">
        <v>74</v>
      </c>
      <c r="BI310" s="1" t="s">
        <v>74</v>
      </c>
      <c r="BJ310" s="1" t="s">
        <v>74</v>
      </c>
      <c r="BK310" s="1" t="s">
        <v>74</v>
      </c>
      <c r="BL310" s="1" t="s">
        <v>74</v>
      </c>
      <c r="BM310" s="1" t="s">
        <v>74</v>
      </c>
      <c r="BN310" s="1" t="s">
        <v>74</v>
      </c>
      <c r="BO310" s="1" t="s">
        <v>74</v>
      </c>
      <c r="BP310" s="1" t="s">
        <v>74</v>
      </c>
      <c r="BQ310" s="1" t="s">
        <v>74</v>
      </c>
      <c r="BR310" s="1" t="s">
        <v>74</v>
      </c>
      <c r="BS310" s="1" t="s">
        <v>3165</v>
      </c>
      <c r="BT310" s="1" t="str">
        <f>HYPERLINK("https%3A%2F%2Fwww.webofscience.com%2Fwos%2Fwoscc%2Ffull-record%2FWOS:000446313600005","View Full Record in Web of Science")</f>
        <v>View Full Record in Web of Science</v>
      </c>
    </row>
    <row r="311" ht="12.75" customHeight="1">
      <c r="A311" s="1" t="s">
        <v>72</v>
      </c>
      <c r="B311" s="1" t="s">
        <v>3166</v>
      </c>
      <c r="C311" s="1" t="s">
        <v>74</v>
      </c>
      <c r="D311" s="1" t="s">
        <v>74</v>
      </c>
      <c r="E311" s="1" t="s">
        <v>74</v>
      </c>
      <c r="F311" s="1" t="s">
        <v>3167</v>
      </c>
      <c r="G311" s="1" t="s">
        <v>74</v>
      </c>
      <c r="H311" s="1" t="s">
        <v>74</v>
      </c>
      <c r="I311" s="1" t="s">
        <v>3168</v>
      </c>
      <c r="J311" s="1" t="s">
        <v>77</v>
      </c>
      <c r="K311" s="1" t="s">
        <v>74</v>
      </c>
      <c r="L311" s="1" t="s">
        <v>74</v>
      </c>
      <c r="M311" s="1" t="s">
        <v>74</v>
      </c>
      <c r="N311" s="1" t="s">
        <v>74</v>
      </c>
      <c r="O311" s="1" t="s">
        <v>74</v>
      </c>
      <c r="P311" s="1" t="s">
        <v>74</v>
      </c>
      <c r="Q311" s="1" t="s">
        <v>74</v>
      </c>
      <c r="R311" s="1" t="s">
        <v>74</v>
      </c>
      <c r="S311" s="1" t="s">
        <v>74</v>
      </c>
      <c r="T311" s="1" t="s">
        <v>74</v>
      </c>
      <c r="U311" s="1" t="s">
        <v>74</v>
      </c>
      <c r="V311" s="1" t="s">
        <v>3169</v>
      </c>
      <c r="W311" s="1" t="s">
        <v>74</v>
      </c>
      <c r="X311" s="1" t="s">
        <v>74</v>
      </c>
      <c r="Y311" s="1" t="s">
        <v>74</v>
      </c>
      <c r="Z311" s="1" t="s">
        <v>74</v>
      </c>
      <c r="AA311" s="1" t="s">
        <v>1403</v>
      </c>
      <c r="AB311" s="1" t="s">
        <v>3170</v>
      </c>
      <c r="AC311" s="1" t="s">
        <v>74</v>
      </c>
      <c r="AD311" s="1" t="s">
        <v>74</v>
      </c>
      <c r="AE311" s="1" t="s">
        <v>74</v>
      </c>
      <c r="AF311" s="1" t="s">
        <v>74</v>
      </c>
      <c r="AG311" s="1" t="s">
        <v>74</v>
      </c>
      <c r="AH311" s="1" t="s">
        <v>74</v>
      </c>
      <c r="AI311" s="1" t="s">
        <v>74</v>
      </c>
      <c r="AJ311" s="1" t="s">
        <v>74</v>
      </c>
      <c r="AK311" s="1" t="s">
        <v>74</v>
      </c>
      <c r="AL311" s="1" t="s">
        <v>74</v>
      </c>
      <c r="AM311" s="1" t="s">
        <v>74</v>
      </c>
      <c r="AN311" s="1" t="s">
        <v>74</v>
      </c>
      <c r="AO311" s="1" t="s">
        <v>81</v>
      </c>
      <c r="AP311" s="1" t="s">
        <v>82</v>
      </c>
      <c r="AQ311" s="1" t="s">
        <v>74</v>
      </c>
      <c r="AR311" s="1" t="s">
        <v>74</v>
      </c>
      <c r="AS311" s="1" t="s">
        <v>74</v>
      </c>
      <c r="AT311" s="1" t="s">
        <v>1989</v>
      </c>
      <c r="AU311" s="1">
        <v>2018.0</v>
      </c>
      <c r="AV311" s="1">
        <v>41.0</v>
      </c>
      <c r="AW311" s="1">
        <v>7.0</v>
      </c>
      <c r="AX311" s="1" t="s">
        <v>74</v>
      </c>
      <c r="AY311" s="1" t="s">
        <v>74</v>
      </c>
      <c r="AZ311" s="1" t="s">
        <v>74</v>
      </c>
      <c r="BA311" s="1" t="s">
        <v>74</v>
      </c>
      <c r="BB311" s="1">
        <v>2535.0</v>
      </c>
      <c r="BC311" s="1">
        <v>2545.0</v>
      </c>
      <c r="BD311" s="1" t="s">
        <v>74</v>
      </c>
      <c r="BE311" s="1" t="s">
        <v>3171</v>
      </c>
      <c r="BF311" s="2" t="str">
        <f>HYPERLINK("http://dx.doi.org/10.1002/mma.4757","http://dx.doi.org/10.1002/mma.4757")</f>
        <v>http://dx.doi.org/10.1002/mma.4757</v>
      </c>
      <c r="BG311" s="1" t="s">
        <v>74</v>
      </c>
      <c r="BH311" s="1" t="s">
        <v>74</v>
      </c>
      <c r="BI311" s="1" t="s">
        <v>74</v>
      </c>
      <c r="BJ311" s="1" t="s">
        <v>74</v>
      </c>
      <c r="BK311" s="1" t="s">
        <v>74</v>
      </c>
      <c r="BL311" s="1" t="s">
        <v>74</v>
      </c>
      <c r="BM311" s="1" t="s">
        <v>74</v>
      </c>
      <c r="BN311" s="1" t="s">
        <v>74</v>
      </c>
      <c r="BO311" s="1" t="s">
        <v>74</v>
      </c>
      <c r="BP311" s="1" t="s">
        <v>74</v>
      </c>
      <c r="BQ311" s="1" t="s">
        <v>74</v>
      </c>
      <c r="BR311" s="1" t="s">
        <v>74</v>
      </c>
      <c r="BS311" s="1" t="s">
        <v>3172</v>
      </c>
      <c r="BT311" s="1" t="str">
        <f>HYPERLINK("https%3A%2F%2Fwww.webofscience.com%2Fwos%2Fwoscc%2Ffull-record%2FWOS:000429005600001","View Full Record in Web of Science")</f>
        <v>View Full Record in Web of Science</v>
      </c>
    </row>
    <row r="312" ht="12.75" customHeight="1">
      <c r="A312" s="1" t="s">
        <v>72</v>
      </c>
      <c r="B312" s="1" t="s">
        <v>3173</v>
      </c>
      <c r="C312" s="1" t="s">
        <v>74</v>
      </c>
      <c r="D312" s="1" t="s">
        <v>74</v>
      </c>
      <c r="E312" s="1" t="s">
        <v>74</v>
      </c>
      <c r="F312" s="1" t="s">
        <v>3174</v>
      </c>
      <c r="G312" s="1" t="s">
        <v>74</v>
      </c>
      <c r="H312" s="1" t="s">
        <v>74</v>
      </c>
      <c r="I312" s="1" t="s">
        <v>3175</v>
      </c>
      <c r="J312" s="1" t="s">
        <v>3176</v>
      </c>
      <c r="K312" s="1" t="s">
        <v>74</v>
      </c>
      <c r="L312" s="1" t="s">
        <v>74</v>
      </c>
      <c r="M312" s="1" t="s">
        <v>74</v>
      </c>
      <c r="N312" s="1" t="s">
        <v>74</v>
      </c>
      <c r="O312" s="1" t="s">
        <v>74</v>
      </c>
      <c r="P312" s="1" t="s">
        <v>74</v>
      </c>
      <c r="Q312" s="1" t="s">
        <v>74</v>
      </c>
      <c r="R312" s="1" t="s">
        <v>74</v>
      </c>
      <c r="S312" s="1" t="s">
        <v>74</v>
      </c>
      <c r="T312" s="1" t="s">
        <v>74</v>
      </c>
      <c r="U312" s="1" t="s">
        <v>74</v>
      </c>
      <c r="V312" s="1" t="s">
        <v>3177</v>
      </c>
      <c r="W312" s="1" t="s">
        <v>74</v>
      </c>
      <c r="X312" s="1" t="s">
        <v>74</v>
      </c>
      <c r="Y312" s="1" t="s">
        <v>74</v>
      </c>
      <c r="Z312" s="1" t="s">
        <v>74</v>
      </c>
      <c r="AA312" s="1" t="s">
        <v>3178</v>
      </c>
      <c r="AB312" s="1" t="s">
        <v>3179</v>
      </c>
      <c r="AC312" s="1" t="s">
        <v>74</v>
      </c>
      <c r="AD312" s="1" t="s">
        <v>74</v>
      </c>
      <c r="AE312" s="1" t="s">
        <v>74</v>
      </c>
      <c r="AF312" s="1" t="s">
        <v>74</v>
      </c>
      <c r="AG312" s="1" t="s">
        <v>74</v>
      </c>
      <c r="AH312" s="1" t="s">
        <v>74</v>
      </c>
      <c r="AI312" s="1" t="s">
        <v>74</v>
      </c>
      <c r="AJ312" s="1" t="s">
        <v>74</v>
      </c>
      <c r="AK312" s="1" t="s">
        <v>74</v>
      </c>
      <c r="AL312" s="1" t="s">
        <v>74</v>
      </c>
      <c r="AM312" s="1" t="s">
        <v>74</v>
      </c>
      <c r="AN312" s="1" t="s">
        <v>74</v>
      </c>
      <c r="AO312" s="1" t="s">
        <v>3180</v>
      </c>
      <c r="AP312" s="1" t="s">
        <v>3181</v>
      </c>
      <c r="AQ312" s="1" t="s">
        <v>74</v>
      </c>
      <c r="AR312" s="1" t="s">
        <v>74</v>
      </c>
      <c r="AS312" s="1" t="s">
        <v>74</v>
      </c>
      <c r="AT312" s="1" t="s">
        <v>363</v>
      </c>
      <c r="AU312" s="1">
        <v>2017.0</v>
      </c>
      <c r="AV312" s="1">
        <v>125.0</v>
      </c>
      <c r="AW312" s="1" t="s">
        <v>74</v>
      </c>
      <c r="AX312" s="1" t="s">
        <v>74</v>
      </c>
      <c r="AY312" s="1" t="s">
        <v>74</v>
      </c>
      <c r="AZ312" s="1" t="s">
        <v>74</v>
      </c>
      <c r="BA312" s="1" t="s">
        <v>74</v>
      </c>
      <c r="BB312" s="1">
        <v>147.0</v>
      </c>
      <c r="BC312" s="1">
        <v>165.0</v>
      </c>
      <c r="BD312" s="1" t="s">
        <v>74</v>
      </c>
      <c r="BE312" s="1" t="s">
        <v>3182</v>
      </c>
      <c r="BF312" s="2" t="str">
        <f>HYPERLINK("http://dx.doi.org/10.1016/j.apacoust.2017.04.006","http://dx.doi.org/10.1016/j.apacoust.2017.04.006")</f>
        <v>http://dx.doi.org/10.1016/j.apacoust.2017.04.006</v>
      </c>
      <c r="BG312" s="1" t="s">
        <v>74</v>
      </c>
      <c r="BH312" s="1" t="s">
        <v>74</v>
      </c>
      <c r="BI312" s="1" t="s">
        <v>74</v>
      </c>
      <c r="BJ312" s="1" t="s">
        <v>74</v>
      </c>
      <c r="BK312" s="1" t="s">
        <v>74</v>
      </c>
      <c r="BL312" s="1" t="s">
        <v>74</v>
      </c>
      <c r="BM312" s="1" t="s">
        <v>74</v>
      </c>
      <c r="BN312" s="1" t="s">
        <v>74</v>
      </c>
      <c r="BO312" s="1" t="s">
        <v>74</v>
      </c>
      <c r="BP312" s="1" t="s">
        <v>74</v>
      </c>
      <c r="BQ312" s="1" t="s">
        <v>74</v>
      </c>
      <c r="BR312" s="1" t="s">
        <v>74</v>
      </c>
      <c r="BS312" s="1" t="s">
        <v>3183</v>
      </c>
      <c r="BT312" s="1" t="str">
        <f>HYPERLINK("https%3A%2F%2Fwww.webofscience.com%2Fwos%2Fwoscc%2Ffull-record%2FWOS:000403117600015","View Full Record in Web of Science")</f>
        <v>View Full Record in Web of Science</v>
      </c>
    </row>
    <row r="313" ht="12.75" customHeight="1">
      <c r="A313" s="1" t="s">
        <v>147</v>
      </c>
      <c r="B313" s="1" t="s">
        <v>3184</v>
      </c>
      <c r="C313" s="1" t="s">
        <v>74</v>
      </c>
      <c r="D313" s="1" t="s">
        <v>3185</v>
      </c>
      <c r="E313" s="1" t="s">
        <v>74</v>
      </c>
      <c r="F313" s="1" t="s">
        <v>3186</v>
      </c>
      <c r="G313" s="1" t="s">
        <v>74</v>
      </c>
      <c r="H313" s="1" t="s">
        <v>74</v>
      </c>
      <c r="I313" s="1" t="s">
        <v>3187</v>
      </c>
      <c r="J313" s="1" t="s">
        <v>3188</v>
      </c>
      <c r="K313" s="1" t="s">
        <v>3189</v>
      </c>
      <c r="L313" s="1" t="s">
        <v>74</v>
      </c>
      <c r="M313" s="1" t="s">
        <v>74</v>
      </c>
      <c r="N313" s="1" t="s">
        <v>74</v>
      </c>
      <c r="O313" s="1" t="s">
        <v>3190</v>
      </c>
      <c r="P313" s="1" t="s">
        <v>3191</v>
      </c>
      <c r="Q313" s="1" t="s">
        <v>3192</v>
      </c>
      <c r="R313" s="1" t="s">
        <v>3193</v>
      </c>
      <c r="S313" s="1" t="s">
        <v>74</v>
      </c>
      <c r="T313" s="1" t="s">
        <v>74</v>
      </c>
      <c r="U313" s="1" t="s">
        <v>74</v>
      </c>
      <c r="V313" s="1" t="s">
        <v>3194</v>
      </c>
      <c r="W313" s="1" t="s">
        <v>74</v>
      </c>
      <c r="X313" s="1" t="s">
        <v>74</v>
      </c>
      <c r="Y313" s="1" t="s">
        <v>74</v>
      </c>
      <c r="Z313" s="1" t="s">
        <v>74</v>
      </c>
      <c r="AA313" s="1" t="s">
        <v>3195</v>
      </c>
      <c r="AB313" s="1" t="s">
        <v>3196</v>
      </c>
      <c r="AC313" s="1" t="s">
        <v>74</v>
      </c>
      <c r="AD313" s="1" t="s">
        <v>74</v>
      </c>
      <c r="AE313" s="1" t="s">
        <v>74</v>
      </c>
      <c r="AF313" s="1" t="s">
        <v>74</v>
      </c>
      <c r="AG313" s="1" t="s">
        <v>74</v>
      </c>
      <c r="AH313" s="1" t="s">
        <v>74</v>
      </c>
      <c r="AI313" s="1" t="s">
        <v>74</v>
      </c>
      <c r="AJ313" s="1" t="s">
        <v>74</v>
      </c>
      <c r="AK313" s="1" t="s">
        <v>74</v>
      </c>
      <c r="AL313" s="1" t="s">
        <v>74</v>
      </c>
      <c r="AM313" s="1" t="s">
        <v>74</v>
      </c>
      <c r="AN313" s="1" t="s">
        <v>74</v>
      </c>
      <c r="AO313" s="1" t="s">
        <v>3197</v>
      </c>
      <c r="AP313" s="1" t="s">
        <v>3198</v>
      </c>
      <c r="AQ313" s="1" t="s">
        <v>3199</v>
      </c>
      <c r="AR313" s="1" t="s">
        <v>74</v>
      </c>
      <c r="AS313" s="1" t="s">
        <v>74</v>
      </c>
      <c r="AT313" s="1" t="s">
        <v>74</v>
      </c>
      <c r="AU313" s="1">
        <v>2017.0</v>
      </c>
      <c r="AV313" s="1">
        <v>10305.0</v>
      </c>
      <c r="AW313" s="1" t="s">
        <v>74</v>
      </c>
      <c r="AX313" s="1" t="s">
        <v>74</v>
      </c>
      <c r="AY313" s="1" t="s">
        <v>74</v>
      </c>
      <c r="AZ313" s="1" t="s">
        <v>74</v>
      </c>
      <c r="BA313" s="1" t="s">
        <v>74</v>
      </c>
      <c r="BB313" s="1">
        <v>603.0</v>
      </c>
      <c r="BC313" s="1">
        <v>615.0</v>
      </c>
      <c r="BD313" s="1" t="s">
        <v>74</v>
      </c>
      <c r="BE313" s="1" t="s">
        <v>3200</v>
      </c>
      <c r="BF313" s="2" t="str">
        <f>HYPERLINK("http://dx.doi.org/10.1007/978-3-319-59153-7_52","http://dx.doi.org/10.1007/978-3-319-59153-7_52")</f>
        <v>http://dx.doi.org/10.1007/978-3-319-59153-7_52</v>
      </c>
      <c r="BG313" s="1" t="s">
        <v>74</v>
      </c>
      <c r="BH313" s="1" t="s">
        <v>74</v>
      </c>
      <c r="BI313" s="1" t="s">
        <v>74</v>
      </c>
      <c r="BJ313" s="1" t="s">
        <v>74</v>
      </c>
      <c r="BK313" s="1" t="s">
        <v>74</v>
      </c>
      <c r="BL313" s="1" t="s">
        <v>74</v>
      </c>
      <c r="BM313" s="1" t="s">
        <v>74</v>
      </c>
      <c r="BN313" s="1" t="s">
        <v>74</v>
      </c>
      <c r="BO313" s="1" t="s">
        <v>74</v>
      </c>
      <c r="BP313" s="1" t="s">
        <v>74</v>
      </c>
      <c r="BQ313" s="1" t="s">
        <v>74</v>
      </c>
      <c r="BR313" s="1" t="s">
        <v>74</v>
      </c>
      <c r="BS313" s="1" t="s">
        <v>3201</v>
      </c>
      <c r="BT313" s="1" t="str">
        <f>HYPERLINK("https%3A%2F%2Fwww.webofscience.com%2Fwos%2Fwoscc%2Ffull-record%2FWOS:000443108200052","View Full Record in Web of Science")</f>
        <v>View Full Record in Web of Science</v>
      </c>
    </row>
    <row r="314" ht="12.75" customHeight="1">
      <c r="A314" s="1" t="s">
        <v>72</v>
      </c>
      <c r="B314" s="1" t="s">
        <v>3202</v>
      </c>
      <c r="C314" s="1" t="s">
        <v>74</v>
      </c>
      <c r="D314" s="1" t="s">
        <v>74</v>
      </c>
      <c r="E314" s="1" t="s">
        <v>74</v>
      </c>
      <c r="F314" s="1" t="s">
        <v>3203</v>
      </c>
      <c r="G314" s="1" t="s">
        <v>74</v>
      </c>
      <c r="H314" s="1" t="s">
        <v>74</v>
      </c>
      <c r="I314" s="1" t="s">
        <v>3204</v>
      </c>
      <c r="J314" s="1" t="s">
        <v>987</v>
      </c>
      <c r="K314" s="1" t="s">
        <v>74</v>
      </c>
      <c r="L314" s="1" t="s">
        <v>74</v>
      </c>
      <c r="M314" s="1" t="s">
        <v>74</v>
      </c>
      <c r="N314" s="1" t="s">
        <v>74</v>
      </c>
      <c r="O314" s="1" t="s">
        <v>74</v>
      </c>
      <c r="P314" s="1" t="s">
        <v>74</v>
      </c>
      <c r="Q314" s="1" t="s">
        <v>74</v>
      </c>
      <c r="R314" s="1" t="s">
        <v>74</v>
      </c>
      <c r="S314" s="1" t="s">
        <v>74</v>
      </c>
      <c r="T314" s="1" t="s">
        <v>74</v>
      </c>
      <c r="U314" s="1" t="s">
        <v>74</v>
      </c>
      <c r="V314" s="1" t="s">
        <v>3205</v>
      </c>
      <c r="W314" s="1" t="s">
        <v>74</v>
      </c>
      <c r="X314" s="1" t="s">
        <v>74</v>
      </c>
      <c r="Y314" s="1" t="s">
        <v>74</v>
      </c>
      <c r="Z314" s="1" t="s">
        <v>74</v>
      </c>
      <c r="AA314" s="1" t="s">
        <v>3206</v>
      </c>
      <c r="AB314" s="1" t="s">
        <v>3207</v>
      </c>
      <c r="AC314" s="1" t="s">
        <v>74</v>
      </c>
      <c r="AD314" s="1" t="s">
        <v>74</v>
      </c>
      <c r="AE314" s="1" t="s">
        <v>74</v>
      </c>
      <c r="AF314" s="1" t="s">
        <v>74</v>
      </c>
      <c r="AG314" s="1" t="s">
        <v>74</v>
      </c>
      <c r="AH314" s="1" t="s">
        <v>74</v>
      </c>
      <c r="AI314" s="1" t="s">
        <v>74</v>
      </c>
      <c r="AJ314" s="1" t="s">
        <v>74</v>
      </c>
      <c r="AK314" s="1" t="s">
        <v>74</v>
      </c>
      <c r="AL314" s="1" t="s">
        <v>74</v>
      </c>
      <c r="AM314" s="1" t="s">
        <v>74</v>
      </c>
      <c r="AN314" s="1" t="s">
        <v>74</v>
      </c>
      <c r="AO314" s="1" t="s">
        <v>991</v>
      </c>
      <c r="AP314" s="1" t="s">
        <v>74</v>
      </c>
      <c r="AQ314" s="1" t="s">
        <v>74</v>
      </c>
      <c r="AR314" s="1" t="s">
        <v>74</v>
      </c>
      <c r="AS314" s="1" t="s">
        <v>74</v>
      </c>
      <c r="AT314" s="1" t="s">
        <v>415</v>
      </c>
      <c r="AU314" s="1">
        <v>2016.0</v>
      </c>
      <c r="AV314" s="1">
        <v>61.0</v>
      </c>
      <c r="AW314" s="1">
        <v>4.0</v>
      </c>
      <c r="AX314" s="1" t="s">
        <v>74</v>
      </c>
      <c r="AY314" s="1" t="s">
        <v>74</v>
      </c>
      <c r="AZ314" s="1" t="s">
        <v>74</v>
      </c>
      <c r="BA314" s="1" t="s">
        <v>74</v>
      </c>
      <c r="BB314" s="1">
        <v>3206.0</v>
      </c>
      <c r="BC314" s="1">
        <v>3209.0</v>
      </c>
      <c r="BD314" s="1" t="s">
        <v>74</v>
      </c>
      <c r="BE314" s="1" t="s">
        <v>3208</v>
      </c>
      <c r="BF314" s="2" t="str">
        <f>HYPERLINK("http://dx.doi.org/10.4067/S0717-97072016000400011","http://dx.doi.org/10.4067/S0717-97072016000400011")</f>
        <v>http://dx.doi.org/10.4067/S0717-97072016000400011</v>
      </c>
      <c r="BG314" s="1" t="s">
        <v>74</v>
      </c>
      <c r="BH314" s="1" t="s">
        <v>74</v>
      </c>
      <c r="BI314" s="1" t="s">
        <v>74</v>
      </c>
      <c r="BJ314" s="1" t="s">
        <v>74</v>
      </c>
      <c r="BK314" s="1" t="s">
        <v>74</v>
      </c>
      <c r="BL314" s="1" t="s">
        <v>74</v>
      </c>
      <c r="BM314" s="1" t="s">
        <v>74</v>
      </c>
      <c r="BN314" s="1" t="s">
        <v>74</v>
      </c>
      <c r="BO314" s="1" t="s">
        <v>74</v>
      </c>
      <c r="BP314" s="1" t="s">
        <v>74</v>
      </c>
      <c r="BQ314" s="1" t="s">
        <v>74</v>
      </c>
      <c r="BR314" s="1" t="s">
        <v>74</v>
      </c>
      <c r="BS314" s="1" t="s">
        <v>3209</v>
      </c>
      <c r="BT314" s="1" t="str">
        <f>HYPERLINK("https%3A%2F%2Fwww.webofscience.com%2Fwos%2Fwoscc%2Ffull-record%2FWOS:000393079900011","View Full Record in Web of Science")</f>
        <v>View Full Record in Web of Science</v>
      </c>
    </row>
    <row r="315" ht="12.75" customHeight="1">
      <c r="A315" s="1" t="s">
        <v>72</v>
      </c>
      <c r="B315" s="1" t="s">
        <v>3210</v>
      </c>
      <c r="C315" s="1" t="s">
        <v>74</v>
      </c>
      <c r="D315" s="1" t="s">
        <v>74</v>
      </c>
      <c r="E315" s="1" t="s">
        <v>74</v>
      </c>
      <c r="F315" s="1" t="s">
        <v>3211</v>
      </c>
      <c r="G315" s="1" t="s">
        <v>74</v>
      </c>
      <c r="H315" s="1" t="s">
        <v>74</v>
      </c>
      <c r="I315" s="1" t="s">
        <v>3212</v>
      </c>
      <c r="J315" s="1" t="s">
        <v>128</v>
      </c>
      <c r="K315" s="1" t="s">
        <v>74</v>
      </c>
      <c r="L315" s="1" t="s">
        <v>74</v>
      </c>
      <c r="M315" s="1" t="s">
        <v>74</v>
      </c>
      <c r="N315" s="1" t="s">
        <v>74</v>
      </c>
      <c r="O315" s="1" t="s">
        <v>74</v>
      </c>
      <c r="P315" s="1" t="s">
        <v>74</v>
      </c>
      <c r="Q315" s="1" t="s">
        <v>74</v>
      </c>
      <c r="R315" s="1" t="s">
        <v>74</v>
      </c>
      <c r="S315" s="1" t="s">
        <v>74</v>
      </c>
      <c r="T315" s="1" t="s">
        <v>74</v>
      </c>
      <c r="U315" s="1" t="s">
        <v>74</v>
      </c>
      <c r="V315" s="1" t="s">
        <v>3213</v>
      </c>
      <c r="W315" s="1" t="s">
        <v>74</v>
      </c>
      <c r="X315" s="1" t="s">
        <v>74</v>
      </c>
      <c r="Y315" s="1" t="s">
        <v>74</v>
      </c>
      <c r="Z315" s="1" t="s">
        <v>74</v>
      </c>
      <c r="AA315" s="1" t="s">
        <v>3214</v>
      </c>
      <c r="AB315" s="1" t="s">
        <v>3215</v>
      </c>
      <c r="AC315" s="1" t="s">
        <v>74</v>
      </c>
      <c r="AD315" s="1" t="s">
        <v>74</v>
      </c>
      <c r="AE315" s="1" t="s">
        <v>74</v>
      </c>
      <c r="AF315" s="1" t="s">
        <v>74</v>
      </c>
      <c r="AG315" s="1" t="s">
        <v>74</v>
      </c>
      <c r="AH315" s="1" t="s">
        <v>74</v>
      </c>
      <c r="AI315" s="1" t="s">
        <v>74</v>
      </c>
      <c r="AJ315" s="1" t="s">
        <v>74</v>
      </c>
      <c r="AK315" s="1" t="s">
        <v>74</v>
      </c>
      <c r="AL315" s="1" t="s">
        <v>74</v>
      </c>
      <c r="AM315" s="1" t="s">
        <v>74</v>
      </c>
      <c r="AN315" s="1" t="s">
        <v>74</v>
      </c>
      <c r="AO315" s="1" t="s">
        <v>132</v>
      </c>
      <c r="AP315" s="1" t="s">
        <v>133</v>
      </c>
      <c r="AQ315" s="1" t="s">
        <v>74</v>
      </c>
      <c r="AR315" s="1" t="s">
        <v>74</v>
      </c>
      <c r="AS315" s="1" t="s">
        <v>74</v>
      </c>
      <c r="AT315" s="1" t="s">
        <v>3216</v>
      </c>
      <c r="AU315" s="1">
        <v>2015.0</v>
      </c>
      <c r="AV315" s="1">
        <v>749.0</v>
      </c>
      <c r="AW315" s="1" t="s">
        <v>74</v>
      </c>
      <c r="AX315" s="1" t="s">
        <v>74</v>
      </c>
      <c r="AY315" s="1" t="s">
        <v>74</v>
      </c>
      <c r="AZ315" s="1" t="s">
        <v>74</v>
      </c>
      <c r="BA315" s="1" t="s">
        <v>74</v>
      </c>
      <c r="BB315" s="1">
        <v>431.0</v>
      </c>
      <c r="BC315" s="1">
        <v>436.0</v>
      </c>
      <c r="BD315" s="1" t="s">
        <v>74</v>
      </c>
      <c r="BE315" s="1" t="s">
        <v>3217</v>
      </c>
      <c r="BF315" s="2" t="str">
        <f>HYPERLINK("http://dx.doi.org/10.1016/j.physletb.2015.08.006","http://dx.doi.org/10.1016/j.physletb.2015.08.006")</f>
        <v>http://dx.doi.org/10.1016/j.physletb.2015.08.006</v>
      </c>
      <c r="BG315" s="1" t="s">
        <v>74</v>
      </c>
      <c r="BH315" s="1" t="s">
        <v>74</v>
      </c>
      <c r="BI315" s="1" t="s">
        <v>74</v>
      </c>
      <c r="BJ315" s="1" t="s">
        <v>74</v>
      </c>
      <c r="BK315" s="1" t="s">
        <v>74</v>
      </c>
      <c r="BL315" s="1" t="s">
        <v>74</v>
      </c>
      <c r="BM315" s="1" t="s">
        <v>74</v>
      </c>
      <c r="BN315" s="1" t="s">
        <v>74</v>
      </c>
      <c r="BO315" s="1" t="s">
        <v>74</v>
      </c>
      <c r="BP315" s="1" t="s">
        <v>74</v>
      </c>
      <c r="BQ315" s="1" t="s">
        <v>74</v>
      </c>
      <c r="BR315" s="1" t="s">
        <v>74</v>
      </c>
      <c r="BS315" s="1" t="s">
        <v>3218</v>
      </c>
      <c r="BT315" s="1" t="str">
        <f>HYPERLINK("https%3A%2F%2Fwww.webofscience.com%2Fwos%2Fwoscc%2Ffull-record%2FWOS:000361562900061","View Full Record in Web of Science")</f>
        <v>View Full Record in Web of Science</v>
      </c>
    </row>
    <row r="316" ht="12.75" customHeight="1">
      <c r="A316" s="1" t="s">
        <v>72</v>
      </c>
      <c r="B316" s="1" t="s">
        <v>3219</v>
      </c>
      <c r="C316" s="1" t="s">
        <v>74</v>
      </c>
      <c r="D316" s="1" t="s">
        <v>74</v>
      </c>
      <c r="E316" s="1" t="s">
        <v>74</v>
      </c>
      <c r="F316" s="1" t="s">
        <v>3220</v>
      </c>
      <c r="G316" s="1" t="s">
        <v>74</v>
      </c>
      <c r="H316" s="1" t="s">
        <v>74</v>
      </c>
      <c r="I316" s="1" t="s">
        <v>3221</v>
      </c>
      <c r="J316" s="1" t="s">
        <v>3222</v>
      </c>
      <c r="K316" s="1" t="s">
        <v>74</v>
      </c>
      <c r="L316" s="1" t="s">
        <v>74</v>
      </c>
      <c r="M316" s="1" t="s">
        <v>74</v>
      </c>
      <c r="N316" s="1" t="s">
        <v>74</v>
      </c>
      <c r="O316" s="1" t="s">
        <v>74</v>
      </c>
      <c r="P316" s="1" t="s">
        <v>74</v>
      </c>
      <c r="Q316" s="1" t="s">
        <v>74</v>
      </c>
      <c r="R316" s="1" t="s">
        <v>74</v>
      </c>
      <c r="S316" s="1" t="s">
        <v>74</v>
      </c>
      <c r="T316" s="1" t="s">
        <v>74</v>
      </c>
      <c r="U316" s="1" t="s">
        <v>74</v>
      </c>
      <c r="V316" s="1" t="s">
        <v>3223</v>
      </c>
      <c r="W316" s="1" t="s">
        <v>74</v>
      </c>
      <c r="X316" s="1" t="s">
        <v>74</v>
      </c>
      <c r="Y316" s="1" t="s">
        <v>74</v>
      </c>
      <c r="Z316" s="1" t="s">
        <v>74</v>
      </c>
      <c r="AA316" s="1" t="s">
        <v>3224</v>
      </c>
      <c r="AB316" s="1" t="s">
        <v>3225</v>
      </c>
      <c r="AC316" s="1" t="s">
        <v>74</v>
      </c>
      <c r="AD316" s="1" t="s">
        <v>74</v>
      </c>
      <c r="AE316" s="1" t="s">
        <v>74</v>
      </c>
      <c r="AF316" s="1" t="s">
        <v>74</v>
      </c>
      <c r="AG316" s="1" t="s">
        <v>74</v>
      </c>
      <c r="AH316" s="1" t="s">
        <v>74</v>
      </c>
      <c r="AI316" s="1" t="s">
        <v>74</v>
      </c>
      <c r="AJ316" s="1" t="s">
        <v>74</v>
      </c>
      <c r="AK316" s="1" t="s">
        <v>74</v>
      </c>
      <c r="AL316" s="1" t="s">
        <v>74</v>
      </c>
      <c r="AM316" s="1" t="s">
        <v>74</v>
      </c>
      <c r="AN316" s="1" t="s">
        <v>74</v>
      </c>
      <c r="AO316" s="1" t="s">
        <v>3226</v>
      </c>
      <c r="AP316" s="1" t="s">
        <v>74</v>
      </c>
      <c r="AQ316" s="1" t="s">
        <v>74</v>
      </c>
      <c r="AR316" s="1" t="s">
        <v>74</v>
      </c>
      <c r="AS316" s="1" t="s">
        <v>74</v>
      </c>
      <c r="AT316" s="1" t="s">
        <v>3227</v>
      </c>
      <c r="AU316" s="1">
        <v>2015.0</v>
      </c>
      <c r="AV316" s="1">
        <v>6.0</v>
      </c>
      <c r="AW316" s="1" t="s">
        <v>74</v>
      </c>
      <c r="AX316" s="1" t="s">
        <v>74</v>
      </c>
      <c r="AY316" s="1" t="s">
        <v>74</v>
      </c>
      <c r="AZ316" s="1" t="s">
        <v>74</v>
      </c>
      <c r="BA316" s="1" t="s">
        <v>74</v>
      </c>
      <c r="BB316" s="1" t="s">
        <v>74</v>
      </c>
      <c r="BC316" s="1" t="s">
        <v>74</v>
      </c>
      <c r="BD316" s="1">
        <v>182.0</v>
      </c>
      <c r="BE316" s="1" t="s">
        <v>3228</v>
      </c>
      <c r="BF316" s="2" t="str">
        <f>HYPERLINK("http://dx.doi.org/10.3389/fpls.2015.00182","http://dx.doi.org/10.3389/fpls.2015.00182")</f>
        <v>http://dx.doi.org/10.3389/fpls.2015.00182</v>
      </c>
      <c r="BG316" s="1" t="s">
        <v>74</v>
      </c>
      <c r="BH316" s="1" t="s">
        <v>74</v>
      </c>
      <c r="BI316" s="1" t="s">
        <v>74</v>
      </c>
      <c r="BJ316" s="1" t="s">
        <v>74</v>
      </c>
      <c r="BK316" s="1" t="s">
        <v>74</v>
      </c>
      <c r="BL316" s="1" t="s">
        <v>74</v>
      </c>
      <c r="BM316" s="1" t="s">
        <v>74</v>
      </c>
      <c r="BN316" s="1">
        <v>2.5852728E7</v>
      </c>
      <c r="BO316" s="1" t="s">
        <v>74</v>
      </c>
      <c r="BP316" s="1" t="s">
        <v>74</v>
      </c>
      <c r="BQ316" s="1" t="s">
        <v>74</v>
      </c>
      <c r="BR316" s="1" t="s">
        <v>74</v>
      </c>
      <c r="BS316" s="1" t="s">
        <v>3229</v>
      </c>
      <c r="BT316" s="1" t="str">
        <f>HYPERLINK("https%3A%2F%2Fwww.webofscience.com%2Fwos%2Fwoscc%2Ffull-record%2FWOS:000352150900001","View Full Record in Web of Science")</f>
        <v>View Full Record in Web of Science</v>
      </c>
    </row>
    <row r="317" ht="12.75" customHeight="1">
      <c r="A317" s="1" t="s">
        <v>72</v>
      </c>
      <c r="B317" s="1" t="s">
        <v>3230</v>
      </c>
      <c r="C317" s="1" t="s">
        <v>74</v>
      </c>
      <c r="D317" s="1" t="s">
        <v>74</v>
      </c>
      <c r="E317" s="1" t="s">
        <v>74</v>
      </c>
      <c r="F317" s="1" t="s">
        <v>3231</v>
      </c>
      <c r="G317" s="1" t="s">
        <v>74</v>
      </c>
      <c r="H317" s="1" t="s">
        <v>74</v>
      </c>
      <c r="I317" s="1" t="s">
        <v>3232</v>
      </c>
      <c r="J317" s="1" t="s">
        <v>987</v>
      </c>
      <c r="K317" s="1" t="s">
        <v>74</v>
      </c>
      <c r="L317" s="1" t="s">
        <v>74</v>
      </c>
      <c r="M317" s="1" t="s">
        <v>74</v>
      </c>
      <c r="N317" s="1" t="s">
        <v>74</v>
      </c>
      <c r="O317" s="1" t="s">
        <v>74</v>
      </c>
      <c r="P317" s="1" t="s">
        <v>74</v>
      </c>
      <c r="Q317" s="1" t="s">
        <v>74</v>
      </c>
      <c r="R317" s="1" t="s">
        <v>74</v>
      </c>
      <c r="S317" s="1" t="s">
        <v>74</v>
      </c>
      <c r="T317" s="1" t="s">
        <v>74</v>
      </c>
      <c r="U317" s="1" t="s">
        <v>74</v>
      </c>
      <c r="V317" s="1" t="s">
        <v>3233</v>
      </c>
      <c r="W317" s="1" t="s">
        <v>74</v>
      </c>
      <c r="X317" s="1" t="s">
        <v>74</v>
      </c>
      <c r="Y317" s="1" t="s">
        <v>74</v>
      </c>
      <c r="Z317" s="1" t="s">
        <v>74</v>
      </c>
      <c r="AA317" s="1" t="s">
        <v>74</v>
      </c>
      <c r="AB317" s="1" t="s">
        <v>3234</v>
      </c>
      <c r="AC317" s="1" t="s">
        <v>74</v>
      </c>
      <c r="AD317" s="1" t="s">
        <v>74</v>
      </c>
      <c r="AE317" s="1" t="s">
        <v>74</v>
      </c>
      <c r="AF317" s="1" t="s">
        <v>74</v>
      </c>
      <c r="AG317" s="1" t="s">
        <v>74</v>
      </c>
      <c r="AH317" s="1" t="s">
        <v>74</v>
      </c>
      <c r="AI317" s="1" t="s">
        <v>74</v>
      </c>
      <c r="AJ317" s="1" t="s">
        <v>74</v>
      </c>
      <c r="AK317" s="1" t="s">
        <v>74</v>
      </c>
      <c r="AL317" s="1" t="s">
        <v>74</v>
      </c>
      <c r="AM317" s="1" t="s">
        <v>74</v>
      </c>
      <c r="AN317" s="1" t="s">
        <v>74</v>
      </c>
      <c r="AO317" s="1" t="s">
        <v>991</v>
      </c>
      <c r="AP317" s="1" t="s">
        <v>74</v>
      </c>
      <c r="AQ317" s="1" t="s">
        <v>74</v>
      </c>
      <c r="AR317" s="1" t="s">
        <v>74</v>
      </c>
      <c r="AS317" s="1" t="s">
        <v>74</v>
      </c>
      <c r="AT317" s="1" t="s">
        <v>144</v>
      </c>
      <c r="AU317" s="1">
        <v>2015.0</v>
      </c>
      <c r="AV317" s="1">
        <v>60.0</v>
      </c>
      <c r="AW317" s="1">
        <v>1.0</v>
      </c>
      <c r="AX317" s="1" t="s">
        <v>74</v>
      </c>
      <c r="AY317" s="1" t="s">
        <v>74</v>
      </c>
      <c r="AZ317" s="1" t="s">
        <v>74</v>
      </c>
      <c r="BA317" s="1" t="s">
        <v>74</v>
      </c>
      <c r="BB317" s="1">
        <v>2867.0</v>
      </c>
      <c r="BC317" s="1">
        <v>2870.0</v>
      </c>
      <c r="BD317" s="1" t="s">
        <v>74</v>
      </c>
      <c r="BE317" s="1" t="s">
        <v>3235</v>
      </c>
      <c r="BF317" s="2" t="str">
        <f>HYPERLINK("http://dx.doi.org/10.4067/S0717-97072015000100021","http://dx.doi.org/10.4067/S0717-97072015000100021")</f>
        <v>http://dx.doi.org/10.4067/S0717-97072015000100021</v>
      </c>
      <c r="BG317" s="1" t="s">
        <v>74</v>
      </c>
      <c r="BH317" s="1" t="s">
        <v>74</v>
      </c>
      <c r="BI317" s="1" t="s">
        <v>74</v>
      </c>
      <c r="BJ317" s="1" t="s">
        <v>74</v>
      </c>
      <c r="BK317" s="1" t="s">
        <v>74</v>
      </c>
      <c r="BL317" s="1" t="s">
        <v>74</v>
      </c>
      <c r="BM317" s="1" t="s">
        <v>74</v>
      </c>
      <c r="BN317" s="1" t="s">
        <v>74</v>
      </c>
      <c r="BO317" s="1" t="s">
        <v>74</v>
      </c>
      <c r="BP317" s="1" t="s">
        <v>74</v>
      </c>
      <c r="BQ317" s="1" t="s">
        <v>74</v>
      </c>
      <c r="BR317" s="1" t="s">
        <v>74</v>
      </c>
      <c r="BS317" s="1" t="s">
        <v>3236</v>
      </c>
      <c r="BT317" s="1" t="str">
        <f>HYPERLINK("https%3A%2F%2Fwww.webofscience.com%2Fwos%2Fwoscc%2Ffull-record%2FWOS:000356004100021","View Full Record in Web of Science")</f>
        <v>View Full Record in Web of Science</v>
      </c>
    </row>
    <row r="318" ht="12.75" customHeight="1">
      <c r="A318" s="1" t="s">
        <v>147</v>
      </c>
      <c r="B318" s="1" t="s">
        <v>3237</v>
      </c>
      <c r="C318" s="1" t="s">
        <v>74</v>
      </c>
      <c r="D318" s="1" t="s">
        <v>3238</v>
      </c>
      <c r="E318" s="1" t="s">
        <v>74</v>
      </c>
      <c r="F318" s="1" t="s">
        <v>3239</v>
      </c>
      <c r="G318" s="1" t="s">
        <v>74</v>
      </c>
      <c r="H318" s="1" t="s">
        <v>74</v>
      </c>
      <c r="I318" s="1" t="s">
        <v>3240</v>
      </c>
      <c r="J318" s="1" t="s">
        <v>3241</v>
      </c>
      <c r="K318" s="1" t="s">
        <v>74</v>
      </c>
      <c r="L318" s="1" t="s">
        <v>74</v>
      </c>
      <c r="M318" s="1" t="s">
        <v>74</v>
      </c>
      <c r="N318" s="1" t="s">
        <v>74</v>
      </c>
      <c r="O318" s="1" t="s">
        <v>2458</v>
      </c>
      <c r="P318" s="1" t="s">
        <v>3242</v>
      </c>
      <c r="Q318" s="1" t="s">
        <v>3243</v>
      </c>
      <c r="R318" s="1" t="s">
        <v>3244</v>
      </c>
      <c r="S318" s="1" t="s">
        <v>74</v>
      </c>
      <c r="T318" s="1" t="s">
        <v>74</v>
      </c>
      <c r="U318" s="1" t="s">
        <v>74</v>
      </c>
      <c r="V318" s="1" t="s">
        <v>3245</v>
      </c>
      <c r="W318" s="1" t="s">
        <v>74</v>
      </c>
      <c r="X318" s="1" t="s">
        <v>74</v>
      </c>
      <c r="Y318" s="1" t="s">
        <v>74</v>
      </c>
      <c r="Z318" s="1" t="s">
        <v>74</v>
      </c>
      <c r="AA318" s="1" t="s">
        <v>74</v>
      </c>
      <c r="AB318" s="1" t="s">
        <v>74</v>
      </c>
      <c r="AC318" s="1" t="s">
        <v>74</v>
      </c>
      <c r="AD318" s="1" t="s">
        <v>74</v>
      </c>
      <c r="AE318" s="1" t="s">
        <v>74</v>
      </c>
      <c r="AF318" s="1" t="s">
        <v>74</v>
      </c>
      <c r="AG318" s="1" t="s">
        <v>74</v>
      </c>
      <c r="AH318" s="1" t="s">
        <v>74</v>
      </c>
      <c r="AI318" s="1" t="s">
        <v>74</v>
      </c>
      <c r="AJ318" s="1" t="s">
        <v>74</v>
      </c>
      <c r="AK318" s="1" t="s">
        <v>74</v>
      </c>
      <c r="AL318" s="1" t="s">
        <v>74</v>
      </c>
      <c r="AM318" s="1" t="s">
        <v>74</v>
      </c>
      <c r="AN318" s="1" t="s">
        <v>74</v>
      </c>
      <c r="AO318" s="1" t="s">
        <v>74</v>
      </c>
      <c r="AP318" s="1" t="s">
        <v>74</v>
      </c>
      <c r="AQ318" s="1" t="s">
        <v>3246</v>
      </c>
      <c r="AR318" s="1" t="s">
        <v>74</v>
      </c>
      <c r="AS318" s="1" t="s">
        <v>74</v>
      </c>
      <c r="AT318" s="1" t="s">
        <v>74</v>
      </c>
      <c r="AU318" s="1">
        <v>2015.0</v>
      </c>
      <c r="AV318" s="1" t="s">
        <v>74</v>
      </c>
      <c r="AW318" s="1" t="s">
        <v>74</v>
      </c>
      <c r="AX318" s="1" t="s">
        <v>74</v>
      </c>
      <c r="AY318" s="1" t="s">
        <v>74</v>
      </c>
      <c r="AZ318" s="1" t="s">
        <v>74</v>
      </c>
      <c r="BA318" s="1" t="s">
        <v>74</v>
      </c>
      <c r="BB318" s="1">
        <v>281.0</v>
      </c>
      <c r="BC318" s="1">
        <v>287.0</v>
      </c>
      <c r="BD318" s="1" t="s">
        <v>74</v>
      </c>
      <c r="BE318" s="1" t="s">
        <v>74</v>
      </c>
      <c r="BF318" s="1" t="s">
        <v>74</v>
      </c>
      <c r="BG318" s="1" t="s">
        <v>74</v>
      </c>
      <c r="BH318" s="1" t="s">
        <v>74</v>
      </c>
      <c r="BI318" s="1" t="s">
        <v>74</v>
      </c>
      <c r="BJ318" s="1" t="s">
        <v>74</v>
      </c>
      <c r="BK318" s="1" t="s">
        <v>74</v>
      </c>
      <c r="BL318" s="1" t="s">
        <v>74</v>
      </c>
      <c r="BM318" s="1" t="s">
        <v>74</v>
      </c>
      <c r="BN318" s="1" t="s">
        <v>74</v>
      </c>
      <c r="BO318" s="1" t="s">
        <v>74</v>
      </c>
      <c r="BP318" s="1" t="s">
        <v>74</v>
      </c>
      <c r="BQ318" s="1" t="s">
        <v>74</v>
      </c>
      <c r="BR318" s="1" t="s">
        <v>74</v>
      </c>
      <c r="BS318" s="1" t="s">
        <v>3247</v>
      </c>
      <c r="BT318" s="1" t="str">
        <f>HYPERLINK("https%3A%2F%2Fwww.webofscience.com%2Fwos%2Fwoscc%2Ffull-record%2FWOS:000380551100047","View Full Record in Web of Science")</f>
        <v>View Full Record in Web of Science</v>
      </c>
    </row>
    <row r="319" ht="12.75" customHeight="1">
      <c r="A319" s="1" t="s">
        <v>72</v>
      </c>
      <c r="B319" s="1" t="s">
        <v>3248</v>
      </c>
      <c r="C319" s="1" t="s">
        <v>74</v>
      </c>
      <c r="D319" s="1" t="s">
        <v>74</v>
      </c>
      <c r="E319" s="1" t="s">
        <v>74</v>
      </c>
      <c r="F319" s="1" t="s">
        <v>3249</v>
      </c>
      <c r="G319" s="1" t="s">
        <v>74</v>
      </c>
      <c r="H319" s="1" t="s">
        <v>74</v>
      </c>
      <c r="I319" s="1" t="s">
        <v>3250</v>
      </c>
      <c r="J319" s="1" t="s">
        <v>2393</v>
      </c>
      <c r="K319" s="1" t="s">
        <v>74</v>
      </c>
      <c r="L319" s="1" t="s">
        <v>74</v>
      </c>
      <c r="M319" s="1" t="s">
        <v>74</v>
      </c>
      <c r="N319" s="1" t="s">
        <v>74</v>
      </c>
      <c r="O319" s="1" t="s">
        <v>74</v>
      </c>
      <c r="P319" s="1" t="s">
        <v>74</v>
      </c>
      <c r="Q319" s="1" t="s">
        <v>74</v>
      </c>
      <c r="R319" s="1" t="s">
        <v>74</v>
      </c>
      <c r="S319" s="1" t="s">
        <v>74</v>
      </c>
      <c r="T319" s="1" t="s">
        <v>74</v>
      </c>
      <c r="U319" s="1" t="s">
        <v>74</v>
      </c>
      <c r="V319" s="1" t="s">
        <v>3251</v>
      </c>
      <c r="W319" s="1" t="s">
        <v>74</v>
      </c>
      <c r="X319" s="1" t="s">
        <v>74</v>
      </c>
      <c r="Y319" s="1" t="s">
        <v>74</v>
      </c>
      <c r="Z319" s="1" t="s">
        <v>74</v>
      </c>
      <c r="AA319" s="1" t="s">
        <v>3252</v>
      </c>
      <c r="AB319" s="1" t="s">
        <v>3253</v>
      </c>
      <c r="AC319" s="1" t="s">
        <v>74</v>
      </c>
      <c r="AD319" s="1" t="s">
        <v>74</v>
      </c>
      <c r="AE319" s="1" t="s">
        <v>74</v>
      </c>
      <c r="AF319" s="1" t="s">
        <v>74</v>
      </c>
      <c r="AG319" s="1" t="s">
        <v>74</v>
      </c>
      <c r="AH319" s="1" t="s">
        <v>74</v>
      </c>
      <c r="AI319" s="1" t="s">
        <v>74</v>
      </c>
      <c r="AJ319" s="1" t="s">
        <v>74</v>
      </c>
      <c r="AK319" s="1" t="s">
        <v>74</v>
      </c>
      <c r="AL319" s="1" t="s">
        <v>74</v>
      </c>
      <c r="AM319" s="1" t="s">
        <v>74</v>
      </c>
      <c r="AN319" s="1" t="s">
        <v>74</v>
      </c>
      <c r="AO319" s="1" t="s">
        <v>2397</v>
      </c>
      <c r="AP319" s="1" t="s">
        <v>2398</v>
      </c>
      <c r="AQ319" s="1" t="s">
        <v>74</v>
      </c>
      <c r="AR319" s="1" t="s">
        <v>74</v>
      </c>
      <c r="AS319" s="1" t="s">
        <v>74</v>
      </c>
      <c r="AT319" s="1" t="s">
        <v>2571</v>
      </c>
      <c r="AU319" s="1">
        <v>2014.0</v>
      </c>
      <c r="AV319" s="1">
        <v>257.0</v>
      </c>
      <c r="AW319" s="1" t="s">
        <v>74</v>
      </c>
      <c r="AX319" s="1" t="s">
        <v>74</v>
      </c>
      <c r="AY319" s="1" t="s">
        <v>74</v>
      </c>
      <c r="AZ319" s="1" t="s">
        <v>74</v>
      </c>
      <c r="BA319" s="1" t="s">
        <v>74</v>
      </c>
      <c r="BB319" s="1">
        <v>131.0</v>
      </c>
      <c r="BC319" s="1">
        <v>137.0</v>
      </c>
      <c r="BD319" s="1" t="s">
        <v>74</v>
      </c>
      <c r="BE319" s="1" t="s">
        <v>3254</v>
      </c>
      <c r="BF319" s="2" t="str">
        <f>HYPERLINK("http://dx.doi.org/10.1016/j.cej.2014.07.058","http://dx.doi.org/10.1016/j.cej.2014.07.058")</f>
        <v>http://dx.doi.org/10.1016/j.cej.2014.07.058</v>
      </c>
      <c r="BG319" s="1" t="s">
        <v>74</v>
      </c>
      <c r="BH319" s="1" t="s">
        <v>74</v>
      </c>
      <c r="BI319" s="1" t="s">
        <v>74</v>
      </c>
      <c r="BJ319" s="1" t="s">
        <v>74</v>
      </c>
      <c r="BK319" s="1" t="s">
        <v>74</v>
      </c>
      <c r="BL319" s="1" t="s">
        <v>74</v>
      </c>
      <c r="BM319" s="1" t="s">
        <v>74</v>
      </c>
      <c r="BN319" s="1" t="s">
        <v>74</v>
      </c>
      <c r="BO319" s="1" t="s">
        <v>74</v>
      </c>
      <c r="BP319" s="1" t="s">
        <v>74</v>
      </c>
      <c r="BQ319" s="1" t="s">
        <v>74</v>
      </c>
      <c r="BR319" s="1" t="s">
        <v>74</v>
      </c>
      <c r="BS319" s="1" t="s">
        <v>3255</v>
      </c>
      <c r="BT319" s="1" t="str">
        <f>HYPERLINK("https%3A%2F%2Fwww.webofscience.com%2Fwos%2Fwoscc%2Ffull-record%2FWOS:000342543000016","View Full Record in Web of Science")</f>
        <v>View Full Record in Web of Science</v>
      </c>
    </row>
    <row r="320" ht="12.75" customHeight="1">
      <c r="A320" s="1" t="s">
        <v>72</v>
      </c>
      <c r="B320" s="1" t="s">
        <v>3256</v>
      </c>
      <c r="C320" s="1" t="s">
        <v>74</v>
      </c>
      <c r="D320" s="1" t="s">
        <v>74</v>
      </c>
      <c r="E320" s="1" t="s">
        <v>74</v>
      </c>
      <c r="F320" s="1" t="s">
        <v>3257</v>
      </c>
      <c r="G320" s="1" t="s">
        <v>74</v>
      </c>
      <c r="H320" s="1" t="s">
        <v>74</v>
      </c>
      <c r="I320" s="1" t="s">
        <v>3258</v>
      </c>
      <c r="J320" s="1" t="s">
        <v>3259</v>
      </c>
      <c r="K320" s="1" t="s">
        <v>74</v>
      </c>
      <c r="L320" s="1" t="s">
        <v>74</v>
      </c>
      <c r="M320" s="1" t="s">
        <v>74</v>
      </c>
      <c r="N320" s="1" t="s">
        <v>74</v>
      </c>
      <c r="O320" s="1" t="s">
        <v>74</v>
      </c>
      <c r="P320" s="1" t="s">
        <v>74</v>
      </c>
      <c r="Q320" s="1" t="s">
        <v>74</v>
      </c>
      <c r="R320" s="1" t="s">
        <v>74</v>
      </c>
      <c r="S320" s="1" t="s">
        <v>74</v>
      </c>
      <c r="T320" s="1" t="s">
        <v>74</v>
      </c>
      <c r="U320" s="1" t="s">
        <v>74</v>
      </c>
      <c r="V320" s="1" t="s">
        <v>3260</v>
      </c>
      <c r="W320" s="1" t="s">
        <v>74</v>
      </c>
      <c r="X320" s="1" t="s">
        <v>74</v>
      </c>
      <c r="Y320" s="1" t="s">
        <v>74</v>
      </c>
      <c r="Z320" s="1" t="s">
        <v>74</v>
      </c>
      <c r="AA320" s="1" t="s">
        <v>74</v>
      </c>
      <c r="AB320" s="1" t="s">
        <v>74</v>
      </c>
      <c r="AC320" s="1" t="s">
        <v>74</v>
      </c>
      <c r="AD320" s="1" t="s">
        <v>74</v>
      </c>
      <c r="AE320" s="1" t="s">
        <v>74</v>
      </c>
      <c r="AF320" s="1" t="s">
        <v>74</v>
      </c>
      <c r="AG320" s="1" t="s">
        <v>74</v>
      </c>
      <c r="AH320" s="1" t="s">
        <v>74</v>
      </c>
      <c r="AI320" s="1" t="s">
        <v>74</v>
      </c>
      <c r="AJ320" s="1" t="s">
        <v>74</v>
      </c>
      <c r="AK320" s="1" t="s">
        <v>74</v>
      </c>
      <c r="AL320" s="1" t="s">
        <v>74</v>
      </c>
      <c r="AM320" s="1" t="s">
        <v>74</v>
      </c>
      <c r="AN320" s="1" t="s">
        <v>74</v>
      </c>
      <c r="AO320" s="1" t="s">
        <v>3261</v>
      </c>
      <c r="AP320" s="1" t="s">
        <v>74</v>
      </c>
      <c r="AQ320" s="1" t="s">
        <v>74</v>
      </c>
      <c r="AR320" s="1" t="s">
        <v>74</v>
      </c>
      <c r="AS320" s="1" t="s">
        <v>74</v>
      </c>
      <c r="AT320" s="1" t="s">
        <v>415</v>
      </c>
      <c r="AU320" s="1">
        <v>2014.0</v>
      </c>
      <c r="AV320" s="1">
        <v>63.0</v>
      </c>
      <c r="AW320" s="1">
        <v>156.0</v>
      </c>
      <c r="AX320" s="1" t="s">
        <v>74</v>
      </c>
      <c r="AY320" s="1" t="s">
        <v>74</v>
      </c>
      <c r="AZ320" s="1" t="s">
        <v>74</v>
      </c>
      <c r="BA320" s="1" t="s">
        <v>74</v>
      </c>
      <c r="BB320" s="1">
        <v>191.0</v>
      </c>
      <c r="BC320" s="1">
        <v>205.0</v>
      </c>
      <c r="BD320" s="1" t="s">
        <v>74</v>
      </c>
      <c r="BE320" s="1" t="s">
        <v>3262</v>
      </c>
      <c r="BF320" s="2" t="str">
        <f>HYPERLINK("http://dx.doi.org/10.15446/ideasyvalores.v63n156.39481","http://dx.doi.org/10.15446/ideasyvalores.v63n156.39481")</f>
        <v>http://dx.doi.org/10.15446/ideasyvalores.v63n156.39481</v>
      </c>
      <c r="BG320" s="1" t="s">
        <v>74</v>
      </c>
      <c r="BH320" s="1" t="s">
        <v>74</v>
      </c>
      <c r="BI320" s="1" t="s">
        <v>74</v>
      </c>
      <c r="BJ320" s="1" t="s">
        <v>74</v>
      </c>
      <c r="BK320" s="1" t="s">
        <v>74</v>
      </c>
      <c r="BL320" s="1" t="s">
        <v>74</v>
      </c>
      <c r="BM320" s="1" t="s">
        <v>74</v>
      </c>
      <c r="BN320" s="1" t="s">
        <v>74</v>
      </c>
      <c r="BO320" s="1" t="s">
        <v>74</v>
      </c>
      <c r="BP320" s="1" t="s">
        <v>74</v>
      </c>
      <c r="BQ320" s="1" t="s">
        <v>74</v>
      </c>
      <c r="BR320" s="1" t="s">
        <v>74</v>
      </c>
      <c r="BS320" s="1" t="s">
        <v>3263</v>
      </c>
      <c r="BT320" s="1" t="str">
        <f>HYPERLINK("https%3A%2F%2Fwww.webofscience.com%2Fwos%2Fwoscc%2Ffull-record%2FWOS:000349263000008","View Full Record in Web of Science")</f>
        <v>View Full Record in Web of Science</v>
      </c>
    </row>
    <row r="321" ht="12.75" customHeight="1">
      <c r="A321" s="1" t="s">
        <v>72</v>
      </c>
      <c r="B321" s="1" t="s">
        <v>3264</v>
      </c>
      <c r="C321" s="1" t="s">
        <v>74</v>
      </c>
      <c r="D321" s="1" t="s">
        <v>74</v>
      </c>
      <c r="E321" s="1" t="s">
        <v>74</v>
      </c>
      <c r="F321" s="1" t="s">
        <v>3265</v>
      </c>
      <c r="G321" s="1" t="s">
        <v>74</v>
      </c>
      <c r="H321" s="1" t="s">
        <v>74</v>
      </c>
      <c r="I321" s="1" t="s">
        <v>3266</v>
      </c>
      <c r="J321" s="1" t="s">
        <v>3267</v>
      </c>
      <c r="K321" s="1" t="s">
        <v>74</v>
      </c>
      <c r="L321" s="1" t="s">
        <v>74</v>
      </c>
      <c r="M321" s="1" t="s">
        <v>74</v>
      </c>
      <c r="N321" s="1" t="s">
        <v>74</v>
      </c>
      <c r="O321" s="1" t="s">
        <v>74</v>
      </c>
      <c r="P321" s="1" t="s">
        <v>74</v>
      </c>
      <c r="Q321" s="1" t="s">
        <v>74</v>
      </c>
      <c r="R321" s="1" t="s">
        <v>74</v>
      </c>
      <c r="S321" s="1" t="s">
        <v>74</v>
      </c>
      <c r="T321" s="1" t="s">
        <v>74</v>
      </c>
      <c r="U321" s="1" t="s">
        <v>74</v>
      </c>
      <c r="V321" s="1" t="s">
        <v>3268</v>
      </c>
      <c r="W321" s="1" t="s">
        <v>74</v>
      </c>
      <c r="X321" s="1" t="s">
        <v>74</v>
      </c>
      <c r="Y321" s="1" t="s">
        <v>74</v>
      </c>
      <c r="Z321" s="1" t="s">
        <v>74</v>
      </c>
      <c r="AA321" s="1" t="s">
        <v>74</v>
      </c>
      <c r="AB321" s="1" t="s">
        <v>3269</v>
      </c>
      <c r="AC321" s="1" t="s">
        <v>74</v>
      </c>
      <c r="AD321" s="1" t="s">
        <v>74</v>
      </c>
      <c r="AE321" s="1" t="s">
        <v>74</v>
      </c>
      <c r="AF321" s="1" t="s">
        <v>74</v>
      </c>
      <c r="AG321" s="1" t="s">
        <v>74</v>
      </c>
      <c r="AH321" s="1" t="s">
        <v>74</v>
      </c>
      <c r="AI321" s="1" t="s">
        <v>74</v>
      </c>
      <c r="AJ321" s="1" t="s">
        <v>74</v>
      </c>
      <c r="AK321" s="1" t="s">
        <v>74</v>
      </c>
      <c r="AL321" s="1" t="s">
        <v>74</v>
      </c>
      <c r="AM321" s="1" t="s">
        <v>74</v>
      </c>
      <c r="AN321" s="1" t="s">
        <v>74</v>
      </c>
      <c r="AO321" s="1" t="s">
        <v>3270</v>
      </c>
      <c r="AP321" s="1" t="s">
        <v>3271</v>
      </c>
      <c r="AQ321" s="1" t="s">
        <v>74</v>
      </c>
      <c r="AR321" s="1" t="s">
        <v>74</v>
      </c>
      <c r="AS321" s="1" t="s">
        <v>74</v>
      </c>
      <c r="AT321" s="1" t="s">
        <v>277</v>
      </c>
      <c r="AU321" s="1">
        <v>2014.0</v>
      </c>
      <c r="AV321" s="1">
        <v>37.0</v>
      </c>
      <c r="AW321" s="1">
        <v>1.0</v>
      </c>
      <c r="AX321" s="1" t="s">
        <v>74</v>
      </c>
      <c r="AY321" s="1" t="s">
        <v>74</v>
      </c>
      <c r="AZ321" s="1" t="s">
        <v>1042</v>
      </c>
      <c r="BA321" s="1" t="s">
        <v>74</v>
      </c>
      <c r="BB321" s="1">
        <v>27.0</v>
      </c>
      <c r="BC321" s="1">
        <v>36.0</v>
      </c>
      <c r="BD321" s="1" t="s">
        <v>74</v>
      </c>
      <c r="BE321" s="1" t="s">
        <v>3272</v>
      </c>
      <c r="BF321" s="2" t="str">
        <f>HYPERLINK("http://dx.doi.org/10.1007/s00449-013-0925-3","http://dx.doi.org/10.1007/s00449-013-0925-3")</f>
        <v>http://dx.doi.org/10.1007/s00449-013-0925-3</v>
      </c>
      <c r="BG321" s="1" t="s">
        <v>74</v>
      </c>
      <c r="BH321" s="1" t="s">
        <v>74</v>
      </c>
      <c r="BI321" s="1" t="s">
        <v>74</v>
      </c>
      <c r="BJ321" s="1" t="s">
        <v>74</v>
      </c>
      <c r="BK321" s="1" t="s">
        <v>74</v>
      </c>
      <c r="BL321" s="1" t="s">
        <v>74</v>
      </c>
      <c r="BM321" s="1" t="s">
        <v>74</v>
      </c>
      <c r="BN321" s="1">
        <v>2.342993E7</v>
      </c>
      <c r="BO321" s="1" t="s">
        <v>74</v>
      </c>
      <c r="BP321" s="1" t="s">
        <v>74</v>
      </c>
      <c r="BQ321" s="1" t="s">
        <v>74</v>
      </c>
      <c r="BR321" s="1" t="s">
        <v>74</v>
      </c>
      <c r="BS321" s="1" t="s">
        <v>3273</v>
      </c>
      <c r="BT321" s="1" t="str">
        <f>HYPERLINK("https%3A%2F%2Fwww.webofscience.com%2Fwos%2Fwoscc%2Ffull-record%2FWOS:000330827400004","View Full Record in Web of Science")</f>
        <v>View Full Record in Web of Science</v>
      </c>
    </row>
    <row r="322" ht="12.75" customHeight="1">
      <c r="A322" s="1" t="s">
        <v>72</v>
      </c>
      <c r="B322" s="1" t="s">
        <v>3274</v>
      </c>
      <c r="C322" s="1" t="s">
        <v>74</v>
      </c>
      <c r="D322" s="1" t="s">
        <v>74</v>
      </c>
      <c r="E322" s="1" t="s">
        <v>74</v>
      </c>
      <c r="F322" s="1" t="s">
        <v>3275</v>
      </c>
      <c r="G322" s="1" t="s">
        <v>74</v>
      </c>
      <c r="H322" s="1" t="s">
        <v>74</v>
      </c>
      <c r="I322" s="1" t="s">
        <v>3276</v>
      </c>
      <c r="J322" s="1" t="s">
        <v>3277</v>
      </c>
      <c r="K322" s="1" t="s">
        <v>74</v>
      </c>
      <c r="L322" s="1" t="s">
        <v>74</v>
      </c>
      <c r="M322" s="1" t="s">
        <v>74</v>
      </c>
      <c r="N322" s="1" t="s">
        <v>74</v>
      </c>
      <c r="O322" s="1" t="s">
        <v>74</v>
      </c>
      <c r="P322" s="1" t="s">
        <v>74</v>
      </c>
      <c r="Q322" s="1" t="s">
        <v>74</v>
      </c>
      <c r="R322" s="1" t="s">
        <v>74</v>
      </c>
      <c r="S322" s="1" t="s">
        <v>74</v>
      </c>
      <c r="T322" s="1" t="s">
        <v>74</v>
      </c>
      <c r="U322" s="1" t="s">
        <v>74</v>
      </c>
      <c r="V322" s="1" t="s">
        <v>3278</v>
      </c>
      <c r="W322" s="1" t="s">
        <v>74</v>
      </c>
      <c r="X322" s="1" t="s">
        <v>74</v>
      </c>
      <c r="Y322" s="1" t="s">
        <v>74</v>
      </c>
      <c r="Z322" s="1" t="s">
        <v>74</v>
      </c>
      <c r="AA322" s="1" t="s">
        <v>3279</v>
      </c>
      <c r="AB322" s="1" t="s">
        <v>3280</v>
      </c>
      <c r="AC322" s="1" t="s">
        <v>74</v>
      </c>
      <c r="AD322" s="1" t="s">
        <v>74</v>
      </c>
      <c r="AE322" s="1" t="s">
        <v>74</v>
      </c>
      <c r="AF322" s="1" t="s">
        <v>74</v>
      </c>
      <c r="AG322" s="1" t="s">
        <v>74</v>
      </c>
      <c r="AH322" s="1" t="s">
        <v>74</v>
      </c>
      <c r="AI322" s="1" t="s">
        <v>74</v>
      </c>
      <c r="AJ322" s="1" t="s">
        <v>74</v>
      </c>
      <c r="AK322" s="1" t="s">
        <v>74</v>
      </c>
      <c r="AL322" s="1" t="s">
        <v>74</v>
      </c>
      <c r="AM322" s="1" t="s">
        <v>74</v>
      </c>
      <c r="AN322" s="1" t="s">
        <v>74</v>
      </c>
      <c r="AO322" s="1" t="s">
        <v>3281</v>
      </c>
      <c r="AP322" s="1" t="s">
        <v>3282</v>
      </c>
      <c r="AQ322" s="1" t="s">
        <v>74</v>
      </c>
      <c r="AR322" s="1" t="s">
        <v>74</v>
      </c>
      <c r="AS322" s="1" t="s">
        <v>74</v>
      </c>
      <c r="AT322" s="1" t="s">
        <v>609</v>
      </c>
      <c r="AU322" s="1">
        <v>2013.0</v>
      </c>
      <c r="AV322" s="1">
        <v>40.0</v>
      </c>
      <c r="AW322" s="1">
        <v>8.0</v>
      </c>
      <c r="AX322" s="1" t="s">
        <v>74</v>
      </c>
      <c r="AY322" s="1" t="s">
        <v>74</v>
      </c>
      <c r="AZ322" s="1" t="s">
        <v>74</v>
      </c>
      <c r="BA322" s="1" t="s">
        <v>74</v>
      </c>
      <c r="BB322" s="1">
        <v>2985.0</v>
      </c>
      <c r="BC322" s="1">
        <v>2991.0</v>
      </c>
      <c r="BD322" s="1" t="s">
        <v>74</v>
      </c>
      <c r="BE322" s="1" t="s">
        <v>3283</v>
      </c>
      <c r="BF322" s="2" t="str">
        <f>HYPERLINK("http://dx.doi.org/10.1016/j.eswa.2012.12.014","http://dx.doi.org/10.1016/j.eswa.2012.12.014")</f>
        <v>http://dx.doi.org/10.1016/j.eswa.2012.12.014</v>
      </c>
      <c r="BG322" s="1" t="s">
        <v>74</v>
      </c>
      <c r="BH322" s="1" t="s">
        <v>74</v>
      </c>
      <c r="BI322" s="1" t="s">
        <v>74</v>
      </c>
      <c r="BJ322" s="1" t="s">
        <v>74</v>
      </c>
      <c r="BK322" s="1" t="s">
        <v>74</v>
      </c>
      <c r="BL322" s="1" t="s">
        <v>74</v>
      </c>
      <c r="BM322" s="1" t="s">
        <v>74</v>
      </c>
      <c r="BN322" s="1" t="s">
        <v>74</v>
      </c>
      <c r="BO322" s="1" t="s">
        <v>74</v>
      </c>
      <c r="BP322" s="1" t="s">
        <v>74</v>
      </c>
      <c r="BQ322" s="1" t="s">
        <v>74</v>
      </c>
      <c r="BR322" s="1" t="s">
        <v>74</v>
      </c>
      <c r="BS322" s="1" t="s">
        <v>3284</v>
      </c>
      <c r="BT322" s="1" t="str">
        <f>HYPERLINK("https%3A%2F%2Fwww.webofscience.com%2Fwos%2Fwoscc%2Ffull-record%2FWOS:000316522900019","View Full Record in Web of Science")</f>
        <v>View Full Record in Web of Science</v>
      </c>
    </row>
    <row r="323" ht="12.75" customHeight="1">
      <c r="A323" s="1" t="s">
        <v>72</v>
      </c>
      <c r="B323" s="1" t="s">
        <v>3285</v>
      </c>
      <c r="C323" s="1" t="s">
        <v>74</v>
      </c>
      <c r="D323" s="1" t="s">
        <v>74</v>
      </c>
      <c r="E323" s="1" t="s">
        <v>74</v>
      </c>
      <c r="F323" s="1" t="s">
        <v>3286</v>
      </c>
      <c r="G323" s="1" t="s">
        <v>74</v>
      </c>
      <c r="H323" s="1" t="s">
        <v>74</v>
      </c>
      <c r="I323" s="1" t="s">
        <v>3287</v>
      </c>
      <c r="J323" s="1" t="s">
        <v>3288</v>
      </c>
      <c r="K323" s="1" t="s">
        <v>74</v>
      </c>
      <c r="L323" s="1" t="s">
        <v>74</v>
      </c>
      <c r="M323" s="1" t="s">
        <v>74</v>
      </c>
      <c r="N323" s="1" t="s">
        <v>74</v>
      </c>
      <c r="O323" s="1" t="s">
        <v>74</v>
      </c>
      <c r="P323" s="1" t="s">
        <v>74</v>
      </c>
      <c r="Q323" s="1" t="s">
        <v>74</v>
      </c>
      <c r="R323" s="1" t="s">
        <v>74</v>
      </c>
      <c r="S323" s="1" t="s">
        <v>74</v>
      </c>
      <c r="T323" s="1" t="s">
        <v>74</v>
      </c>
      <c r="U323" s="1" t="s">
        <v>74</v>
      </c>
      <c r="V323" s="1" t="s">
        <v>3289</v>
      </c>
      <c r="W323" s="1" t="s">
        <v>74</v>
      </c>
      <c r="X323" s="1" t="s">
        <v>74</v>
      </c>
      <c r="Y323" s="1" t="s">
        <v>74</v>
      </c>
      <c r="Z323" s="1" t="s">
        <v>74</v>
      </c>
      <c r="AA323" s="1" t="s">
        <v>3290</v>
      </c>
      <c r="AB323" s="1" t="s">
        <v>3291</v>
      </c>
      <c r="AC323" s="1" t="s">
        <v>74</v>
      </c>
      <c r="AD323" s="1" t="s">
        <v>74</v>
      </c>
      <c r="AE323" s="1" t="s">
        <v>74</v>
      </c>
      <c r="AF323" s="1" t="s">
        <v>74</v>
      </c>
      <c r="AG323" s="1" t="s">
        <v>74</v>
      </c>
      <c r="AH323" s="1" t="s">
        <v>74</v>
      </c>
      <c r="AI323" s="1" t="s">
        <v>74</v>
      </c>
      <c r="AJ323" s="1" t="s">
        <v>74</v>
      </c>
      <c r="AK323" s="1" t="s">
        <v>74</v>
      </c>
      <c r="AL323" s="1" t="s">
        <v>74</v>
      </c>
      <c r="AM323" s="1" t="s">
        <v>74</v>
      </c>
      <c r="AN323" s="1" t="s">
        <v>74</v>
      </c>
      <c r="AO323" s="1" t="s">
        <v>3292</v>
      </c>
      <c r="AP323" s="1" t="s">
        <v>3293</v>
      </c>
      <c r="AQ323" s="1" t="s">
        <v>74</v>
      </c>
      <c r="AR323" s="1" t="s">
        <v>74</v>
      </c>
      <c r="AS323" s="1" t="s">
        <v>74</v>
      </c>
      <c r="AT323" s="1" t="s">
        <v>289</v>
      </c>
      <c r="AU323" s="1">
        <v>2013.0</v>
      </c>
      <c r="AV323" s="1">
        <v>61.0</v>
      </c>
      <c r="AW323" s="1" t="s">
        <v>74</v>
      </c>
      <c r="AX323" s="1" t="s">
        <v>74</v>
      </c>
      <c r="AY323" s="1" t="s">
        <v>74</v>
      </c>
      <c r="AZ323" s="1" t="s">
        <v>74</v>
      </c>
      <c r="BA323" s="1" t="s">
        <v>74</v>
      </c>
      <c r="BB323" s="1">
        <v>73.0</v>
      </c>
      <c r="BC323" s="1">
        <v>81.0</v>
      </c>
      <c r="BD323" s="1" t="s">
        <v>74</v>
      </c>
      <c r="BE323" s="1" t="s">
        <v>3294</v>
      </c>
      <c r="BF323" s="2" t="str">
        <f>HYPERLINK("http://dx.doi.org/10.1016/j.ijheatmasstransfer.2013.01.079","http://dx.doi.org/10.1016/j.ijheatmasstransfer.2013.01.079")</f>
        <v>http://dx.doi.org/10.1016/j.ijheatmasstransfer.2013.01.079</v>
      </c>
      <c r="BG323" s="1" t="s">
        <v>74</v>
      </c>
      <c r="BH323" s="1" t="s">
        <v>74</v>
      </c>
      <c r="BI323" s="1" t="s">
        <v>74</v>
      </c>
      <c r="BJ323" s="1" t="s">
        <v>74</v>
      </c>
      <c r="BK323" s="1" t="s">
        <v>74</v>
      </c>
      <c r="BL323" s="1" t="s">
        <v>74</v>
      </c>
      <c r="BM323" s="1" t="s">
        <v>74</v>
      </c>
      <c r="BN323" s="1" t="s">
        <v>74</v>
      </c>
      <c r="BO323" s="1" t="s">
        <v>74</v>
      </c>
      <c r="BP323" s="1" t="s">
        <v>74</v>
      </c>
      <c r="BQ323" s="1" t="s">
        <v>74</v>
      </c>
      <c r="BR323" s="1" t="s">
        <v>74</v>
      </c>
      <c r="BS323" s="1" t="s">
        <v>3295</v>
      </c>
      <c r="BT323" s="1" t="str">
        <f>HYPERLINK("https%3A%2F%2Fwww.webofscience.com%2Fwos%2Fwoscc%2Ffull-record%2FWOS:000318260200008","View Full Record in Web of Science")</f>
        <v>View Full Record in Web of Science</v>
      </c>
    </row>
    <row r="324" ht="12.75" customHeight="1">
      <c r="A324" s="1" t="s">
        <v>72</v>
      </c>
      <c r="B324" s="1" t="s">
        <v>3296</v>
      </c>
      <c r="C324" s="1" t="s">
        <v>74</v>
      </c>
      <c r="D324" s="1" t="s">
        <v>74</v>
      </c>
      <c r="E324" s="1" t="s">
        <v>74</v>
      </c>
      <c r="F324" s="1" t="s">
        <v>3297</v>
      </c>
      <c r="G324" s="1" t="s">
        <v>74</v>
      </c>
      <c r="H324" s="1" t="s">
        <v>74</v>
      </c>
      <c r="I324" s="1" t="s">
        <v>3298</v>
      </c>
      <c r="J324" s="1" t="s">
        <v>1542</v>
      </c>
      <c r="K324" s="1" t="s">
        <v>74</v>
      </c>
      <c r="L324" s="1" t="s">
        <v>74</v>
      </c>
      <c r="M324" s="1" t="s">
        <v>74</v>
      </c>
      <c r="N324" s="1" t="s">
        <v>74</v>
      </c>
      <c r="O324" s="1" t="s">
        <v>74</v>
      </c>
      <c r="P324" s="1" t="s">
        <v>74</v>
      </c>
      <c r="Q324" s="1" t="s">
        <v>74</v>
      </c>
      <c r="R324" s="1" t="s">
        <v>74</v>
      </c>
      <c r="S324" s="1" t="s">
        <v>74</v>
      </c>
      <c r="T324" s="1" t="s">
        <v>74</v>
      </c>
      <c r="U324" s="1" t="s">
        <v>74</v>
      </c>
      <c r="V324" s="1" t="s">
        <v>3299</v>
      </c>
      <c r="W324" s="1" t="s">
        <v>74</v>
      </c>
      <c r="X324" s="1" t="s">
        <v>74</v>
      </c>
      <c r="Y324" s="1" t="s">
        <v>74</v>
      </c>
      <c r="Z324" s="1" t="s">
        <v>74</v>
      </c>
      <c r="AA324" s="1" t="s">
        <v>74</v>
      </c>
      <c r="AB324" s="1" t="s">
        <v>3300</v>
      </c>
      <c r="AC324" s="1" t="s">
        <v>74</v>
      </c>
      <c r="AD324" s="1" t="s">
        <v>74</v>
      </c>
      <c r="AE324" s="1" t="s">
        <v>74</v>
      </c>
      <c r="AF324" s="1" t="s">
        <v>74</v>
      </c>
      <c r="AG324" s="1" t="s">
        <v>74</v>
      </c>
      <c r="AH324" s="1" t="s">
        <v>74</v>
      </c>
      <c r="AI324" s="1" t="s">
        <v>74</v>
      </c>
      <c r="AJ324" s="1" t="s">
        <v>74</v>
      </c>
      <c r="AK324" s="1" t="s">
        <v>74</v>
      </c>
      <c r="AL324" s="1" t="s">
        <v>74</v>
      </c>
      <c r="AM324" s="1" t="s">
        <v>74</v>
      </c>
      <c r="AN324" s="1" t="s">
        <v>74</v>
      </c>
      <c r="AO324" s="1" t="s">
        <v>1546</v>
      </c>
      <c r="AP324" s="1" t="s">
        <v>1547</v>
      </c>
      <c r="AQ324" s="1" t="s">
        <v>74</v>
      </c>
      <c r="AR324" s="1" t="s">
        <v>74</v>
      </c>
      <c r="AS324" s="1" t="s">
        <v>74</v>
      </c>
      <c r="AT324" s="1" t="s">
        <v>841</v>
      </c>
      <c r="AU324" s="1">
        <v>2013.0</v>
      </c>
      <c r="AV324" s="1">
        <v>73.0</v>
      </c>
      <c r="AW324" s="1">
        <v>4.0</v>
      </c>
      <c r="AX324" s="1" t="s">
        <v>74</v>
      </c>
      <c r="AY324" s="1" t="s">
        <v>74</v>
      </c>
      <c r="AZ324" s="1" t="s">
        <v>74</v>
      </c>
      <c r="BA324" s="1" t="s">
        <v>74</v>
      </c>
      <c r="BB324" s="1" t="s">
        <v>74</v>
      </c>
      <c r="BC324" s="1" t="s">
        <v>74</v>
      </c>
      <c r="BD324" s="1">
        <v>2391.0</v>
      </c>
      <c r="BE324" s="1" t="s">
        <v>3301</v>
      </c>
      <c r="BF324" s="2" t="str">
        <f>HYPERLINK("http://dx.doi.org/10.1140/epjc/s10052-013-2391-0","http://dx.doi.org/10.1140/epjc/s10052-013-2391-0")</f>
        <v>http://dx.doi.org/10.1140/epjc/s10052-013-2391-0</v>
      </c>
      <c r="BG324" s="1" t="s">
        <v>74</v>
      </c>
      <c r="BH324" s="1" t="s">
        <v>74</v>
      </c>
      <c r="BI324" s="1" t="s">
        <v>74</v>
      </c>
      <c r="BJ324" s="1" t="s">
        <v>74</v>
      </c>
      <c r="BK324" s="1" t="s">
        <v>74</v>
      </c>
      <c r="BL324" s="1" t="s">
        <v>74</v>
      </c>
      <c r="BM324" s="1" t="s">
        <v>74</v>
      </c>
      <c r="BN324" s="1" t="s">
        <v>74</v>
      </c>
      <c r="BO324" s="1" t="s">
        <v>74</v>
      </c>
      <c r="BP324" s="1" t="s">
        <v>74</v>
      </c>
      <c r="BQ324" s="1" t="s">
        <v>74</v>
      </c>
      <c r="BR324" s="1" t="s">
        <v>74</v>
      </c>
      <c r="BS324" s="1" t="s">
        <v>3302</v>
      </c>
      <c r="BT324" s="1" t="str">
        <f>HYPERLINK("https%3A%2F%2Fwww.webofscience.com%2Fwos%2Fwoscc%2Ffull-record%2FWOS:000318292200027","View Full Record in Web of Science")</f>
        <v>View Full Record in Web of Science</v>
      </c>
    </row>
    <row r="325" ht="12.75" customHeight="1">
      <c r="A325" s="1" t="s">
        <v>147</v>
      </c>
      <c r="B325" s="1" t="s">
        <v>3303</v>
      </c>
      <c r="C325" s="1" t="s">
        <v>3304</v>
      </c>
      <c r="D325" s="1" t="s">
        <v>3305</v>
      </c>
      <c r="E325" s="1" t="s">
        <v>74</v>
      </c>
      <c r="F325" s="1" t="s">
        <v>3306</v>
      </c>
      <c r="G325" s="1" t="s">
        <v>3304</v>
      </c>
      <c r="H325" s="1" t="s">
        <v>74</v>
      </c>
      <c r="I325" s="1" t="s">
        <v>3307</v>
      </c>
      <c r="J325" s="1" t="s">
        <v>3308</v>
      </c>
      <c r="K325" s="1" t="s">
        <v>3309</v>
      </c>
      <c r="L325" s="1" t="s">
        <v>74</v>
      </c>
      <c r="M325" s="1" t="s">
        <v>74</v>
      </c>
      <c r="N325" s="1" t="s">
        <v>74</v>
      </c>
      <c r="O325" s="1" t="s">
        <v>3310</v>
      </c>
      <c r="P325" s="1" t="s">
        <v>3311</v>
      </c>
      <c r="Q325" s="1" t="s">
        <v>3312</v>
      </c>
      <c r="R325" s="1" t="s">
        <v>3313</v>
      </c>
      <c r="S325" s="1" t="s">
        <v>3314</v>
      </c>
      <c r="T325" s="1" t="s">
        <v>74</v>
      </c>
      <c r="U325" s="1" t="s">
        <v>74</v>
      </c>
      <c r="V325" s="1" t="s">
        <v>3315</v>
      </c>
      <c r="W325" s="1" t="s">
        <v>74</v>
      </c>
      <c r="X325" s="1" t="s">
        <v>74</v>
      </c>
      <c r="Y325" s="1" t="s">
        <v>74</v>
      </c>
      <c r="Z325" s="1" t="s">
        <v>74</v>
      </c>
      <c r="AA325" s="1" t="s">
        <v>3316</v>
      </c>
      <c r="AB325" s="1" t="s">
        <v>3317</v>
      </c>
      <c r="AC325" s="1" t="s">
        <v>74</v>
      </c>
      <c r="AD325" s="1" t="s">
        <v>74</v>
      </c>
      <c r="AE325" s="1" t="s">
        <v>74</v>
      </c>
      <c r="AF325" s="1" t="s">
        <v>74</v>
      </c>
      <c r="AG325" s="1" t="s">
        <v>74</v>
      </c>
      <c r="AH325" s="1" t="s">
        <v>74</v>
      </c>
      <c r="AI325" s="1" t="s">
        <v>74</v>
      </c>
      <c r="AJ325" s="1" t="s">
        <v>74</v>
      </c>
      <c r="AK325" s="1" t="s">
        <v>74</v>
      </c>
      <c r="AL325" s="1" t="s">
        <v>74</v>
      </c>
      <c r="AM325" s="1" t="s">
        <v>74</v>
      </c>
      <c r="AN325" s="1" t="s">
        <v>74</v>
      </c>
      <c r="AO325" s="1" t="s">
        <v>3318</v>
      </c>
      <c r="AP325" s="1" t="s">
        <v>74</v>
      </c>
      <c r="AQ325" s="1" t="s">
        <v>3319</v>
      </c>
      <c r="AR325" s="1" t="s">
        <v>74</v>
      </c>
      <c r="AS325" s="1" t="s">
        <v>74</v>
      </c>
      <c r="AT325" s="1" t="s">
        <v>74</v>
      </c>
      <c r="AU325" s="1">
        <v>2013.0</v>
      </c>
      <c r="AV325" s="1" t="s">
        <v>74</v>
      </c>
      <c r="AW325" s="1" t="s">
        <v>74</v>
      </c>
      <c r="AX325" s="1" t="s">
        <v>74</v>
      </c>
      <c r="AY325" s="1" t="s">
        <v>74</v>
      </c>
      <c r="AZ325" s="1" t="s">
        <v>74</v>
      </c>
      <c r="BA325" s="1" t="s">
        <v>74</v>
      </c>
      <c r="BB325" s="1">
        <v>2156.0</v>
      </c>
      <c r="BC325" s="1" t="s">
        <v>265</v>
      </c>
      <c r="BD325" s="1" t="s">
        <v>74</v>
      </c>
      <c r="BE325" s="1" t="s">
        <v>74</v>
      </c>
      <c r="BF325" s="1" t="s">
        <v>74</v>
      </c>
      <c r="BG325" s="1" t="s">
        <v>74</v>
      </c>
      <c r="BH325" s="1" t="s">
        <v>74</v>
      </c>
      <c r="BI325" s="1" t="s">
        <v>74</v>
      </c>
      <c r="BJ325" s="1" t="s">
        <v>74</v>
      </c>
      <c r="BK325" s="1" t="s">
        <v>74</v>
      </c>
      <c r="BL325" s="1" t="s">
        <v>74</v>
      </c>
      <c r="BM325" s="1" t="s">
        <v>74</v>
      </c>
      <c r="BN325" s="1" t="s">
        <v>74</v>
      </c>
      <c r="BO325" s="1" t="s">
        <v>74</v>
      </c>
      <c r="BP325" s="1" t="s">
        <v>74</v>
      </c>
      <c r="BQ325" s="1" t="s">
        <v>74</v>
      </c>
      <c r="BR325" s="1" t="s">
        <v>74</v>
      </c>
      <c r="BS325" s="1" t="s">
        <v>3320</v>
      </c>
      <c r="BT325" s="1" t="str">
        <f>HYPERLINK("https%3A%2F%2Fwww.webofscience.com%2Fwos%2Fwoscc%2Ffull-record%2FWOS:000335870100127","View Full Record in Web of Science")</f>
        <v>View Full Record in Web of Science</v>
      </c>
    </row>
    <row r="326" ht="12.75" customHeight="1">
      <c r="A326" s="1" t="s">
        <v>72</v>
      </c>
      <c r="B326" s="1" t="s">
        <v>3321</v>
      </c>
      <c r="C326" s="1" t="s">
        <v>74</v>
      </c>
      <c r="D326" s="1" t="s">
        <v>74</v>
      </c>
      <c r="E326" s="1" t="s">
        <v>74</v>
      </c>
      <c r="F326" s="1" t="s">
        <v>3322</v>
      </c>
      <c r="G326" s="1" t="s">
        <v>74</v>
      </c>
      <c r="H326" s="1" t="s">
        <v>74</v>
      </c>
      <c r="I326" s="1" t="s">
        <v>3323</v>
      </c>
      <c r="J326" s="1" t="s">
        <v>3324</v>
      </c>
      <c r="K326" s="1" t="s">
        <v>74</v>
      </c>
      <c r="L326" s="1" t="s">
        <v>74</v>
      </c>
      <c r="M326" s="1" t="s">
        <v>74</v>
      </c>
      <c r="N326" s="1" t="s">
        <v>74</v>
      </c>
      <c r="O326" s="1" t="s">
        <v>74</v>
      </c>
      <c r="P326" s="1" t="s">
        <v>74</v>
      </c>
      <c r="Q326" s="1" t="s">
        <v>74</v>
      </c>
      <c r="R326" s="1" t="s">
        <v>74</v>
      </c>
      <c r="S326" s="1" t="s">
        <v>74</v>
      </c>
      <c r="T326" s="1" t="s">
        <v>74</v>
      </c>
      <c r="U326" s="1" t="s">
        <v>74</v>
      </c>
      <c r="V326" s="1" t="s">
        <v>3325</v>
      </c>
      <c r="W326" s="1" t="s">
        <v>74</v>
      </c>
      <c r="X326" s="1" t="s">
        <v>74</v>
      </c>
      <c r="Y326" s="1" t="s">
        <v>74</v>
      </c>
      <c r="Z326" s="1" t="s">
        <v>74</v>
      </c>
      <c r="AA326" s="1" t="s">
        <v>3326</v>
      </c>
      <c r="AB326" s="1" t="s">
        <v>3327</v>
      </c>
      <c r="AC326" s="1" t="s">
        <v>74</v>
      </c>
      <c r="AD326" s="1" t="s">
        <v>74</v>
      </c>
      <c r="AE326" s="1" t="s">
        <v>74</v>
      </c>
      <c r="AF326" s="1" t="s">
        <v>74</v>
      </c>
      <c r="AG326" s="1" t="s">
        <v>74</v>
      </c>
      <c r="AH326" s="1" t="s">
        <v>74</v>
      </c>
      <c r="AI326" s="1" t="s">
        <v>74</v>
      </c>
      <c r="AJ326" s="1" t="s">
        <v>74</v>
      </c>
      <c r="AK326" s="1" t="s">
        <v>74</v>
      </c>
      <c r="AL326" s="1" t="s">
        <v>74</v>
      </c>
      <c r="AM326" s="1" t="s">
        <v>74</v>
      </c>
      <c r="AN326" s="1" t="s">
        <v>74</v>
      </c>
      <c r="AO326" s="1" t="s">
        <v>3328</v>
      </c>
      <c r="AP326" s="1" t="s">
        <v>74</v>
      </c>
      <c r="AQ326" s="1" t="s">
        <v>74</v>
      </c>
      <c r="AR326" s="1" t="s">
        <v>74</v>
      </c>
      <c r="AS326" s="1" t="s">
        <v>74</v>
      </c>
      <c r="AT326" s="1" t="s">
        <v>74</v>
      </c>
      <c r="AU326" s="1">
        <v>2012.0</v>
      </c>
      <c r="AV326" s="1" t="s">
        <v>74</v>
      </c>
      <c r="AW326" s="1" t="s">
        <v>74</v>
      </c>
      <c r="AX326" s="1" t="s">
        <v>74</v>
      </c>
      <c r="AY326" s="1" t="s">
        <v>74</v>
      </c>
      <c r="AZ326" s="1" t="s">
        <v>74</v>
      </c>
      <c r="BA326" s="1" t="s">
        <v>74</v>
      </c>
      <c r="BB326" s="1" t="s">
        <v>74</v>
      </c>
      <c r="BC326" s="1" t="s">
        <v>74</v>
      </c>
      <c r="BD326" s="1">
        <v>168148.0</v>
      </c>
      <c r="BE326" s="1" t="s">
        <v>3329</v>
      </c>
      <c r="BF326" s="2" t="str">
        <f>HYPERLINK("http://dx.doi.org/10.1100/2012/168148","http://dx.doi.org/10.1100/2012/168148")</f>
        <v>http://dx.doi.org/10.1100/2012/168148</v>
      </c>
      <c r="BG326" s="1" t="s">
        <v>74</v>
      </c>
      <c r="BH326" s="1" t="s">
        <v>74</v>
      </c>
      <c r="BI326" s="1" t="s">
        <v>74</v>
      </c>
      <c r="BJ326" s="1" t="s">
        <v>74</v>
      </c>
      <c r="BK326" s="1" t="s">
        <v>74</v>
      </c>
      <c r="BL326" s="1" t="s">
        <v>74</v>
      </c>
      <c r="BM326" s="1" t="s">
        <v>74</v>
      </c>
      <c r="BN326" s="1">
        <v>2.261961E7</v>
      </c>
      <c r="BO326" s="1" t="s">
        <v>74</v>
      </c>
      <c r="BP326" s="1" t="s">
        <v>74</v>
      </c>
      <c r="BQ326" s="1" t="s">
        <v>74</v>
      </c>
      <c r="BR326" s="1" t="s">
        <v>74</v>
      </c>
      <c r="BS326" s="1" t="s">
        <v>3330</v>
      </c>
      <c r="BT326" s="1" t="str">
        <f>HYPERLINK("https%3A%2F%2Fwww.webofscience.com%2Fwos%2Fwoscc%2Ffull-record%2FWOS:000303924800001","View Full Record in Web of Science")</f>
        <v>View Full Record in Web of Science</v>
      </c>
    </row>
    <row r="327" ht="12.75" customHeight="1">
      <c r="A327" s="1" t="s">
        <v>72</v>
      </c>
      <c r="B327" s="1" t="s">
        <v>3331</v>
      </c>
      <c r="C327" s="1" t="s">
        <v>74</v>
      </c>
      <c r="D327" s="1" t="s">
        <v>74</v>
      </c>
      <c r="E327" s="1" t="s">
        <v>74</v>
      </c>
      <c r="F327" s="1" t="s">
        <v>3332</v>
      </c>
      <c r="G327" s="1" t="s">
        <v>74</v>
      </c>
      <c r="H327" s="1" t="s">
        <v>74</v>
      </c>
      <c r="I327" s="1" t="s">
        <v>3333</v>
      </c>
      <c r="J327" s="1" t="s">
        <v>1816</v>
      </c>
      <c r="K327" s="1" t="s">
        <v>74</v>
      </c>
      <c r="L327" s="1" t="s">
        <v>74</v>
      </c>
      <c r="M327" s="1" t="s">
        <v>74</v>
      </c>
      <c r="N327" s="1" t="s">
        <v>74</v>
      </c>
      <c r="O327" s="1" t="s">
        <v>74</v>
      </c>
      <c r="P327" s="1" t="s">
        <v>74</v>
      </c>
      <c r="Q327" s="1" t="s">
        <v>74</v>
      </c>
      <c r="R327" s="1" t="s">
        <v>74</v>
      </c>
      <c r="S327" s="1" t="s">
        <v>74</v>
      </c>
      <c r="T327" s="1" t="s">
        <v>74</v>
      </c>
      <c r="U327" s="1" t="s">
        <v>74</v>
      </c>
      <c r="V327" s="1" t="s">
        <v>3334</v>
      </c>
      <c r="W327" s="1" t="s">
        <v>74</v>
      </c>
      <c r="X327" s="1" t="s">
        <v>74</v>
      </c>
      <c r="Y327" s="1" t="s">
        <v>74</v>
      </c>
      <c r="Z327" s="1" t="s">
        <v>74</v>
      </c>
      <c r="AA327" s="1" t="s">
        <v>1746</v>
      </c>
      <c r="AB327" s="1" t="s">
        <v>1747</v>
      </c>
      <c r="AC327" s="1" t="s">
        <v>74</v>
      </c>
      <c r="AD327" s="1" t="s">
        <v>74</v>
      </c>
      <c r="AE327" s="1" t="s">
        <v>74</v>
      </c>
      <c r="AF327" s="1" t="s">
        <v>74</v>
      </c>
      <c r="AG327" s="1" t="s">
        <v>74</v>
      </c>
      <c r="AH327" s="1" t="s">
        <v>74</v>
      </c>
      <c r="AI327" s="1" t="s">
        <v>74</v>
      </c>
      <c r="AJ327" s="1" t="s">
        <v>74</v>
      </c>
      <c r="AK327" s="1" t="s">
        <v>74</v>
      </c>
      <c r="AL327" s="1" t="s">
        <v>74</v>
      </c>
      <c r="AM327" s="1" t="s">
        <v>74</v>
      </c>
      <c r="AN327" s="1" t="s">
        <v>74</v>
      </c>
      <c r="AO327" s="1" t="s">
        <v>1819</v>
      </c>
      <c r="AP327" s="1" t="s">
        <v>1820</v>
      </c>
      <c r="AQ327" s="1" t="s">
        <v>74</v>
      </c>
      <c r="AR327" s="1" t="s">
        <v>74</v>
      </c>
      <c r="AS327" s="1" t="s">
        <v>74</v>
      </c>
      <c r="AT327" s="1" t="s">
        <v>289</v>
      </c>
      <c r="AU327" s="1">
        <v>2011.0</v>
      </c>
      <c r="AV327" s="1">
        <v>92.0</v>
      </c>
      <c r="AW327" s="1">
        <v>6.0</v>
      </c>
      <c r="AX327" s="1" t="s">
        <v>74</v>
      </c>
      <c r="AY327" s="1" t="s">
        <v>74</v>
      </c>
      <c r="AZ327" s="1" t="s">
        <v>74</v>
      </c>
      <c r="BA327" s="1" t="s">
        <v>74</v>
      </c>
      <c r="BB327" s="1">
        <v>1591.0</v>
      </c>
      <c r="BC327" s="1">
        <v>1608.0</v>
      </c>
      <c r="BD327" s="1" t="s">
        <v>74</v>
      </c>
      <c r="BE327" s="1" t="s">
        <v>3335</v>
      </c>
      <c r="BF327" s="2" t="str">
        <f>HYPERLINK("http://dx.doi.org/10.1016/j.jenvman.2011.01.015","http://dx.doi.org/10.1016/j.jenvman.2011.01.015")</f>
        <v>http://dx.doi.org/10.1016/j.jenvman.2011.01.015</v>
      </c>
      <c r="BG327" s="1" t="s">
        <v>74</v>
      </c>
      <c r="BH327" s="1" t="s">
        <v>74</v>
      </c>
      <c r="BI327" s="1" t="s">
        <v>74</v>
      </c>
      <c r="BJ327" s="1" t="s">
        <v>74</v>
      </c>
      <c r="BK327" s="1" t="s">
        <v>74</v>
      </c>
      <c r="BL327" s="1" t="s">
        <v>74</v>
      </c>
      <c r="BM327" s="1" t="s">
        <v>74</v>
      </c>
      <c r="BN327" s="1">
        <v>2.1320744E7</v>
      </c>
      <c r="BO327" s="1" t="s">
        <v>74</v>
      </c>
      <c r="BP327" s="1" t="s">
        <v>74</v>
      </c>
      <c r="BQ327" s="1" t="s">
        <v>74</v>
      </c>
      <c r="BR327" s="1" t="s">
        <v>74</v>
      </c>
      <c r="BS327" s="1" t="s">
        <v>3336</v>
      </c>
      <c r="BT327" s="1" t="str">
        <f>HYPERLINK("https%3A%2F%2Fwww.webofscience.com%2Fwos%2Fwoscc%2Ffull-record%2FWOS:000289137000019","View Full Record in Web of Science")</f>
        <v>View Full Record in Web of Science</v>
      </c>
    </row>
    <row r="328" ht="12.75" customHeight="1">
      <c r="A328" s="1" t="s">
        <v>72</v>
      </c>
      <c r="B328" s="1" t="s">
        <v>3337</v>
      </c>
      <c r="C328" s="1" t="s">
        <v>74</v>
      </c>
      <c r="D328" s="1" t="s">
        <v>74</v>
      </c>
      <c r="E328" s="1" t="s">
        <v>74</v>
      </c>
      <c r="F328" s="1" t="s">
        <v>3338</v>
      </c>
      <c r="G328" s="1" t="s">
        <v>74</v>
      </c>
      <c r="H328" s="1" t="s">
        <v>74</v>
      </c>
      <c r="I328" s="1" t="s">
        <v>3339</v>
      </c>
      <c r="J328" s="1" t="s">
        <v>3340</v>
      </c>
      <c r="K328" s="1" t="s">
        <v>74</v>
      </c>
      <c r="L328" s="1" t="s">
        <v>74</v>
      </c>
      <c r="M328" s="1" t="s">
        <v>74</v>
      </c>
      <c r="N328" s="1" t="s">
        <v>74</v>
      </c>
      <c r="O328" s="1" t="s">
        <v>74</v>
      </c>
      <c r="P328" s="1" t="s">
        <v>74</v>
      </c>
      <c r="Q328" s="1" t="s">
        <v>74</v>
      </c>
      <c r="R328" s="1" t="s">
        <v>74</v>
      </c>
      <c r="S328" s="1" t="s">
        <v>74</v>
      </c>
      <c r="T328" s="1" t="s">
        <v>74</v>
      </c>
      <c r="U328" s="1" t="s">
        <v>74</v>
      </c>
      <c r="V328" s="1" t="s">
        <v>3341</v>
      </c>
      <c r="W328" s="1" t="s">
        <v>74</v>
      </c>
      <c r="X328" s="1" t="s">
        <v>74</v>
      </c>
      <c r="Y328" s="1" t="s">
        <v>74</v>
      </c>
      <c r="Z328" s="1" t="s">
        <v>74</v>
      </c>
      <c r="AA328" s="1" t="s">
        <v>1727</v>
      </c>
      <c r="AB328" s="1" t="s">
        <v>74</v>
      </c>
      <c r="AC328" s="1" t="s">
        <v>74</v>
      </c>
      <c r="AD328" s="1" t="s">
        <v>74</v>
      </c>
      <c r="AE328" s="1" t="s">
        <v>74</v>
      </c>
      <c r="AF328" s="1" t="s">
        <v>74</v>
      </c>
      <c r="AG328" s="1" t="s">
        <v>74</v>
      </c>
      <c r="AH328" s="1" t="s">
        <v>74</v>
      </c>
      <c r="AI328" s="1" t="s">
        <v>74</v>
      </c>
      <c r="AJ328" s="1" t="s">
        <v>74</v>
      </c>
      <c r="AK328" s="1" t="s">
        <v>74</v>
      </c>
      <c r="AL328" s="1" t="s">
        <v>74</v>
      </c>
      <c r="AM328" s="1" t="s">
        <v>74</v>
      </c>
      <c r="AN328" s="1" t="s">
        <v>74</v>
      </c>
      <c r="AO328" s="1" t="s">
        <v>3342</v>
      </c>
      <c r="AP328" s="1" t="s">
        <v>3343</v>
      </c>
      <c r="AQ328" s="1" t="s">
        <v>74</v>
      </c>
      <c r="AR328" s="1" t="s">
        <v>74</v>
      </c>
      <c r="AS328" s="1" t="s">
        <v>74</v>
      </c>
      <c r="AT328" s="1" t="s">
        <v>74</v>
      </c>
      <c r="AU328" s="1">
        <v>2011.0</v>
      </c>
      <c r="AV328" s="1">
        <v>12.0</v>
      </c>
      <c r="AW328" s="1">
        <v>2.0</v>
      </c>
      <c r="AX328" s="1" t="s">
        <v>74</v>
      </c>
      <c r="AY328" s="1" t="s">
        <v>74</v>
      </c>
      <c r="AZ328" s="1" t="s">
        <v>74</v>
      </c>
      <c r="BA328" s="1" t="s">
        <v>74</v>
      </c>
      <c r="BB328" s="1">
        <v>225.0</v>
      </c>
      <c r="BC328" s="1">
        <v>240.0</v>
      </c>
      <c r="BD328" s="1" t="s">
        <v>74</v>
      </c>
      <c r="BE328" s="1" t="s">
        <v>74</v>
      </c>
      <c r="BF328" s="1" t="s">
        <v>74</v>
      </c>
      <c r="BG328" s="1" t="s">
        <v>74</v>
      </c>
      <c r="BH328" s="1" t="s">
        <v>74</v>
      </c>
      <c r="BI328" s="1" t="s">
        <v>74</v>
      </c>
      <c r="BJ328" s="1" t="s">
        <v>74</v>
      </c>
      <c r="BK328" s="1" t="s">
        <v>74</v>
      </c>
      <c r="BL328" s="1" t="s">
        <v>74</v>
      </c>
      <c r="BM328" s="1" t="s">
        <v>74</v>
      </c>
      <c r="BN328" s="1" t="s">
        <v>74</v>
      </c>
      <c r="BO328" s="1" t="s">
        <v>74</v>
      </c>
      <c r="BP328" s="1" t="s">
        <v>74</v>
      </c>
      <c r="BQ328" s="1" t="s">
        <v>74</v>
      </c>
      <c r="BR328" s="1" t="s">
        <v>74</v>
      </c>
      <c r="BS328" s="1" t="s">
        <v>3344</v>
      </c>
      <c r="BT328" s="1" t="str">
        <f>HYPERLINK("https%3A%2F%2Fwww.webofscience.com%2Fwos%2Fwoscc%2Ffull-record%2FWOS:000294750000002","View Full Record in Web of Science")</f>
        <v>View Full Record in Web of Science</v>
      </c>
    </row>
    <row r="329" ht="12.75" customHeight="1">
      <c r="A329" s="1" t="s">
        <v>72</v>
      </c>
      <c r="B329" s="1" t="s">
        <v>3345</v>
      </c>
      <c r="C329" s="1" t="s">
        <v>74</v>
      </c>
      <c r="D329" s="1" t="s">
        <v>74</v>
      </c>
      <c r="E329" s="1" t="s">
        <v>74</v>
      </c>
      <c r="F329" s="1" t="s">
        <v>3346</v>
      </c>
      <c r="G329" s="1" t="s">
        <v>74</v>
      </c>
      <c r="H329" s="1" t="s">
        <v>74</v>
      </c>
      <c r="I329" s="1" t="s">
        <v>3347</v>
      </c>
      <c r="J329" s="1" t="s">
        <v>3348</v>
      </c>
      <c r="K329" s="1" t="s">
        <v>74</v>
      </c>
      <c r="L329" s="1" t="s">
        <v>74</v>
      </c>
      <c r="M329" s="1" t="s">
        <v>74</v>
      </c>
      <c r="N329" s="1" t="s">
        <v>74</v>
      </c>
      <c r="O329" s="1" t="s">
        <v>74</v>
      </c>
      <c r="P329" s="1" t="s">
        <v>74</v>
      </c>
      <c r="Q329" s="1" t="s">
        <v>74</v>
      </c>
      <c r="R329" s="1" t="s">
        <v>74</v>
      </c>
      <c r="S329" s="1" t="s">
        <v>74</v>
      </c>
      <c r="T329" s="1" t="s">
        <v>74</v>
      </c>
      <c r="U329" s="1" t="s">
        <v>74</v>
      </c>
      <c r="V329" s="1" t="s">
        <v>3349</v>
      </c>
      <c r="W329" s="1" t="s">
        <v>74</v>
      </c>
      <c r="X329" s="1" t="s">
        <v>74</v>
      </c>
      <c r="Y329" s="1" t="s">
        <v>74</v>
      </c>
      <c r="Z329" s="1" t="s">
        <v>74</v>
      </c>
      <c r="AA329" s="1" t="s">
        <v>3350</v>
      </c>
      <c r="AB329" s="1" t="s">
        <v>3351</v>
      </c>
      <c r="AC329" s="1" t="s">
        <v>74</v>
      </c>
      <c r="AD329" s="1" t="s">
        <v>74</v>
      </c>
      <c r="AE329" s="1" t="s">
        <v>74</v>
      </c>
      <c r="AF329" s="1" t="s">
        <v>74</v>
      </c>
      <c r="AG329" s="1" t="s">
        <v>74</v>
      </c>
      <c r="AH329" s="1" t="s">
        <v>74</v>
      </c>
      <c r="AI329" s="1" t="s">
        <v>74</v>
      </c>
      <c r="AJ329" s="1" t="s">
        <v>74</v>
      </c>
      <c r="AK329" s="1" t="s">
        <v>74</v>
      </c>
      <c r="AL329" s="1" t="s">
        <v>74</v>
      </c>
      <c r="AM329" s="1" t="s">
        <v>74</v>
      </c>
      <c r="AN329" s="1" t="s">
        <v>74</v>
      </c>
      <c r="AO329" s="1" t="s">
        <v>3352</v>
      </c>
      <c r="AP329" s="1" t="s">
        <v>74</v>
      </c>
      <c r="AQ329" s="1" t="s">
        <v>74</v>
      </c>
      <c r="AR329" s="1" t="s">
        <v>74</v>
      </c>
      <c r="AS329" s="1" t="s">
        <v>74</v>
      </c>
      <c r="AT329" s="1" t="s">
        <v>363</v>
      </c>
      <c r="AU329" s="1">
        <v>2010.0</v>
      </c>
      <c r="AV329" s="1">
        <v>33.0</v>
      </c>
      <c r="AW329" s="1">
        <v>10.0</v>
      </c>
      <c r="AX329" s="1" t="s">
        <v>74</v>
      </c>
      <c r="AY329" s="1" t="s">
        <v>74</v>
      </c>
      <c r="AZ329" s="1" t="s">
        <v>74</v>
      </c>
      <c r="BA329" s="1" t="s">
        <v>74</v>
      </c>
      <c r="BB329" s="1">
        <v>1627.0</v>
      </c>
      <c r="BC329" s="1">
        <v>1640.0</v>
      </c>
      <c r="BD329" s="1" t="s">
        <v>74</v>
      </c>
      <c r="BE329" s="1" t="s">
        <v>3353</v>
      </c>
      <c r="BF329" s="2" t="str">
        <f>HYPERLINK("http://dx.doi.org/10.1111/j.1365-3040.2010.02169.x","http://dx.doi.org/10.1111/j.1365-3040.2010.02169.x")</f>
        <v>http://dx.doi.org/10.1111/j.1365-3040.2010.02169.x</v>
      </c>
      <c r="BG329" s="1" t="s">
        <v>74</v>
      </c>
      <c r="BH329" s="1" t="s">
        <v>74</v>
      </c>
      <c r="BI329" s="1" t="s">
        <v>74</v>
      </c>
      <c r="BJ329" s="1" t="s">
        <v>74</v>
      </c>
      <c r="BK329" s="1" t="s">
        <v>74</v>
      </c>
      <c r="BL329" s="1" t="s">
        <v>74</v>
      </c>
      <c r="BM329" s="1" t="s">
        <v>74</v>
      </c>
      <c r="BN329" s="1">
        <v>2.0444222E7</v>
      </c>
      <c r="BO329" s="1" t="s">
        <v>74</v>
      </c>
      <c r="BP329" s="1" t="s">
        <v>74</v>
      </c>
      <c r="BQ329" s="1" t="s">
        <v>74</v>
      </c>
      <c r="BR329" s="1" t="s">
        <v>74</v>
      </c>
      <c r="BS329" s="1" t="s">
        <v>3354</v>
      </c>
      <c r="BT329" s="1" t="str">
        <f>HYPERLINK("https%3A%2F%2Fwww.webofscience.com%2Fwos%2Fwoscc%2Ffull-record%2FWOS:000281638000003","View Full Record in Web of Science")</f>
        <v>View Full Record in Web of Science</v>
      </c>
    </row>
    <row r="330" ht="12.75" customHeight="1">
      <c r="A330" s="1" t="s">
        <v>72</v>
      </c>
      <c r="B330" s="1" t="s">
        <v>3355</v>
      </c>
      <c r="C330" s="1" t="s">
        <v>74</v>
      </c>
      <c r="D330" s="1" t="s">
        <v>74</v>
      </c>
      <c r="E330" s="1" t="s">
        <v>74</v>
      </c>
      <c r="F330" s="1" t="s">
        <v>3356</v>
      </c>
      <c r="G330" s="1" t="s">
        <v>74</v>
      </c>
      <c r="H330" s="1" t="s">
        <v>74</v>
      </c>
      <c r="I330" s="1" t="s">
        <v>3357</v>
      </c>
      <c r="J330" s="1" t="s">
        <v>3358</v>
      </c>
      <c r="K330" s="1" t="s">
        <v>74</v>
      </c>
      <c r="L330" s="1" t="s">
        <v>74</v>
      </c>
      <c r="M330" s="1" t="s">
        <v>74</v>
      </c>
      <c r="N330" s="1" t="s">
        <v>74</v>
      </c>
      <c r="O330" s="1" t="s">
        <v>74</v>
      </c>
      <c r="P330" s="1" t="s">
        <v>74</v>
      </c>
      <c r="Q330" s="1" t="s">
        <v>74</v>
      </c>
      <c r="R330" s="1" t="s">
        <v>74</v>
      </c>
      <c r="S330" s="1" t="s">
        <v>74</v>
      </c>
      <c r="T330" s="1" t="s">
        <v>74</v>
      </c>
      <c r="U330" s="1" t="s">
        <v>74</v>
      </c>
      <c r="V330" s="1" t="s">
        <v>3359</v>
      </c>
      <c r="W330" s="1" t="s">
        <v>74</v>
      </c>
      <c r="X330" s="1" t="s">
        <v>74</v>
      </c>
      <c r="Y330" s="1" t="s">
        <v>74</v>
      </c>
      <c r="Z330" s="1" t="s">
        <v>74</v>
      </c>
      <c r="AA330" s="1" t="s">
        <v>3360</v>
      </c>
      <c r="AB330" s="1" t="s">
        <v>3361</v>
      </c>
      <c r="AC330" s="1" t="s">
        <v>74</v>
      </c>
      <c r="AD330" s="1" t="s">
        <v>74</v>
      </c>
      <c r="AE330" s="1" t="s">
        <v>74</v>
      </c>
      <c r="AF330" s="1" t="s">
        <v>74</v>
      </c>
      <c r="AG330" s="1" t="s">
        <v>74</v>
      </c>
      <c r="AH330" s="1" t="s">
        <v>74</v>
      </c>
      <c r="AI330" s="1" t="s">
        <v>74</v>
      </c>
      <c r="AJ330" s="1" t="s">
        <v>74</v>
      </c>
      <c r="AK330" s="1" t="s">
        <v>74</v>
      </c>
      <c r="AL330" s="1" t="s">
        <v>74</v>
      </c>
      <c r="AM330" s="1" t="s">
        <v>74</v>
      </c>
      <c r="AN330" s="1" t="s">
        <v>74</v>
      </c>
      <c r="AO330" s="1" t="s">
        <v>3362</v>
      </c>
      <c r="AP330" s="1" t="s">
        <v>74</v>
      </c>
      <c r="AQ330" s="1" t="s">
        <v>74</v>
      </c>
      <c r="AR330" s="1" t="s">
        <v>74</v>
      </c>
      <c r="AS330" s="1" t="s">
        <v>74</v>
      </c>
      <c r="AT330" s="1" t="s">
        <v>1214</v>
      </c>
      <c r="AU330" s="1">
        <v>2010.0</v>
      </c>
      <c r="AV330" s="1">
        <v>46.0</v>
      </c>
      <c r="AW330" s="1">
        <v>2.0</v>
      </c>
      <c r="AX330" s="1" t="s">
        <v>74</v>
      </c>
      <c r="AY330" s="1" t="s">
        <v>74</v>
      </c>
      <c r="AZ330" s="1" t="s">
        <v>74</v>
      </c>
      <c r="BA330" s="1" t="s">
        <v>74</v>
      </c>
      <c r="BB330" s="1">
        <v>101.0</v>
      </c>
      <c r="BC330" s="1">
        <v>108.0</v>
      </c>
      <c r="BD330" s="1" t="s">
        <v>74</v>
      </c>
      <c r="BE330" s="1" t="s">
        <v>3363</v>
      </c>
      <c r="BF330" s="2" t="str">
        <f>HYPERLINK("http://dx.doi.org/10.3989/revmetalm.0834","http://dx.doi.org/10.3989/revmetalm.0834")</f>
        <v>http://dx.doi.org/10.3989/revmetalm.0834</v>
      </c>
      <c r="BG330" s="1" t="s">
        <v>74</v>
      </c>
      <c r="BH330" s="1" t="s">
        <v>74</v>
      </c>
      <c r="BI330" s="1" t="s">
        <v>74</v>
      </c>
      <c r="BJ330" s="1" t="s">
        <v>74</v>
      </c>
      <c r="BK330" s="1" t="s">
        <v>74</v>
      </c>
      <c r="BL330" s="1" t="s">
        <v>74</v>
      </c>
      <c r="BM330" s="1" t="s">
        <v>74</v>
      </c>
      <c r="BN330" s="1" t="s">
        <v>74</v>
      </c>
      <c r="BO330" s="1" t="s">
        <v>74</v>
      </c>
      <c r="BP330" s="1" t="s">
        <v>74</v>
      </c>
      <c r="BQ330" s="1" t="s">
        <v>74</v>
      </c>
      <c r="BR330" s="1" t="s">
        <v>74</v>
      </c>
      <c r="BS330" s="1" t="s">
        <v>3364</v>
      </c>
      <c r="BT330" s="1" t="str">
        <f>HYPERLINK("https%3A%2F%2Fwww.webofscience.com%2Fwos%2Fwoscc%2Ffull-record%2FWOS:000280261100001","View Full Record in Web of Science")</f>
        <v>View Full Record in Web of Science</v>
      </c>
    </row>
    <row r="331" ht="12.75" customHeight="1">
      <c r="A331" s="1" t="s">
        <v>72</v>
      </c>
      <c r="B331" s="1" t="s">
        <v>3365</v>
      </c>
      <c r="C331" s="1" t="s">
        <v>74</v>
      </c>
      <c r="D331" s="1" t="s">
        <v>74</v>
      </c>
      <c r="E331" s="1" t="s">
        <v>74</v>
      </c>
      <c r="F331" s="1" t="s">
        <v>3366</v>
      </c>
      <c r="G331" s="1" t="s">
        <v>74</v>
      </c>
      <c r="H331" s="1" t="s">
        <v>74</v>
      </c>
      <c r="I331" s="1" t="s">
        <v>3367</v>
      </c>
      <c r="J331" s="1" t="s">
        <v>3368</v>
      </c>
      <c r="K331" s="1" t="s">
        <v>74</v>
      </c>
      <c r="L331" s="1" t="s">
        <v>74</v>
      </c>
      <c r="M331" s="1" t="s">
        <v>74</v>
      </c>
      <c r="N331" s="1" t="s">
        <v>74</v>
      </c>
      <c r="O331" s="1" t="s">
        <v>74</v>
      </c>
      <c r="P331" s="1" t="s">
        <v>74</v>
      </c>
      <c r="Q331" s="1" t="s">
        <v>74</v>
      </c>
      <c r="R331" s="1" t="s">
        <v>74</v>
      </c>
      <c r="S331" s="1" t="s">
        <v>74</v>
      </c>
      <c r="T331" s="1" t="s">
        <v>74</v>
      </c>
      <c r="U331" s="1" t="s">
        <v>74</v>
      </c>
      <c r="V331" s="1" t="s">
        <v>3369</v>
      </c>
      <c r="W331" s="1" t="s">
        <v>74</v>
      </c>
      <c r="X331" s="1" t="s">
        <v>74</v>
      </c>
      <c r="Y331" s="1" t="s">
        <v>74</v>
      </c>
      <c r="Z331" s="1" t="s">
        <v>74</v>
      </c>
      <c r="AA331" s="1" t="s">
        <v>3370</v>
      </c>
      <c r="AB331" s="1" t="s">
        <v>3371</v>
      </c>
      <c r="AC331" s="1" t="s">
        <v>74</v>
      </c>
      <c r="AD331" s="1" t="s">
        <v>74</v>
      </c>
      <c r="AE331" s="1" t="s">
        <v>74</v>
      </c>
      <c r="AF331" s="1" t="s">
        <v>74</v>
      </c>
      <c r="AG331" s="1" t="s">
        <v>74</v>
      </c>
      <c r="AH331" s="1" t="s">
        <v>74</v>
      </c>
      <c r="AI331" s="1" t="s">
        <v>74</v>
      </c>
      <c r="AJ331" s="1" t="s">
        <v>74</v>
      </c>
      <c r="AK331" s="1" t="s">
        <v>74</v>
      </c>
      <c r="AL331" s="1" t="s">
        <v>74</v>
      </c>
      <c r="AM331" s="1" t="s">
        <v>74</v>
      </c>
      <c r="AN331" s="1" t="s">
        <v>74</v>
      </c>
      <c r="AO331" s="1" t="s">
        <v>3372</v>
      </c>
      <c r="AP331" s="1" t="s">
        <v>3373</v>
      </c>
      <c r="AQ331" s="1" t="s">
        <v>74</v>
      </c>
      <c r="AR331" s="1" t="s">
        <v>74</v>
      </c>
      <c r="AS331" s="1" t="s">
        <v>74</v>
      </c>
      <c r="AT331" s="1" t="s">
        <v>415</v>
      </c>
      <c r="AU331" s="1">
        <v>2009.0</v>
      </c>
      <c r="AV331" s="1">
        <v>11.0</v>
      </c>
      <c r="AW331" s="1">
        <v>6.0</v>
      </c>
      <c r="AX331" s="1" t="s">
        <v>74</v>
      </c>
      <c r="AY331" s="1" t="s">
        <v>74</v>
      </c>
      <c r="AZ331" s="1" t="s">
        <v>74</v>
      </c>
      <c r="BA331" s="1" t="s">
        <v>74</v>
      </c>
      <c r="BB331" s="1">
        <v>1049.0</v>
      </c>
      <c r="BC331" s="1">
        <v>1066.0</v>
      </c>
      <c r="BD331" s="1" t="s">
        <v>74</v>
      </c>
      <c r="BE331" s="1" t="s">
        <v>3374</v>
      </c>
      <c r="BF331" s="2" t="str">
        <f>HYPERLINK("http://dx.doi.org/10.1142/S0219199709003661","http://dx.doi.org/10.1142/S0219199709003661")</f>
        <v>http://dx.doi.org/10.1142/S0219199709003661</v>
      </c>
      <c r="BG331" s="1" t="s">
        <v>74</v>
      </c>
      <c r="BH331" s="1" t="s">
        <v>74</v>
      </c>
      <c r="BI331" s="1" t="s">
        <v>74</v>
      </c>
      <c r="BJ331" s="1" t="s">
        <v>74</v>
      </c>
      <c r="BK331" s="1" t="s">
        <v>74</v>
      </c>
      <c r="BL331" s="1" t="s">
        <v>74</v>
      </c>
      <c r="BM331" s="1" t="s">
        <v>74</v>
      </c>
      <c r="BN331" s="1" t="s">
        <v>74</v>
      </c>
      <c r="BO331" s="1" t="s">
        <v>74</v>
      </c>
      <c r="BP331" s="1" t="s">
        <v>74</v>
      </c>
      <c r="BQ331" s="1" t="s">
        <v>74</v>
      </c>
      <c r="BR331" s="1" t="s">
        <v>74</v>
      </c>
      <c r="BS331" s="1" t="s">
        <v>3375</v>
      </c>
      <c r="BT331" s="1" t="str">
        <f>HYPERLINK("https%3A%2F%2Fwww.webofscience.com%2Fwos%2Fwoscc%2Ffull-record%2FWOS:000273142500007","View Full Record in Web of Science")</f>
        <v>View Full Record in Web of Science</v>
      </c>
    </row>
    <row r="332" ht="12.75" customHeight="1">
      <c r="A332" s="1" t="s">
        <v>72</v>
      </c>
      <c r="B332" s="1" t="s">
        <v>3376</v>
      </c>
      <c r="C332" s="1" t="s">
        <v>74</v>
      </c>
      <c r="D332" s="1" t="s">
        <v>74</v>
      </c>
      <c r="E332" s="1" t="s">
        <v>74</v>
      </c>
      <c r="F332" s="1" t="s">
        <v>3377</v>
      </c>
      <c r="G332" s="1" t="s">
        <v>74</v>
      </c>
      <c r="H332" s="1" t="s">
        <v>74</v>
      </c>
      <c r="I332" s="1" t="s">
        <v>3378</v>
      </c>
      <c r="J332" s="1" t="s">
        <v>3379</v>
      </c>
      <c r="K332" s="1" t="s">
        <v>74</v>
      </c>
      <c r="L332" s="1" t="s">
        <v>74</v>
      </c>
      <c r="M332" s="1" t="s">
        <v>74</v>
      </c>
      <c r="N332" s="1" t="s">
        <v>74</v>
      </c>
      <c r="O332" s="1" t="s">
        <v>74</v>
      </c>
      <c r="P332" s="1" t="s">
        <v>74</v>
      </c>
      <c r="Q332" s="1" t="s">
        <v>74</v>
      </c>
      <c r="R332" s="1" t="s">
        <v>74</v>
      </c>
      <c r="S332" s="1" t="s">
        <v>74</v>
      </c>
      <c r="T332" s="1" t="s">
        <v>74</v>
      </c>
      <c r="U332" s="1" t="s">
        <v>74</v>
      </c>
      <c r="V332" s="1" t="s">
        <v>3380</v>
      </c>
      <c r="W332" s="1" t="s">
        <v>74</v>
      </c>
      <c r="X332" s="1" t="s">
        <v>74</v>
      </c>
      <c r="Y332" s="1" t="s">
        <v>74</v>
      </c>
      <c r="Z332" s="1" t="s">
        <v>74</v>
      </c>
      <c r="AA332" s="1" t="s">
        <v>3381</v>
      </c>
      <c r="AB332" s="1" t="s">
        <v>2758</v>
      </c>
      <c r="AC332" s="1" t="s">
        <v>74</v>
      </c>
      <c r="AD332" s="1" t="s">
        <v>74</v>
      </c>
      <c r="AE332" s="1" t="s">
        <v>74</v>
      </c>
      <c r="AF332" s="1" t="s">
        <v>74</v>
      </c>
      <c r="AG332" s="1" t="s">
        <v>74</v>
      </c>
      <c r="AH332" s="1" t="s">
        <v>74</v>
      </c>
      <c r="AI332" s="1" t="s">
        <v>74</v>
      </c>
      <c r="AJ332" s="1" t="s">
        <v>74</v>
      </c>
      <c r="AK332" s="1" t="s">
        <v>74</v>
      </c>
      <c r="AL332" s="1" t="s">
        <v>74</v>
      </c>
      <c r="AM332" s="1" t="s">
        <v>74</v>
      </c>
      <c r="AN332" s="1" t="s">
        <v>74</v>
      </c>
      <c r="AO332" s="1" t="s">
        <v>3382</v>
      </c>
      <c r="AP332" s="1" t="s">
        <v>3383</v>
      </c>
      <c r="AQ332" s="1" t="s">
        <v>74</v>
      </c>
      <c r="AR332" s="1" t="s">
        <v>74</v>
      </c>
      <c r="AS332" s="1" t="s">
        <v>74</v>
      </c>
      <c r="AT332" s="1" t="s">
        <v>3384</v>
      </c>
      <c r="AU332" s="1">
        <v>2008.0</v>
      </c>
      <c r="AV332" s="1">
        <v>49.0</v>
      </c>
      <c r="AW332" s="1">
        <v>17.0</v>
      </c>
      <c r="AX332" s="1" t="s">
        <v>74</v>
      </c>
      <c r="AY332" s="1" t="s">
        <v>74</v>
      </c>
      <c r="AZ332" s="1" t="s">
        <v>74</v>
      </c>
      <c r="BA332" s="1" t="s">
        <v>74</v>
      </c>
      <c r="BB332" s="1">
        <v>3671.0</v>
      </c>
      <c r="BC332" s="1">
        <v>3676.0</v>
      </c>
      <c r="BD332" s="1" t="s">
        <v>74</v>
      </c>
      <c r="BE332" s="1" t="s">
        <v>3385</v>
      </c>
      <c r="BF332" s="2" t="str">
        <f>HYPERLINK("http://dx.doi.org/10.1016/j.polymer.2008.06.021","http://dx.doi.org/10.1016/j.polymer.2008.06.021")</f>
        <v>http://dx.doi.org/10.1016/j.polymer.2008.06.021</v>
      </c>
      <c r="BG332" s="1" t="s">
        <v>74</v>
      </c>
      <c r="BH332" s="1" t="s">
        <v>74</v>
      </c>
      <c r="BI332" s="1" t="s">
        <v>74</v>
      </c>
      <c r="BJ332" s="1" t="s">
        <v>74</v>
      </c>
      <c r="BK332" s="1" t="s">
        <v>74</v>
      </c>
      <c r="BL332" s="1" t="s">
        <v>74</v>
      </c>
      <c r="BM332" s="1" t="s">
        <v>74</v>
      </c>
      <c r="BN332" s="1" t="s">
        <v>74</v>
      </c>
      <c r="BO332" s="1" t="s">
        <v>74</v>
      </c>
      <c r="BP332" s="1" t="s">
        <v>74</v>
      </c>
      <c r="BQ332" s="1" t="s">
        <v>74</v>
      </c>
      <c r="BR332" s="1" t="s">
        <v>74</v>
      </c>
      <c r="BS332" s="1" t="s">
        <v>3386</v>
      </c>
      <c r="BT332" s="1" t="str">
        <f>HYPERLINK("https%3A%2F%2Fwww.webofscience.com%2Fwos%2Fwoscc%2Ffull-record%2FWOS:000258616200009","View Full Record in Web of Science")</f>
        <v>View Full Record in Web of Science</v>
      </c>
    </row>
    <row r="333" ht="12.75" customHeight="1">
      <c r="A333" s="1" t="s">
        <v>72</v>
      </c>
      <c r="B333" s="1" t="s">
        <v>3387</v>
      </c>
      <c r="C333" s="1" t="s">
        <v>74</v>
      </c>
      <c r="D333" s="1" t="s">
        <v>74</v>
      </c>
      <c r="E333" s="1" t="s">
        <v>74</v>
      </c>
      <c r="F333" s="1" t="s">
        <v>3388</v>
      </c>
      <c r="G333" s="1" t="s">
        <v>74</v>
      </c>
      <c r="H333" s="1" t="s">
        <v>74</v>
      </c>
      <c r="I333" s="1" t="s">
        <v>3389</v>
      </c>
      <c r="J333" s="1" t="s">
        <v>3390</v>
      </c>
      <c r="K333" s="1" t="s">
        <v>74</v>
      </c>
      <c r="L333" s="1" t="s">
        <v>74</v>
      </c>
      <c r="M333" s="1" t="s">
        <v>74</v>
      </c>
      <c r="N333" s="1" t="s">
        <v>74</v>
      </c>
      <c r="O333" s="1" t="s">
        <v>74</v>
      </c>
      <c r="P333" s="1" t="s">
        <v>74</v>
      </c>
      <c r="Q333" s="1" t="s">
        <v>74</v>
      </c>
      <c r="R333" s="1" t="s">
        <v>74</v>
      </c>
      <c r="S333" s="1" t="s">
        <v>74</v>
      </c>
      <c r="T333" s="1" t="s">
        <v>74</v>
      </c>
      <c r="U333" s="1" t="s">
        <v>74</v>
      </c>
      <c r="V333" s="1" t="s">
        <v>3391</v>
      </c>
      <c r="W333" s="1" t="s">
        <v>74</v>
      </c>
      <c r="X333" s="1" t="s">
        <v>74</v>
      </c>
      <c r="Y333" s="1" t="s">
        <v>74</v>
      </c>
      <c r="Z333" s="1" t="s">
        <v>74</v>
      </c>
      <c r="AA333" s="1" t="s">
        <v>3392</v>
      </c>
      <c r="AB333" s="1" t="s">
        <v>3393</v>
      </c>
      <c r="AC333" s="1" t="s">
        <v>74</v>
      </c>
      <c r="AD333" s="1" t="s">
        <v>74</v>
      </c>
      <c r="AE333" s="1" t="s">
        <v>74</v>
      </c>
      <c r="AF333" s="1" t="s">
        <v>74</v>
      </c>
      <c r="AG333" s="1" t="s">
        <v>74</v>
      </c>
      <c r="AH333" s="1" t="s">
        <v>74</v>
      </c>
      <c r="AI333" s="1" t="s">
        <v>74</v>
      </c>
      <c r="AJ333" s="1" t="s">
        <v>74</v>
      </c>
      <c r="AK333" s="1" t="s">
        <v>74</v>
      </c>
      <c r="AL333" s="1" t="s">
        <v>74</v>
      </c>
      <c r="AM333" s="1" t="s">
        <v>74</v>
      </c>
      <c r="AN333" s="1" t="s">
        <v>74</v>
      </c>
      <c r="AO333" s="1" t="s">
        <v>3394</v>
      </c>
      <c r="AP333" s="1" t="s">
        <v>74</v>
      </c>
      <c r="AQ333" s="1" t="s">
        <v>74</v>
      </c>
      <c r="AR333" s="1" t="s">
        <v>74</v>
      </c>
      <c r="AS333" s="1" t="s">
        <v>74</v>
      </c>
      <c r="AT333" s="1" t="s">
        <v>421</v>
      </c>
      <c r="AU333" s="1">
        <v>2008.0</v>
      </c>
      <c r="AV333" s="1">
        <v>140.0</v>
      </c>
      <c r="AW333" s="1" t="s">
        <v>3395</v>
      </c>
      <c r="AX333" s="1" t="s">
        <v>74</v>
      </c>
      <c r="AY333" s="1" t="s">
        <v>74</v>
      </c>
      <c r="AZ333" s="1" t="s">
        <v>74</v>
      </c>
      <c r="BA333" s="1" t="s">
        <v>74</v>
      </c>
      <c r="BB333" s="1">
        <v>161.0</v>
      </c>
      <c r="BC333" s="1">
        <v>173.0</v>
      </c>
      <c r="BD333" s="1" t="s">
        <v>74</v>
      </c>
      <c r="BE333" s="1" t="s">
        <v>3396</v>
      </c>
      <c r="BF333" s="2" t="str">
        <f>HYPERLINK("http://dx.doi.org/10.1007/s10661-007-9857-1","http://dx.doi.org/10.1007/s10661-007-9857-1")</f>
        <v>http://dx.doi.org/10.1007/s10661-007-9857-1</v>
      </c>
      <c r="BG333" s="1" t="s">
        <v>74</v>
      </c>
      <c r="BH333" s="1" t="s">
        <v>74</v>
      </c>
      <c r="BI333" s="1" t="s">
        <v>74</v>
      </c>
      <c r="BJ333" s="1" t="s">
        <v>74</v>
      </c>
      <c r="BK333" s="1" t="s">
        <v>74</v>
      </c>
      <c r="BL333" s="1" t="s">
        <v>74</v>
      </c>
      <c r="BM333" s="1" t="s">
        <v>74</v>
      </c>
      <c r="BN333" s="1">
        <v>1.7828577E7</v>
      </c>
      <c r="BO333" s="1" t="s">
        <v>74</v>
      </c>
      <c r="BP333" s="1" t="s">
        <v>74</v>
      </c>
      <c r="BQ333" s="1" t="s">
        <v>74</v>
      </c>
      <c r="BR333" s="1" t="s">
        <v>74</v>
      </c>
      <c r="BS333" s="1" t="s">
        <v>3397</v>
      </c>
      <c r="BT333" s="1" t="str">
        <f>HYPERLINK("https%3A%2F%2Fwww.webofscience.com%2Fwos%2Fwoscc%2Ffull-record%2FWOS:000254434400015","View Full Record in Web of Science")</f>
        <v>View Full Record in Web of Science</v>
      </c>
    </row>
    <row r="334" ht="12.75" customHeight="1">
      <c r="A334" s="1" t="s">
        <v>72</v>
      </c>
      <c r="B334" s="1" t="s">
        <v>3398</v>
      </c>
      <c r="C334" s="1" t="s">
        <v>74</v>
      </c>
      <c r="D334" s="1" t="s">
        <v>74</v>
      </c>
      <c r="E334" s="1" t="s">
        <v>74</v>
      </c>
      <c r="F334" s="1" t="s">
        <v>3399</v>
      </c>
      <c r="G334" s="1" t="s">
        <v>74</v>
      </c>
      <c r="H334" s="1" t="s">
        <v>74</v>
      </c>
      <c r="I334" s="1" t="s">
        <v>3400</v>
      </c>
      <c r="J334" s="1" t="s">
        <v>3401</v>
      </c>
      <c r="K334" s="1" t="s">
        <v>74</v>
      </c>
      <c r="L334" s="1" t="s">
        <v>74</v>
      </c>
      <c r="M334" s="1" t="s">
        <v>74</v>
      </c>
      <c r="N334" s="1" t="s">
        <v>74</v>
      </c>
      <c r="O334" s="1" t="s">
        <v>74</v>
      </c>
      <c r="P334" s="1" t="s">
        <v>74</v>
      </c>
      <c r="Q334" s="1" t="s">
        <v>74</v>
      </c>
      <c r="R334" s="1" t="s">
        <v>74</v>
      </c>
      <c r="S334" s="1" t="s">
        <v>74</v>
      </c>
      <c r="T334" s="1" t="s">
        <v>74</v>
      </c>
      <c r="U334" s="1" t="s">
        <v>74</v>
      </c>
      <c r="V334" s="1" t="s">
        <v>3402</v>
      </c>
      <c r="W334" s="1" t="s">
        <v>74</v>
      </c>
      <c r="X334" s="1" t="s">
        <v>74</v>
      </c>
      <c r="Y334" s="1" t="s">
        <v>74</v>
      </c>
      <c r="Z334" s="1" t="s">
        <v>74</v>
      </c>
      <c r="AA334" s="1" t="s">
        <v>3403</v>
      </c>
      <c r="AB334" s="1" t="s">
        <v>3404</v>
      </c>
      <c r="AC334" s="1" t="s">
        <v>74</v>
      </c>
      <c r="AD334" s="1" t="s">
        <v>74</v>
      </c>
      <c r="AE334" s="1" t="s">
        <v>74</v>
      </c>
      <c r="AF334" s="1" t="s">
        <v>74</v>
      </c>
      <c r="AG334" s="1" t="s">
        <v>74</v>
      </c>
      <c r="AH334" s="1" t="s">
        <v>74</v>
      </c>
      <c r="AI334" s="1" t="s">
        <v>74</v>
      </c>
      <c r="AJ334" s="1" t="s">
        <v>74</v>
      </c>
      <c r="AK334" s="1" t="s">
        <v>74</v>
      </c>
      <c r="AL334" s="1" t="s">
        <v>74</v>
      </c>
      <c r="AM334" s="1" t="s">
        <v>74</v>
      </c>
      <c r="AN334" s="1" t="s">
        <v>74</v>
      </c>
      <c r="AO334" s="1" t="s">
        <v>3405</v>
      </c>
      <c r="AP334" s="1" t="s">
        <v>3406</v>
      </c>
      <c r="AQ334" s="1" t="s">
        <v>74</v>
      </c>
      <c r="AR334" s="1" t="s">
        <v>74</v>
      </c>
      <c r="AS334" s="1" t="s">
        <v>74</v>
      </c>
      <c r="AT334" s="1" t="s">
        <v>3407</v>
      </c>
      <c r="AU334" s="1">
        <v>2008.0</v>
      </c>
      <c r="AV334" s="1">
        <v>19.0</v>
      </c>
      <c r="AW334" s="1">
        <v>7.0</v>
      </c>
      <c r="AX334" s="1" t="s">
        <v>74</v>
      </c>
      <c r="AY334" s="1" t="s">
        <v>74</v>
      </c>
      <c r="AZ334" s="1" t="s">
        <v>74</v>
      </c>
      <c r="BA334" s="1" t="s">
        <v>74</v>
      </c>
      <c r="BB334" s="1" t="s">
        <v>74</v>
      </c>
      <c r="BC334" s="1" t="s">
        <v>74</v>
      </c>
      <c r="BD334" s="1">
        <v>75713.0</v>
      </c>
      <c r="BE334" s="1" t="s">
        <v>3408</v>
      </c>
      <c r="BF334" s="2" t="str">
        <f>HYPERLINK("http://dx.doi.org/10.1088/0957-4484/19/7/075713","http://dx.doi.org/10.1088/0957-4484/19/7/075713")</f>
        <v>http://dx.doi.org/10.1088/0957-4484/19/7/075713</v>
      </c>
      <c r="BG334" s="1" t="s">
        <v>74</v>
      </c>
      <c r="BH334" s="1" t="s">
        <v>74</v>
      </c>
      <c r="BI334" s="1" t="s">
        <v>74</v>
      </c>
      <c r="BJ334" s="1" t="s">
        <v>74</v>
      </c>
      <c r="BK334" s="1" t="s">
        <v>74</v>
      </c>
      <c r="BL334" s="1" t="s">
        <v>74</v>
      </c>
      <c r="BM334" s="1" t="s">
        <v>74</v>
      </c>
      <c r="BN334" s="1">
        <v>2.1817661E7</v>
      </c>
      <c r="BO334" s="1" t="s">
        <v>74</v>
      </c>
      <c r="BP334" s="1" t="s">
        <v>74</v>
      </c>
      <c r="BQ334" s="1" t="s">
        <v>74</v>
      </c>
      <c r="BR334" s="1" t="s">
        <v>74</v>
      </c>
      <c r="BS334" s="1" t="s">
        <v>3409</v>
      </c>
      <c r="BT334" s="1" t="str">
        <f>HYPERLINK("https%3A%2F%2Fwww.webofscience.com%2Fwos%2Fwoscc%2Ffull-record%2FWOS:000252967300036","View Full Record in Web of Science")</f>
        <v>View Full Record in Web of Science</v>
      </c>
    </row>
    <row r="335" ht="12.75" customHeight="1">
      <c r="A335" s="1" t="s">
        <v>72</v>
      </c>
      <c r="B335" s="1" t="s">
        <v>3410</v>
      </c>
      <c r="C335" s="1" t="s">
        <v>74</v>
      </c>
      <c r="D335" s="1" t="s">
        <v>74</v>
      </c>
      <c r="E335" s="1" t="s">
        <v>74</v>
      </c>
      <c r="F335" s="1" t="s">
        <v>3411</v>
      </c>
      <c r="G335" s="1" t="s">
        <v>74</v>
      </c>
      <c r="H335" s="1" t="s">
        <v>74</v>
      </c>
      <c r="I335" s="1" t="s">
        <v>3412</v>
      </c>
      <c r="J335" s="1" t="s">
        <v>128</v>
      </c>
      <c r="K335" s="1" t="s">
        <v>74</v>
      </c>
      <c r="L335" s="1" t="s">
        <v>74</v>
      </c>
      <c r="M335" s="1" t="s">
        <v>74</v>
      </c>
      <c r="N335" s="1" t="s">
        <v>74</v>
      </c>
      <c r="O335" s="1" t="s">
        <v>74</v>
      </c>
      <c r="P335" s="1" t="s">
        <v>74</v>
      </c>
      <c r="Q335" s="1" t="s">
        <v>74</v>
      </c>
      <c r="R335" s="1" t="s">
        <v>74</v>
      </c>
      <c r="S335" s="1" t="s">
        <v>74</v>
      </c>
      <c r="T335" s="1" t="s">
        <v>74</v>
      </c>
      <c r="U335" s="1" t="s">
        <v>74</v>
      </c>
      <c r="V335" s="1" t="s">
        <v>3413</v>
      </c>
      <c r="W335" s="1" t="s">
        <v>74</v>
      </c>
      <c r="X335" s="1" t="s">
        <v>74</v>
      </c>
      <c r="Y335" s="1" t="s">
        <v>74</v>
      </c>
      <c r="Z335" s="1" t="s">
        <v>74</v>
      </c>
      <c r="AA335" s="1" t="s">
        <v>3414</v>
      </c>
      <c r="AB335" s="1" t="s">
        <v>3415</v>
      </c>
      <c r="AC335" s="1" t="s">
        <v>74</v>
      </c>
      <c r="AD335" s="1" t="s">
        <v>74</v>
      </c>
      <c r="AE335" s="1" t="s">
        <v>74</v>
      </c>
      <c r="AF335" s="1" t="s">
        <v>74</v>
      </c>
      <c r="AG335" s="1" t="s">
        <v>74</v>
      </c>
      <c r="AH335" s="1" t="s">
        <v>74</v>
      </c>
      <c r="AI335" s="1" t="s">
        <v>74</v>
      </c>
      <c r="AJ335" s="1" t="s">
        <v>74</v>
      </c>
      <c r="AK335" s="1" t="s">
        <v>74</v>
      </c>
      <c r="AL335" s="1" t="s">
        <v>74</v>
      </c>
      <c r="AM335" s="1" t="s">
        <v>74</v>
      </c>
      <c r="AN335" s="1" t="s">
        <v>74</v>
      </c>
      <c r="AO335" s="1" t="s">
        <v>132</v>
      </c>
      <c r="AP335" s="1" t="s">
        <v>133</v>
      </c>
      <c r="AQ335" s="1" t="s">
        <v>74</v>
      </c>
      <c r="AR335" s="1" t="s">
        <v>74</v>
      </c>
      <c r="AS335" s="1" t="s">
        <v>74</v>
      </c>
      <c r="AT335" s="1" t="s">
        <v>3416</v>
      </c>
      <c r="AU335" s="1">
        <v>2008.0</v>
      </c>
      <c r="AV335" s="1">
        <v>659.0</v>
      </c>
      <c r="AW335" s="1">
        <v>3.0</v>
      </c>
      <c r="AX335" s="1" t="s">
        <v>74</v>
      </c>
      <c r="AY335" s="1" t="s">
        <v>74</v>
      </c>
      <c r="AZ335" s="1" t="s">
        <v>74</v>
      </c>
      <c r="BA335" s="1" t="s">
        <v>74</v>
      </c>
      <c r="BB335" s="1">
        <v>746.0</v>
      </c>
      <c r="BC335" s="1">
        <v>753.0</v>
      </c>
      <c r="BD335" s="1" t="s">
        <v>74</v>
      </c>
      <c r="BE335" s="1" t="s">
        <v>3417</v>
      </c>
      <c r="BF335" s="2" t="str">
        <f>HYPERLINK("http://dx.doi.org/10.1016/j.physletb.2007.11.046","http://dx.doi.org/10.1016/j.physletb.2007.11.046")</f>
        <v>http://dx.doi.org/10.1016/j.physletb.2007.11.046</v>
      </c>
      <c r="BG335" s="1" t="s">
        <v>74</v>
      </c>
      <c r="BH335" s="1" t="s">
        <v>74</v>
      </c>
      <c r="BI335" s="1" t="s">
        <v>74</v>
      </c>
      <c r="BJ335" s="1" t="s">
        <v>74</v>
      </c>
      <c r="BK335" s="1" t="s">
        <v>74</v>
      </c>
      <c r="BL335" s="1" t="s">
        <v>74</v>
      </c>
      <c r="BM335" s="1" t="s">
        <v>74</v>
      </c>
      <c r="BN335" s="1" t="s">
        <v>74</v>
      </c>
      <c r="BO335" s="1" t="s">
        <v>74</v>
      </c>
      <c r="BP335" s="1" t="s">
        <v>74</v>
      </c>
      <c r="BQ335" s="1" t="s">
        <v>74</v>
      </c>
      <c r="BR335" s="1" t="s">
        <v>74</v>
      </c>
      <c r="BS335" s="1" t="s">
        <v>3418</v>
      </c>
      <c r="BT335" s="1" t="str">
        <f>HYPERLINK("https%3A%2F%2Fwww.webofscience.com%2Fwos%2Fwoscc%2Ffull-record%2FWOS:000252874300048","View Full Record in Web of Science")</f>
        <v>View Full Record in Web of Science</v>
      </c>
    </row>
    <row r="336" ht="12.75" customHeight="1">
      <c r="A336" s="1" t="s">
        <v>147</v>
      </c>
      <c r="B336" s="1" t="s">
        <v>3419</v>
      </c>
      <c r="C336" s="1" t="s">
        <v>74</v>
      </c>
      <c r="D336" s="1" t="s">
        <v>3420</v>
      </c>
      <c r="E336" s="1" t="s">
        <v>74</v>
      </c>
      <c r="F336" s="1" t="s">
        <v>3421</v>
      </c>
      <c r="G336" s="1" t="s">
        <v>74</v>
      </c>
      <c r="H336" s="1" t="s">
        <v>74</v>
      </c>
      <c r="I336" s="1" t="s">
        <v>3422</v>
      </c>
      <c r="J336" s="1" t="s">
        <v>3423</v>
      </c>
      <c r="K336" s="1" t="s">
        <v>3424</v>
      </c>
      <c r="L336" s="1" t="s">
        <v>74</v>
      </c>
      <c r="M336" s="1" t="s">
        <v>74</v>
      </c>
      <c r="N336" s="1" t="s">
        <v>74</v>
      </c>
      <c r="O336" s="1" t="s">
        <v>3425</v>
      </c>
      <c r="P336" s="1" t="s">
        <v>3426</v>
      </c>
      <c r="Q336" s="1" t="s">
        <v>3427</v>
      </c>
      <c r="R336" s="1" t="s">
        <v>3428</v>
      </c>
      <c r="S336" s="1" t="s">
        <v>74</v>
      </c>
      <c r="T336" s="1" t="s">
        <v>74</v>
      </c>
      <c r="U336" s="1" t="s">
        <v>74</v>
      </c>
      <c r="V336" s="1" t="s">
        <v>3429</v>
      </c>
      <c r="W336" s="1" t="s">
        <v>74</v>
      </c>
      <c r="X336" s="1" t="s">
        <v>74</v>
      </c>
      <c r="Y336" s="1" t="s">
        <v>74</v>
      </c>
      <c r="Z336" s="1" t="s">
        <v>74</v>
      </c>
      <c r="AA336" s="1" t="s">
        <v>3430</v>
      </c>
      <c r="AB336" s="1" t="s">
        <v>3431</v>
      </c>
      <c r="AC336" s="1" t="s">
        <v>74</v>
      </c>
      <c r="AD336" s="1" t="s">
        <v>74</v>
      </c>
      <c r="AE336" s="1" t="s">
        <v>74</v>
      </c>
      <c r="AF336" s="1" t="s">
        <v>74</v>
      </c>
      <c r="AG336" s="1" t="s">
        <v>74</v>
      </c>
      <c r="AH336" s="1" t="s">
        <v>74</v>
      </c>
      <c r="AI336" s="1" t="s">
        <v>74</v>
      </c>
      <c r="AJ336" s="1" t="s">
        <v>74</v>
      </c>
      <c r="AK336" s="1" t="s">
        <v>74</v>
      </c>
      <c r="AL336" s="1" t="s">
        <v>74</v>
      </c>
      <c r="AM336" s="1" t="s">
        <v>74</v>
      </c>
      <c r="AN336" s="1" t="s">
        <v>74</v>
      </c>
      <c r="AO336" s="1" t="s">
        <v>3432</v>
      </c>
      <c r="AP336" s="1" t="s">
        <v>74</v>
      </c>
      <c r="AQ336" s="1" t="s">
        <v>3433</v>
      </c>
      <c r="AR336" s="1" t="s">
        <v>74</v>
      </c>
      <c r="AS336" s="1" t="s">
        <v>74</v>
      </c>
      <c r="AT336" s="1" t="s">
        <v>74</v>
      </c>
      <c r="AU336" s="1">
        <v>2008.0</v>
      </c>
      <c r="AV336" s="1">
        <v>992.0</v>
      </c>
      <c r="AW336" s="1" t="s">
        <v>74</v>
      </c>
      <c r="AX336" s="1" t="s">
        <v>74</v>
      </c>
      <c r="AY336" s="1" t="s">
        <v>74</v>
      </c>
      <c r="AZ336" s="1" t="s">
        <v>74</v>
      </c>
      <c r="BA336" s="1" t="s">
        <v>74</v>
      </c>
      <c r="BB336" s="1">
        <v>98.0</v>
      </c>
      <c r="BC336" s="1" t="s">
        <v>265</v>
      </c>
      <c r="BD336" s="1" t="s">
        <v>74</v>
      </c>
      <c r="BE336" s="1" t="s">
        <v>74</v>
      </c>
      <c r="BF336" s="1" t="s">
        <v>74</v>
      </c>
      <c r="BG336" s="1" t="s">
        <v>74</v>
      </c>
      <c r="BH336" s="1" t="s">
        <v>74</v>
      </c>
      <c r="BI336" s="1" t="s">
        <v>74</v>
      </c>
      <c r="BJ336" s="1" t="s">
        <v>74</v>
      </c>
      <c r="BK336" s="1" t="s">
        <v>74</v>
      </c>
      <c r="BL336" s="1" t="s">
        <v>74</v>
      </c>
      <c r="BM336" s="1" t="s">
        <v>74</v>
      </c>
      <c r="BN336" s="1" t="s">
        <v>74</v>
      </c>
      <c r="BO336" s="1" t="s">
        <v>74</v>
      </c>
      <c r="BP336" s="1" t="s">
        <v>74</v>
      </c>
      <c r="BQ336" s="1" t="s">
        <v>74</v>
      </c>
      <c r="BR336" s="1" t="s">
        <v>74</v>
      </c>
      <c r="BS336" s="1" t="s">
        <v>3434</v>
      </c>
      <c r="BT336" s="1" t="str">
        <f>HYPERLINK("https%3A%2F%2Fwww.webofscience.com%2Fwos%2Fwoscc%2Ffull-record%2FWOS:000255857900017","View Full Record in Web of Science")</f>
        <v>View Full Record in Web of Science</v>
      </c>
    </row>
    <row r="337" ht="12.75" customHeight="1">
      <c r="A337" s="1" t="s">
        <v>147</v>
      </c>
      <c r="B337" s="1" t="s">
        <v>3435</v>
      </c>
      <c r="C337" s="1" t="s">
        <v>74</v>
      </c>
      <c r="D337" s="1" t="s">
        <v>252</v>
      </c>
      <c r="E337" s="1" t="s">
        <v>74</v>
      </c>
      <c r="F337" s="1" t="s">
        <v>3436</v>
      </c>
      <c r="G337" s="1" t="s">
        <v>74</v>
      </c>
      <c r="H337" s="1" t="s">
        <v>74</v>
      </c>
      <c r="I337" s="1" t="s">
        <v>3437</v>
      </c>
      <c r="J337" s="1" t="s">
        <v>255</v>
      </c>
      <c r="K337" s="1" t="s">
        <v>74</v>
      </c>
      <c r="L337" s="1" t="s">
        <v>74</v>
      </c>
      <c r="M337" s="1" t="s">
        <v>74</v>
      </c>
      <c r="N337" s="1" t="s">
        <v>74</v>
      </c>
      <c r="O337" s="1" t="s">
        <v>256</v>
      </c>
      <c r="P337" s="1" t="s">
        <v>257</v>
      </c>
      <c r="Q337" s="1" t="s">
        <v>258</v>
      </c>
      <c r="R337" s="1" t="s">
        <v>259</v>
      </c>
      <c r="S337" s="1" t="s">
        <v>260</v>
      </c>
      <c r="T337" s="1" t="s">
        <v>74</v>
      </c>
      <c r="U337" s="1" t="s">
        <v>74</v>
      </c>
      <c r="V337" s="1" t="s">
        <v>3438</v>
      </c>
      <c r="W337" s="1" t="s">
        <v>74</v>
      </c>
      <c r="X337" s="1" t="s">
        <v>74</v>
      </c>
      <c r="Y337" s="1" t="s">
        <v>74</v>
      </c>
      <c r="Z337" s="1" t="s">
        <v>74</v>
      </c>
      <c r="AA337" s="1" t="s">
        <v>3439</v>
      </c>
      <c r="AB337" s="1" t="s">
        <v>3440</v>
      </c>
      <c r="AC337" s="1" t="s">
        <v>74</v>
      </c>
      <c r="AD337" s="1" t="s">
        <v>74</v>
      </c>
      <c r="AE337" s="1" t="s">
        <v>74</v>
      </c>
      <c r="AF337" s="1" t="s">
        <v>74</v>
      </c>
      <c r="AG337" s="1" t="s">
        <v>74</v>
      </c>
      <c r="AH337" s="1" t="s">
        <v>74</v>
      </c>
      <c r="AI337" s="1" t="s">
        <v>74</v>
      </c>
      <c r="AJ337" s="1" t="s">
        <v>74</v>
      </c>
      <c r="AK337" s="1" t="s">
        <v>74</v>
      </c>
      <c r="AL337" s="1" t="s">
        <v>74</v>
      </c>
      <c r="AM337" s="1" t="s">
        <v>74</v>
      </c>
      <c r="AN337" s="1" t="s">
        <v>74</v>
      </c>
      <c r="AO337" s="1" t="s">
        <v>74</v>
      </c>
      <c r="AP337" s="1" t="s">
        <v>74</v>
      </c>
      <c r="AQ337" s="1" t="s">
        <v>264</v>
      </c>
      <c r="AR337" s="1" t="s">
        <v>74</v>
      </c>
      <c r="AS337" s="1" t="s">
        <v>74</v>
      </c>
      <c r="AT337" s="1" t="s">
        <v>74</v>
      </c>
      <c r="AU337" s="1">
        <v>2008.0</v>
      </c>
      <c r="AV337" s="1" t="s">
        <v>74</v>
      </c>
      <c r="AW337" s="1" t="s">
        <v>74</v>
      </c>
      <c r="AX337" s="1" t="s">
        <v>74</v>
      </c>
      <c r="AY337" s="1" t="s">
        <v>74</v>
      </c>
      <c r="AZ337" s="1" t="s">
        <v>74</v>
      </c>
      <c r="BA337" s="1" t="s">
        <v>74</v>
      </c>
      <c r="BB337" s="1">
        <v>368.0</v>
      </c>
      <c r="BC337" s="1" t="s">
        <v>265</v>
      </c>
      <c r="BD337" s="1" t="s">
        <v>74</v>
      </c>
      <c r="BE337" s="1" t="s">
        <v>3441</v>
      </c>
      <c r="BF337" s="2" t="str">
        <f>HYPERLINK("http://dx.doi.org/10.1109/CSNDSP.2008.4610715","http://dx.doi.org/10.1109/CSNDSP.2008.4610715")</f>
        <v>http://dx.doi.org/10.1109/CSNDSP.2008.4610715</v>
      </c>
      <c r="BG337" s="1" t="s">
        <v>74</v>
      </c>
      <c r="BH337" s="1" t="s">
        <v>74</v>
      </c>
      <c r="BI337" s="1" t="s">
        <v>74</v>
      </c>
      <c r="BJ337" s="1" t="s">
        <v>74</v>
      </c>
      <c r="BK337" s="1" t="s">
        <v>74</v>
      </c>
      <c r="BL337" s="1" t="s">
        <v>74</v>
      </c>
      <c r="BM337" s="1" t="s">
        <v>74</v>
      </c>
      <c r="BN337" s="1" t="s">
        <v>74</v>
      </c>
      <c r="BO337" s="1" t="s">
        <v>74</v>
      </c>
      <c r="BP337" s="1" t="s">
        <v>74</v>
      </c>
      <c r="BQ337" s="1" t="s">
        <v>74</v>
      </c>
      <c r="BR337" s="1" t="s">
        <v>74</v>
      </c>
      <c r="BS337" s="1" t="s">
        <v>3442</v>
      </c>
      <c r="BT337" s="1" t="str">
        <f>HYPERLINK("https%3A%2F%2Fwww.webofscience.com%2Fwos%2Fwoscc%2Ffull-record%2FWOS:000259386600080","View Full Record in Web of Science")</f>
        <v>View Full Record in Web of Science</v>
      </c>
    </row>
    <row r="338" ht="12.75" customHeight="1">
      <c r="A338" s="1" t="s">
        <v>72</v>
      </c>
      <c r="B338" s="1" t="s">
        <v>1164</v>
      </c>
      <c r="C338" s="1" t="s">
        <v>74</v>
      </c>
      <c r="D338" s="1" t="s">
        <v>74</v>
      </c>
      <c r="E338" s="1" t="s">
        <v>74</v>
      </c>
      <c r="F338" s="1" t="s">
        <v>3443</v>
      </c>
      <c r="G338" s="1" t="s">
        <v>74</v>
      </c>
      <c r="H338" s="1" t="s">
        <v>74</v>
      </c>
      <c r="I338" s="1" t="s">
        <v>3444</v>
      </c>
      <c r="J338" s="1" t="s">
        <v>3445</v>
      </c>
      <c r="K338" s="1" t="s">
        <v>74</v>
      </c>
      <c r="L338" s="1" t="s">
        <v>74</v>
      </c>
      <c r="M338" s="1" t="s">
        <v>74</v>
      </c>
      <c r="N338" s="1" t="s">
        <v>74</v>
      </c>
      <c r="O338" s="1" t="s">
        <v>74</v>
      </c>
      <c r="P338" s="1" t="s">
        <v>74</v>
      </c>
      <c r="Q338" s="1" t="s">
        <v>74</v>
      </c>
      <c r="R338" s="1" t="s">
        <v>74</v>
      </c>
      <c r="S338" s="1" t="s">
        <v>74</v>
      </c>
      <c r="T338" s="1" t="s">
        <v>74</v>
      </c>
      <c r="U338" s="1" t="s">
        <v>74</v>
      </c>
      <c r="V338" s="1" t="s">
        <v>3446</v>
      </c>
      <c r="W338" s="1" t="s">
        <v>74</v>
      </c>
      <c r="X338" s="1" t="s">
        <v>74</v>
      </c>
      <c r="Y338" s="1" t="s">
        <v>74</v>
      </c>
      <c r="Z338" s="1" t="s">
        <v>74</v>
      </c>
      <c r="AA338" s="1" t="s">
        <v>1171</v>
      </c>
      <c r="AB338" s="1" t="s">
        <v>1172</v>
      </c>
      <c r="AC338" s="1" t="s">
        <v>74</v>
      </c>
      <c r="AD338" s="1" t="s">
        <v>74</v>
      </c>
      <c r="AE338" s="1" t="s">
        <v>74</v>
      </c>
      <c r="AF338" s="1" t="s">
        <v>74</v>
      </c>
      <c r="AG338" s="1" t="s">
        <v>74</v>
      </c>
      <c r="AH338" s="1" t="s">
        <v>74</v>
      </c>
      <c r="AI338" s="1" t="s">
        <v>74</v>
      </c>
      <c r="AJ338" s="1" t="s">
        <v>74</v>
      </c>
      <c r="AK338" s="1" t="s">
        <v>74</v>
      </c>
      <c r="AL338" s="1" t="s">
        <v>74</v>
      </c>
      <c r="AM338" s="1" t="s">
        <v>74</v>
      </c>
      <c r="AN338" s="1" t="s">
        <v>74</v>
      </c>
      <c r="AO338" s="1" t="s">
        <v>3447</v>
      </c>
      <c r="AP338" s="1" t="s">
        <v>74</v>
      </c>
      <c r="AQ338" s="1" t="s">
        <v>74</v>
      </c>
      <c r="AR338" s="1" t="s">
        <v>74</v>
      </c>
      <c r="AS338" s="1" t="s">
        <v>74</v>
      </c>
      <c r="AT338" s="1" t="s">
        <v>144</v>
      </c>
      <c r="AU338" s="1">
        <v>2007.0</v>
      </c>
      <c r="AV338" s="1">
        <v>39.0</v>
      </c>
      <c r="AW338" s="1">
        <v>4.0</v>
      </c>
      <c r="AX338" s="1" t="s">
        <v>74</v>
      </c>
      <c r="AY338" s="1" t="s">
        <v>74</v>
      </c>
      <c r="AZ338" s="1" t="s">
        <v>74</v>
      </c>
      <c r="BA338" s="1" t="s">
        <v>74</v>
      </c>
      <c r="BB338" s="1">
        <v>453.0</v>
      </c>
      <c r="BC338" s="1">
        <v>476.0</v>
      </c>
      <c r="BD338" s="1" t="s">
        <v>74</v>
      </c>
      <c r="BE338" s="1" t="s">
        <v>3448</v>
      </c>
      <c r="BF338" s="2" t="str">
        <f>HYPERLINK("http://dx.doi.org/10.1007/s00466-006-0043-z","http://dx.doi.org/10.1007/s00466-006-0043-z")</f>
        <v>http://dx.doi.org/10.1007/s00466-006-0043-z</v>
      </c>
      <c r="BG338" s="1" t="s">
        <v>74</v>
      </c>
      <c r="BH338" s="1" t="s">
        <v>74</v>
      </c>
      <c r="BI338" s="1" t="s">
        <v>74</v>
      </c>
      <c r="BJ338" s="1" t="s">
        <v>74</v>
      </c>
      <c r="BK338" s="1" t="s">
        <v>74</v>
      </c>
      <c r="BL338" s="1" t="s">
        <v>74</v>
      </c>
      <c r="BM338" s="1" t="s">
        <v>74</v>
      </c>
      <c r="BN338" s="1" t="s">
        <v>74</v>
      </c>
      <c r="BO338" s="1" t="s">
        <v>74</v>
      </c>
      <c r="BP338" s="1" t="s">
        <v>74</v>
      </c>
      <c r="BQ338" s="1" t="s">
        <v>74</v>
      </c>
      <c r="BR338" s="1" t="s">
        <v>74</v>
      </c>
      <c r="BS338" s="1" t="s">
        <v>3449</v>
      </c>
      <c r="BT338" s="1" t="str">
        <f>HYPERLINK("https%3A%2F%2Fwww.webofscience.com%2Fwos%2Fwoscc%2Ffull-record%2FWOS:000243968400009","View Full Record in Web of Science")</f>
        <v>View Full Record in Web of Science</v>
      </c>
    </row>
    <row r="339" ht="12.75" customHeight="1">
      <c r="A339" s="1" t="s">
        <v>72</v>
      </c>
      <c r="B339" s="1" t="s">
        <v>3450</v>
      </c>
      <c r="C339" s="1" t="s">
        <v>74</v>
      </c>
      <c r="D339" s="1" t="s">
        <v>74</v>
      </c>
      <c r="E339" s="1" t="s">
        <v>74</v>
      </c>
      <c r="F339" s="1" t="s">
        <v>3451</v>
      </c>
      <c r="G339" s="1" t="s">
        <v>74</v>
      </c>
      <c r="H339" s="1" t="s">
        <v>74</v>
      </c>
      <c r="I339" s="1" t="s">
        <v>3452</v>
      </c>
      <c r="J339" s="1" t="s">
        <v>360</v>
      </c>
      <c r="K339" s="1" t="s">
        <v>74</v>
      </c>
      <c r="L339" s="1" t="s">
        <v>74</v>
      </c>
      <c r="M339" s="1" t="s">
        <v>74</v>
      </c>
      <c r="N339" s="1" t="s">
        <v>74</v>
      </c>
      <c r="O339" s="1" t="s">
        <v>74</v>
      </c>
      <c r="P339" s="1" t="s">
        <v>74</v>
      </c>
      <c r="Q339" s="1" t="s">
        <v>74</v>
      </c>
      <c r="R339" s="1" t="s">
        <v>74</v>
      </c>
      <c r="S339" s="1" t="s">
        <v>74</v>
      </c>
      <c r="T339" s="1" t="s">
        <v>74</v>
      </c>
      <c r="U339" s="1" t="s">
        <v>74</v>
      </c>
      <c r="V339" s="1" t="s">
        <v>3453</v>
      </c>
      <c r="W339" s="1" t="s">
        <v>74</v>
      </c>
      <c r="X339" s="1" t="s">
        <v>74</v>
      </c>
      <c r="Y339" s="1" t="s">
        <v>74</v>
      </c>
      <c r="Z339" s="1" t="s">
        <v>74</v>
      </c>
      <c r="AA339" s="1" t="s">
        <v>74</v>
      </c>
      <c r="AB339" s="1" t="s">
        <v>74</v>
      </c>
      <c r="AC339" s="1" t="s">
        <v>74</v>
      </c>
      <c r="AD339" s="1" t="s">
        <v>74</v>
      </c>
      <c r="AE339" s="1" t="s">
        <v>74</v>
      </c>
      <c r="AF339" s="1" t="s">
        <v>74</v>
      </c>
      <c r="AG339" s="1" t="s">
        <v>74</v>
      </c>
      <c r="AH339" s="1" t="s">
        <v>74</v>
      </c>
      <c r="AI339" s="1" t="s">
        <v>74</v>
      </c>
      <c r="AJ339" s="1" t="s">
        <v>74</v>
      </c>
      <c r="AK339" s="1" t="s">
        <v>74</v>
      </c>
      <c r="AL339" s="1" t="s">
        <v>74</v>
      </c>
      <c r="AM339" s="1" t="s">
        <v>74</v>
      </c>
      <c r="AN339" s="1" t="s">
        <v>74</v>
      </c>
      <c r="AO339" s="1" t="s">
        <v>362</v>
      </c>
      <c r="AP339" s="1" t="s">
        <v>833</v>
      </c>
      <c r="AQ339" s="1" t="s">
        <v>74</v>
      </c>
      <c r="AR339" s="1" t="s">
        <v>74</v>
      </c>
      <c r="AS339" s="1" t="s">
        <v>74</v>
      </c>
      <c r="AT339" s="1" t="s">
        <v>841</v>
      </c>
      <c r="AU339" s="1">
        <v>2006.0</v>
      </c>
      <c r="AV339" s="1">
        <v>134.0</v>
      </c>
      <c r="AW339" s="1">
        <v>4.0</v>
      </c>
      <c r="AX339" s="1" t="s">
        <v>74</v>
      </c>
      <c r="AY339" s="1" t="s">
        <v>74</v>
      </c>
      <c r="AZ339" s="1" t="s">
        <v>74</v>
      </c>
      <c r="BA339" s="1" t="s">
        <v>74</v>
      </c>
      <c r="BB339" s="1">
        <v>441.0</v>
      </c>
      <c r="BC339" s="1">
        <v>446.0</v>
      </c>
      <c r="BD339" s="1" t="s">
        <v>74</v>
      </c>
      <c r="BE339" s="1" t="s">
        <v>74</v>
      </c>
      <c r="BF339" s="1" t="s">
        <v>74</v>
      </c>
      <c r="BG339" s="1" t="s">
        <v>74</v>
      </c>
      <c r="BH339" s="1" t="s">
        <v>74</v>
      </c>
      <c r="BI339" s="1" t="s">
        <v>74</v>
      </c>
      <c r="BJ339" s="1" t="s">
        <v>74</v>
      </c>
      <c r="BK339" s="1" t="s">
        <v>74</v>
      </c>
      <c r="BL339" s="1" t="s">
        <v>74</v>
      </c>
      <c r="BM339" s="1" t="s">
        <v>74</v>
      </c>
      <c r="BN339" s="1">
        <v>1.6758079E7</v>
      </c>
      <c r="BO339" s="1" t="s">
        <v>74</v>
      </c>
      <c r="BP339" s="1" t="s">
        <v>74</v>
      </c>
      <c r="BQ339" s="1" t="s">
        <v>74</v>
      </c>
      <c r="BR339" s="1" t="s">
        <v>74</v>
      </c>
      <c r="BS339" s="1" t="s">
        <v>3454</v>
      </c>
      <c r="BT339" s="1" t="str">
        <f>HYPERLINK("https%3A%2F%2Fwww.webofscience.com%2Fwos%2Fwoscc%2Ffull-record%2FWOS:000238132800006","View Full Record in Web of Science")</f>
        <v>View Full Record in Web of Science</v>
      </c>
    </row>
    <row r="340" ht="12.75" customHeight="1">
      <c r="A340" s="1" t="s">
        <v>72</v>
      </c>
      <c r="B340" s="1" t="s">
        <v>3455</v>
      </c>
      <c r="C340" s="1" t="s">
        <v>74</v>
      </c>
      <c r="D340" s="1" t="s">
        <v>74</v>
      </c>
      <c r="E340" s="1" t="s">
        <v>74</v>
      </c>
      <c r="F340" s="1" t="s">
        <v>3455</v>
      </c>
      <c r="G340" s="1" t="s">
        <v>74</v>
      </c>
      <c r="H340" s="1" t="s">
        <v>74</v>
      </c>
      <c r="I340" s="1" t="s">
        <v>3456</v>
      </c>
      <c r="J340" s="1" t="s">
        <v>3457</v>
      </c>
      <c r="K340" s="1" t="s">
        <v>74</v>
      </c>
      <c r="L340" s="1" t="s">
        <v>74</v>
      </c>
      <c r="M340" s="1" t="s">
        <v>74</v>
      </c>
      <c r="N340" s="1" t="s">
        <v>74</v>
      </c>
      <c r="O340" s="1" t="s">
        <v>74</v>
      </c>
      <c r="P340" s="1" t="s">
        <v>74</v>
      </c>
      <c r="Q340" s="1" t="s">
        <v>74</v>
      </c>
      <c r="R340" s="1" t="s">
        <v>74</v>
      </c>
      <c r="S340" s="1" t="s">
        <v>74</v>
      </c>
      <c r="T340" s="1" t="s">
        <v>74</v>
      </c>
      <c r="U340" s="1" t="s">
        <v>74</v>
      </c>
      <c r="V340" s="1" t="s">
        <v>3458</v>
      </c>
      <c r="W340" s="1" t="s">
        <v>74</v>
      </c>
      <c r="X340" s="1" t="s">
        <v>74</v>
      </c>
      <c r="Y340" s="1" t="s">
        <v>74</v>
      </c>
      <c r="Z340" s="1" t="s">
        <v>74</v>
      </c>
      <c r="AA340" s="1" t="s">
        <v>3459</v>
      </c>
      <c r="AB340" s="1" t="s">
        <v>3460</v>
      </c>
      <c r="AC340" s="1" t="s">
        <v>74</v>
      </c>
      <c r="AD340" s="1" t="s">
        <v>74</v>
      </c>
      <c r="AE340" s="1" t="s">
        <v>74</v>
      </c>
      <c r="AF340" s="1" t="s">
        <v>74</v>
      </c>
      <c r="AG340" s="1" t="s">
        <v>74</v>
      </c>
      <c r="AH340" s="1" t="s">
        <v>74</v>
      </c>
      <c r="AI340" s="1" t="s">
        <v>74</v>
      </c>
      <c r="AJ340" s="1" t="s">
        <v>74</v>
      </c>
      <c r="AK340" s="1" t="s">
        <v>74</v>
      </c>
      <c r="AL340" s="1" t="s">
        <v>74</v>
      </c>
      <c r="AM340" s="1" t="s">
        <v>74</v>
      </c>
      <c r="AN340" s="1" t="s">
        <v>74</v>
      </c>
      <c r="AO340" s="1" t="s">
        <v>3461</v>
      </c>
      <c r="AP340" s="1" t="s">
        <v>3462</v>
      </c>
      <c r="AQ340" s="1" t="s">
        <v>74</v>
      </c>
      <c r="AR340" s="1" t="s">
        <v>74</v>
      </c>
      <c r="AS340" s="1" t="s">
        <v>74</v>
      </c>
      <c r="AT340" s="1" t="s">
        <v>112</v>
      </c>
      <c r="AU340" s="1">
        <v>2002.0</v>
      </c>
      <c r="AV340" s="1">
        <v>17.0</v>
      </c>
      <c r="AW340" s="1">
        <v>4.0</v>
      </c>
      <c r="AX340" s="1" t="s">
        <v>74</v>
      </c>
      <c r="AY340" s="1" t="s">
        <v>74</v>
      </c>
      <c r="AZ340" s="1" t="s">
        <v>74</v>
      </c>
      <c r="BA340" s="1" t="s">
        <v>74</v>
      </c>
      <c r="BB340" s="1">
        <v>1008.0</v>
      </c>
      <c r="BC340" s="1">
        <v>1015.0</v>
      </c>
      <c r="BD340" s="1" t="s">
        <v>74</v>
      </c>
      <c r="BE340" s="1" t="s">
        <v>3463</v>
      </c>
      <c r="BF340" s="2" t="str">
        <f>HYPERLINK("http://dx.doi.org/10.1109/TPWRS.2002.804941","http://dx.doi.org/10.1109/TPWRS.2002.804941")</f>
        <v>http://dx.doi.org/10.1109/TPWRS.2002.804941</v>
      </c>
      <c r="BG340" s="1" t="s">
        <v>74</v>
      </c>
      <c r="BH340" s="1" t="s">
        <v>74</v>
      </c>
      <c r="BI340" s="1" t="s">
        <v>74</v>
      </c>
      <c r="BJ340" s="1" t="s">
        <v>74</v>
      </c>
      <c r="BK340" s="1" t="s">
        <v>74</v>
      </c>
      <c r="BL340" s="1" t="s">
        <v>74</v>
      </c>
      <c r="BM340" s="1" t="s">
        <v>74</v>
      </c>
      <c r="BN340" s="1" t="s">
        <v>74</v>
      </c>
      <c r="BO340" s="1" t="s">
        <v>74</v>
      </c>
      <c r="BP340" s="1" t="s">
        <v>74</v>
      </c>
      <c r="BQ340" s="1" t="s">
        <v>74</v>
      </c>
      <c r="BR340" s="1" t="s">
        <v>74</v>
      </c>
      <c r="BS340" s="1" t="s">
        <v>3464</v>
      </c>
      <c r="BT340" s="1" t="str">
        <f>HYPERLINK("https%3A%2F%2Fwww.webofscience.com%2Fwos%2Fwoscc%2Ffull-record%2FWOS:000179985800011","View Full Record in Web of Science")</f>
        <v>View Full Record in Web of Science</v>
      </c>
    </row>
    <row r="341" ht="12.75" customHeight="1">
      <c r="A341" s="1" t="s">
        <v>72</v>
      </c>
      <c r="B341" s="1" t="s">
        <v>3465</v>
      </c>
      <c r="C341" s="1" t="s">
        <v>74</v>
      </c>
      <c r="D341" s="1" t="s">
        <v>74</v>
      </c>
      <c r="E341" s="1" t="s">
        <v>74</v>
      </c>
      <c r="F341" s="1" t="s">
        <v>3465</v>
      </c>
      <c r="G341" s="1" t="s">
        <v>74</v>
      </c>
      <c r="H341" s="1" t="s">
        <v>74</v>
      </c>
      <c r="I341" s="1" t="s">
        <v>3466</v>
      </c>
      <c r="J341" s="1" t="s">
        <v>413</v>
      </c>
      <c r="K341" s="1" t="s">
        <v>74</v>
      </c>
      <c r="L341" s="1" t="s">
        <v>74</v>
      </c>
      <c r="M341" s="1" t="s">
        <v>74</v>
      </c>
      <c r="N341" s="1" t="s">
        <v>74</v>
      </c>
      <c r="O341" s="1" t="s">
        <v>74</v>
      </c>
      <c r="P341" s="1" t="s">
        <v>74</v>
      </c>
      <c r="Q341" s="1" t="s">
        <v>74</v>
      </c>
      <c r="R341" s="1" t="s">
        <v>74</v>
      </c>
      <c r="S341" s="1" t="s">
        <v>74</v>
      </c>
      <c r="T341" s="1" t="s">
        <v>74</v>
      </c>
      <c r="U341" s="1" t="s">
        <v>74</v>
      </c>
      <c r="V341" s="1" t="s">
        <v>3467</v>
      </c>
      <c r="W341" s="1" t="s">
        <v>74</v>
      </c>
      <c r="X341" s="1" t="s">
        <v>74</v>
      </c>
      <c r="Y341" s="1" t="s">
        <v>74</v>
      </c>
      <c r="Z341" s="1" t="s">
        <v>74</v>
      </c>
      <c r="AA341" s="1" t="s">
        <v>3468</v>
      </c>
      <c r="AB341" s="1" t="s">
        <v>3469</v>
      </c>
      <c r="AC341" s="1" t="s">
        <v>74</v>
      </c>
      <c r="AD341" s="1" t="s">
        <v>74</v>
      </c>
      <c r="AE341" s="1" t="s">
        <v>74</v>
      </c>
      <c r="AF341" s="1" t="s">
        <v>74</v>
      </c>
      <c r="AG341" s="1" t="s">
        <v>74</v>
      </c>
      <c r="AH341" s="1" t="s">
        <v>74</v>
      </c>
      <c r="AI341" s="1" t="s">
        <v>74</v>
      </c>
      <c r="AJ341" s="1" t="s">
        <v>74</v>
      </c>
      <c r="AK341" s="1" t="s">
        <v>74</v>
      </c>
      <c r="AL341" s="1" t="s">
        <v>74</v>
      </c>
      <c r="AM341" s="1" t="s">
        <v>74</v>
      </c>
      <c r="AN341" s="1" t="s">
        <v>74</v>
      </c>
      <c r="AO341" s="1" t="s">
        <v>414</v>
      </c>
      <c r="AP341" s="1" t="s">
        <v>74</v>
      </c>
      <c r="AQ341" s="1" t="s">
        <v>74</v>
      </c>
      <c r="AR341" s="1" t="s">
        <v>74</v>
      </c>
      <c r="AS341" s="1" t="s">
        <v>74</v>
      </c>
      <c r="AT341" s="1" t="s">
        <v>289</v>
      </c>
      <c r="AU341" s="1">
        <v>2000.0</v>
      </c>
      <c r="AV341" s="1">
        <v>45.0</v>
      </c>
      <c r="AW341" s="1">
        <v>2.0</v>
      </c>
      <c r="AX341" s="1" t="s">
        <v>74</v>
      </c>
      <c r="AY341" s="1" t="s">
        <v>74</v>
      </c>
      <c r="AZ341" s="1" t="s">
        <v>74</v>
      </c>
      <c r="BA341" s="1" t="s">
        <v>74</v>
      </c>
      <c r="BB341" s="1">
        <v>219.0</v>
      </c>
      <c r="BC341" s="1">
        <v>226.0</v>
      </c>
      <c r="BD341" s="1" t="s">
        <v>74</v>
      </c>
      <c r="BE341" s="1" t="s">
        <v>74</v>
      </c>
      <c r="BF341" s="1" t="s">
        <v>74</v>
      </c>
      <c r="BG341" s="1" t="s">
        <v>74</v>
      </c>
      <c r="BH341" s="1" t="s">
        <v>74</v>
      </c>
      <c r="BI341" s="1" t="s">
        <v>74</v>
      </c>
      <c r="BJ341" s="1" t="s">
        <v>74</v>
      </c>
      <c r="BK341" s="1" t="s">
        <v>74</v>
      </c>
      <c r="BL341" s="1" t="s">
        <v>74</v>
      </c>
      <c r="BM341" s="1" t="s">
        <v>74</v>
      </c>
      <c r="BN341" s="1" t="s">
        <v>74</v>
      </c>
      <c r="BO341" s="1" t="s">
        <v>74</v>
      </c>
      <c r="BP341" s="1" t="s">
        <v>74</v>
      </c>
      <c r="BQ341" s="1" t="s">
        <v>74</v>
      </c>
      <c r="BR341" s="1" t="s">
        <v>74</v>
      </c>
      <c r="BS341" s="1" t="s">
        <v>3470</v>
      </c>
      <c r="BT341" s="1" t="str">
        <f>HYPERLINK("https%3A%2F%2Fwww.webofscience.com%2Fwos%2Fwoscc%2Ffull-record%2FWOS:000088306000008","View Full Record in Web of Science")</f>
        <v>View Full Record in Web of Science</v>
      </c>
    </row>
    <row r="342" ht="12.75" customHeight="1">
      <c r="A342" s="1" t="s">
        <v>72</v>
      </c>
      <c r="B342" s="1" t="s">
        <v>3471</v>
      </c>
      <c r="C342" s="1" t="s">
        <v>74</v>
      </c>
      <c r="D342" s="1" t="s">
        <v>74</v>
      </c>
      <c r="E342" s="1" t="s">
        <v>74</v>
      </c>
      <c r="F342" s="1" t="s">
        <v>3471</v>
      </c>
      <c r="G342" s="1" t="s">
        <v>74</v>
      </c>
      <c r="H342" s="1" t="s">
        <v>74</v>
      </c>
      <c r="I342" s="1" t="s">
        <v>3472</v>
      </c>
      <c r="J342" s="1" t="s">
        <v>3473</v>
      </c>
      <c r="K342" s="1" t="s">
        <v>74</v>
      </c>
      <c r="L342" s="1" t="s">
        <v>74</v>
      </c>
      <c r="M342" s="1" t="s">
        <v>74</v>
      </c>
      <c r="N342" s="1" t="s">
        <v>74</v>
      </c>
      <c r="O342" s="1" t="s">
        <v>3474</v>
      </c>
      <c r="P342" s="1" t="s">
        <v>3475</v>
      </c>
      <c r="Q342" s="1" t="s">
        <v>3476</v>
      </c>
      <c r="R342" s="1" t="s">
        <v>3477</v>
      </c>
      <c r="S342" s="1" t="s">
        <v>74</v>
      </c>
      <c r="T342" s="1" t="s">
        <v>74</v>
      </c>
      <c r="U342" s="1" t="s">
        <v>74</v>
      </c>
      <c r="V342" s="1" t="s">
        <v>3478</v>
      </c>
      <c r="W342" s="1" t="s">
        <v>74</v>
      </c>
      <c r="X342" s="1" t="s">
        <v>74</v>
      </c>
      <c r="Y342" s="1" t="s">
        <v>74</v>
      </c>
      <c r="Z342" s="1" t="s">
        <v>74</v>
      </c>
      <c r="AA342" s="1" t="s">
        <v>3479</v>
      </c>
      <c r="AB342" s="1" t="s">
        <v>3480</v>
      </c>
      <c r="AC342" s="1" t="s">
        <v>74</v>
      </c>
      <c r="AD342" s="1" t="s">
        <v>74</v>
      </c>
      <c r="AE342" s="1" t="s">
        <v>74</v>
      </c>
      <c r="AF342" s="1" t="s">
        <v>74</v>
      </c>
      <c r="AG342" s="1" t="s">
        <v>74</v>
      </c>
      <c r="AH342" s="1" t="s">
        <v>74</v>
      </c>
      <c r="AI342" s="1" t="s">
        <v>74</v>
      </c>
      <c r="AJ342" s="1" t="s">
        <v>74</v>
      </c>
      <c r="AK342" s="1" t="s">
        <v>74</v>
      </c>
      <c r="AL342" s="1" t="s">
        <v>74</v>
      </c>
      <c r="AM342" s="1" t="s">
        <v>74</v>
      </c>
      <c r="AN342" s="1" t="s">
        <v>74</v>
      </c>
      <c r="AO342" s="1" t="s">
        <v>3481</v>
      </c>
      <c r="AP342" s="1" t="s">
        <v>74</v>
      </c>
      <c r="AQ342" s="1" t="s">
        <v>74</v>
      </c>
      <c r="AR342" s="1" t="s">
        <v>74</v>
      </c>
      <c r="AS342" s="1" t="s">
        <v>74</v>
      </c>
      <c r="AT342" s="1" t="s">
        <v>3482</v>
      </c>
      <c r="AU342" s="1">
        <v>1999.0</v>
      </c>
      <c r="AV342" s="1">
        <v>493.0</v>
      </c>
      <c r="AW342" s="1" t="s">
        <v>74</v>
      </c>
      <c r="AX342" s="1" t="s">
        <v>74</v>
      </c>
      <c r="AY342" s="1" t="s">
        <v>74</v>
      </c>
      <c r="AZ342" s="1" t="s">
        <v>74</v>
      </c>
      <c r="BA342" s="1" t="s">
        <v>74</v>
      </c>
      <c r="BB342" s="1">
        <v>219.0</v>
      </c>
      <c r="BC342" s="1">
        <v>224.0</v>
      </c>
      <c r="BD342" s="1" t="s">
        <v>74</v>
      </c>
      <c r="BE342" s="1" t="s">
        <v>3483</v>
      </c>
      <c r="BF342" s="2" t="str">
        <f>HYPERLINK("http://dx.doi.org/10.1016/S0166-1280(99)00242-0","http://dx.doi.org/10.1016/S0166-1280(99)00242-0")</f>
        <v>http://dx.doi.org/10.1016/S0166-1280(99)00242-0</v>
      </c>
      <c r="BG342" s="1" t="s">
        <v>74</v>
      </c>
      <c r="BH342" s="1" t="s">
        <v>74</v>
      </c>
      <c r="BI342" s="1" t="s">
        <v>74</v>
      </c>
      <c r="BJ342" s="1" t="s">
        <v>74</v>
      </c>
      <c r="BK342" s="1" t="s">
        <v>74</v>
      </c>
      <c r="BL342" s="1" t="s">
        <v>74</v>
      </c>
      <c r="BM342" s="1" t="s">
        <v>74</v>
      </c>
      <c r="BN342" s="1" t="s">
        <v>74</v>
      </c>
      <c r="BO342" s="1" t="s">
        <v>74</v>
      </c>
      <c r="BP342" s="1" t="s">
        <v>74</v>
      </c>
      <c r="BQ342" s="1" t="s">
        <v>74</v>
      </c>
      <c r="BR342" s="1" t="s">
        <v>74</v>
      </c>
      <c r="BS342" s="1" t="s">
        <v>3484</v>
      </c>
      <c r="BT342" s="1" t="str">
        <f>HYPERLINK("https%3A%2F%2Fwww.webofscience.com%2Fwos%2Fwoscc%2Ffull-record%2FWOS:000084639500024","View Full Record in Web of Science")</f>
        <v>View Full Record in Web of Science</v>
      </c>
    </row>
    <row r="343" ht="12.75" customHeight="1">
      <c r="A343" s="1" t="s">
        <v>72</v>
      </c>
      <c r="B343" s="1" t="s">
        <v>3485</v>
      </c>
      <c r="C343" s="1" t="s">
        <v>74</v>
      </c>
      <c r="D343" s="1" t="s">
        <v>74</v>
      </c>
      <c r="E343" s="1" t="s">
        <v>74</v>
      </c>
      <c r="F343" s="1" t="s">
        <v>3485</v>
      </c>
      <c r="G343" s="1" t="s">
        <v>74</v>
      </c>
      <c r="H343" s="1" t="s">
        <v>74</v>
      </c>
      <c r="I343" s="1" t="s">
        <v>3486</v>
      </c>
      <c r="J343" s="1" t="s">
        <v>3358</v>
      </c>
      <c r="K343" s="1" t="s">
        <v>74</v>
      </c>
      <c r="L343" s="1" t="s">
        <v>74</v>
      </c>
      <c r="M343" s="1" t="s">
        <v>74</v>
      </c>
      <c r="N343" s="1" t="s">
        <v>74</v>
      </c>
      <c r="O343" s="1" t="s">
        <v>74</v>
      </c>
      <c r="P343" s="1" t="s">
        <v>74</v>
      </c>
      <c r="Q343" s="1" t="s">
        <v>74</v>
      </c>
      <c r="R343" s="1" t="s">
        <v>74</v>
      </c>
      <c r="S343" s="1" t="s">
        <v>74</v>
      </c>
      <c r="T343" s="1" t="s">
        <v>74</v>
      </c>
      <c r="U343" s="1" t="s">
        <v>74</v>
      </c>
      <c r="V343" s="1" t="s">
        <v>3487</v>
      </c>
      <c r="W343" s="1" t="s">
        <v>74</v>
      </c>
      <c r="X343" s="1" t="s">
        <v>74</v>
      </c>
      <c r="Y343" s="1" t="s">
        <v>74</v>
      </c>
      <c r="Z343" s="1" t="s">
        <v>74</v>
      </c>
      <c r="AA343" s="1" t="s">
        <v>74</v>
      </c>
      <c r="AB343" s="1" t="s">
        <v>3488</v>
      </c>
      <c r="AC343" s="1" t="s">
        <v>74</v>
      </c>
      <c r="AD343" s="1" t="s">
        <v>74</v>
      </c>
      <c r="AE343" s="1" t="s">
        <v>74</v>
      </c>
      <c r="AF343" s="1" t="s">
        <v>74</v>
      </c>
      <c r="AG343" s="1" t="s">
        <v>74</v>
      </c>
      <c r="AH343" s="1" t="s">
        <v>74</v>
      </c>
      <c r="AI343" s="1" t="s">
        <v>74</v>
      </c>
      <c r="AJ343" s="1" t="s">
        <v>74</v>
      </c>
      <c r="AK343" s="1" t="s">
        <v>74</v>
      </c>
      <c r="AL343" s="1" t="s">
        <v>74</v>
      </c>
      <c r="AM343" s="1" t="s">
        <v>74</v>
      </c>
      <c r="AN343" s="1" t="s">
        <v>74</v>
      </c>
      <c r="AO343" s="1" t="s">
        <v>3362</v>
      </c>
      <c r="AP343" s="1" t="s">
        <v>74</v>
      </c>
      <c r="AQ343" s="1" t="s">
        <v>74</v>
      </c>
      <c r="AR343" s="1" t="s">
        <v>74</v>
      </c>
      <c r="AS343" s="1" t="s">
        <v>74</v>
      </c>
      <c r="AT343" s="1" t="s">
        <v>3489</v>
      </c>
      <c r="AU343" s="1">
        <v>1999.0</v>
      </c>
      <c r="AV343" s="1">
        <v>35.0</v>
      </c>
      <c r="AW343" s="1">
        <v>5.0</v>
      </c>
      <c r="AX343" s="1" t="s">
        <v>74</v>
      </c>
      <c r="AY343" s="1" t="s">
        <v>74</v>
      </c>
      <c r="AZ343" s="1" t="s">
        <v>74</v>
      </c>
      <c r="BA343" s="1" t="s">
        <v>74</v>
      </c>
      <c r="BB343" s="1">
        <v>301.0</v>
      </c>
      <c r="BC343" s="1">
        <v>307.0</v>
      </c>
      <c r="BD343" s="1" t="s">
        <v>74</v>
      </c>
      <c r="BE343" s="1" t="s">
        <v>74</v>
      </c>
      <c r="BF343" s="1" t="s">
        <v>74</v>
      </c>
      <c r="BG343" s="1" t="s">
        <v>74</v>
      </c>
      <c r="BH343" s="1" t="s">
        <v>74</v>
      </c>
      <c r="BI343" s="1" t="s">
        <v>74</v>
      </c>
      <c r="BJ343" s="1" t="s">
        <v>74</v>
      </c>
      <c r="BK343" s="1" t="s">
        <v>74</v>
      </c>
      <c r="BL343" s="1" t="s">
        <v>74</v>
      </c>
      <c r="BM343" s="1" t="s">
        <v>74</v>
      </c>
      <c r="BN343" s="1" t="s">
        <v>74</v>
      </c>
      <c r="BO343" s="1" t="s">
        <v>74</v>
      </c>
      <c r="BP343" s="1" t="s">
        <v>74</v>
      </c>
      <c r="BQ343" s="1" t="s">
        <v>74</v>
      </c>
      <c r="BR343" s="1" t="s">
        <v>74</v>
      </c>
      <c r="BS343" s="1" t="s">
        <v>3490</v>
      </c>
      <c r="BT343" s="1" t="str">
        <f>HYPERLINK("https%3A%2F%2Fwww.webofscience.com%2Fwos%2Fwoscc%2Ffull-record%2FWOS:000083899700003","View Full Record in Web of Science")</f>
        <v>View Full Record in Web of Science</v>
      </c>
    </row>
    <row r="344" ht="12.75" customHeight="1">
      <c r="A344" s="1" t="s">
        <v>72</v>
      </c>
      <c r="B344" s="1" t="s">
        <v>3491</v>
      </c>
      <c r="C344" s="1" t="s">
        <v>74</v>
      </c>
      <c r="D344" s="1" t="s">
        <v>74</v>
      </c>
      <c r="E344" s="1" t="s">
        <v>74</v>
      </c>
      <c r="F344" s="1" t="s">
        <v>3491</v>
      </c>
      <c r="G344" s="1" t="s">
        <v>74</v>
      </c>
      <c r="H344" s="1" t="s">
        <v>74</v>
      </c>
      <c r="I344" s="1" t="s">
        <v>3492</v>
      </c>
      <c r="J344" s="1" t="s">
        <v>283</v>
      </c>
      <c r="K344" s="1" t="s">
        <v>74</v>
      </c>
      <c r="L344" s="1" t="s">
        <v>74</v>
      </c>
      <c r="M344" s="1" t="s">
        <v>74</v>
      </c>
      <c r="N344" s="1" t="s">
        <v>74</v>
      </c>
      <c r="O344" s="1" t="s">
        <v>74</v>
      </c>
      <c r="P344" s="1" t="s">
        <v>74</v>
      </c>
      <c r="Q344" s="1" t="s">
        <v>74</v>
      </c>
      <c r="R344" s="1" t="s">
        <v>74</v>
      </c>
      <c r="S344" s="1" t="s">
        <v>74</v>
      </c>
      <c r="T344" s="1" t="s">
        <v>74</v>
      </c>
      <c r="U344" s="1" t="s">
        <v>74</v>
      </c>
      <c r="V344" s="1" t="s">
        <v>3493</v>
      </c>
      <c r="W344" s="1" t="s">
        <v>74</v>
      </c>
      <c r="X344" s="1" t="s">
        <v>74</v>
      </c>
      <c r="Y344" s="1" t="s">
        <v>74</v>
      </c>
      <c r="Z344" s="1" t="s">
        <v>74</v>
      </c>
      <c r="AA344" s="1" t="s">
        <v>74</v>
      </c>
      <c r="AB344" s="1" t="s">
        <v>74</v>
      </c>
      <c r="AC344" s="1" t="s">
        <v>74</v>
      </c>
      <c r="AD344" s="1" t="s">
        <v>74</v>
      </c>
      <c r="AE344" s="1" t="s">
        <v>74</v>
      </c>
      <c r="AF344" s="1" t="s">
        <v>74</v>
      </c>
      <c r="AG344" s="1" t="s">
        <v>74</v>
      </c>
      <c r="AH344" s="1" t="s">
        <v>74</v>
      </c>
      <c r="AI344" s="1" t="s">
        <v>74</v>
      </c>
      <c r="AJ344" s="1" t="s">
        <v>74</v>
      </c>
      <c r="AK344" s="1" t="s">
        <v>74</v>
      </c>
      <c r="AL344" s="1" t="s">
        <v>74</v>
      </c>
      <c r="AM344" s="1" t="s">
        <v>74</v>
      </c>
      <c r="AN344" s="1" t="s">
        <v>74</v>
      </c>
      <c r="AO344" s="1" t="s">
        <v>287</v>
      </c>
      <c r="AP344" s="1" t="s">
        <v>74</v>
      </c>
      <c r="AQ344" s="1" t="s">
        <v>74</v>
      </c>
      <c r="AR344" s="1" t="s">
        <v>74</v>
      </c>
      <c r="AS344" s="1" t="s">
        <v>74</v>
      </c>
      <c r="AT344" s="1" t="s">
        <v>144</v>
      </c>
      <c r="AU344" s="1">
        <v>1999.0</v>
      </c>
      <c r="AV344" s="1">
        <v>81.0</v>
      </c>
      <c r="AW344" s="1">
        <v>3.0</v>
      </c>
      <c r="AX344" s="1" t="s">
        <v>74</v>
      </c>
      <c r="AY344" s="1" t="s">
        <v>74</v>
      </c>
      <c r="AZ344" s="1" t="s">
        <v>74</v>
      </c>
      <c r="BA344" s="1" t="s">
        <v>74</v>
      </c>
      <c r="BB344" s="1">
        <v>261.0</v>
      </c>
      <c r="BC344" s="1">
        <v>266.0</v>
      </c>
      <c r="BD344" s="1" t="s">
        <v>74</v>
      </c>
      <c r="BE344" s="1" t="s">
        <v>3494</v>
      </c>
      <c r="BF344" s="2" t="str">
        <f>HYPERLINK("http://dx.doi.org/10.1016/S0300-9084(99)80060-1","http://dx.doi.org/10.1016/S0300-9084(99)80060-1")</f>
        <v>http://dx.doi.org/10.1016/S0300-9084(99)80060-1</v>
      </c>
      <c r="BG344" s="1" t="s">
        <v>74</v>
      </c>
      <c r="BH344" s="1" t="s">
        <v>74</v>
      </c>
      <c r="BI344" s="1" t="s">
        <v>74</v>
      </c>
      <c r="BJ344" s="1" t="s">
        <v>74</v>
      </c>
      <c r="BK344" s="1" t="s">
        <v>74</v>
      </c>
      <c r="BL344" s="1" t="s">
        <v>74</v>
      </c>
      <c r="BM344" s="1" t="s">
        <v>74</v>
      </c>
      <c r="BN344" s="1">
        <v>1.0385008E7</v>
      </c>
      <c r="BO344" s="1" t="s">
        <v>74</v>
      </c>
      <c r="BP344" s="1" t="s">
        <v>74</v>
      </c>
      <c r="BQ344" s="1" t="s">
        <v>74</v>
      </c>
      <c r="BR344" s="1" t="s">
        <v>74</v>
      </c>
      <c r="BS344" s="1" t="s">
        <v>3495</v>
      </c>
      <c r="BT344" s="1" t="str">
        <f>HYPERLINK("https%3A%2F%2Fwww.webofscience.com%2Fwos%2Fwoscc%2Ffull-record%2FWOS:000080524500010","View Full Record in Web of Science")</f>
        <v>View Full Record in Web of Science</v>
      </c>
    </row>
    <row r="345" ht="12.75" customHeight="1">
      <c r="A345" s="1" t="s">
        <v>72</v>
      </c>
      <c r="B345" s="1" t="s">
        <v>3496</v>
      </c>
      <c r="C345" s="1" t="s">
        <v>74</v>
      </c>
      <c r="D345" s="1" t="s">
        <v>74</v>
      </c>
      <c r="E345" s="1" t="s">
        <v>74</v>
      </c>
      <c r="F345" s="1" t="s">
        <v>3496</v>
      </c>
      <c r="G345" s="1" t="s">
        <v>74</v>
      </c>
      <c r="H345" s="1" t="s">
        <v>74</v>
      </c>
      <c r="I345" s="1" t="s">
        <v>3497</v>
      </c>
      <c r="J345" s="1" t="s">
        <v>3498</v>
      </c>
      <c r="K345" s="1" t="s">
        <v>74</v>
      </c>
      <c r="L345" s="1" t="s">
        <v>74</v>
      </c>
      <c r="M345" s="1" t="s">
        <v>74</v>
      </c>
      <c r="N345" s="1" t="s">
        <v>74</v>
      </c>
      <c r="O345" s="1" t="s">
        <v>74</v>
      </c>
      <c r="P345" s="1" t="s">
        <v>74</v>
      </c>
      <c r="Q345" s="1" t="s">
        <v>74</v>
      </c>
      <c r="R345" s="1" t="s">
        <v>74</v>
      </c>
      <c r="S345" s="1" t="s">
        <v>74</v>
      </c>
      <c r="T345" s="1" t="s">
        <v>74</v>
      </c>
      <c r="U345" s="1" t="s">
        <v>74</v>
      </c>
      <c r="V345" s="1" t="s">
        <v>3499</v>
      </c>
      <c r="W345" s="1" t="s">
        <v>74</v>
      </c>
      <c r="X345" s="1" t="s">
        <v>74</v>
      </c>
      <c r="Y345" s="1" t="s">
        <v>74</v>
      </c>
      <c r="Z345" s="1" t="s">
        <v>74</v>
      </c>
      <c r="AA345" s="1" t="s">
        <v>3500</v>
      </c>
      <c r="AB345" s="1" t="s">
        <v>3501</v>
      </c>
      <c r="AC345" s="1" t="s">
        <v>74</v>
      </c>
      <c r="AD345" s="1" t="s">
        <v>74</v>
      </c>
      <c r="AE345" s="1" t="s">
        <v>74</v>
      </c>
      <c r="AF345" s="1" t="s">
        <v>74</v>
      </c>
      <c r="AG345" s="1" t="s">
        <v>74</v>
      </c>
      <c r="AH345" s="1" t="s">
        <v>74</v>
      </c>
      <c r="AI345" s="1" t="s">
        <v>74</v>
      </c>
      <c r="AJ345" s="1" t="s">
        <v>74</v>
      </c>
      <c r="AK345" s="1" t="s">
        <v>74</v>
      </c>
      <c r="AL345" s="1" t="s">
        <v>74</v>
      </c>
      <c r="AM345" s="1" t="s">
        <v>74</v>
      </c>
      <c r="AN345" s="1" t="s">
        <v>74</v>
      </c>
      <c r="AO345" s="1" t="s">
        <v>3502</v>
      </c>
      <c r="AP345" s="1" t="s">
        <v>74</v>
      </c>
      <c r="AQ345" s="1" t="s">
        <v>74</v>
      </c>
      <c r="AR345" s="1" t="s">
        <v>74</v>
      </c>
      <c r="AS345" s="1" t="s">
        <v>74</v>
      </c>
      <c r="AT345" s="1" t="s">
        <v>363</v>
      </c>
      <c r="AU345" s="1">
        <v>1998.0</v>
      </c>
      <c r="AV345" s="1">
        <v>62.0</v>
      </c>
      <c r="AW345" s="1">
        <v>3.0</v>
      </c>
      <c r="AX345" s="1" t="s">
        <v>74</v>
      </c>
      <c r="AY345" s="1" t="s">
        <v>74</v>
      </c>
      <c r="AZ345" s="1" t="s">
        <v>74</v>
      </c>
      <c r="BA345" s="1" t="s">
        <v>74</v>
      </c>
      <c r="BB345" s="1">
        <v>251.0</v>
      </c>
      <c r="BC345" s="1">
        <v>254.0</v>
      </c>
      <c r="BD345" s="1" t="s">
        <v>74</v>
      </c>
      <c r="BE345" s="1" t="s">
        <v>3503</v>
      </c>
      <c r="BF345" s="2" t="str">
        <f>HYPERLINK("http://dx.doi.org/10.1016/S0378-8741(98)00068-3","http://dx.doi.org/10.1016/S0378-8741(98)00068-3")</f>
        <v>http://dx.doi.org/10.1016/S0378-8741(98)00068-3</v>
      </c>
      <c r="BG345" s="1" t="s">
        <v>74</v>
      </c>
      <c r="BH345" s="1" t="s">
        <v>74</v>
      </c>
      <c r="BI345" s="1" t="s">
        <v>74</v>
      </c>
      <c r="BJ345" s="1" t="s">
        <v>74</v>
      </c>
      <c r="BK345" s="1" t="s">
        <v>74</v>
      </c>
      <c r="BL345" s="1" t="s">
        <v>74</v>
      </c>
      <c r="BM345" s="1" t="s">
        <v>74</v>
      </c>
      <c r="BN345" s="1">
        <v>9849637.0</v>
      </c>
      <c r="BO345" s="1" t="s">
        <v>74</v>
      </c>
      <c r="BP345" s="1" t="s">
        <v>74</v>
      </c>
      <c r="BQ345" s="1" t="s">
        <v>74</v>
      </c>
      <c r="BR345" s="1" t="s">
        <v>74</v>
      </c>
      <c r="BS345" s="1" t="s">
        <v>3504</v>
      </c>
      <c r="BT345" s="1" t="str">
        <f>HYPERLINK("https%3A%2F%2Fwww.webofscience.com%2Fwos%2Fwoscc%2Ffull-record%2FWOS:000077205200010","View Full Record in Web of Science")</f>
        <v>View Full Record in Web of Science</v>
      </c>
    </row>
    <row r="346" ht="12.75" customHeight="1">
      <c r="A346" s="1" t="s">
        <v>72</v>
      </c>
      <c r="B346" s="1" t="s">
        <v>3505</v>
      </c>
      <c r="C346" s="1" t="s">
        <v>74</v>
      </c>
      <c r="D346" s="1" t="s">
        <v>74</v>
      </c>
      <c r="E346" s="1" t="s">
        <v>74</v>
      </c>
      <c r="F346" s="1" t="s">
        <v>3505</v>
      </c>
      <c r="G346" s="1" t="s">
        <v>74</v>
      </c>
      <c r="H346" s="1" t="s">
        <v>74</v>
      </c>
      <c r="I346" s="1" t="s">
        <v>3506</v>
      </c>
      <c r="J346" s="1" t="s">
        <v>413</v>
      </c>
      <c r="K346" s="1" t="s">
        <v>74</v>
      </c>
      <c r="L346" s="1" t="s">
        <v>74</v>
      </c>
      <c r="M346" s="1" t="s">
        <v>74</v>
      </c>
      <c r="N346" s="1" t="s">
        <v>74</v>
      </c>
      <c r="O346" s="1" t="s">
        <v>74</v>
      </c>
      <c r="P346" s="1" t="s">
        <v>74</v>
      </c>
      <c r="Q346" s="1" t="s">
        <v>74</v>
      </c>
      <c r="R346" s="1" t="s">
        <v>74</v>
      </c>
      <c r="S346" s="1" t="s">
        <v>74</v>
      </c>
      <c r="T346" s="1" t="s">
        <v>74</v>
      </c>
      <c r="U346" s="1" t="s">
        <v>74</v>
      </c>
      <c r="V346" s="1" t="s">
        <v>3507</v>
      </c>
      <c r="W346" s="1" t="s">
        <v>74</v>
      </c>
      <c r="X346" s="1" t="s">
        <v>74</v>
      </c>
      <c r="Y346" s="1" t="s">
        <v>74</v>
      </c>
      <c r="Z346" s="1" t="s">
        <v>74</v>
      </c>
      <c r="AA346" s="1" t="s">
        <v>3508</v>
      </c>
      <c r="AB346" s="1" t="s">
        <v>3509</v>
      </c>
      <c r="AC346" s="1" t="s">
        <v>74</v>
      </c>
      <c r="AD346" s="1" t="s">
        <v>74</v>
      </c>
      <c r="AE346" s="1" t="s">
        <v>74</v>
      </c>
      <c r="AF346" s="1" t="s">
        <v>74</v>
      </c>
      <c r="AG346" s="1" t="s">
        <v>74</v>
      </c>
      <c r="AH346" s="1" t="s">
        <v>74</v>
      </c>
      <c r="AI346" s="1" t="s">
        <v>74</v>
      </c>
      <c r="AJ346" s="1" t="s">
        <v>74</v>
      </c>
      <c r="AK346" s="1" t="s">
        <v>74</v>
      </c>
      <c r="AL346" s="1" t="s">
        <v>74</v>
      </c>
      <c r="AM346" s="1" t="s">
        <v>74</v>
      </c>
      <c r="AN346" s="1" t="s">
        <v>74</v>
      </c>
      <c r="AO346" s="1" t="s">
        <v>414</v>
      </c>
      <c r="AP346" s="1" t="s">
        <v>74</v>
      </c>
      <c r="AQ346" s="1" t="s">
        <v>74</v>
      </c>
      <c r="AR346" s="1" t="s">
        <v>74</v>
      </c>
      <c r="AS346" s="1" t="s">
        <v>74</v>
      </c>
      <c r="AT346" s="1" t="s">
        <v>144</v>
      </c>
      <c r="AU346" s="1">
        <v>1998.0</v>
      </c>
      <c r="AV346" s="1">
        <v>43.0</v>
      </c>
      <c r="AW346" s="1">
        <v>1.0</v>
      </c>
      <c r="AX346" s="1" t="s">
        <v>74</v>
      </c>
      <c r="AY346" s="1" t="s">
        <v>74</v>
      </c>
      <c r="AZ346" s="1" t="s">
        <v>74</v>
      </c>
      <c r="BA346" s="1" t="s">
        <v>74</v>
      </c>
      <c r="BB346" s="1">
        <v>81.0</v>
      </c>
      <c r="BC346" s="1">
        <v>85.0</v>
      </c>
      <c r="BD346" s="1" t="s">
        <v>74</v>
      </c>
      <c r="BE346" s="1" t="s">
        <v>74</v>
      </c>
      <c r="BF346" s="1" t="s">
        <v>74</v>
      </c>
      <c r="BG346" s="1" t="s">
        <v>74</v>
      </c>
      <c r="BH346" s="1" t="s">
        <v>74</v>
      </c>
      <c r="BI346" s="1" t="s">
        <v>74</v>
      </c>
      <c r="BJ346" s="1" t="s">
        <v>74</v>
      </c>
      <c r="BK346" s="1" t="s">
        <v>74</v>
      </c>
      <c r="BL346" s="1" t="s">
        <v>74</v>
      </c>
      <c r="BM346" s="1" t="s">
        <v>74</v>
      </c>
      <c r="BN346" s="1" t="s">
        <v>74</v>
      </c>
      <c r="BO346" s="1" t="s">
        <v>74</v>
      </c>
      <c r="BP346" s="1" t="s">
        <v>74</v>
      </c>
      <c r="BQ346" s="1" t="s">
        <v>74</v>
      </c>
      <c r="BR346" s="1" t="s">
        <v>74</v>
      </c>
      <c r="BS346" s="1" t="s">
        <v>3510</v>
      </c>
      <c r="BT346" s="1" t="str">
        <f>HYPERLINK("https%3A%2F%2Fwww.webofscience.com%2Fwos%2Fwoscc%2Ffull-record%2FWOS:000072914800012","View Full Record in Web of Science")</f>
        <v>View Full Record in Web of Science</v>
      </c>
    </row>
    <row r="347" ht="12.75" customHeight="1">
      <c r="A347" s="1" t="s">
        <v>72</v>
      </c>
      <c r="B347" s="1" t="s">
        <v>3511</v>
      </c>
      <c r="C347" s="1" t="s">
        <v>74</v>
      </c>
      <c r="D347" s="1" t="s">
        <v>74</v>
      </c>
      <c r="E347" s="1" t="s">
        <v>74</v>
      </c>
      <c r="F347" s="1" t="s">
        <v>3511</v>
      </c>
      <c r="G347" s="1" t="s">
        <v>74</v>
      </c>
      <c r="H347" s="1" t="s">
        <v>74</v>
      </c>
      <c r="I347" s="1" t="s">
        <v>3512</v>
      </c>
      <c r="J347" s="1" t="s">
        <v>3513</v>
      </c>
      <c r="K347" s="1" t="s">
        <v>74</v>
      </c>
      <c r="L347" s="1" t="s">
        <v>74</v>
      </c>
      <c r="M347" s="1" t="s">
        <v>74</v>
      </c>
      <c r="N347" s="1" t="s">
        <v>74</v>
      </c>
      <c r="O347" s="1" t="s">
        <v>74</v>
      </c>
      <c r="P347" s="1" t="s">
        <v>74</v>
      </c>
      <c r="Q347" s="1" t="s">
        <v>74</v>
      </c>
      <c r="R347" s="1" t="s">
        <v>74</v>
      </c>
      <c r="S347" s="1" t="s">
        <v>74</v>
      </c>
      <c r="T347" s="1" t="s">
        <v>74</v>
      </c>
      <c r="U347" s="1" t="s">
        <v>74</v>
      </c>
      <c r="V347" s="1" t="s">
        <v>3514</v>
      </c>
      <c r="W347" s="1" t="s">
        <v>74</v>
      </c>
      <c r="X347" s="1" t="s">
        <v>74</v>
      </c>
      <c r="Y347" s="1" t="s">
        <v>74</v>
      </c>
      <c r="Z347" s="1" t="s">
        <v>74</v>
      </c>
      <c r="AA347" s="1" t="s">
        <v>2072</v>
      </c>
      <c r="AB347" s="1" t="s">
        <v>74</v>
      </c>
      <c r="AC347" s="1" t="s">
        <v>74</v>
      </c>
      <c r="AD347" s="1" t="s">
        <v>74</v>
      </c>
      <c r="AE347" s="1" t="s">
        <v>74</v>
      </c>
      <c r="AF347" s="1" t="s">
        <v>74</v>
      </c>
      <c r="AG347" s="1" t="s">
        <v>74</v>
      </c>
      <c r="AH347" s="1" t="s">
        <v>74</v>
      </c>
      <c r="AI347" s="1" t="s">
        <v>74</v>
      </c>
      <c r="AJ347" s="1" t="s">
        <v>74</v>
      </c>
      <c r="AK347" s="1" t="s">
        <v>74</v>
      </c>
      <c r="AL347" s="1" t="s">
        <v>74</v>
      </c>
      <c r="AM347" s="1" t="s">
        <v>74</v>
      </c>
      <c r="AN347" s="1" t="s">
        <v>74</v>
      </c>
      <c r="AO347" s="1" t="s">
        <v>3515</v>
      </c>
      <c r="AP347" s="1" t="s">
        <v>74</v>
      </c>
      <c r="AQ347" s="1" t="s">
        <v>74</v>
      </c>
      <c r="AR347" s="1" t="s">
        <v>74</v>
      </c>
      <c r="AS347" s="1" t="s">
        <v>74</v>
      </c>
      <c r="AT347" s="1" t="s">
        <v>83</v>
      </c>
      <c r="AU347" s="1">
        <v>1996.0</v>
      </c>
      <c r="AV347" s="1">
        <v>34.0</v>
      </c>
      <c r="AW347" s="1">
        <v>10.0</v>
      </c>
      <c r="AX347" s="1" t="s">
        <v>74</v>
      </c>
      <c r="AY347" s="1" t="s">
        <v>74</v>
      </c>
      <c r="AZ347" s="1" t="s">
        <v>74</v>
      </c>
      <c r="BA347" s="1" t="s">
        <v>74</v>
      </c>
      <c r="BB347" s="1">
        <v>1941.0</v>
      </c>
      <c r="BC347" s="1">
        <v>1944.0</v>
      </c>
      <c r="BD347" s="1" t="s">
        <v>74</v>
      </c>
      <c r="BE347" s="1" t="s">
        <v>74</v>
      </c>
      <c r="BF347" s="1" t="s">
        <v>74</v>
      </c>
      <c r="BG347" s="1" t="s">
        <v>74</v>
      </c>
      <c r="BH347" s="1" t="s">
        <v>74</v>
      </c>
      <c r="BI347" s="1" t="s">
        <v>74</v>
      </c>
      <c r="BJ347" s="1" t="s">
        <v>74</v>
      </c>
      <c r="BK347" s="1" t="s">
        <v>74</v>
      </c>
      <c r="BL347" s="1" t="s">
        <v>74</v>
      </c>
      <c r="BM347" s="1" t="s">
        <v>74</v>
      </c>
      <c r="BN347" s="1" t="s">
        <v>74</v>
      </c>
      <c r="BO347" s="1" t="s">
        <v>74</v>
      </c>
      <c r="BP347" s="1" t="s">
        <v>74</v>
      </c>
      <c r="BQ347" s="1" t="s">
        <v>74</v>
      </c>
      <c r="BR347" s="1" t="s">
        <v>74</v>
      </c>
      <c r="BS347" s="1" t="s">
        <v>3516</v>
      </c>
      <c r="BT347" s="1" t="str">
        <f>HYPERLINK("https%3A%2F%2Fwww.webofscience.com%2Fwos%2Fwoscc%2Ffull-record%2FWOS:A1996UU54900014","View Full Record in Web of Science")</f>
        <v>View Full Record in Web of Science</v>
      </c>
    </row>
    <row r="348" ht="12.75" customHeight="1">
      <c r="A348" s="1" t="s">
        <v>72</v>
      </c>
      <c r="B348" s="1" t="s">
        <v>3517</v>
      </c>
      <c r="C348" s="1" t="s">
        <v>74</v>
      </c>
      <c r="D348" s="1" t="s">
        <v>74</v>
      </c>
      <c r="E348" s="1" t="s">
        <v>74</v>
      </c>
      <c r="F348" s="1" t="s">
        <v>3517</v>
      </c>
      <c r="G348" s="1" t="s">
        <v>74</v>
      </c>
      <c r="H348" s="1" t="s">
        <v>74</v>
      </c>
      <c r="I348" s="1" t="s">
        <v>3518</v>
      </c>
      <c r="J348" s="1" t="s">
        <v>3519</v>
      </c>
      <c r="K348" s="1" t="s">
        <v>74</v>
      </c>
      <c r="L348" s="1" t="s">
        <v>74</v>
      </c>
      <c r="M348" s="1" t="s">
        <v>74</v>
      </c>
      <c r="N348" s="1" t="s">
        <v>74</v>
      </c>
      <c r="O348" s="1" t="s">
        <v>74</v>
      </c>
      <c r="P348" s="1" t="s">
        <v>74</v>
      </c>
      <c r="Q348" s="1" t="s">
        <v>74</v>
      </c>
      <c r="R348" s="1" t="s">
        <v>74</v>
      </c>
      <c r="S348" s="1" t="s">
        <v>74</v>
      </c>
      <c r="T348" s="1" t="s">
        <v>74</v>
      </c>
      <c r="U348" s="1" t="s">
        <v>74</v>
      </c>
      <c r="V348" s="1" t="s">
        <v>74</v>
      </c>
      <c r="W348" s="1" t="s">
        <v>74</v>
      </c>
      <c r="X348" s="1" t="s">
        <v>74</v>
      </c>
      <c r="Y348" s="1" t="s">
        <v>74</v>
      </c>
      <c r="Z348" s="1" t="s">
        <v>74</v>
      </c>
      <c r="AA348" s="1" t="s">
        <v>3520</v>
      </c>
      <c r="AB348" s="1" t="s">
        <v>3521</v>
      </c>
      <c r="AC348" s="1" t="s">
        <v>74</v>
      </c>
      <c r="AD348" s="1" t="s">
        <v>74</v>
      </c>
      <c r="AE348" s="1" t="s">
        <v>74</v>
      </c>
      <c r="AF348" s="1" t="s">
        <v>74</v>
      </c>
      <c r="AG348" s="1" t="s">
        <v>74</v>
      </c>
      <c r="AH348" s="1" t="s">
        <v>74</v>
      </c>
      <c r="AI348" s="1" t="s">
        <v>74</v>
      </c>
      <c r="AJ348" s="1" t="s">
        <v>74</v>
      </c>
      <c r="AK348" s="1" t="s">
        <v>74</v>
      </c>
      <c r="AL348" s="1" t="s">
        <v>74</v>
      </c>
      <c r="AM348" s="1" t="s">
        <v>74</v>
      </c>
      <c r="AN348" s="1" t="s">
        <v>74</v>
      </c>
      <c r="AO348" s="1" t="s">
        <v>3522</v>
      </c>
      <c r="AP348" s="1" t="s">
        <v>74</v>
      </c>
      <c r="AQ348" s="1" t="s">
        <v>74</v>
      </c>
      <c r="AR348" s="1" t="s">
        <v>74</v>
      </c>
      <c r="AS348" s="1" t="s">
        <v>74</v>
      </c>
      <c r="AT348" s="1" t="s">
        <v>1214</v>
      </c>
      <c r="AU348" s="1">
        <v>1995.0</v>
      </c>
      <c r="AV348" s="1">
        <v>90.0</v>
      </c>
      <c r="AW348" s="1">
        <v>2.0</v>
      </c>
      <c r="AX348" s="1" t="s">
        <v>74</v>
      </c>
      <c r="AY348" s="1" t="s">
        <v>74</v>
      </c>
      <c r="AZ348" s="1" t="s">
        <v>74</v>
      </c>
      <c r="BA348" s="1" t="s">
        <v>74</v>
      </c>
      <c r="BB348" s="1">
        <v>473.0</v>
      </c>
      <c r="BC348" s="1">
        <v>475.0</v>
      </c>
      <c r="BD348" s="1" t="s">
        <v>74</v>
      </c>
      <c r="BE348" s="1" t="s">
        <v>3523</v>
      </c>
      <c r="BF348" s="2" t="str">
        <f>HYPERLINK("http://dx.doi.org/10.2113/gsecongeo.90.2.473","http://dx.doi.org/10.2113/gsecongeo.90.2.473")</f>
        <v>http://dx.doi.org/10.2113/gsecongeo.90.2.473</v>
      </c>
      <c r="BG348" s="1" t="s">
        <v>74</v>
      </c>
      <c r="BH348" s="1" t="s">
        <v>74</v>
      </c>
      <c r="BI348" s="1" t="s">
        <v>74</v>
      </c>
      <c r="BJ348" s="1" t="s">
        <v>74</v>
      </c>
      <c r="BK348" s="1" t="s">
        <v>74</v>
      </c>
      <c r="BL348" s="1" t="s">
        <v>74</v>
      </c>
      <c r="BM348" s="1" t="s">
        <v>74</v>
      </c>
      <c r="BN348" s="1" t="s">
        <v>74</v>
      </c>
      <c r="BO348" s="1" t="s">
        <v>74</v>
      </c>
      <c r="BP348" s="1" t="s">
        <v>74</v>
      </c>
      <c r="BQ348" s="1" t="s">
        <v>74</v>
      </c>
      <c r="BR348" s="1" t="s">
        <v>74</v>
      </c>
      <c r="BS348" s="1" t="s">
        <v>3524</v>
      </c>
      <c r="BT348" s="1" t="str">
        <f>HYPERLINK("https%3A%2F%2Fwww.webofscience.com%2Fwos%2Fwoscc%2Ffull-record%2FWOS:A1995RD03400022","View Full Record in Web of Science")</f>
        <v>View Full Record in Web of Science</v>
      </c>
    </row>
    <row r="349" ht="12.75" customHeight="1">
      <c r="A349" s="1" t="s">
        <v>72</v>
      </c>
      <c r="B349" s="1" t="s">
        <v>3525</v>
      </c>
      <c r="C349" s="1" t="s">
        <v>74</v>
      </c>
      <c r="D349" s="1" t="s">
        <v>74</v>
      </c>
      <c r="E349" s="1" t="s">
        <v>74</v>
      </c>
      <c r="F349" s="1" t="s">
        <v>3525</v>
      </c>
      <c r="G349" s="1" t="s">
        <v>74</v>
      </c>
      <c r="H349" s="1" t="s">
        <v>74</v>
      </c>
      <c r="I349" s="1" t="s">
        <v>3526</v>
      </c>
      <c r="J349" s="1" t="s">
        <v>2795</v>
      </c>
      <c r="K349" s="1" t="s">
        <v>74</v>
      </c>
      <c r="L349" s="1" t="s">
        <v>74</v>
      </c>
      <c r="M349" s="1" t="s">
        <v>74</v>
      </c>
      <c r="N349" s="1" t="s">
        <v>74</v>
      </c>
      <c r="O349" s="1" t="s">
        <v>74</v>
      </c>
      <c r="P349" s="1" t="s">
        <v>74</v>
      </c>
      <c r="Q349" s="1" t="s">
        <v>74</v>
      </c>
      <c r="R349" s="1" t="s">
        <v>74</v>
      </c>
      <c r="S349" s="1" t="s">
        <v>74</v>
      </c>
      <c r="T349" s="1" t="s">
        <v>74</v>
      </c>
      <c r="U349" s="1" t="s">
        <v>74</v>
      </c>
      <c r="V349" s="1" t="s">
        <v>74</v>
      </c>
      <c r="W349" s="1" t="s">
        <v>74</v>
      </c>
      <c r="X349" s="1" t="s">
        <v>74</v>
      </c>
      <c r="Y349" s="1" t="s">
        <v>74</v>
      </c>
      <c r="Z349" s="1" t="s">
        <v>74</v>
      </c>
      <c r="AA349" s="1" t="s">
        <v>74</v>
      </c>
      <c r="AB349" s="1" t="s">
        <v>74</v>
      </c>
      <c r="AC349" s="1" t="s">
        <v>74</v>
      </c>
      <c r="AD349" s="1" t="s">
        <v>74</v>
      </c>
      <c r="AE349" s="1" t="s">
        <v>74</v>
      </c>
      <c r="AF349" s="1" t="s">
        <v>74</v>
      </c>
      <c r="AG349" s="1" t="s">
        <v>74</v>
      </c>
      <c r="AH349" s="1" t="s">
        <v>74</v>
      </c>
      <c r="AI349" s="1" t="s">
        <v>74</v>
      </c>
      <c r="AJ349" s="1" t="s">
        <v>74</v>
      </c>
      <c r="AK349" s="1" t="s">
        <v>74</v>
      </c>
      <c r="AL349" s="1" t="s">
        <v>74</v>
      </c>
      <c r="AM349" s="1" t="s">
        <v>74</v>
      </c>
      <c r="AN349" s="1" t="s">
        <v>74</v>
      </c>
      <c r="AO349" s="1" t="s">
        <v>2796</v>
      </c>
      <c r="AP349" s="1" t="s">
        <v>74</v>
      </c>
      <c r="AQ349" s="1" t="s">
        <v>74</v>
      </c>
      <c r="AR349" s="1" t="s">
        <v>74</v>
      </c>
      <c r="AS349" s="1" t="s">
        <v>74</v>
      </c>
      <c r="AT349" s="1" t="s">
        <v>74</v>
      </c>
      <c r="AU349" s="1">
        <v>1983.0</v>
      </c>
      <c r="AV349" s="1">
        <v>34.0</v>
      </c>
      <c r="AW349" s="1">
        <v>3.0</v>
      </c>
      <c r="AX349" s="1" t="s">
        <v>74</v>
      </c>
      <c r="AY349" s="1" t="s">
        <v>74</v>
      </c>
      <c r="AZ349" s="1" t="s">
        <v>74</v>
      </c>
      <c r="BA349" s="1" t="s">
        <v>74</v>
      </c>
      <c r="BB349" s="1">
        <v>301.0</v>
      </c>
      <c r="BC349" s="1">
        <v>309.0</v>
      </c>
      <c r="BD349" s="1" t="s">
        <v>74</v>
      </c>
      <c r="BE349" s="1" t="s">
        <v>3527</v>
      </c>
      <c r="BF349" s="2" t="str">
        <f>HYPERLINK("http://dx.doi.org/10.1007/BF00944851","http://dx.doi.org/10.1007/BF00944851")</f>
        <v>http://dx.doi.org/10.1007/BF00944851</v>
      </c>
      <c r="BG349" s="1" t="s">
        <v>74</v>
      </c>
      <c r="BH349" s="1" t="s">
        <v>74</v>
      </c>
      <c r="BI349" s="1" t="s">
        <v>74</v>
      </c>
      <c r="BJ349" s="1" t="s">
        <v>74</v>
      </c>
      <c r="BK349" s="1" t="s">
        <v>74</v>
      </c>
      <c r="BL349" s="1" t="s">
        <v>74</v>
      </c>
      <c r="BM349" s="1" t="s">
        <v>74</v>
      </c>
      <c r="BN349" s="1" t="s">
        <v>74</v>
      </c>
      <c r="BO349" s="1" t="s">
        <v>74</v>
      </c>
      <c r="BP349" s="1" t="s">
        <v>74</v>
      </c>
      <c r="BQ349" s="1" t="s">
        <v>74</v>
      </c>
      <c r="BR349" s="1" t="s">
        <v>74</v>
      </c>
      <c r="BS349" s="1" t="s">
        <v>3528</v>
      </c>
      <c r="BT349" s="1" t="str">
        <f>HYPERLINK("https%3A%2F%2Fwww.webofscience.com%2Fwos%2Fwoscc%2Ffull-record%2FWOS:A1983QX42200004","View Full Record in Web of Science")</f>
        <v>View Full Record in Web of Science</v>
      </c>
    </row>
    <row r="350" ht="12.75" customHeight="1">
      <c r="A350" s="1" t="s">
        <v>72</v>
      </c>
      <c r="B350" s="1" t="s">
        <v>3529</v>
      </c>
      <c r="C350" s="1" t="s">
        <v>74</v>
      </c>
      <c r="D350" s="1" t="s">
        <v>74</v>
      </c>
      <c r="E350" s="1" t="s">
        <v>74</v>
      </c>
      <c r="F350" s="1" t="s">
        <v>3530</v>
      </c>
      <c r="G350" s="1" t="s">
        <v>74</v>
      </c>
      <c r="H350" s="1" t="s">
        <v>74</v>
      </c>
      <c r="I350" s="1" t="s">
        <v>3531</v>
      </c>
      <c r="J350" s="1" t="s">
        <v>271</v>
      </c>
      <c r="K350" s="1" t="s">
        <v>74</v>
      </c>
      <c r="L350" s="1" t="s">
        <v>74</v>
      </c>
      <c r="M350" s="1" t="s">
        <v>74</v>
      </c>
      <c r="N350" s="1" t="s">
        <v>74</v>
      </c>
      <c r="O350" s="1" t="s">
        <v>74</v>
      </c>
      <c r="P350" s="1" t="s">
        <v>74</v>
      </c>
      <c r="Q350" s="1" t="s">
        <v>74</v>
      </c>
      <c r="R350" s="1" t="s">
        <v>74</v>
      </c>
      <c r="S350" s="1" t="s">
        <v>74</v>
      </c>
      <c r="T350" s="1" t="s">
        <v>74</v>
      </c>
      <c r="U350" s="1" t="s">
        <v>74</v>
      </c>
      <c r="V350" s="1" t="s">
        <v>3532</v>
      </c>
      <c r="W350" s="1" t="s">
        <v>74</v>
      </c>
      <c r="X350" s="1" t="s">
        <v>74</v>
      </c>
      <c r="Y350" s="1" t="s">
        <v>74</v>
      </c>
      <c r="Z350" s="1" t="s">
        <v>74</v>
      </c>
      <c r="AA350" s="1" t="s">
        <v>3533</v>
      </c>
      <c r="AB350" s="1" t="s">
        <v>3534</v>
      </c>
      <c r="AC350" s="1" t="s">
        <v>74</v>
      </c>
      <c r="AD350" s="1" t="s">
        <v>74</v>
      </c>
      <c r="AE350" s="1" t="s">
        <v>74</v>
      </c>
      <c r="AF350" s="1" t="s">
        <v>74</v>
      </c>
      <c r="AG350" s="1" t="s">
        <v>74</v>
      </c>
      <c r="AH350" s="1" t="s">
        <v>74</v>
      </c>
      <c r="AI350" s="1" t="s">
        <v>74</v>
      </c>
      <c r="AJ350" s="1" t="s">
        <v>74</v>
      </c>
      <c r="AK350" s="1" t="s">
        <v>74</v>
      </c>
      <c r="AL350" s="1" t="s">
        <v>74</v>
      </c>
      <c r="AM350" s="1" t="s">
        <v>74</v>
      </c>
      <c r="AN350" s="1" t="s">
        <v>74</v>
      </c>
      <c r="AO350" s="1" t="s">
        <v>275</v>
      </c>
      <c r="AP350" s="1" t="s">
        <v>276</v>
      </c>
      <c r="AQ350" s="1" t="s">
        <v>74</v>
      </c>
      <c r="AR350" s="1" t="s">
        <v>74</v>
      </c>
      <c r="AS350" s="1" t="s">
        <v>74</v>
      </c>
      <c r="AT350" s="1" t="s">
        <v>3535</v>
      </c>
      <c r="AU350" s="1">
        <v>2025.0</v>
      </c>
      <c r="AV350" s="1" t="s">
        <v>74</v>
      </c>
      <c r="AW350" s="1" t="s">
        <v>74</v>
      </c>
      <c r="AX350" s="1" t="s">
        <v>74</v>
      </c>
      <c r="AY350" s="1" t="s">
        <v>74</v>
      </c>
      <c r="AZ350" s="1" t="s">
        <v>74</v>
      </c>
      <c r="BA350" s="1" t="s">
        <v>74</v>
      </c>
      <c r="BB350" s="1" t="s">
        <v>74</v>
      </c>
      <c r="BC350" s="1" t="s">
        <v>74</v>
      </c>
      <c r="BD350" s="1" t="s">
        <v>74</v>
      </c>
      <c r="BE350" s="1" t="s">
        <v>3536</v>
      </c>
      <c r="BF350" s="2" t="str">
        <f>HYPERLINK("http://dx.doi.org/10.1080/00223980.2025.2460646","http://dx.doi.org/10.1080/00223980.2025.2460646")</f>
        <v>http://dx.doi.org/10.1080/00223980.2025.2460646</v>
      </c>
      <c r="BG350" s="1" t="s">
        <v>74</v>
      </c>
      <c r="BH350" s="1" t="s">
        <v>3537</v>
      </c>
      <c r="BI350" s="1" t="s">
        <v>74</v>
      </c>
      <c r="BJ350" s="1" t="s">
        <v>74</v>
      </c>
      <c r="BK350" s="1" t="s">
        <v>74</v>
      </c>
      <c r="BL350" s="1" t="s">
        <v>74</v>
      </c>
      <c r="BM350" s="1" t="s">
        <v>74</v>
      </c>
      <c r="BN350" s="1">
        <v>3.9970242E7</v>
      </c>
      <c r="BO350" s="1" t="s">
        <v>74</v>
      </c>
      <c r="BP350" s="1" t="s">
        <v>74</v>
      </c>
      <c r="BQ350" s="1" t="s">
        <v>74</v>
      </c>
      <c r="BR350" s="1" t="s">
        <v>74</v>
      </c>
      <c r="BS350" s="1" t="s">
        <v>3538</v>
      </c>
      <c r="BT350" s="1" t="str">
        <f>HYPERLINK("https%3A%2F%2Fwww.webofscience.com%2Fwos%2Fwoscc%2Ffull-record%2FWOS:001425367900001","View Full Record in Web of Science")</f>
        <v>View Full Record in Web of Science</v>
      </c>
    </row>
    <row r="351" ht="12.75" customHeight="1">
      <c r="A351" s="1" t="s">
        <v>72</v>
      </c>
      <c r="B351" s="1" t="s">
        <v>3539</v>
      </c>
      <c r="C351" s="1" t="s">
        <v>74</v>
      </c>
      <c r="D351" s="1" t="s">
        <v>74</v>
      </c>
      <c r="E351" s="1" t="s">
        <v>74</v>
      </c>
      <c r="F351" s="1" t="s">
        <v>3540</v>
      </c>
      <c r="G351" s="1" t="s">
        <v>74</v>
      </c>
      <c r="H351" s="1" t="s">
        <v>74</v>
      </c>
      <c r="I351" s="1" t="s">
        <v>3541</v>
      </c>
      <c r="J351" s="1" t="s">
        <v>3542</v>
      </c>
      <c r="K351" s="1" t="s">
        <v>74</v>
      </c>
      <c r="L351" s="1" t="s">
        <v>74</v>
      </c>
      <c r="M351" s="1" t="s">
        <v>74</v>
      </c>
      <c r="N351" s="1" t="s">
        <v>74</v>
      </c>
      <c r="O351" s="1" t="s">
        <v>74</v>
      </c>
      <c r="P351" s="1" t="s">
        <v>74</v>
      </c>
      <c r="Q351" s="1" t="s">
        <v>74</v>
      </c>
      <c r="R351" s="1" t="s">
        <v>74</v>
      </c>
      <c r="S351" s="1" t="s">
        <v>74</v>
      </c>
      <c r="T351" s="1" t="s">
        <v>74</v>
      </c>
      <c r="U351" s="1" t="s">
        <v>74</v>
      </c>
      <c r="V351" s="1" t="s">
        <v>74</v>
      </c>
      <c r="W351" s="1" t="s">
        <v>74</v>
      </c>
      <c r="X351" s="1" t="s">
        <v>74</v>
      </c>
      <c r="Y351" s="1" t="s">
        <v>74</v>
      </c>
      <c r="Z351" s="1" t="s">
        <v>74</v>
      </c>
      <c r="AA351" s="1" t="s">
        <v>3543</v>
      </c>
      <c r="AB351" s="1" t="s">
        <v>3544</v>
      </c>
      <c r="AC351" s="1" t="s">
        <v>74</v>
      </c>
      <c r="AD351" s="1" t="s">
        <v>74</v>
      </c>
      <c r="AE351" s="1" t="s">
        <v>74</v>
      </c>
      <c r="AF351" s="1" t="s">
        <v>74</v>
      </c>
      <c r="AG351" s="1" t="s">
        <v>74</v>
      </c>
      <c r="AH351" s="1" t="s">
        <v>74</v>
      </c>
      <c r="AI351" s="1" t="s">
        <v>74</v>
      </c>
      <c r="AJ351" s="1" t="s">
        <v>74</v>
      </c>
      <c r="AK351" s="1" t="s">
        <v>74</v>
      </c>
      <c r="AL351" s="1" t="s">
        <v>74</v>
      </c>
      <c r="AM351" s="1" t="s">
        <v>74</v>
      </c>
      <c r="AN351" s="1" t="s">
        <v>74</v>
      </c>
      <c r="AO351" s="1" t="s">
        <v>3545</v>
      </c>
      <c r="AP351" s="1" t="s">
        <v>3546</v>
      </c>
      <c r="AQ351" s="1" t="s">
        <v>74</v>
      </c>
      <c r="AR351" s="1" t="s">
        <v>74</v>
      </c>
      <c r="AS351" s="1" t="s">
        <v>74</v>
      </c>
      <c r="AT351" s="1" t="s">
        <v>415</v>
      </c>
      <c r="AU351" s="1">
        <v>2024.0</v>
      </c>
      <c r="AV351" s="1">
        <v>386.0</v>
      </c>
      <c r="AW351" s="1">
        <v>6727.0</v>
      </c>
      <c r="AX351" s="1" t="s">
        <v>74</v>
      </c>
      <c r="AY351" s="1" t="s">
        <v>74</v>
      </c>
      <c r="AZ351" s="1" t="s">
        <v>74</v>
      </c>
      <c r="BA351" s="1" t="s">
        <v>74</v>
      </c>
      <c r="BB351" s="1" t="s">
        <v>74</v>
      </c>
      <c r="BC351" s="1" t="s">
        <v>74</v>
      </c>
      <c r="BD351" s="1" t="s">
        <v>74</v>
      </c>
      <c r="BE351" s="1" t="s">
        <v>3547</v>
      </c>
      <c r="BF351" s="2" t="str">
        <f>HYPERLINK("http://dx.doi.org/10.1126/science.ads5378","http://dx.doi.org/10.1126/science.ads5378")</f>
        <v>http://dx.doi.org/10.1126/science.ads5378</v>
      </c>
      <c r="BG351" s="1" t="s">
        <v>74</v>
      </c>
      <c r="BH351" s="1" t="s">
        <v>74</v>
      </c>
      <c r="BI351" s="1" t="s">
        <v>74</v>
      </c>
      <c r="BJ351" s="1" t="s">
        <v>74</v>
      </c>
      <c r="BK351" s="1" t="s">
        <v>74</v>
      </c>
      <c r="BL351" s="1" t="s">
        <v>74</v>
      </c>
      <c r="BM351" s="1" t="s">
        <v>74</v>
      </c>
      <c r="BN351" s="1">
        <v>3.966681E7</v>
      </c>
      <c r="BO351" s="1" t="s">
        <v>74</v>
      </c>
      <c r="BP351" s="1" t="s">
        <v>74</v>
      </c>
      <c r="BQ351" s="1" t="s">
        <v>74</v>
      </c>
      <c r="BR351" s="1" t="s">
        <v>74</v>
      </c>
      <c r="BS351" s="1" t="s">
        <v>3548</v>
      </c>
      <c r="BT351" s="1" t="str">
        <f>HYPERLINK("https%3A%2F%2Fwww.webofscience.com%2Fwos%2Fwoscc%2Ffull-record%2FWOS:001420027500029","View Full Record in Web of Science")</f>
        <v>View Full Record in Web of Science</v>
      </c>
    </row>
    <row r="352" ht="12.75" customHeight="1">
      <c r="A352" s="1" t="s">
        <v>72</v>
      </c>
      <c r="B352" s="1" t="s">
        <v>3549</v>
      </c>
      <c r="C352" s="1" t="s">
        <v>74</v>
      </c>
      <c r="D352" s="1" t="s">
        <v>74</v>
      </c>
      <c r="E352" s="1" t="s">
        <v>74</v>
      </c>
      <c r="F352" s="1" t="s">
        <v>3550</v>
      </c>
      <c r="G352" s="1" t="s">
        <v>74</v>
      </c>
      <c r="H352" s="1" t="s">
        <v>74</v>
      </c>
      <c r="I352" s="1" t="s">
        <v>3551</v>
      </c>
      <c r="J352" s="1" t="s">
        <v>3552</v>
      </c>
      <c r="K352" s="1" t="s">
        <v>74</v>
      </c>
      <c r="L352" s="1" t="s">
        <v>74</v>
      </c>
      <c r="M352" s="1" t="s">
        <v>74</v>
      </c>
      <c r="N352" s="1" t="s">
        <v>74</v>
      </c>
      <c r="O352" s="1" t="s">
        <v>74</v>
      </c>
      <c r="P352" s="1" t="s">
        <v>74</v>
      </c>
      <c r="Q352" s="1" t="s">
        <v>74</v>
      </c>
      <c r="R352" s="1" t="s">
        <v>74</v>
      </c>
      <c r="S352" s="1" t="s">
        <v>74</v>
      </c>
      <c r="T352" s="1" t="s">
        <v>74</v>
      </c>
      <c r="U352" s="1" t="s">
        <v>74</v>
      </c>
      <c r="V352" s="1" t="s">
        <v>3553</v>
      </c>
      <c r="W352" s="1" t="s">
        <v>74</v>
      </c>
      <c r="X352" s="1" t="s">
        <v>74</v>
      </c>
      <c r="Y352" s="1" t="s">
        <v>74</v>
      </c>
      <c r="Z352" s="1" t="s">
        <v>74</v>
      </c>
      <c r="AA352" s="1" t="s">
        <v>3554</v>
      </c>
      <c r="AB352" s="1" t="s">
        <v>74</v>
      </c>
      <c r="AC352" s="1" t="s">
        <v>74</v>
      </c>
      <c r="AD352" s="1" t="s">
        <v>74</v>
      </c>
      <c r="AE352" s="1" t="s">
        <v>74</v>
      </c>
      <c r="AF352" s="1" t="s">
        <v>74</v>
      </c>
      <c r="AG352" s="1" t="s">
        <v>74</v>
      </c>
      <c r="AH352" s="1" t="s">
        <v>74</v>
      </c>
      <c r="AI352" s="1" t="s">
        <v>74</v>
      </c>
      <c r="AJ352" s="1" t="s">
        <v>74</v>
      </c>
      <c r="AK352" s="1" t="s">
        <v>74</v>
      </c>
      <c r="AL352" s="1" t="s">
        <v>74</v>
      </c>
      <c r="AM352" s="1" t="s">
        <v>74</v>
      </c>
      <c r="AN352" s="1" t="s">
        <v>74</v>
      </c>
      <c r="AO352" s="1" t="s">
        <v>3555</v>
      </c>
      <c r="AP352" s="1" t="s">
        <v>3556</v>
      </c>
      <c r="AQ352" s="1" t="s">
        <v>74</v>
      </c>
      <c r="AR352" s="1" t="s">
        <v>74</v>
      </c>
      <c r="AS352" s="1" t="s">
        <v>74</v>
      </c>
      <c r="AT352" s="1" t="s">
        <v>415</v>
      </c>
      <c r="AU352" s="1">
        <v>2024.0</v>
      </c>
      <c r="AV352" s="1">
        <v>20.0</v>
      </c>
      <c r="AW352" s="1">
        <v>3.0</v>
      </c>
      <c r="AX352" s="1" t="s">
        <v>74</v>
      </c>
      <c r="AY352" s="1" t="s">
        <v>74</v>
      </c>
      <c r="AZ352" s="1" t="s">
        <v>74</v>
      </c>
      <c r="BA352" s="1" t="s">
        <v>74</v>
      </c>
      <c r="BB352" s="1" t="s">
        <v>74</v>
      </c>
      <c r="BC352" s="1" t="s">
        <v>74</v>
      </c>
      <c r="BD352" s="1" t="s">
        <v>3557</v>
      </c>
      <c r="BE352" s="1" t="s">
        <v>3558</v>
      </c>
      <c r="BF352" s="2" t="str">
        <f>HYPERLINK("http://dx.doi.org/10.25200/BJR.v20n3.2024.1677","http://dx.doi.org/10.25200/BJR.v20n3.2024.1677")</f>
        <v>http://dx.doi.org/10.25200/BJR.v20n3.2024.1677</v>
      </c>
      <c r="BG352" s="1" t="s">
        <v>74</v>
      </c>
      <c r="BH352" s="1" t="s">
        <v>74</v>
      </c>
      <c r="BI352" s="1" t="s">
        <v>74</v>
      </c>
      <c r="BJ352" s="1" t="s">
        <v>74</v>
      </c>
      <c r="BK352" s="1" t="s">
        <v>74</v>
      </c>
      <c r="BL352" s="1" t="s">
        <v>74</v>
      </c>
      <c r="BM352" s="1" t="s">
        <v>74</v>
      </c>
      <c r="BN352" s="1" t="s">
        <v>74</v>
      </c>
      <c r="BO352" s="1" t="s">
        <v>74</v>
      </c>
      <c r="BP352" s="1" t="s">
        <v>74</v>
      </c>
      <c r="BQ352" s="1" t="s">
        <v>74</v>
      </c>
      <c r="BR352" s="1" t="s">
        <v>74</v>
      </c>
      <c r="BS352" s="1" t="s">
        <v>3559</v>
      </c>
      <c r="BT352" s="1" t="str">
        <f>HYPERLINK("https%3A%2F%2Fwww.webofscience.com%2Fwos%2Fwoscc%2Ffull-record%2FWOS:001432244100001","View Full Record in Web of Science")</f>
        <v>View Full Record in Web of Science</v>
      </c>
    </row>
    <row r="353" ht="12.75" customHeight="1">
      <c r="A353" s="1" t="s">
        <v>72</v>
      </c>
      <c r="B353" s="1" t="s">
        <v>3560</v>
      </c>
      <c r="C353" s="1" t="s">
        <v>74</v>
      </c>
      <c r="D353" s="1" t="s">
        <v>74</v>
      </c>
      <c r="E353" s="1" t="s">
        <v>74</v>
      </c>
      <c r="F353" s="1" t="s">
        <v>3561</v>
      </c>
      <c r="G353" s="1" t="s">
        <v>74</v>
      </c>
      <c r="H353" s="1" t="s">
        <v>74</v>
      </c>
      <c r="I353" s="1" t="s">
        <v>3562</v>
      </c>
      <c r="J353" s="1" t="s">
        <v>3563</v>
      </c>
      <c r="K353" s="1" t="s">
        <v>74</v>
      </c>
      <c r="L353" s="1" t="s">
        <v>74</v>
      </c>
      <c r="M353" s="1" t="s">
        <v>74</v>
      </c>
      <c r="N353" s="1" t="s">
        <v>74</v>
      </c>
      <c r="O353" s="1" t="s">
        <v>74</v>
      </c>
      <c r="P353" s="1" t="s">
        <v>74</v>
      </c>
      <c r="Q353" s="1" t="s">
        <v>74</v>
      </c>
      <c r="R353" s="1" t="s">
        <v>74</v>
      </c>
      <c r="S353" s="1" t="s">
        <v>74</v>
      </c>
      <c r="T353" s="1" t="s">
        <v>74</v>
      </c>
      <c r="U353" s="1" t="s">
        <v>74</v>
      </c>
      <c r="V353" s="1" t="s">
        <v>3564</v>
      </c>
      <c r="W353" s="1" t="s">
        <v>74</v>
      </c>
      <c r="X353" s="1" t="s">
        <v>74</v>
      </c>
      <c r="Y353" s="1" t="s">
        <v>74</v>
      </c>
      <c r="Z353" s="1" t="s">
        <v>74</v>
      </c>
      <c r="AA353" s="1" t="s">
        <v>1394</v>
      </c>
      <c r="AB353" s="1" t="s">
        <v>3565</v>
      </c>
      <c r="AC353" s="1" t="s">
        <v>74</v>
      </c>
      <c r="AD353" s="1" t="s">
        <v>74</v>
      </c>
      <c r="AE353" s="1" t="s">
        <v>74</v>
      </c>
      <c r="AF353" s="1" t="s">
        <v>74</v>
      </c>
      <c r="AG353" s="1" t="s">
        <v>74</v>
      </c>
      <c r="AH353" s="1" t="s">
        <v>74</v>
      </c>
      <c r="AI353" s="1" t="s">
        <v>74</v>
      </c>
      <c r="AJ353" s="1" t="s">
        <v>74</v>
      </c>
      <c r="AK353" s="1" t="s">
        <v>74</v>
      </c>
      <c r="AL353" s="1" t="s">
        <v>74</v>
      </c>
      <c r="AM353" s="1" t="s">
        <v>74</v>
      </c>
      <c r="AN353" s="1" t="s">
        <v>74</v>
      </c>
      <c r="AO353" s="1" t="s">
        <v>3566</v>
      </c>
      <c r="AP353" s="1" t="s">
        <v>3567</v>
      </c>
      <c r="AQ353" s="1" t="s">
        <v>74</v>
      </c>
      <c r="AR353" s="1" t="s">
        <v>74</v>
      </c>
      <c r="AS353" s="1" t="s">
        <v>74</v>
      </c>
      <c r="AT353" s="1" t="s">
        <v>3568</v>
      </c>
      <c r="AU353" s="1">
        <v>2024.0</v>
      </c>
      <c r="AV353" s="1">
        <v>2024.0</v>
      </c>
      <c r="AW353" s="1" t="s">
        <v>74</v>
      </c>
      <c r="AX353" s="1" t="s">
        <v>74</v>
      </c>
      <c r="AY353" s="1" t="s">
        <v>74</v>
      </c>
      <c r="AZ353" s="1" t="s">
        <v>74</v>
      </c>
      <c r="BA353" s="1" t="s">
        <v>74</v>
      </c>
      <c r="BB353" s="1" t="s">
        <v>74</v>
      </c>
      <c r="BC353" s="1" t="s">
        <v>74</v>
      </c>
      <c r="BD353" s="1">
        <v>4849198.0</v>
      </c>
      <c r="BE353" s="1" t="s">
        <v>3569</v>
      </c>
      <c r="BF353" s="2" t="str">
        <f>HYPERLINK("http://dx.doi.org/10.1155/2024/4849198","http://dx.doi.org/10.1155/2024/4849198")</f>
        <v>http://dx.doi.org/10.1155/2024/4849198</v>
      </c>
      <c r="BG353" s="1" t="s">
        <v>74</v>
      </c>
      <c r="BH353" s="1" t="s">
        <v>74</v>
      </c>
      <c r="BI353" s="1" t="s">
        <v>74</v>
      </c>
      <c r="BJ353" s="1" t="s">
        <v>74</v>
      </c>
      <c r="BK353" s="1" t="s">
        <v>74</v>
      </c>
      <c r="BL353" s="1" t="s">
        <v>74</v>
      </c>
      <c r="BM353" s="1" t="s">
        <v>74</v>
      </c>
      <c r="BN353" s="1" t="s">
        <v>74</v>
      </c>
      <c r="BO353" s="1" t="s">
        <v>74</v>
      </c>
      <c r="BP353" s="1" t="s">
        <v>74</v>
      </c>
      <c r="BQ353" s="1" t="s">
        <v>74</v>
      </c>
      <c r="BR353" s="1" t="s">
        <v>74</v>
      </c>
      <c r="BS353" s="1" t="s">
        <v>3570</v>
      </c>
      <c r="BT353" s="1" t="str">
        <f>HYPERLINK("https%3A%2F%2Fwww.webofscience.com%2Fwos%2Fwoscc%2Ffull-record%2FWOS:001263634500001","View Full Record in Web of Science")</f>
        <v>View Full Record in Web of Science</v>
      </c>
    </row>
    <row r="354" ht="12.75" customHeight="1">
      <c r="A354" s="1" t="s">
        <v>72</v>
      </c>
      <c r="B354" s="1" t="s">
        <v>3571</v>
      </c>
      <c r="C354" s="1" t="s">
        <v>74</v>
      </c>
      <c r="D354" s="1" t="s">
        <v>74</v>
      </c>
      <c r="E354" s="1" t="s">
        <v>74</v>
      </c>
      <c r="F354" s="1" t="s">
        <v>3572</v>
      </c>
      <c r="G354" s="1" t="s">
        <v>74</v>
      </c>
      <c r="H354" s="1" t="s">
        <v>74</v>
      </c>
      <c r="I354" s="1" t="s">
        <v>3573</v>
      </c>
      <c r="J354" s="1" t="s">
        <v>3574</v>
      </c>
      <c r="K354" s="1" t="s">
        <v>74</v>
      </c>
      <c r="L354" s="1" t="s">
        <v>74</v>
      </c>
      <c r="M354" s="1" t="s">
        <v>74</v>
      </c>
      <c r="N354" s="1" t="s">
        <v>74</v>
      </c>
      <c r="O354" s="1" t="s">
        <v>74</v>
      </c>
      <c r="P354" s="1" t="s">
        <v>74</v>
      </c>
      <c r="Q354" s="1" t="s">
        <v>74</v>
      </c>
      <c r="R354" s="1" t="s">
        <v>74</v>
      </c>
      <c r="S354" s="1" t="s">
        <v>74</v>
      </c>
      <c r="T354" s="1" t="s">
        <v>74</v>
      </c>
      <c r="U354" s="1" t="s">
        <v>74</v>
      </c>
      <c r="V354" s="1" t="s">
        <v>3575</v>
      </c>
      <c r="W354" s="1" t="s">
        <v>74</v>
      </c>
      <c r="X354" s="1" t="s">
        <v>74</v>
      </c>
      <c r="Y354" s="1" t="s">
        <v>74</v>
      </c>
      <c r="Z354" s="1" t="s">
        <v>74</v>
      </c>
      <c r="AA354" s="1" t="s">
        <v>74</v>
      </c>
      <c r="AB354" s="1" t="s">
        <v>3576</v>
      </c>
      <c r="AC354" s="1" t="s">
        <v>74</v>
      </c>
      <c r="AD354" s="1" t="s">
        <v>74</v>
      </c>
      <c r="AE354" s="1" t="s">
        <v>74</v>
      </c>
      <c r="AF354" s="1" t="s">
        <v>74</v>
      </c>
      <c r="AG354" s="1" t="s">
        <v>74</v>
      </c>
      <c r="AH354" s="1" t="s">
        <v>74</v>
      </c>
      <c r="AI354" s="1" t="s">
        <v>74</v>
      </c>
      <c r="AJ354" s="1" t="s">
        <v>74</v>
      </c>
      <c r="AK354" s="1" t="s">
        <v>74</v>
      </c>
      <c r="AL354" s="1" t="s">
        <v>74</v>
      </c>
      <c r="AM354" s="1" t="s">
        <v>74</v>
      </c>
      <c r="AN354" s="1" t="s">
        <v>74</v>
      </c>
      <c r="AO354" s="1" t="s">
        <v>3577</v>
      </c>
      <c r="AP354" s="1" t="s">
        <v>3578</v>
      </c>
      <c r="AQ354" s="1" t="s">
        <v>74</v>
      </c>
      <c r="AR354" s="1" t="s">
        <v>74</v>
      </c>
      <c r="AS354" s="1" t="s">
        <v>74</v>
      </c>
      <c r="AT354" s="1" t="s">
        <v>289</v>
      </c>
      <c r="AU354" s="1">
        <v>2024.0</v>
      </c>
      <c r="AV354" s="1">
        <v>16.0</v>
      </c>
      <c r="AW354" s="1">
        <v>2.0</v>
      </c>
      <c r="AX354" s="1" t="s">
        <v>74</v>
      </c>
      <c r="AY354" s="1" t="s">
        <v>74</v>
      </c>
      <c r="AZ354" s="1" t="s">
        <v>74</v>
      </c>
      <c r="BA354" s="1" t="s">
        <v>74</v>
      </c>
      <c r="BB354" s="1">
        <v>566.0</v>
      </c>
      <c r="BC354" s="1">
        <v>576.0</v>
      </c>
      <c r="BD354" s="1" t="s">
        <v>74</v>
      </c>
      <c r="BE354" s="1" t="s">
        <v>3579</v>
      </c>
      <c r="BF354" s="2" t="str">
        <f>HYPERLINK("http://dx.doi.org/10.1007/s12310-024-09664-8","http://dx.doi.org/10.1007/s12310-024-09664-8")</f>
        <v>http://dx.doi.org/10.1007/s12310-024-09664-8</v>
      </c>
      <c r="BG354" s="1" t="s">
        <v>74</v>
      </c>
      <c r="BH354" s="1" t="s">
        <v>3580</v>
      </c>
      <c r="BI354" s="1" t="s">
        <v>74</v>
      </c>
      <c r="BJ354" s="1" t="s">
        <v>74</v>
      </c>
      <c r="BK354" s="1" t="s">
        <v>74</v>
      </c>
      <c r="BL354" s="1" t="s">
        <v>74</v>
      </c>
      <c r="BM354" s="1" t="s">
        <v>74</v>
      </c>
      <c r="BN354" s="1" t="s">
        <v>74</v>
      </c>
      <c r="BO354" s="1" t="s">
        <v>74</v>
      </c>
      <c r="BP354" s="1" t="s">
        <v>74</v>
      </c>
      <c r="BQ354" s="1" t="s">
        <v>74</v>
      </c>
      <c r="BR354" s="1" t="s">
        <v>74</v>
      </c>
      <c r="BS354" s="1" t="s">
        <v>3581</v>
      </c>
      <c r="BT354" s="1" t="str">
        <f>HYPERLINK("https%3A%2F%2Fwww.webofscience.com%2Fwos%2Fwoscc%2Ffull-record%2FWOS:001208816900001","View Full Record in Web of Science")</f>
        <v>View Full Record in Web of Science</v>
      </c>
    </row>
    <row r="355" ht="12.75" customHeight="1">
      <c r="A355" s="1" t="s">
        <v>72</v>
      </c>
      <c r="B355" s="1" t="s">
        <v>3582</v>
      </c>
      <c r="C355" s="1" t="s">
        <v>74</v>
      </c>
      <c r="D355" s="1" t="s">
        <v>74</v>
      </c>
      <c r="E355" s="1" t="s">
        <v>74</v>
      </c>
      <c r="F355" s="1" t="s">
        <v>3583</v>
      </c>
      <c r="G355" s="1" t="s">
        <v>74</v>
      </c>
      <c r="H355" s="1" t="s">
        <v>74</v>
      </c>
      <c r="I355" s="1" t="s">
        <v>3584</v>
      </c>
      <c r="J355" s="1" t="s">
        <v>553</v>
      </c>
      <c r="K355" s="1" t="s">
        <v>74</v>
      </c>
      <c r="L355" s="1" t="s">
        <v>74</v>
      </c>
      <c r="M355" s="1" t="s">
        <v>74</v>
      </c>
      <c r="N355" s="1" t="s">
        <v>74</v>
      </c>
      <c r="O355" s="1" t="s">
        <v>74</v>
      </c>
      <c r="P355" s="1" t="s">
        <v>74</v>
      </c>
      <c r="Q355" s="1" t="s">
        <v>74</v>
      </c>
      <c r="R355" s="1" t="s">
        <v>74</v>
      </c>
      <c r="S355" s="1" t="s">
        <v>74</v>
      </c>
      <c r="T355" s="1" t="s">
        <v>74</v>
      </c>
      <c r="U355" s="1" t="s">
        <v>74</v>
      </c>
      <c r="V355" s="1" t="s">
        <v>3585</v>
      </c>
      <c r="W355" s="1" t="s">
        <v>74</v>
      </c>
      <c r="X355" s="1" t="s">
        <v>74</v>
      </c>
      <c r="Y355" s="1" t="s">
        <v>74</v>
      </c>
      <c r="Z355" s="1" t="s">
        <v>74</v>
      </c>
      <c r="AA355" s="1" t="s">
        <v>1054</v>
      </c>
      <c r="AB355" s="1" t="s">
        <v>3586</v>
      </c>
      <c r="AC355" s="1" t="s">
        <v>74</v>
      </c>
      <c r="AD355" s="1" t="s">
        <v>74</v>
      </c>
      <c r="AE355" s="1" t="s">
        <v>74</v>
      </c>
      <c r="AF355" s="1" t="s">
        <v>74</v>
      </c>
      <c r="AG355" s="1" t="s">
        <v>74</v>
      </c>
      <c r="AH355" s="1" t="s">
        <v>74</v>
      </c>
      <c r="AI355" s="1" t="s">
        <v>74</v>
      </c>
      <c r="AJ355" s="1" t="s">
        <v>74</v>
      </c>
      <c r="AK355" s="1" t="s">
        <v>74</v>
      </c>
      <c r="AL355" s="1" t="s">
        <v>74</v>
      </c>
      <c r="AM355" s="1" t="s">
        <v>74</v>
      </c>
      <c r="AN355" s="1" t="s">
        <v>74</v>
      </c>
      <c r="AO355" s="1" t="s">
        <v>74</v>
      </c>
      <c r="AP355" s="1" t="s">
        <v>557</v>
      </c>
      <c r="AQ355" s="1" t="s">
        <v>74</v>
      </c>
      <c r="AR355" s="1" t="s">
        <v>74</v>
      </c>
      <c r="AS355" s="1" t="s">
        <v>74</v>
      </c>
      <c r="AT355" s="1" t="s">
        <v>144</v>
      </c>
      <c r="AU355" s="1">
        <v>2024.0</v>
      </c>
      <c r="AV355" s="1">
        <v>16.0</v>
      </c>
      <c r="AW355" s="1">
        <v>6.0</v>
      </c>
      <c r="AX355" s="1" t="s">
        <v>74</v>
      </c>
      <c r="AY355" s="1" t="s">
        <v>74</v>
      </c>
      <c r="AZ355" s="1" t="s">
        <v>74</v>
      </c>
      <c r="BA355" s="1" t="s">
        <v>74</v>
      </c>
      <c r="BB355" s="1" t="s">
        <v>74</v>
      </c>
      <c r="BC355" s="1" t="s">
        <v>74</v>
      </c>
      <c r="BD355" s="1">
        <v>829.0</v>
      </c>
      <c r="BE355" s="1" t="s">
        <v>3587</v>
      </c>
      <c r="BF355" s="2" t="str">
        <f>HYPERLINK("http://dx.doi.org/10.3390/polym16060829","http://dx.doi.org/10.3390/polym16060829")</f>
        <v>http://dx.doi.org/10.3390/polym16060829</v>
      </c>
      <c r="BG355" s="1" t="s">
        <v>74</v>
      </c>
      <c r="BH355" s="1" t="s">
        <v>74</v>
      </c>
      <c r="BI355" s="1" t="s">
        <v>74</v>
      </c>
      <c r="BJ355" s="1" t="s">
        <v>74</v>
      </c>
      <c r="BK355" s="1" t="s">
        <v>74</v>
      </c>
      <c r="BL355" s="1" t="s">
        <v>74</v>
      </c>
      <c r="BM355" s="1" t="s">
        <v>74</v>
      </c>
      <c r="BN355" s="1">
        <v>3.8543434E7</v>
      </c>
      <c r="BO355" s="1" t="s">
        <v>74</v>
      </c>
      <c r="BP355" s="1" t="s">
        <v>74</v>
      </c>
      <c r="BQ355" s="1" t="s">
        <v>74</v>
      </c>
      <c r="BR355" s="1" t="s">
        <v>74</v>
      </c>
      <c r="BS355" s="1" t="s">
        <v>3588</v>
      </c>
      <c r="BT355" s="1" t="str">
        <f>HYPERLINK("https%3A%2F%2Fwww.webofscience.com%2Fwos%2Fwoscc%2Ffull-record%2FWOS:001192742800001","View Full Record in Web of Science")</f>
        <v>View Full Record in Web of Science</v>
      </c>
    </row>
    <row r="356" ht="12.75" customHeight="1">
      <c r="A356" s="1" t="s">
        <v>72</v>
      </c>
      <c r="B356" s="1" t="s">
        <v>3589</v>
      </c>
      <c r="C356" s="1" t="s">
        <v>74</v>
      </c>
      <c r="D356" s="1" t="s">
        <v>74</v>
      </c>
      <c r="E356" s="1" t="s">
        <v>74</v>
      </c>
      <c r="F356" s="1" t="s">
        <v>3590</v>
      </c>
      <c r="G356" s="1" t="s">
        <v>74</v>
      </c>
      <c r="H356" s="1" t="s">
        <v>74</v>
      </c>
      <c r="I356" s="1" t="s">
        <v>3591</v>
      </c>
      <c r="J356" s="1" t="s">
        <v>3592</v>
      </c>
      <c r="K356" s="1" t="s">
        <v>74</v>
      </c>
      <c r="L356" s="1" t="s">
        <v>74</v>
      </c>
      <c r="M356" s="1" t="s">
        <v>74</v>
      </c>
      <c r="N356" s="1" t="s">
        <v>74</v>
      </c>
      <c r="O356" s="1" t="s">
        <v>3593</v>
      </c>
      <c r="P356" s="1" t="s">
        <v>3594</v>
      </c>
      <c r="Q356" s="1" t="s">
        <v>3595</v>
      </c>
      <c r="R356" s="1" t="s">
        <v>3596</v>
      </c>
      <c r="S356" s="1" t="s">
        <v>74</v>
      </c>
      <c r="T356" s="1" t="s">
        <v>74</v>
      </c>
      <c r="U356" s="1" t="s">
        <v>74</v>
      </c>
      <c r="V356" s="1" t="s">
        <v>74</v>
      </c>
      <c r="W356" s="1" t="s">
        <v>74</v>
      </c>
      <c r="X356" s="1" t="s">
        <v>74</v>
      </c>
      <c r="Y356" s="1" t="s">
        <v>74</v>
      </c>
      <c r="Z356" s="1" t="s">
        <v>74</v>
      </c>
      <c r="AA356" s="1" t="s">
        <v>3597</v>
      </c>
      <c r="AB356" s="1" t="s">
        <v>3598</v>
      </c>
      <c r="AC356" s="1" t="s">
        <v>74</v>
      </c>
      <c r="AD356" s="1" t="s">
        <v>74</v>
      </c>
      <c r="AE356" s="1" t="s">
        <v>74</v>
      </c>
      <c r="AF356" s="1" t="s">
        <v>74</v>
      </c>
      <c r="AG356" s="1" t="s">
        <v>74</v>
      </c>
      <c r="AH356" s="1" t="s">
        <v>74</v>
      </c>
      <c r="AI356" s="1" t="s">
        <v>74</v>
      </c>
      <c r="AJ356" s="1" t="s">
        <v>74</v>
      </c>
      <c r="AK356" s="1" t="s">
        <v>74</v>
      </c>
      <c r="AL356" s="1" t="s">
        <v>74</v>
      </c>
      <c r="AM356" s="1" t="s">
        <v>74</v>
      </c>
      <c r="AN356" s="1" t="s">
        <v>74</v>
      </c>
      <c r="AO356" s="1" t="s">
        <v>3599</v>
      </c>
      <c r="AP356" s="1" t="s">
        <v>3600</v>
      </c>
      <c r="AQ356" s="1" t="s">
        <v>74</v>
      </c>
      <c r="AR356" s="1" t="s">
        <v>74</v>
      </c>
      <c r="AS356" s="1" t="s">
        <v>74</v>
      </c>
      <c r="AT356" s="1" t="s">
        <v>2105</v>
      </c>
      <c r="AU356" s="1">
        <v>2023.0</v>
      </c>
      <c r="AV356" s="1">
        <v>208.0</v>
      </c>
      <c r="AW356" s="1" t="s">
        <v>74</v>
      </c>
      <c r="AX356" s="1" t="s">
        <v>74</v>
      </c>
      <c r="AY356" s="1">
        <v>1.0</v>
      </c>
      <c r="AZ356" s="1" t="s">
        <v>74</v>
      </c>
      <c r="BA356" s="1">
        <v>367.0</v>
      </c>
      <c r="BB356" s="1" t="s">
        <v>3601</v>
      </c>
      <c r="BC356" s="1" t="s">
        <v>3602</v>
      </c>
      <c r="BD356" s="1" t="s">
        <v>74</v>
      </c>
      <c r="BE356" s="1" t="s">
        <v>3603</v>
      </c>
      <c r="BF356" s="2" t="str">
        <f>HYPERLINK("http://dx.doi.org/10.1016/j.freeradbiomed.2023.10.379","http://dx.doi.org/10.1016/j.freeradbiomed.2023.10.379")</f>
        <v>http://dx.doi.org/10.1016/j.freeradbiomed.2023.10.379</v>
      </c>
      <c r="BG356" s="1" t="s">
        <v>74</v>
      </c>
      <c r="BH356" s="1" t="s">
        <v>535</v>
      </c>
      <c r="BI356" s="1" t="s">
        <v>74</v>
      </c>
      <c r="BJ356" s="1" t="s">
        <v>74</v>
      </c>
      <c r="BK356" s="1" t="s">
        <v>74</v>
      </c>
      <c r="BL356" s="1" t="s">
        <v>74</v>
      </c>
      <c r="BM356" s="1" t="s">
        <v>74</v>
      </c>
      <c r="BN356" s="1" t="s">
        <v>74</v>
      </c>
      <c r="BO356" s="1" t="s">
        <v>74</v>
      </c>
      <c r="BP356" s="1" t="s">
        <v>74</v>
      </c>
      <c r="BQ356" s="1" t="s">
        <v>74</v>
      </c>
      <c r="BR356" s="1" t="s">
        <v>74</v>
      </c>
      <c r="BS356" s="1" t="s">
        <v>3604</v>
      </c>
      <c r="BT356" s="1" t="str">
        <f>HYPERLINK("https%3A%2F%2Fwww.webofscience.com%2Fwos%2Fwoscc%2Ffull-record%2FWOS:001098825800369","View Full Record in Web of Science")</f>
        <v>View Full Record in Web of Science</v>
      </c>
    </row>
    <row r="357" ht="12.75" customHeight="1">
      <c r="A357" s="1" t="s">
        <v>72</v>
      </c>
      <c r="B357" s="1" t="s">
        <v>3605</v>
      </c>
      <c r="C357" s="1" t="s">
        <v>74</v>
      </c>
      <c r="D357" s="1" t="s">
        <v>74</v>
      </c>
      <c r="E357" s="1" t="s">
        <v>74</v>
      </c>
      <c r="F357" s="1" t="s">
        <v>3606</v>
      </c>
      <c r="G357" s="1" t="s">
        <v>74</v>
      </c>
      <c r="H357" s="1" t="s">
        <v>74</v>
      </c>
      <c r="I357" s="1" t="s">
        <v>3607</v>
      </c>
      <c r="J357" s="1" t="s">
        <v>1881</v>
      </c>
      <c r="K357" s="1" t="s">
        <v>74</v>
      </c>
      <c r="L357" s="1" t="s">
        <v>74</v>
      </c>
      <c r="M357" s="1" t="s">
        <v>74</v>
      </c>
      <c r="N357" s="1" t="s">
        <v>74</v>
      </c>
      <c r="O357" s="1" t="s">
        <v>74</v>
      </c>
      <c r="P357" s="1" t="s">
        <v>74</v>
      </c>
      <c r="Q357" s="1" t="s">
        <v>74</v>
      </c>
      <c r="R357" s="1" t="s">
        <v>74</v>
      </c>
      <c r="S357" s="1" t="s">
        <v>74</v>
      </c>
      <c r="T357" s="1" t="s">
        <v>74</v>
      </c>
      <c r="U357" s="1" t="s">
        <v>74</v>
      </c>
      <c r="V357" s="1" t="s">
        <v>3608</v>
      </c>
      <c r="W357" s="1" t="s">
        <v>74</v>
      </c>
      <c r="X357" s="1" t="s">
        <v>74</v>
      </c>
      <c r="Y357" s="1" t="s">
        <v>74</v>
      </c>
      <c r="Z357" s="1" t="s">
        <v>74</v>
      </c>
      <c r="AA357" s="1" t="s">
        <v>3609</v>
      </c>
      <c r="AB357" s="1" t="s">
        <v>3610</v>
      </c>
      <c r="AC357" s="1" t="s">
        <v>74</v>
      </c>
      <c r="AD357" s="1" t="s">
        <v>74</v>
      </c>
      <c r="AE357" s="1" t="s">
        <v>74</v>
      </c>
      <c r="AF357" s="1" t="s">
        <v>74</v>
      </c>
      <c r="AG357" s="1" t="s">
        <v>74</v>
      </c>
      <c r="AH357" s="1" t="s">
        <v>74</v>
      </c>
      <c r="AI357" s="1" t="s">
        <v>74</v>
      </c>
      <c r="AJ357" s="1" t="s">
        <v>74</v>
      </c>
      <c r="AK357" s="1" t="s">
        <v>74</v>
      </c>
      <c r="AL357" s="1" t="s">
        <v>74</v>
      </c>
      <c r="AM357" s="1" t="s">
        <v>74</v>
      </c>
      <c r="AN357" s="1" t="s">
        <v>74</v>
      </c>
      <c r="AO357" s="1" t="s">
        <v>1885</v>
      </c>
      <c r="AP357" s="1" t="s">
        <v>1886</v>
      </c>
      <c r="AQ357" s="1" t="s">
        <v>74</v>
      </c>
      <c r="AR357" s="1" t="s">
        <v>74</v>
      </c>
      <c r="AS357" s="1" t="s">
        <v>74</v>
      </c>
      <c r="AT357" s="1" t="s">
        <v>415</v>
      </c>
      <c r="AU357" s="1">
        <v>2023.0</v>
      </c>
      <c r="AV357" s="1">
        <v>459.0</v>
      </c>
      <c r="AW357" s="1" t="s">
        <v>74</v>
      </c>
      <c r="AX357" s="1" t="s">
        <v>74</v>
      </c>
      <c r="AY357" s="1" t="s">
        <v>74</v>
      </c>
      <c r="AZ357" s="1" t="s">
        <v>74</v>
      </c>
      <c r="BA357" s="1" t="s">
        <v>74</v>
      </c>
      <c r="BB357" s="1" t="s">
        <v>74</v>
      </c>
      <c r="BC357" s="1" t="s">
        <v>74</v>
      </c>
      <c r="BD357" s="1">
        <v>169489.0</v>
      </c>
      <c r="BE357" s="1" t="s">
        <v>3611</v>
      </c>
      <c r="BF357" s="2" t="str">
        <f>HYPERLINK("http://dx.doi.org/10.1016/j.aop.2023.169489","http://dx.doi.org/10.1016/j.aop.2023.169489")</f>
        <v>http://dx.doi.org/10.1016/j.aop.2023.169489</v>
      </c>
      <c r="BG357" s="1" t="s">
        <v>74</v>
      </c>
      <c r="BH357" s="1" t="s">
        <v>2856</v>
      </c>
      <c r="BI357" s="1" t="s">
        <v>74</v>
      </c>
      <c r="BJ357" s="1" t="s">
        <v>74</v>
      </c>
      <c r="BK357" s="1" t="s">
        <v>74</v>
      </c>
      <c r="BL357" s="1" t="s">
        <v>74</v>
      </c>
      <c r="BM357" s="1" t="s">
        <v>74</v>
      </c>
      <c r="BN357" s="1" t="s">
        <v>74</v>
      </c>
      <c r="BO357" s="1" t="s">
        <v>74</v>
      </c>
      <c r="BP357" s="1" t="s">
        <v>74</v>
      </c>
      <c r="BQ357" s="1" t="s">
        <v>74</v>
      </c>
      <c r="BR357" s="1" t="s">
        <v>74</v>
      </c>
      <c r="BS357" s="1" t="s">
        <v>3612</v>
      </c>
      <c r="BT357" s="1" t="str">
        <f>HYPERLINK("https%3A%2F%2Fwww.webofscience.com%2Fwos%2Fwoscc%2Ffull-record%2FWOS:001107513900001","View Full Record in Web of Science")</f>
        <v>View Full Record in Web of Science</v>
      </c>
    </row>
    <row r="358" ht="12.75" customHeight="1">
      <c r="A358" s="1" t="s">
        <v>72</v>
      </c>
      <c r="B358" s="1" t="s">
        <v>3613</v>
      </c>
      <c r="C358" s="1" t="s">
        <v>74</v>
      </c>
      <c r="D358" s="1" t="s">
        <v>74</v>
      </c>
      <c r="E358" s="1" t="s">
        <v>74</v>
      </c>
      <c r="F358" s="1" t="s">
        <v>3614</v>
      </c>
      <c r="G358" s="1" t="s">
        <v>74</v>
      </c>
      <c r="H358" s="1" t="s">
        <v>74</v>
      </c>
      <c r="I358" s="1" t="s">
        <v>3615</v>
      </c>
      <c r="J358" s="1" t="s">
        <v>2603</v>
      </c>
      <c r="K358" s="1" t="s">
        <v>74</v>
      </c>
      <c r="L358" s="1" t="s">
        <v>74</v>
      </c>
      <c r="M358" s="1" t="s">
        <v>74</v>
      </c>
      <c r="N358" s="1" t="s">
        <v>74</v>
      </c>
      <c r="O358" s="1" t="s">
        <v>74</v>
      </c>
      <c r="P358" s="1" t="s">
        <v>74</v>
      </c>
      <c r="Q358" s="1" t="s">
        <v>74</v>
      </c>
      <c r="R358" s="1" t="s">
        <v>74</v>
      </c>
      <c r="S358" s="1" t="s">
        <v>74</v>
      </c>
      <c r="T358" s="1" t="s">
        <v>74</v>
      </c>
      <c r="U358" s="1" t="s">
        <v>74</v>
      </c>
      <c r="V358" s="1" t="s">
        <v>3616</v>
      </c>
      <c r="W358" s="1" t="s">
        <v>74</v>
      </c>
      <c r="X358" s="1" t="s">
        <v>74</v>
      </c>
      <c r="Y358" s="1" t="s">
        <v>74</v>
      </c>
      <c r="Z358" s="1" t="s">
        <v>74</v>
      </c>
      <c r="AA358" s="1" t="s">
        <v>74</v>
      </c>
      <c r="AB358" s="1" t="s">
        <v>3617</v>
      </c>
      <c r="AC358" s="1" t="s">
        <v>74</v>
      </c>
      <c r="AD358" s="1" t="s">
        <v>74</v>
      </c>
      <c r="AE358" s="1" t="s">
        <v>74</v>
      </c>
      <c r="AF358" s="1" t="s">
        <v>74</v>
      </c>
      <c r="AG358" s="1" t="s">
        <v>74</v>
      </c>
      <c r="AH358" s="1" t="s">
        <v>74</v>
      </c>
      <c r="AI358" s="1" t="s">
        <v>74</v>
      </c>
      <c r="AJ358" s="1" t="s">
        <v>74</v>
      </c>
      <c r="AK358" s="1" t="s">
        <v>74</v>
      </c>
      <c r="AL358" s="1" t="s">
        <v>74</v>
      </c>
      <c r="AM358" s="1" t="s">
        <v>74</v>
      </c>
      <c r="AN358" s="1" t="s">
        <v>74</v>
      </c>
      <c r="AO358" s="1" t="s">
        <v>3618</v>
      </c>
      <c r="AP358" s="1" t="s">
        <v>2605</v>
      </c>
      <c r="AQ358" s="1" t="s">
        <v>74</v>
      </c>
      <c r="AR358" s="1" t="s">
        <v>74</v>
      </c>
      <c r="AS358" s="1" t="s">
        <v>74</v>
      </c>
      <c r="AT358" s="1" t="s">
        <v>841</v>
      </c>
      <c r="AU358" s="1">
        <v>2023.0</v>
      </c>
      <c r="AV358" s="1">
        <v>19.0</v>
      </c>
      <c r="AW358" s="1">
        <v>4.0</v>
      </c>
      <c r="AX358" s="1" t="s">
        <v>74</v>
      </c>
      <c r="AY358" s="1" t="s">
        <v>74</v>
      </c>
      <c r="AZ358" s="1" t="s">
        <v>74</v>
      </c>
      <c r="BA358" s="1" t="s">
        <v>74</v>
      </c>
      <c r="BB358" s="1" t="s">
        <v>74</v>
      </c>
      <c r="BC358" s="1" t="s">
        <v>74</v>
      </c>
      <c r="BD358" s="1" t="s">
        <v>3619</v>
      </c>
      <c r="BE358" s="1" t="s">
        <v>3620</v>
      </c>
      <c r="BF358" s="2" t="str">
        <f>HYPERLINK("http://dx.doi.org/10.1371/journal.pcbi.1011024","http://dx.doi.org/10.1371/journal.pcbi.1011024")</f>
        <v>http://dx.doi.org/10.1371/journal.pcbi.1011024</v>
      </c>
      <c r="BG358" s="1" t="s">
        <v>74</v>
      </c>
      <c r="BH358" s="1" t="s">
        <v>74</v>
      </c>
      <c r="BI358" s="1" t="s">
        <v>74</v>
      </c>
      <c r="BJ358" s="1" t="s">
        <v>74</v>
      </c>
      <c r="BK358" s="1" t="s">
        <v>74</v>
      </c>
      <c r="BL358" s="1" t="s">
        <v>74</v>
      </c>
      <c r="BM358" s="1" t="s">
        <v>74</v>
      </c>
      <c r="BN358" s="1">
        <v>3.7011086E7</v>
      </c>
      <c r="BO358" s="1" t="s">
        <v>74</v>
      </c>
      <c r="BP358" s="1" t="s">
        <v>74</v>
      </c>
      <c r="BQ358" s="1" t="s">
        <v>74</v>
      </c>
      <c r="BR358" s="1" t="s">
        <v>74</v>
      </c>
      <c r="BS358" s="1" t="s">
        <v>3621</v>
      </c>
      <c r="BT358" s="1" t="str">
        <f>HYPERLINK("https%3A%2F%2Fwww.webofscience.com%2Fwos%2Fwoscc%2Ffull-record%2FWOS:000962668700003","View Full Record in Web of Science")</f>
        <v>View Full Record in Web of Science</v>
      </c>
    </row>
    <row r="359" ht="12.75" customHeight="1">
      <c r="A359" s="1" t="s">
        <v>72</v>
      </c>
      <c r="B359" s="1" t="s">
        <v>3622</v>
      </c>
      <c r="C359" s="1" t="s">
        <v>74</v>
      </c>
      <c r="D359" s="1" t="s">
        <v>74</v>
      </c>
      <c r="E359" s="1" t="s">
        <v>74</v>
      </c>
      <c r="F359" s="1" t="s">
        <v>3623</v>
      </c>
      <c r="G359" s="1" t="s">
        <v>74</v>
      </c>
      <c r="H359" s="1" t="s">
        <v>74</v>
      </c>
      <c r="I359" s="1" t="s">
        <v>3624</v>
      </c>
      <c r="J359" s="1" t="s">
        <v>3625</v>
      </c>
      <c r="K359" s="1" t="s">
        <v>74</v>
      </c>
      <c r="L359" s="1" t="s">
        <v>74</v>
      </c>
      <c r="M359" s="1" t="s">
        <v>74</v>
      </c>
      <c r="N359" s="1" t="s">
        <v>74</v>
      </c>
      <c r="O359" s="1" t="s">
        <v>74</v>
      </c>
      <c r="P359" s="1" t="s">
        <v>74</v>
      </c>
      <c r="Q359" s="1" t="s">
        <v>74</v>
      </c>
      <c r="R359" s="1" t="s">
        <v>74</v>
      </c>
      <c r="S359" s="1" t="s">
        <v>74</v>
      </c>
      <c r="T359" s="1" t="s">
        <v>74</v>
      </c>
      <c r="U359" s="1" t="s">
        <v>74</v>
      </c>
      <c r="V359" s="1" t="s">
        <v>3626</v>
      </c>
      <c r="W359" s="1" t="s">
        <v>74</v>
      </c>
      <c r="X359" s="1" t="s">
        <v>74</v>
      </c>
      <c r="Y359" s="1" t="s">
        <v>74</v>
      </c>
      <c r="Z359" s="1" t="s">
        <v>74</v>
      </c>
      <c r="AA359" s="1" t="s">
        <v>74</v>
      </c>
      <c r="AB359" s="1" t="s">
        <v>74</v>
      </c>
      <c r="AC359" s="1" t="s">
        <v>74</v>
      </c>
      <c r="AD359" s="1" t="s">
        <v>74</v>
      </c>
      <c r="AE359" s="1" t="s">
        <v>74</v>
      </c>
      <c r="AF359" s="1" t="s">
        <v>74</v>
      </c>
      <c r="AG359" s="1" t="s">
        <v>74</v>
      </c>
      <c r="AH359" s="1" t="s">
        <v>74</v>
      </c>
      <c r="AI359" s="1" t="s">
        <v>74</v>
      </c>
      <c r="AJ359" s="1" t="s">
        <v>74</v>
      </c>
      <c r="AK359" s="1" t="s">
        <v>74</v>
      </c>
      <c r="AL359" s="1" t="s">
        <v>74</v>
      </c>
      <c r="AM359" s="1" t="s">
        <v>74</v>
      </c>
      <c r="AN359" s="1" t="s">
        <v>74</v>
      </c>
      <c r="AO359" s="1" t="s">
        <v>3627</v>
      </c>
      <c r="AP359" s="1" t="s">
        <v>3628</v>
      </c>
      <c r="AQ359" s="1" t="s">
        <v>74</v>
      </c>
      <c r="AR359" s="1" t="s">
        <v>74</v>
      </c>
      <c r="AS359" s="1" t="s">
        <v>74</v>
      </c>
      <c r="AT359" s="1" t="s">
        <v>3629</v>
      </c>
      <c r="AU359" s="1">
        <v>2022.0</v>
      </c>
      <c r="AV359" s="1">
        <v>20.0</v>
      </c>
      <c r="AW359" s="1">
        <v>39.0</v>
      </c>
      <c r="AX359" s="1" t="s">
        <v>74</v>
      </c>
      <c r="AY359" s="1" t="s">
        <v>74</v>
      </c>
      <c r="AZ359" s="1" t="s">
        <v>74</v>
      </c>
      <c r="BA359" s="1" t="s">
        <v>74</v>
      </c>
      <c r="BB359" s="1" t="s">
        <v>74</v>
      </c>
      <c r="BC359" s="1" t="s">
        <v>74</v>
      </c>
      <c r="BD359" s="1" t="s">
        <v>74</v>
      </c>
      <c r="BE359" s="1" t="s">
        <v>3630</v>
      </c>
      <c r="BF359" s="2" t="str">
        <f>HYPERLINK("http://dx.doi.org/10.21830/19006586.590","http://dx.doi.org/10.21830/19006586.590")</f>
        <v>http://dx.doi.org/10.21830/19006586.590</v>
      </c>
      <c r="BG359" s="1" t="s">
        <v>74</v>
      </c>
      <c r="BH359" s="1" t="s">
        <v>74</v>
      </c>
      <c r="BI359" s="1" t="s">
        <v>74</v>
      </c>
      <c r="BJ359" s="1" t="s">
        <v>74</v>
      </c>
      <c r="BK359" s="1" t="s">
        <v>74</v>
      </c>
      <c r="BL359" s="1" t="s">
        <v>74</v>
      </c>
      <c r="BM359" s="1" t="s">
        <v>74</v>
      </c>
      <c r="BN359" s="1" t="s">
        <v>74</v>
      </c>
      <c r="BO359" s="1" t="s">
        <v>74</v>
      </c>
      <c r="BP359" s="1" t="s">
        <v>74</v>
      </c>
      <c r="BQ359" s="1" t="s">
        <v>74</v>
      </c>
      <c r="BR359" s="1" t="s">
        <v>74</v>
      </c>
      <c r="BS359" s="1" t="s">
        <v>3631</v>
      </c>
      <c r="BT359" s="1" t="str">
        <f>HYPERLINK("https%3A%2F%2Fwww.webofscience.com%2Fwos%2Fwoscc%2Ffull-record%2FWOS:001295432500013","View Full Record in Web of Science")</f>
        <v>View Full Record in Web of Science</v>
      </c>
    </row>
    <row r="360" ht="12.75" customHeight="1">
      <c r="A360" s="1" t="s">
        <v>72</v>
      </c>
      <c r="B360" s="1" t="s">
        <v>3632</v>
      </c>
      <c r="C360" s="1" t="s">
        <v>74</v>
      </c>
      <c r="D360" s="1" t="s">
        <v>74</v>
      </c>
      <c r="E360" s="1" t="s">
        <v>74</v>
      </c>
      <c r="F360" s="1" t="s">
        <v>3633</v>
      </c>
      <c r="G360" s="1" t="s">
        <v>74</v>
      </c>
      <c r="H360" s="1" t="s">
        <v>74</v>
      </c>
      <c r="I360" s="1" t="s">
        <v>3634</v>
      </c>
      <c r="J360" s="1" t="s">
        <v>3635</v>
      </c>
      <c r="K360" s="1" t="s">
        <v>74</v>
      </c>
      <c r="L360" s="1" t="s">
        <v>74</v>
      </c>
      <c r="M360" s="1" t="s">
        <v>74</v>
      </c>
      <c r="N360" s="1" t="s">
        <v>74</v>
      </c>
      <c r="O360" s="1" t="s">
        <v>74</v>
      </c>
      <c r="P360" s="1" t="s">
        <v>74</v>
      </c>
      <c r="Q360" s="1" t="s">
        <v>74</v>
      </c>
      <c r="R360" s="1" t="s">
        <v>74</v>
      </c>
      <c r="S360" s="1" t="s">
        <v>74</v>
      </c>
      <c r="T360" s="1" t="s">
        <v>74</v>
      </c>
      <c r="U360" s="1" t="s">
        <v>74</v>
      </c>
      <c r="V360" s="1" t="s">
        <v>3636</v>
      </c>
      <c r="W360" s="1" t="s">
        <v>74</v>
      </c>
      <c r="X360" s="1" t="s">
        <v>74</v>
      </c>
      <c r="Y360" s="1" t="s">
        <v>74</v>
      </c>
      <c r="Z360" s="1" t="s">
        <v>74</v>
      </c>
      <c r="AA360" s="1" t="s">
        <v>3637</v>
      </c>
      <c r="AB360" s="1" t="s">
        <v>74</v>
      </c>
      <c r="AC360" s="1" t="s">
        <v>74</v>
      </c>
      <c r="AD360" s="1" t="s">
        <v>74</v>
      </c>
      <c r="AE360" s="1" t="s">
        <v>74</v>
      </c>
      <c r="AF360" s="1" t="s">
        <v>74</v>
      </c>
      <c r="AG360" s="1" t="s">
        <v>74</v>
      </c>
      <c r="AH360" s="1" t="s">
        <v>74</v>
      </c>
      <c r="AI360" s="1" t="s">
        <v>74</v>
      </c>
      <c r="AJ360" s="1" t="s">
        <v>74</v>
      </c>
      <c r="AK360" s="1" t="s">
        <v>74</v>
      </c>
      <c r="AL360" s="1" t="s">
        <v>74</v>
      </c>
      <c r="AM360" s="1" t="s">
        <v>74</v>
      </c>
      <c r="AN360" s="1" t="s">
        <v>74</v>
      </c>
      <c r="AO360" s="1" t="s">
        <v>3638</v>
      </c>
      <c r="AP360" s="1" t="s">
        <v>3639</v>
      </c>
      <c r="AQ360" s="1" t="s">
        <v>74</v>
      </c>
      <c r="AR360" s="1" t="s">
        <v>74</v>
      </c>
      <c r="AS360" s="1" t="s">
        <v>74</v>
      </c>
      <c r="AT360" s="1" t="s">
        <v>699</v>
      </c>
      <c r="AU360" s="1">
        <v>2022.0</v>
      </c>
      <c r="AV360" s="1">
        <v>46.0</v>
      </c>
      <c r="AW360" s="1">
        <v>2.0</v>
      </c>
      <c r="AX360" s="1" t="s">
        <v>74</v>
      </c>
      <c r="AY360" s="1" t="s">
        <v>74</v>
      </c>
      <c r="AZ360" s="1" t="s">
        <v>74</v>
      </c>
      <c r="BA360" s="1" t="s">
        <v>74</v>
      </c>
      <c r="BB360" s="1" t="s">
        <v>74</v>
      </c>
      <c r="BC360" s="1" t="s">
        <v>74</v>
      </c>
      <c r="BD360" s="1" t="s">
        <v>74</v>
      </c>
      <c r="BE360" s="1" t="s">
        <v>3640</v>
      </c>
      <c r="BF360" s="2" t="str">
        <f>HYPERLINK("http://dx.doi.org/10.15517/revedu.v46i2.49833","http://dx.doi.org/10.15517/revedu.v46i2.49833")</f>
        <v>http://dx.doi.org/10.15517/revedu.v46i2.49833</v>
      </c>
      <c r="BG360" s="1" t="s">
        <v>74</v>
      </c>
      <c r="BH360" s="1" t="s">
        <v>74</v>
      </c>
      <c r="BI360" s="1" t="s">
        <v>74</v>
      </c>
      <c r="BJ360" s="1" t="s">
        <v>74</v>
      </c>
      <c r="BK360" s="1" t="s">
        <v>74</v>
      </c>
      <c r="BL360" s="1" t="s">
        <v>74</v>
      </c>
      <c r="BM360" s="1" t="s">
        <v>74</v>
      </c>
      <c r="BN360" s="1" t="s">
        <v>74</v>
      </c>
      <c r="BO360" s="1" t="s">
        <v>74</v>
      </c>
      <c r="BP360" s="1" t="s">
        <v>74</v>
      </c>
      <c r="BQ360" s="1" t="s">
        <v>74</v>
      </c>
      <c r="BR360" s="1" t="s">
        <v>74</v>
      </c>
      <c r="BS360" s="1" t="s">
        <v>3641</v>
      </c>
      <c r="BT360" s="1" t="str">
        <f>HYPERLINK("https%3A%2F%2Fwww.webofscience.com%2Fwos%2Fwoscc%2Ffull-record%2FWOS:000822501500024","View Full Record in Web of Science")</f>
        <v>View Full Record in Web of Science</v>
      </c>
    </row>
    <row r="361" ht="12.75" customHeight="1">
      <c r="A361" s="1" t="s">
        <v>72</v>
      </c>
      <c r="B361" s="1" t="s">
        <v>3642</v>
      </c>
      <c r="C361" s="1" t="s">
        <v>74</v>
      </c>
      <c r="D361" s="1" t="s">
        <v>74</v>
      </c>
      <c r="E361" s="1" t="s">
        <v>74</v>
      </c>
      <c r="F361" s="1" t="s">
        <v>3643</v>
      </c>
      <c r="G361" s="1" t="s">
        <v>74</v>
      </c>
      <c r="H361" s="1" t="s">
        <v>74</v>
      </c>
      <c r="I361" s="1" t="s">
        <v>3644</v>
      </c>
      <c r="J361" s="1" t="s">
        <v>3645</v>
      </c>
      <c r="K361" s="1" t="s">
        <v>74</v>
      </c>
      <c r="L361" s="1" t="s">
        <v>74</v>
      </c>
      <c r="M361" s="1" t="s">
        <v>74</v>
      </c>
      <c r="N361" s="1" t="s">
        <v>74</v>
      </c>
      <c r="O361" s="1" t="s">
        <v>74</v>
      </c>
      <c r="P361" s="1" t="s">
        <v>74</v>
      </c>
      <c r="Q361" s="1" t="s">
        <v>74</v>
      </c>
      <c r="R361" s="1" t="s">
        <v>74</v>
      </c>
      <c r="S361" s="1" t="s">
        <v>74</v>
      </c>
      <c r="T361" s="1" t="s">
        <v>74</v>
      </c>
      <c r="U361" s="1" t="s">
        <v>74</v>
      </c>
      <c r="V361" s="1" t="s">
        <v>3646</v>
      </c>
      <c r="W361" s="1" t="s">
        <v>74</v>
      </c>
      <c r="X361" s="1" t="s">
        <v>74</v>
      </c>
      <c r="Y361" s="1" t="s">
        <v>74</v>
      </c>
      <c r="Z361" s="1" t="s">
        <v>74</v>
      </c>
      <c r="AA361" s="1" t="s">
        <v>3647</v>
      </c>
      <c r="AB361" s="1" t="s">
        <v>3648</v>
      </c>
      <c r="AC361" s="1" t="s">
        <v>74</v>
      </c>
      <c r="AD361" s="1" t="s">
        <v>74</v>
      </c>
      <c r="AE361" s="1" t="s">
        <v>74</v>
      </c>
      <c r="AF361" s="1" t="s">
        <v>74</v>
      </c>
      <c r="AG361" s="1" t="s">
        <v>74</v>
      </c>
      <c r="AH361" s="1" t="s">
        <v>74</v>
      </c>
      <c r="AI361" s="1" t="s">
        <v>74</v>
      </c>
      <c r="AJ361" s="1" t="s">
        <v>74</v>
      </c>
      <c r="AK361" s="1" t="s">
        <v>74</v>
      </c>
      <c r="AL361" s="1" t="s">
        <v>74</v>
      </c>
      <c r="AM361" s="1" t="s">
        <v>74</v>
      </c>
      <c r="AN361" s="1" t="s">
        <v>74</v>
      </c>
      <c r="AO361" s="1" t="s">
        <v>3649</v>
      </c>
      <c r="AP361" s="1" t="s">
        <v>3650</v>
      </c>
      <c r="AQ361" s="1" t="s">
        <v>74</v>
      </c>
      <c r="AR361" s="1" t="s">
        <v>74</v>
      </c>
      <c r="AS361" s="1" t="s">
        <v>74</v>
      </c>
      <c r="AT361" s="1" t="s">
        <v>1361</v>
      </c>
      <c r="AU361" s="1">
        <v>2022.0</v>
      </c>
      <c r="AV361" s="1">
        <v>34.0</v>
      </c>
      <c r="AW361" s="1">
        <v>2.0</v>
      </c>
      <c r="AX361" s="1" t="s">
        <v>74</v>
      </c>
      <c r="AY361" s="1" t="s">
        <v>74</v>
      </c>
      <c r="AZ361" s="1" t="s">
        <v>74</v>
      </c>
      <c r="BA361" s="1" t="s">
        <v>74</v>
      </c>
      <c r="BB361" s="1">
        <v>121.0</v>
      </c>
      <c r="BC361" s="1">
        <v>124.0</v>
      </c>
      <c r="BD361" s="1" t="s">
        <v>74</v>
      </c>
      <c r="BE361" s="1" t="s">
        <v>3651</v>
      </c>
      <c r="BF361" s="2" t="str">
        <f>HYPERLINK("http://dx.doi.org/10.1109/LPT.2022.3141376","http://dx.doi.org/10.1109/LPT.2022.3141376")</f>
        <v>http://dx.doi.org/10.1109/LPT.2022.3141376</v>
      </c>
      <c r="BG361" s="1" t="s">
        <v>74</v>
      </c>
      <c r="BH361" s="1" t="s">
        <v>74</v>
      </c>
      <c r="BI361" s="1" t="s">
        <v>74</v>
      </c>
      <c r="BJ361" s="1" t="s">
        <v>74</v>
      </c>
      <c r="BK361" s="1" t="s">
        <v>74</v>
      </c>
      <c r="BL361" s="1" t="s">
        <v>74</v>
      </c>
      <c r="BM361" s="1" t="s">
        <v>74</v>
      </c>
      <c r="BN361" s="1" t="s">
        <v>74</v>
      </c>
      <c r="BO361" s="1" t="s">
        <v>74</v>
      </c>
      <c r="BP361" s="1" t="s">
        <v>74</v>
      </c>
      <c r="BQ361" s="1" t="s">
        <v>74</v>
      </c>
      <c r="BR361" s="1" t="s">
        <v>74</v>
      </c>
      <c r="BS361" s="1" t="s">
        <v>3652</v>
      </c>
      <c r="BT361" s="1" t="str">
        <f>HYPERLINK("https%3A%2F%2Fwww.webofscience.com%2Fwos%2Fwoscc%2Ffull-record%2FWOS:000745511600005","View Full Record in Web of Science")</f>
        <v>View Full Record in Web of Science</v>
      </c>
    </row>
    <row r="362" ht="12.75" customHeight="1">
      <c r="A362" s="1" t="s">
        <v>147</v>
      </c>
      <c r="B362" s="1" t="s">
        <v>3653</v>
      </c>
      <c r="C362" s="1" t="s">
        <v>74</v>
      </c>
      <c r="D362" s="1" t="s">
        <v>74</v>
      </c>
      <c r="E362" s="1" t="s">
        <v>793</v>
      </c>
      <c r="F362" s="1" t="s">
        <v>3654</v>
      </c>
      <c r="G362" s="1" t="s">
        <v>74</v>
      </c>
      <c r="H362" s="1" t="s">
        <v>74</v>
      </c>
      <c r="I362" s="1" t="s">
        <v>3655</v>
      </c>
      <c r="J362" s="1" t="s">
        <v>1389</v>
      </c>
      <c r="K362" s="1" t="s">
        <v>74</v>
      </c>
      <c r="L362" s="1" t="s">
        <v>74</v>
      </c>
      <c r="M362" s="1" t="s">
        <v>74</v>
      </c>
      <c r="N362" s="1" t="s">
        <v>74</v>
      </c>
      <c r="O362" s="1" t="s">
        <v>1390</v>
      </c>
      <c r="P362" s="1" t="s">
        <v>1391</v>
      </c>
      <c r="Q362" s="1" t="s">
        <v>1392</v>
      </c>
      <c r="R362" s="1" t="s">
        <v>74</v>
      </c>
      <c r="S362" s="1" t="s">
        <v>74</v>
      </c>
      <c r="T362" s="1" t="s">
        <v>74</v>
      </c>
      <c r="U362" s="1" t="s">
        <v>74</v>
      </c>
      <c r="V362" s="1" t="s">
        <v>3656</v>
      </c>
      <c r="W362" s="1" t="s">
        <v>74</v>
      </c>
      <c r="X362" s="1" t="s">
        <v>74</v>
      </c>
      <c r="Y362" s="1" t="s">
        <v>74</v>
      </c>
      <c r="Z362" s="1" t="s">
        <v>74</v>
      </c>
      <c r="AA362" s="1" t="s">
        <v>3657</v>
      </c>
      <c r="AB362" s="1" t="s">
        <v>3658</v>
      </c>
      <c r="AC362" s="1" t="s">
        <v>74</v>
      </c>
      <c r="AD362" s="1" t="s">
        <v>74</v>
      </c>
      <c r="AE362" s="1" t="s">
        <v>74</v>
      </c>
      <c r="AF362" s="1" t="s">
        <v>74</v>
      </c>
      <c r="AG362" s="1" t="s">
        <v>74</v>
      </c>
      <c r="AH362" s="1" t="s">
        <v>74</v>
      </c>
      <c r="AI362" s="1" t="s">
        <v>74</v>
      </c>
      <c r="AJ362" s="1" t="s">
        <v>74</v>
      </c>
      <c r="AK362" s="1" t="s">
        <v>74</v>
      </c>
      <c r="AL362" s="1" t="s">
        <v>74</v>
      </c>
      <c r="AM362" s="1" t="s">
        <v>74</v>
      </c>
      <c r="AN362" s="1" t="s">
        <v>74</v>
      </c>
      <c r="AO362" s="1" t="s">
        <v>74</v>
      </c>
      <c r="AP362" s="1" t="s">
        <v>74</v>
      </c>
      <c r="AQ362" s="1" t="s">
        <v>1395</v>
      </c>
      <c r="AR362" s="1" t="s">
        <v>74</v>
      </c>
      <c r="AS362" s="1" t="s">
        <v>74</v>
      </c>
      <c r="AT362" s="1" t="s">
        <v>74</v>
      </c>
      <c r="AU362" s="1">
        <v>2022.0</v>
      </c>
      <c r="AV362" s="1" t="s">
        <v>74</v>
      </c>
      <c r="AW362" s="1" t="s">
        <v>74</v>
      </c>
      <c r="AX362" s="1" t="s">
        <v>74</v>
      </c>
      <c r="AY362" s="1" t="s">
        <v>74</v>
      </c>
      <c r="AZ362" s="1" t="s">
        <v>74</v>
      </c>
      <c r="BA362" s="1" t="s">
        <v>74</v>
      </c>
      <c r="BB362" s="1">
        <v>613.0</v>
      </c>
      <c r="BC362" s="1">
        <v>618.0</v>
      </c>
      <c r="BD362" s="1" t="s">
        <v>74</v>
      </c>
      <c r="BE362" s="1" t="s">
        <v>3659</v>
      </c>
      <c r="BF362" s="2" t="str">
        <f>HYPERLINK("http://dx.doi.org/10.1109/CSNDSP54353.2022.9907935","http://dx.doi.org/10.1109/CSNDSP54353.2022.9907935")</f>
        <v>http://dx.doi.org/10.1109/CSNDSP54353.2022.9907935</v>
      </c>
      <c r="BG362" s="1" t="s">
        <v>74</v>
      </c>
      <c r="BH362" s="1" t="s">
        <v>74</v>
      </c>
      <c r="BI362" s="1" t="s">
        <v>74</v>
      </c>
      <c r="BJ362" s="1" t="s">
        <v>74</v>
      </c>
      <c r="BK362" s="1" t="s">
        <v>74</v>
      </c>
      <c r="BL362" s="1" t="s">
        <v>74</v>
      </c>
      <c r="BM362" s="1" t="s">
        <v>74</v>
      </c>
      <c r="BN362" s="1" t="s">
        <v>74</v>
      </c>
      <c r="BO362" s="1" t="s">
        <v>74</v>
      </c>
      <c r="BP362" s="1" t="s">
        <v>74</v>
      </c>
      <c r="BQ362" s="1" t="s">
        <v>74</v>
      </c>
      <c r="BR362" s="1" t="s">
        <v>74</v>
      </c>
      <c r="BS362" s="1" t="s">
        <v>3660</v>
      </c>
      <c r="BT362" s="1" t="str">
        <f>HYPERLINK("https%3A%2F%2Fwww.webofscience.com%2Fwos%2Fwoscc%2Ffull-record%2FWOS:001331792600115","View Full Record in Web of Science")</f>
        <v>View Full Record in Web of Science</v>
      </c>
    </row>
    <row r="363" ht="12.75" customHeight="1">
      <c r="A363" s="1" t="s">
        <v>147</v>
      </c>
      <c r="B363" s="1" t="s">
        <v>3661</v>
      </c>
      <c r="C363" s="1" t="s">
        <v>74</v>
      </c>
      <c r="D363" s="1" t="s">
        <v>74</v>
      </c>
      <c r="E363" s="1" t="s">
        <v>793</v>
      </c>
      <c r="F363" s="1" t="s">
        <v>3662</v>
      </c>
      <c r="G363" s="1" t="s">
        <v>74</v>
      </c>
      <c r="H363" s="1" t="s">
        <v>74</v>
      </c>
      <c r="I363" s="1" t="s">
        <v>3663</v>
      </c>
      <c r="J363" s="1" t="s">
        <v>1389</v>
      </c>
      <c r="K363" s="1" t="s">
        <v>74</v>
      </c>
      <c r="L363" s="1" t="s">
        <v>74</v>
      </c>
      <c r="M363" s="1" t="s">
        <v>74</v>
      </c>
      <c r="N363" s="1" t="s">
        <v>74</v>
      </c>
      <c r="O363" s="1" t="s">
        <v>1390</v>
      </c>
      <c r="P363" s="1" t="s">
        <v>1391</v>
      </c>
      <c r="Q363" s="1" t="s">
        <v>1392</v>
      </c>
      <c r="R363" s="1" t="s">
        <v>74</v>
      </c>
      <c r="S363" s="1" t="s">
        <v>74</v>
      </c>
      <c r="T363" s="1" t="s">
        <v>74</v>
      </c>
      <c r="U363" s="1" t="s">
        <v>74</v>
      </c>
      <c r="V363" s="1" t="s">
        <v>3664</v>
      </c>
      <c r="W363" s="1" t="s">
        <v>74</v>
      </c>
      <c r="X363" s="1" t="s">
        <v>74</v>
      </c>
      <c r="Y363" s="1" t="s">
        <v>74</v>
      </c>
      <c r="Z363" s="1" t="s">
        <v>74</v>
      </c>
      <c r="AA363" s="1" t="s">
        <v>74</v>
      </c>
      <c r="AB363" s="1" t="s">
        <v>3665</v>
      </c>
      <c r="AC363" s="1" t="s">
        <v>74</v>
      </c>
      <c r="AD363" s="1" t="s">
        <v>74</v>
      </c>
      <c r="AE363" s="1" t="s">
        <v>74</v>
      </c>
      <c r="AF363" s="1" t="s">
        <v>74</v>
      </c>
      <c r="AG363" s="1" t="s">
        <v>74</v>
      </c>
      <c r="AH363" s="1" t="s">
        <v>74</v>
      </c>
      <c r="AI363" s="1" t="s">
        <v>74</v>
      </c>
      <c r="AJ363" s="1" t="s">
        <v>74</v>
      </c>
      <c r="AK363" s="1" t="s">
        <v>74</v>
      </c>
      <c r="AL363" s="1" t="s">
        <v>74</v>
      </c>
      <c r="AM363" s="1" t="s">
        <v>74</v>
      </c>
      <c r="AN363" s="1" t="s">
        <v>74</v>
      </c>
      <c r="AO363" s="1" t="s">
        <v>74</v>
      </c>
      <c r="AP363" s="1" t="s">
        <v>74</v>
      </c>
      <c r="AQ363" s="1" t="s">
        <v>1395</v>
      </c>
      <c r="AR363" s="1" t="s">
        <v>74</v>
      </c>
      <c r="AS363" s="1" t="s">
        <v>74</v>
      </c>
      <c r="AT363" s="1" t="s">
        <v>74</v>
      </c>
      <c r="AU363" s="1">
        <v>2022.0</v>
      </c>
      <c r="AV363" s="1" t="s">
        <v>74</v>
      </c>
      <c r="AW363" s="1" t="s">
        <v>74</v>
      </c>
      <c r="AX363" s="1" t="s">
        <v>74</v>
      </c>
      <c r="AY363" s="1" t="s">
        <v>74</v>
      </c>
      <c r="AZ363" s="1" t="s">
        <v>74</v>
      </c>
      <c r="BA363" s="1" t="s">
        <v>74</v>
      </c>
      <c r="BB363" s="1">
        <v>446.0</v>
      </c>
      <c r="BC363" s="1">
        <v>451.0</v>
      </c>
      <c r="BD363" s="1" t="s">
        <v>74</v>
      </c>
      <c r="BE363" s="1" t="s">
        <v>3666</v>
      </c>
      <c r="BF363" s="2" t="str">
        <f>HYPERLINK("http://dx.doi.org/10.1109/CSNDSP54353.2022.9908024","http://dx.doi.org/10.1109/CSNDSP54353.2022.9908024")</f>
        <v>http://dx.doi.org/10.1109/CSNDSP54353.2022.9908024</v>
      </c>
      <c r="BG363" s="1" t="s">
        <v>74</v>
      </c>
      <c r="BH363" s="1" t="s">
        <v>74</v>
      </c>
      <c r="BI363" s="1" t="s">
        <v>74</v>
      </c>
      <c r="BJ363" s="1" t="s">
        <v>74</v>
      </c>
      <c r="BK363" s="1" t="s">
        <v>74</v>
      </c>
      <c r="BL363" s="1" t="s">
        <v>74</v>
      </c>
      <c r="BM363" s="1" t="s">
        <v>74</v>
      </c>
      <c r="BN363" s="1" t="s">
        <v>74</v>
      </c>
      <c r="BO363" s="1" t="s">
        <v>74</v>
      </c>
      <c r="BP363" s="1" t="s">
        <v>74</v>
      </c>
      <c r="BQ363" s="1" t="s">
        <v>74</v>
      </c>
      <c r="BR363" s="1" t="s">
        <v>74</v>
      </c>
      <c r="BS363" s="1" t="s">
        <v>3667</v>
      </c>
      <c r="BT363" s="1" t="str">
        <f>HYPERLINK("https%3A%2F%2Fwww.webofscience.com%2Fwos%2Fwoscc%2Ffull-record%2FWOS:001331792600083","View Full Record in Web of Science")</f>
        <v>View Full Record in Web of Science</v>
      </c>
    </row>
    <row r="364" ht="12.75" customHeight="1">
      <c r="A364" s="1" t="s">
        <v>72</v>
      </c>
      <c r="B364" s="1" t="s">
        <v>3668</v>
      </c>
      <c r="C364" s="1" t="s">
        <v>74</v>
      </c>
      <c r="D364" s="1" t="s">
        <v>74</v>
      </c>
      <c r="E364" s="1" t="s">
        <v>74</v>
      </c>
      <c r="F364" s="1" t="s">
        <v>3669</v>
      </c>
      <c r="G364" s="1" t="s">
        <v>74</v>
      </c>
      <c r="H364" s="1" t="s">
        <v>74</v>
      </c>
      <c r="I364" s="1" t="s">
        <v>3670</v>
      </c>
      <c r="J364" s="1" t="s">
        <v>3671</v>
      </c>
      <c r="K364" s="1" t="s">
        <v>74</v>
      </c>
      <c r="L364" s="1" t="s">
        <v>74</v>
      </c>
      <c r="M364" s="1" t="s">
        <v>74</v>
      </c>
      <c r="N364" s="1" t="s">
        <v>74</v>
      </c>
      <c r="O364" s="1" t="s">
        <v>74</v>
      </c>
      <c r="P364" s="1" t="s">
        <v>74</v>
      </c>
      <c r="Q364" s="1" t="s">
        <v>74</v>
      </c>
      <c r="R364" s="1" t="s">
        <v>74</v>
      </c>
      <c r="S364" s="1" t="s">
        <v>74</v>
      </c>
      <c r="T364" s="1" t="s">
        <v>74</v>
      </c>
      <c r="U364" s="1" t="s">
        <v>74</v>
      </c>
      <c r="V364" s="1" t="s">
        <v>3672</v>
      </c>
      <c r="W364" s="1" t="s">
        <v>74</v>
      </c>
      <c r="X364" s="1" t="s">
        <v>74</v>
      </c>
      <c r="Y364" s="1" t="s">
        <v>74</v>
      </c>
      <c r="Z364" s="1" t="s">
        <v>74</v>
      </c>
      <c r="AA364" s="1" t="s">
        <v>74</v>
      </c>
      <c r="AB364" s="1" t="s">
        <v>3673</v>
      </c>
      <c r="AC364" s="1" t="s">
        <v>74</v>
      </c>
      <c r="AD364" s="1" t="s">
        <v>74</v>
      </c>
      <c r="AE364" s="1" t="s">
        <v>74</v>
      </c>
      <c r="AF364" s="1" t="s">
        <v>74</v>
      </c>
      <c r="AG364" s="1" t="s">
        <v>74</v>
      </c>
      <c r="AH364" s="1" t="s">
        <v>74</v>
      </c>
      <c r="AI364" s="1" t="s">
        <v>74</v>
      </c>
      <c r="AJ364" s="1" t="s">
        <v>74</v>
      </c>
      <c r="AK364" s="1" t="s">
        <v>74</v>
      </c>
      <c r="AL364" s="1" t="s">
        <v>74</v>
      </c>
      <c r="AM364" s="1" t="s">
        <v>74</v>
      </c>
      <c r="AN364" s="1" t="s">
        <v>74</v>
      </c>
      <c r="AO364" s="1" t="s">
        <v>3674</v>
      </c>
      <c r="AP364" s="1" t="s">
        <v>3675</v>
      </c>
      <c r="AQ364" s="1" t="s">
        <v>74</v>
      </c>
      <c r="AR364" s="1" t="s">
        <v>74</v>
      </c>
      <c r="AS364" s="1" t="s">
        <v>74</v>
      </c>
      <c r="AT364" s="1" t="s">
        <v>74</v>
      </c>
      <c r="AU364" s="1">
        <v>2022.0</v>
      </c>
      <c r="AV364" s="1" t="s">
        <v>74</v>
      </c>
      <c r="AW364" s="1">
        <v>52.0</v>
      </c>
      <c r="AX364" s="1" t="s">
        <v>74</v>
      </c>
      <c r="AY364" s="1" t="s">
        <v>74</v>
      </c>
      <c r="AZ364" s="1" t="s">
        <v>74</v>
      </c>
      <c r="BA364" s="1" t="s">
        <v>74</v>
      </c>
      <c r="BB364" s="1">
        <v>69.0</v>
      </c>
      <c r="BC364" s="1">
        <v>90.0</v>
      </c>
      <c r="BD364" s="1" t="s">
        <v>74</v>
      </c>
      <c r="BE364" s="1" t="s">
        <v>3676</v>
      </c>
      <c r="BF364" s="2" t="str">
        <f>HYPERLINK("http://dx.doi.org/10.7764/cdi.52.43065","http://dx.doi.org/10.7764/cdi.52.43065")</f>
        <v>http://dx.doi.org/10.7764/cdi.52.43065</v>
      </c>
      <c r="BG364" s="1" t="s">
        <v>74</v>
      </c>
      <c r="BH364" s="1" t="s">
        <v>74</v>
      </c>
      <c r="BI364" s="1" t="s">
        <v>74</v>
      </c>
      <c r="BJ364" s="1" t="s">
        <v>74</v>
      </c>
      <c r="BK364" s="1" t="s">
        <v>74</v>
      </c>
      <c r="BL364" s="1" t="s">
        <v>74</v>
      </c>
      <c r="BM364" s="1" t="s">
        <v>74</v>
      </c>
      <c r="BN364" s="1" t="s">
        <v>74</v>
      </c>
      <c r="BO364" s="1" t="s">
        <v>74</v>
      </c>
      <c r="BP364" s="1" t="s">
        <v>74</v>
      </c>
      <c r="BQ364" s="1" t="s">
        <v>74</v>
      </c>
      <c r="BR364" s="1" t="s">
        <v>74</v>
      </c>
      <c r="BS364" s="1" t="s">
        <v>3677</v>
      </c>
      <c r="BT364" s="1" t="str">
        <f>HYPERLINK("https%3A%2F%2Fwww.webofscience.com%2Fwos%2Fwoscc%2Ffull-record%2FWOS:000804187900005","View Full Record in Web of Science")</f>
        <v>View Full Record in Web of Science</v>
      </c>
    </row>
    <row r="365" ht="12.75" customHeight="1">
      <c r="A365" s="1" t="s">
        <v>72</v>
      </c>
      <c r="B365" s="1" t="s">
        <v>3678</v>
      </c>
      <c r="C365" s="1" t="s">
        <v>74</v>
      </c>
      <c r="D365" s="1" t="s">
        <v>74</v>
      </c>
      <c r="E365" s="1" t="s">
        <v>74</v>
      </c>
      <c r="F365" s="1" t="s">
        <v>3679</v>
      </c>
      <c r="G365" s="1" t="s">
        <v>74</v>
      </c>
      <c r="H365" s="1" t="s">
        <v>74</v>
      </c>
      <c r="I365" s="1" t="s">
        <v>3680</v>
      </c>
      <c r="J365" s="1" t="s">
        <v>3681</v>
      </c>
      <c r="K365" s="1" t="s">
        <v>74</v>
      </c>
      <c r="L365" s="1" t="s">
        <v>74</v>
      </c>
      <c r="M365" s="1" t="s">
        <v>74</v>
      </c>
      <c r="N365" s="1" t="s">
        <v>74</v>
      </c>
      <c r="O365" s="1" t="s">
        <v>74</v>
      </c>
      <c r="P365" s="1" t="s">
        <v>74</v>
      </c>
      <c r="Q365" s="1" t="s">
        <v>74</v>
      </c>
      <c r="R365" s="1" t="s">
        <v>74</v>
      </c>
      <c r="S365" s="1" t="s">
        <v>74</v>
      </c>
      <c r="T365" s="1" t="s">
        <v>74</v>
      </c>
      <c r="U365" s="1" t="s">
        <v>74</v>
      </c>
      <c r="V365" s="1" t="s">
        <v>3682</v>
      </c>
      <c r="W365" s="1" t="s">
        <v>74</v>
      </c>
      <c r="X365" s="1" t="s">
        <v>74</v>
      </c>
      <c r="Y365" s="1" t="s">
        <v>74</v>
      </c>
      <c r="Z365" s="1" t="s">
        <v>74</v>
      </c>
      <c r="AA365" s="1" t="s">
        <v>74</v>
      </c>
      <c r="AB365" s="1" t="s">
        <v>3683</v>
      </c>
      <c r="AC365" s="1" t="s">
        <v>74</v>
      </c>
      <c r="AD365" s="1" t="s">
        <v>74</v>
      </c>
      <c r="AE365" s="1" t="s">
        <v>74</v>
      </c>
      <c r="AF365" s="1" t="s">
        <v>74</v>
      </c>
      <c r="AG365" s="1" t="s">
        <v>74</v>
      </c>
      <c r="AH365" s="1" t="s">
        <v>74</v>
      </c>
      <c r="AI365" s="1" t="s">
        <v>74</v>
      </c>
      <c r="AJ365" s="1" t="s">
        <v>74</v>
      </c>
      <c r="AK365" s="1" t="s">
        <v>74</v>
      </c>
      <c r="AL365" s="1" t="s">
        <v>74</v>
      </c>
      <c r="AM365" s="1" t="s">
        <v>74</v>
      </c>
      <c r="AN365" s="1" t="s">
        <v>74</v>
      </c>
      <c r="AO365" s="1" t="s">
        <v>3684</v>
      </c>
      <c r="AP365" s="1" t="s">
        <v>3685</v>
      </c>
      <c r="AQ365" s="1" t="s">
        <v>74</v>
      </c>
      <c r="AR365" s="1" t="s">
        <v>74</v>
      </c>
      <c r="AS365" s="1" t="s">
        <v>74</v>
      </c>
      <c r="AT365" s="1" t="s">
        <v>112</v>
      </c>
      <c r="AU365" s="1">
        <v>2021.0</v>
      </c>
      <c r="AV365" s="1">
        <v>27.0</v>
      </c>
      <c r="AW365" s="1">
        <v>5.0</v>
      </c>
      <c r="AX365" s="1" t="s">
        <v>74</v>
      </c>
      <c r="AY365" s="1" t="s">
        <v>74</v>
      </c>
      <c r="AZ365" s="1" t="s">
        <v>74</v>
      </c>
      <c r="BA365" s="1" t="s">
        <v>74</v>
      </c>
      <c r="BB365" s="1" t="s">
        <v>74</v>
      </c>
      <c r="BC365" s="1" t="s">
        <v>74</v>
      </c>
      <c r="BD365" s="1">
        <v>82.0</v>
      </c>
      <c r="BE365" s="1" t="s">
        <v>3686</v>
      </c>
      <c r="BF365" s="2" t="str">
        <f>HYPERLINK("http://dx.doi.org/10.1007/s00029-021-00693-8","http://dx.doi.org/10.1007/s00029-021-00693-8")</f>
        <v>http://dx.doi.org/10.1007/s00029-021-00693-8</v>
      </c>
      <c r="BG365" s="1" t="s">
        <v>74</v>
      </c>
      <c r="BH365" s="1" t="s">
        <v>74</v>
      </c>
      <c r="BI365" s="1" t="s">
        <v>74</v>
      </c>
      <c r="BJ365" s="1" t="s">
        <v>74</v>
      </c>
      <c r="BK365" s="1" t="s">
        <v>74</v>
      </c>
      <c r="BL365" s="1" t="s">
        <v>74</v>
      </c>
      <c r="BM365" s="1" t="s">
        <v>74</v>
      </c>
      <c r="BN365" s="1" t="s">
        <v>74</v>
      </c>
      <c r="BO365" s="1" t="s">
        <v>74</v>
      </c>
      <c r="BP365" s="1" t="s">
        <v>74</v>
      </c>
      <c r="BQ365" s="1" t="s">
        <v>74</v>
      </c>
      <c r="BR365" s="1" t="s">
        <v>74</v>
      </c>
      <c r="BS365" s="1" t="s">
        <v>3687</v>
      </c>
      <c r="BT365" s="1" t="str">
        <f>HYPERLINK("https%3A%2F%2Fwww.webofscience.com%2Fwos%2Fwoscc%2Ffull-record%2FWOS:000686666200001","View Full Record in Web of Science")</f>
        <v>View Full Record in Web of Science</v>
      </c>
    </row>
    <row r="366" ht="12.75" customHeight="1">
      <c r="A366" s="1" t="s">
        <v>72</v>
      </c>
      <c r="B366" s="1" t="s">
        <v>3688</v>
      </c>
      <c r="C366" s="1" t="s">
        <v>74</v>
      </c>
      <c r="D366" s="1" t="s">
        <v>74</v>
      </c>
      <c r="E366" s="1" t="s">
        <v>74</v>
      </c>
      <c r="F366" s="1" t="s">
        <v>3689</v>
      </c>
      <c r="G366" s="1" t="s">
        <v>74</v>
      </c>
      <c r="H366" s="1" t="s">
        <v>74</v>
      </c>
      <c r="I366" s="1" t="s">
        <v>3690</v>
      </c>
      <c r="J366" s="1" t="s">
        <v>3691</v>
      </c>
      <c r="K366" s="1" t="s">
        <v>74</v>
      </c>
      <c r="L366" s="1" t="s">
        <v>74</v>
      </c>
      <c r="M366" s="1" t="s">
        <v>74</v>
      </c>
      <c r="N366" s="1" t="s">
        <v>74</v>
      </c>
      <c r="O366" s="1" t="s">
        <v>74</v>
      </c>
      <c r="P366" s="1" t="s">
        <v>74</v>
      </c>
      <c r="Q366" s="1" t="s">
        <v>74</v>
      </c>
      <c r="R366" s="1" t="s">
        <v>74</v>
      </c>
      <c r="S366" s="1" t="s">
        <v>74</v>
      </c>
      <c r="T366" s="1" t="s">
        <v>74</v>
      </c>
      <c r="U366" s="1" t="s">
        <v>74</v>
      </c>
      <c r="V366" s="1" t="s">
        <v>3692</v>
      </c>
      <c r="W366" s="1" t="s">
        <v>74</v>
      </c>
      <c r="X366" s="1" t="s">
        <v>74</v>
      </c>
      <c r="Y366" s="1" t="s">
        <v>74</v>
      </c>
      <c r="Z366" s="1" t="s">
        <v>74</v>
      </c>
      <c r="AA366" s="1" t="s">
        <v>3693</v>
      </c>
      <c r="AB366" s="1" t="s">
        <v>3694</v>
      </c>
      <c r="AC366" s="1" t="s">
        <v>74</v>
      </c>
      <c r="AD366" s="1" t="s">
        <v>74</v>
      </c>
      <c r="AE366" s="1" t="s">
        <v>74</v>
      </c>
      <c r="AF366" s="1" t="s">
        <v>74</v>
      </c>
      <c r="AG366" s="1" t="s">
        <v>74</v>
      </c>
      <c r="AH366" s="1" t="s">
        <v>74</v>
      </c>
      <c r="AI366" s="1" t="s">
        <v>74</v>
      </c>
      <c r="AJ366" s="1" t="s">
        <v>74</v>
      </c>
      <c r="AK366" s="1" t="s">
        <v>74</v>
      </c>
      <c r="AL366" s="1" t="s">
        <v>74</v>
      </c>
      <c r="AM366" s="1" t="s">
        <v>74</v>
      </c>
      <c r="AN366" s="1" t="s">
        <v>74</v>
      </c>
      <c r="AO366" s="1" t="s">
        <v>3695</v>
      </c>
      <c r="AP366" s="1" t="s">
        <v>3696</v>
      </c>
      <c r="AQ366" s="1" t="s">
        <v>74</v>
      </c>
      <c r="AR366" s="1" t="s">
        <v>74</v>
      </c>
      <c r="AS366" s="1" t="s">
        <v>74</v>
      </c>
      <c r="AT366" s="1" t="s">
        <v>144</v>
      </c>
      <c r="AU366" s="1">
        <v>2022.0</v>
      </c>
      <c r="AV366" s="1">
        <v>96.0</v>
      </c>
      <c r="AW366" s="1" t="s">
        <v>74</v>
      </c>
      <c r="AX366" s="1" t="s">
        <v>74</v>
      </c>
      <c r="AY366" s="1" t="s">
        <v>74</v>
      </c>
      <c r="AZ366" s="1" t="s">
        <v>74</v>
      </c>
      <c r="BA366" s="1" t="s">
        <v>74</v>
      </c>
      <c r="BB366" s="1" t="s">
        <v>74</v>
      </c>
      <c r="BC366" s="1" t="s">
        <v>74</v>
      </c>
      <c r="BD366" s="1">
        <v>104423.0</v>
      </c>
      <c r="BE366" s="1" t="s">
        <v>3697</v>
      </c>
      <c r="BF366" s="2" t="str">
        <f>HYPERLINK("http://dx.doi.org/10.1016/j.foodqual.2021.104423","http://dx.doi.org/10.1016/j.foodqual.2021.104423")</f>
        <v>http://dx.doi.org/10.1016/j.foodqual.2021.104423</v>
      </c>
      <c r="BG366" s="1" t="s">
        <v>74</v>
      </c>
      <c r="BH366" s="1" t="s">
        <v>3698</v>
      </c>
      <c r="BI366" s="1" t="s">
        <v>74</v>
      </c>
      <c r="BJ366" s="1" t="s">
        <v>74</v>
      </c>
      <c r="BK366" s="1" t="s">
        <v>74</v>
      </c>
      <c r="BL366" s="1" t="s">
        <v>74</v>
      </c>
      <c r="BM366" s="1" t="s">
        <v>74</v>
      </c>
      <c r="BN366" s="1" t="s">
        <v>74</v>
      </c>
      <c r="BO366" s="1" t="s">
        <v>74</v>
      </c>
      <c r="BP366" s="1" t="s">
        <v>74</v>
      </c>
      <c r="BQ366" s="1" t="s">
        <v>74</v>
      </c>
      <c r="BR366" s="1" t="s">
        <v>74</v>
      </c>
      <c r="BS366" s="1" t="s">
        <v>3699</v>
      </c>
      <c r="BT366" s="1" t="str">
        <f>HYPERLINK("https%3A%2F%2Fwww.webofscience.com%2Fwos%2Fwoscc%2Ffull-record%2FWOS:000706786800007","View Full Record in Web of Science")</f>
        <v>View Full Record in Web of Science</v>
      </c>
    </row>
    <row r="367" ht="12.75" customHeight="1">
      <c r="A367" s="1" t="s">
        <v>72</v>
      </c>
      <c r="B367" s="1" t="s">
        <v>3700</v>
      </c>
      <c r="C367" s="1" t="s">
        <v>74</v>
      </c>
      <c r="D367" s="1" t="s">
        <v>74</v>
      </c>
      <c r="E367" s="1" t="s">
        <v>74</v>
      </c>
      <c r="F367" s="1" t="s">
        <v>3701</v>
      </c>
      <c r="G367" s="1" t="s">
        <v>74</v>
      </c>
      <c r="H367" s="1" t="s">
        <v>74</v>
      </c>
      <c r="I367" s="1" t="s">
        <v>3702</v>
      </c>
      <c r="J367" s="1" t="s">
        <v>3703</v>
      </c>
      <c r="K367" s="1" t="s">
        <v>74</v>
      </c>
      <c r="L367" s="1" t="s">
        <v>74</v>
      </c>
      <c r="M367" s="1" t="s">
        <v>74</v>
      </c>
      <c r="N367" s="1" t="s">
        <v>74</v>
      </c>
      <c r="O367" s="1" t="s">
        <v>74</v>
      </c>
      <c r="P367" s="1" t="s">
        <v>74</v>
      </c>
      <c r="Q367" s="1" t="s">
        <v>74</v>
      </c>
      <c r="R367" s="1" t="s">
        <v>74</v>
      </c>
      <c r="S367" s="1" t="s">
        <v>74</v>
      </c>
      <c r="T367" s="1" t="s">
        <v>74</v>
      </c>
      <c r="U367" s="1" t="s">
        <v>74</v>
      </c>
      <c r="V367" s="1" t="s">
        <v>3704</v>
      </c>
      <c r="W367" s="1" t="s">
        <v>74</v>
      </c>
      <c r="X367" s="1" t="s">
        <v>74</v>
      </c>
      <c r="Y367" s="1" t="s">
        <v>74</v>
      </c>
      <c r="Z367" s="1" t="s">
        <v>74</v>
      </c>
      <c r="AA367" s="1" t="s">
        <v>3705</v>
      </c>
      <c r="AB367" s="1" t="s">
        <v>3706</v>
      </c>
      <c r="AC367" s="1" t="s">
        <v>74</v>
      </c>
      <c r="AD367" s="1" t="s">
        <v>74</v>
      </c>
      <c r="AE367" s="1" t="s">
        <v>74</v>
      </c>
      <c r="AF367" s="1" t="s">
        <v>74</v>
      </c>
      <c r="AG367" s="1" t="s">
        <v>74</v>
      </c>
      <c r="AH367" s="1" t="s">
        <v>74</v>
      </c>
      <c r="AI367" s="1" t="s">
        <v>74</v>
      </c>
      <c r="AJ367" s="1" t="s">
        <v>74</v>
      </c>
      <c r="AK367" s="1" t="s">
        <v>74</v>
      </c>
      <c r="AL367" s="1" t="s">
        <v>74</v>
      </c>
      <c r="AM367" s="1" t="s">
        <v>74</v>
      </c>
      <c r="AN367" s="1" t="s">
        <v>74</v>
      </c>
      <c r="AO367" s="1" t="s">
        <v>3707</v>
      </c>
      <c r="AP367" s="1" t="s">
        <v>3708</v>
      </c>
      <c r="AQ367" s="1" t="s">
        <v>74</v>
      </c>
      <c r="AR367" s="1" t="s">
        <v>74</v>
      </c>
      <c r="AS367" s="1" t="s">
        <v>74</v>
      </c>
      <c r="AT367" s="1" t="s">
        <v>3709</v>
      </c>
      <c r="AU367" s="1">
        <v>2022.0</v>
      </c>
      <c r="AV367" s="1">
        <v>16.0</v>
      </c>
      <c r="AW367" s="1">
        <v>2.0</v>
      </c>
      <c r="AX367" s="1" t="s">
        <v>74</v>
      </c>
      <c r="AY367" s="1" t="s">
        <v>74</v>
      </c>
      <c r="AZ367" s="1" t="s">
        <v>74</v>
      </c>
      <c r="BA367" s="1" t="s">
        <v>74</v>
      </c>
      <c r="BB367" s="1">
        <v>141.0</v>
      </c>
      <c r="BC367" s="1">
        <v>157.0</v>
      </c>
      <c r="BD367" s="1" t="s">
        <v>74</v>
      </c>
      <c r="BE367" s="1" t="s">
        <v>3710</v>
      </c>
      <c r="BF367" s="2" t="str">
        <f>HYPERLINK("http://dx.doi.org/10.1080/1750399X.2021.1968158","http://dx.doi.org/10.1080/1750399X.2021.1968158")</f>
        <v>http://dx.doi.org/10.1080/1750399X.2021.1968158</v>
      </c>
      <c r="BG367" s="1" t="s">
        <v>74</v>
      </c>
      <c r="BH367" s="1" t="s">
        <v>668</v>
      </c>
      <c r="BI367" s="1" t="s">
        <v>74</v>
      </c>
      <c r="BJ367" s="1" t="s">
        <v>74</v>
      </c>
      <c r="BK367" s="1" t="s">
        <v>74</v>
      </c>
      <c r="BL367" s="1" t="s">
        <v>74</v>
      </c>
      <c r="BM367" s="1" t="s">
        <v>74</v>
      </c>
      <c r="BN367" s="1" t="s">
        <v>74</v>
      </c>
      <c r="BO367" s="1" t="s">
        <v>74</v>
      </c>
      <c r="BP367" s="1" t="s">
        <v>74</v>
      </c>
      <c r="BQ367" s="1" t="s">
        <v>74</v>
      </c>
      <c r="BR367" s="1" t="s">
        <v>74</v>
      </c>
      <c r="BS367" s="1" t="s">
        <v>3711</v>
      </c>
      <c r="BT367" s="1" t="str">
        <f>HYPERLINK("https%3A%2F%2Fwww.webofscience.com%2Fwos%2Fwoscc%2Ffull-record%2FWOS:000687076400001","View Full Record in Web of Science")</f>
        <v>View Full Record in Web of Science</v>
      </c>
    </row>
    <row r="368" ht="12.75" customHeight="1">
      <c r="A368" s="1" t="s">
        <v>72</v>
      </c>
      <c r="B368" s="1" t="s">
        <v>3712</v>
      </c>
      <c r="C368" s="1" t="s">
        <v>74</v>
      </c>
      <c r="D368" s="1" t="s">
        <v>74</v>
      </c>
      <c r="E368" s="1" t="s">
        <v>74</v>
      </c>
      <c r="F368" s="1" t="s">
        <v>3713</v>
      </c>
      <c r="G368" s="1" t="s">
        <v>74</v>
      </c>
      <c r="H368" s="1" t="s">
        <v>74</v>
      </c>
      <c r="I368" s="1" t="s">
        <v>3714</v>
      </c>
      <c r="J368" s="1" t="s">
        <v>2435</v>
      </c>
      <c r="K368" s="1" t="s">
        <v>74</v>
      </c>
      <c r="L368" s="1" t="s">
        <v>74</v>
      </c>
      <c r="M368" s="1" t="s">
        <v>74</v>
      </c>
      <c r="N368" s="1" t="s">
        <v>74</v>
      </c>
      <c r="O368" s="1" t="s">
        <v>74</v>
      </c>
      <c r="P368" s="1" t="s">
        <v>74</v>
      </c>
      <c r="Q368" s="1" t="s">
        <v>74</v>
      </c>
      <c r="R368" s="1" t="s">
        <v>74</v>
      </c>
      <c r="S368" s="1" t="s">
        <v>74</v>
      </c>
      <c r="T368" s="1" t="s">
        <v>74</v>
      </c>
      <c r="U368" s="1" t="s">
        <v>74</v>
      </c>
      <c r="V368" s="1" t="s">
        <v>3715</v>
      </c>
      <c r="W368" s="1" t="s">
        <v>74</v>
      </c>
      <c r="X368" s="1" t="s">
        <v>74</v>
      </c>
      <c r="Y368" s="1" t="s">
        <v>74</v>
      </c>
      <c r="Z368" s="1" t="s">
        <v>74</v>
      </c>
      <c r="AA368" s="1" t="s">
        <v>2437</v>
      </c>
      <c r="AB368" s="1" t="s">
        <v>3716</v>
      </c>
      <c r="AC368" s="1" t="s">
        <v>74</v>
      </c>
      <c r="AD368" s="1" t="s">
        <v>74</v>
      </c>
      <c r="AE368" s="1" t="s">
        <v>74</v>
      </c>
      <c r="AF368" s="1" t="s">
        <v>74</v>
      </c>
      <c r="AG368" s="1" t="s">
        <v>74</v>
      </c>
      <c r="AH368" s="1" t="s">
        <v>74</v>
      </c>
      <c r="AI368" s="1" t="s">
        <v>74</v>
      </c>
      <c r="AJ368" s="1" t="s">
        <v>74</v>
      </c>
      <c r="AK368" s="1" t="s">
        <v>74</v>
      </c>
      <c r="AL368" s="1" t="s">
        <v>74</v>
      </c>
      <c r="AM368" s="1" t="s">
        <v>74</v>
      </c>
      <c r="AN368" s="1" t="s">
        <v>74</v>
      </c>
      <c r="AO368" s="1" t="s">
        <v>2439</v>
      </c>
      <c r="AP368" s="1" t="s">
        <v>2440</v>
      </c>
      <c r="AQ368" s="1" t="s">
        <v>74</v>
      </c>
      <c r="AR368" s="1" t="s">
        <v>74</v>
      </c>
      <c r="AS368" s="1" t="s">
        <v>74</v>
      </c>
      <c r="AT368" s="1" t="s">
        <v>112</v>
      </c>
      <c r="AU368" s="1">
        <v>2021.0</v>
      </c>
      <c r="AV368" s="1">
        <v>340.0</v>
      </c>
      <c r="AW368" s="1" t="s">
        <v>74</v>
      </c>
      <c r="AX368" s="1" t="s">
        <v>74</v>
      </c>
      <c r="AY368" s="1" t="s">
        <v>74</v>
      </c>
      <c r="AZ368" s="1" t="s">
        <v>74</v>
      </c>
      <c r="BA368" s="1" t="s">
        <v>74</v>
      </c>
      <c r="BB368" s="1" t="s">
        <v>74</v>
      </c>
      <c r="BC368" s="1" t="s">
        <v>74</v>
      </c>
      <c r="BD368" s="1">
        <v>125697.0</v>
      </c>
      <c r="BE368" s="1" t="s">
        <v>3717</v>
      </c>
      <c r="BF368" s="2" t="str">
        <f>HYPERLINK("http://dx.doi.org/10.1016/j.biortech.2021.125697","http://dx.doi.org/10.1016/j.biortech.2021.125697")</f>
        <v>http://dx.doi.org/10.1016/j.biortech.2021.125697</v>
      </c>
      <c r="BG368" s="1" t="s">
        <v>74</v>
      </c>
      <c r="BH368" s="1" t="s">
        <v>668</v>
      </c>
      <c r="BI368" s="1" t="s">
        <v>74</v>
      </c>
      <c r="BJ368" s="1" t="s">
        <v>74</v>
      </c>
      <c r="BK368" s="1" t="s">
        <v>74</v>
      </c>
      <c r="BL368" s="1" t="s">
        <v>74</v>
      </c>
      <c r="BM368" s="1" t="s">
        <v>74</v>
      </c>
      <c r="BN368" s="1">
        <v>3.4358984E7</v>
      </c>
      <c r="BO368" s="1" t="s">
        <v>74</v>
      </c>
      <c r="BP368" s="1" t="s">
        <v>74</v>
      </c>
      <c r="BQ368" s="1" t="s">
        <v>74</v>
      </c>
      <c r="BR368" s="1" t="s">
        <v>74</v>
      </c>
      <c r="BS368" s="1" t="s">
        <v>3718</v>
      </c>
      <c r="BT368" s="1" t="str">
        <f>HYPERLINK("https%3A%2F%2Fwww.webofscience.com%2Fwos%2Fwoscc%2Ffull-record%2FWOS:000696034600007","View Full Record in Web of Science")</f>
        <v>View Full Record in Web of Science</v>
      </c>
    </row>
    <row r="369" ht="12.75" customHeight="1">
      <c r="A369" s="1" t="s">
        <v>72</v>
      </c>
      <c r="B369" s="1" t="s">
        <v>3719</v>
      </c>
      <c r="C369" s="1" t="s">
        <v>74</v>
      </c>
      <c r="D369" s="1" t="s">
        <v>74</v>
      </c>
      <c r="E369" s="1" t="s">
        <v>74</v>
      </c>
      <c r="F369" s="1" t="s">
        <v>3720</v>
      </c>
      <c r="G369" s="1" t="s">
        <v>74</v>
      </c>
      <c r="H369" s="1" t="s">
        <v>74</v>
      </c>
      <c r="I369" s="1" t="s">
        <v>3721</v>
      </c>
      <c r="J369" s="1" t="s">
        <v>763</v>
      </c>
      <c r="K369" s="1" t="s">
        <v>74</v>
      </c>
      <c r="L369" s="1" t="s">
        <v>74</v>
      </c>
      <c r="M369" s="1" t="s">
        <v>74</v>
      </c>
      <c r="N369" s="1" t="s">
        <v>74</v>
      </c>
      <c r="O369" s="1" t="s">
        <v>74</v>
      </c>
      <c r="P369" s="1" t="s">
        <v>74</v>
      </c>
      <c r="Q369" s="1" t="s">
        <v>74</v>
      </c>
      <c r="R369" s="1" t="s">
        <v>74</v>
      </c>
      <c r="S369" s="1" t="s">
        <v>74</v>
      </c>
      <c r="T369" s="1" t="s">
        <v>74</v>
      </c>
      <c r="U369" s="1" t="s">
        <v>74</v>
      </c>
      <c r="V369" s="1" t="s">
        <v>3722</v>
      </c>
      <c r="W369" s="1" t="s">
        <v>74</v>
      </c>
      <c r="X369" s="1" t="s">
        <v>74</v>
      </c>
      <c r="Y369" s="1" t="s">
        <v>74</v>
      </c>
      <c r="Z369" s="1" t="s">
        <v>74</v>
      </c>
      <c r="AA369" s="1" t="s">
        <v>3723</v>
      </c>
      <c r="AB369" s="1" t="s">
        <v>3724</v>
      </c>
      <c r="AC369" s="1" t="s">
        <v>74</v>
      </c>
      <c r="AD369" s="1" t="s">
        <v>74</v>
      </c>
      <c r="AE369" s="1" t="s">
        <v>74</v>
      </c>
      <c r="AF369" s="1" t="s">
        <v>74</v>
      </c>
      <c r="AG369" s="1" t="s">
        <v>74</v>
      </c>
      <c r="AH369" s="1" t="s">
        <v>74</v>
      </c>
      <c r="AI369" s="1" t="s">
        <v>74</v>
      </c>
      <c r="AJ369" s="1" t="s">
        <v>74</v>
      </c>
      <c r="AK369" s="1" t="s">
        <v>74</v>
      </c>
      <c r="AL369" s="1" t="s">
        <v>74</v>
      </c>
      <c r="AM369" s="1" t="s">
        <v>74</v>
      </c>
      <c r="AN369" s="1" t="s">
        <v>74</v>
      </c>
      <c r="AO369" s="1" t="s">
        <v>767</v>
      </c>
      <c r="AP369" s="1" t="s">
        <v>3725</v>
      </c>
      <c r="AQ369" s="1" t="s">
        <v>74</v>
      </c>
      <c r="AR369" s="1" t="s">
        <v>74</v>
      </c>
      <c r="AS369" s="1" t="s">
        <v>74</v>
      </c>
      <c r="AT369" s="1" t="s">
        <v>122</v>
      </c>
      <c r="AU369" s="1">
        <v>2021.0</v>
      </c>
      <c r="AV369" s="1">
        <v>195.0</v>
      </c>
      <c r="AW369" s="1" t="s">
        <v>74</v>
      </c>
      <c r="AX369" s="1" t="s">
        <v>74</v>
      </c>
      <c r="AY369" s="1" t="s">
        <v>74</v>
      </c>
      <c r="AZ369" s="1" t="s">
        <v>74</v>
      </c>
      <c r="BA369" s="1" t="s">
        <v>74</v>
      </c>
      <c r="BB369" s="1" t="s">
        <v>74</v>
      </c>
      <c r="BC369" s="1" t="s">
        <v>74</v>
      </c>
      <c r="BD369" s="1">
        <v>117037.0</v>
      </c>
      <c r="BE369" s="1" t="s">
        <v>3726</v>
      </c>
      <c r="BF369" s="2" t="str">
        <f>HYPERLINK("http://dx.doi.org/10.1016/j.applthermaleng.2021.117037","http://dx.doi.org/10.1016/j.applthermaleng.2021.117037")</f>
        <v>http://dx.doi.org/10.1016/j.applthermaleng.2021.117037</v>
      </c>
      <c r="BG369" s="1" t="s">
        <v>74</v>
      </c>
      <c r="BH369" s="1" t="s">
        <v>3727</v>
      </c>
      <c r="BI369" s="1" t="s">
        <v>74</v>
      </c>
      <c r="BJ369" s="1" t="s">
        <v>74</v>
      </c>
      <c r="BK369" s="1" t="s">
        <v>74</v>
      </c>
      <c r="BL369" s="1" t="s">
        <v>74</v>
      </c>
      <c r="BM369" s="1" t="s">
        <v>74</v>
      </c>
      <c r="BN369" s="1" t="s">
        <v>74</v>
      </c>
      <c r="BO369" s="1" t="s">
        <v>74</v>
      </c>
      <c r="BP369" s="1" t="s">
        <v>74</v>
      </c>
      <c r="BQ369" s="1" t="s">
        <v>74</v>
      </c>
      <c r="BR369" s="1" t="s">
        <v>74</v>
      </c>
      <c r="BS369" s="1" t="s">
        <v>3728</v>
      </c>
      <c r="BT369" s="1" t="str">
        <f>HYPERLINK("https%3A%2F%2Fwww.webofscience.com%2Fwos%2Fwoscc%2Ffull-record%2FWOS:000677529700004","View Full Record in Web of Science")</f>
        <v>View Full Record in Web of Science</v>
      </c>
    </row>
    <row r="370" ht="12.75" customHeight="1">
      <c r="A370" s="1" t="s">
        <v>72</v>
      </c>
      <c r="B370" s="1" t="s">
        <v>3729</v>
      </c>
      <c r="C370" s="1" t="s">
        <v>74</v>
      </c>
      <c r="D370" s="1" t="s">
        <v>74</v>
      </c>
      <c r="E370" s="1" t="s">
        <v>74</v>
      </c>
      <c r="F370" s="1" t="s">
        <v>3730</v>
      </c>
      <c r="G370" s="1" t="s">
        <v>74</v>
      </c>
      <c r="H370" s="1" t="s">
        <v>74</v>
      </c>
      <c r="I370" s="1" t="s">
        <v>3731</v>
      </c>
      <c r="J370" s="1" t="s">
        <v>3732</v>
      </c>
      <c r="K370" s="1" t="s">
        <v>74</v>
      </c>
      <c r="L370" s="1" t="s">
        <v>74</v>
      </c>
      <c r="M370" s="1" t="s">
        <v>74</v>
      </c>
      <c r="N370" s="1" t="s">
        <v>74</v>
      </c>
      <c r="O370" s="1" t="s">
        <v>74</v>
      </c>
      <c r="P370" s="1" t="s">
        <v>74</v>
      </c>
      <c r="Q370" s="1" t="s">
        <v>74</v>
      </c>
      <c r="R370" s="1" t="s">
        <v>74</v>
      </c>
      <c r="S370" s="1" t="s">
        <v>74</v>
      </c>
      <c r="T370" s="1" t="s">
        <v>74</v>
      </c>
      <c r="U370" s="1" t="s">
        <v>74</v>
      </c>
      <c r="V370" s="1" t="s">
        <v>3733</v>
      </c>
      <c r="W370" s="1" t="s">
        <v>74</v>
      </c>
      <c r="X370" s="1" t="s">
        <v>74</v>
      </c>
      <c r="Y370" s="1" t="s">
        <v>74</v>
      </c>
      <c r="Z370" s="1" t="s">
        <v>74</v>
      </c>
      <c r="AA370" s="1" t="s">
        <v>3734</v>
      </c>
      <c r="AB370" s="1" t="s">
        <v>3735</v>
      </c>
      <c r="AC370" s="1" t="s">
        <v>74</v>
      </c>
      <c r="AD370" s="1" t="s">
        <v>74</v>
      </c>
      <c r="AE370" s="1" t="s">
        <v>74</v>
      </c>
      <c r="AF370" s="1" t="s">
        <v>74</v>
      </c>
      <c r="AG370" s="1" t="s">
        <v>74</v>
      </c>
      <c r="AH370" s="1" t="s">
        <v>74</v>
      </c>
      <c r="AI370" s="1" t="s">
        <v>74</v>
      </c>
      <c r="AJ370" s="1" t="s">
        <v>74</v>
      </c>
      <c r="AK370" s="1" t="s">
        <v>74</v>
      </c>
      <c r="AL370" s="1" t="s">
        <v>74</v>
      </c>
      <c r="AM370" s="1" t="s">
        <v>74</v>
      </c>
      <c r="AN370" s="1" t="s">
        <v>74</v>
      </c>
      <c r="AO370" s="1" t="s">
        <v>3736</v>
      </c>
      <c r="AP370" s="1" t="s">
        <v>3737</v>
      </c>
      <c r="AQ370" s="1" t="s">
        <v>74</v>
      </c>
      <c r="AR370" s="1" t="s">
        <v>74</v>
      </c>
      <c r="AS370" s="1" t="s">
        <v>74</v>
      </c>
      <c r="AT370" s="1" t="s">
        <v>3738</v>
      </c>
      <c r="AU370" s="1">
        <v>2021.0</v>
      </c>
      <c r="AV370" s="1">
        <v>124.0</v>
      </c>
      <c r="AW370" s="1" t="s">
        <v>74</v>
      </c>
      <c r="AX370" s="1" t="s">
        <v>74</v>
      </c>
      <c r="AY370" s="1" t="s">
        <v>74</v>
      </c>
      <c r="AZ370" s="1" t="s">
        <v>74</v>
      </c>
      <c r="BA370" s="1" t="s">
        <v>74</v>
      </c>
      <c r="BB370" s="1">
        <v>314.0</v>
      </c>
      <c r="BC370" s="1">
        <v>324.0</v>
      </c>
      <c r="BD370" s="1" t="s">
        <v>74</v>
      </c>
      <c r="BE370" s="1" t="s">
        <v>3739</v>
      </c>
      <c r="BF370" s="2" t="str">
        <f>HYPERLINK("http://dx.doi.org/10.1016/j.wasman.2021.02.020","http://dx.doi.org/10.1016/j.wasman.2021.02.020")</f>
        <v>http://dx.doi.org/10.1016/j.wasman.2021.02.020</v>
      </c>
      <c r="BG370" s="1" t="s">
        <v>74</v>
      </c>
      <c r="BH370" s="1" t="s">
        <v>2283</v>
      </c>
      <c r="BI370" s="1" t="s">
        <v>74</v>
      </c>
      <c r="BJ370" s="1" t="s">
        <v>74</v>
      </c>
      <c r="BK370" s="1" t="s">
        <v>74</v>
      </c>
      <c r="BL370" s="1" t="s">
        <v>74</v>
      </c>
      <c r="BM370" s="1" t="s">
        <v>74</v>
      </c>
      <c r="BN370" s="1">
        <v>3.3647557E7</v>
      </c>
      <c r="BO370" s="1" t="s">
        <v>74</v>
      </c>
      <c r="BP370" s="1" t="s">
        <v>74</v>
      </c>
      <c r="BQ370" s="1" t="s">
        <v>74</v>
      </c>
      <c r="BR370" s="1" t="s">
        <v>74</v>
      </c>
      <c r="BS370" s="1" t="s">
        <v>3740</v>
      </c>
      <c r="BT370" s="1" t="str">
        <f>HYPERLINK("https%3A%2F%2Fwww.webofscience.com%2Fwos%2Fwoscc%2Ffull-record%2FWOS:000631975400005","View Full Record in Web of Science")</f>
        <v>View Full Record in Web of Science</v>
      </c>
    </row>
    <row r="371" ht="12.75" customHeight="1">
      <c r="A371" s="1" t="s">
        <v>72</v>
      </c>
      <c r="B371" s="1" t="s">
        <v>3741</v>
      </c>
      <c r="C371" s="1" t="s">
        <v>74</v>
      </c>
      <c r="D371" s="1" t="s">
        <v>74</v>
      </c>
      <c r="E371" s="1" t="s">
        <v>74</v>
      </c>
      <c r="F371" s="1" t="s">
        <v>3742</v>
      </c>
      <c r="G371" s="1" t="s">
        <v>74</v>
      </c>
      <c r="H371" s="1" t="s">
        <v>74</v>
      </c>
      <c r="I371" s="1" t="s">
        <v>3743</v>
      </c>
      <c r="J371" s="1" t="s">
        <v>3744</v>
      </c>
      <c r="K371" s="1" t="s">
        <v>74</v>
      </c>
      <c r="L371" s="1" t="s">
        <v>74</v>
      </c>
      <c r="M371" s="1" t="s">
        <v>74</v>
      </c>
      <c r="N371" s="1" t="s">
        <v>74</v>
      </c>
      <c r="O371" s="1" t="s">
        <v>74</v>
      </c>
      <c r="P371" s="1" t="s">
        <v>74</v>
      </c>
      <c r="Q371" s="1" t="s">
        <v>74</v>
      </c>
      <c r="R371" s="1" t="s">
        <v>74</v>
      </c>
      <c r="S371" s="1" t="s">
        <v>74</v>
      </c>
      <c r="T371" s="1" t="s">
        <v>74</v>
      </c>
      <c r="U371" s="1" t="s">
        <v>74</v>
      </c>
      <c r="V371" s="1" t="s">
        <v>3745</v>
      </c>
      <c r="W371" s="1" t="s">
        <v>74</v>
      </c>
      <c r="X371" s="1" t="s">
        <v>74</v>
      </c>
      <c r="Y371" s="1" t="s">
        <v>74</v>
      </c>
      <c r="Z371" s="1" t="s">
        <v>74</v>
      </c>
      <c r="AA371" s="1" t="s">
        <v>3746</v>
      </c>
      <c r="AB371" s="1" t="s">
        <v>3747</v>
      </c>
      <c r="AC371" s="1" t="s">
        <v>74</v>
      </c>
      <c r="AD371" s="1" t="s">
        <v>74</v>
      </c>
      <c r="AE371" s="1" t="s">
        <v>74</v>
      </c>
      <c r="AF371" s="1" t="s">
        <v>74</v>
      </c>
      <c r="AG371" s="1" t="s">
        <v>74</v>
      </c>
      <c r="AH371" s="1" t="s">
        <v>74</v>
      </c>
      <c r="AI371" s="1" t="s">
        <v>74</v>
      </c>
      <c r="AJ371" s="1" t="s">
        <v>74</v>
      </c>
      <c r="AK371" s="1" t="s">
        <v>74</v>
      </c>
      <c r="AL371" s="1" t="s">
        <v>74</v>
      </c>
      <c r="AM371" s="1" t="s">
        <v>74</v>
      </c>
      <c r="AN371" s="1" t="s">
        <v>74</v>
      </c>
      <c r="AO371" s="1" t="s">
        <v>3748</v>
      </c>
      <c r="AP371" s="1" t="s">
        <v>3749</v>
      </c>
      <c r="AQ371" s="1" t="s">
        <v>74</v>
      </c>
      <c r="AR371" s="1" t="s">
        <v>74</v>
      </c>
      <c r="AS371" s="1" t="s">
        <v>74</v>
      </c>
      <c r="AT371" s="1" t="s">
        <v>277</v>
      </c>
      <c r="AU371" s="1">
        <v>2021.0</v>
      </c>
      <c r="AV371" s="1">
        <v>25.0</v>
      </c>
      <c r="AW371" s="1">
        <v>1.0</v>
      </c>
      <c r="AX371" s="1" t="s">
        <v>74</v>
      </c>
      <c r="AY371" s="1" t="s">
        <v>74</v>
      </c>
      <c r="AZ371" s="1" t="s">
        <v>74</v>
      </c>
      <c r="BA371" s="1" t="s">
        <v>74</v>
      </c>
      <c r="BB371" s="1">
        <v>51.0</v>
      </c>
      <c r="BC371" s="1">
        <v>59.0</v>
      </c>
      <c r="BD371" s="1" t="s">
        <v>74</v>
      </c>
      <c r="BE371" s="1" t="s">
        <v>3750</v>
      </c>
      <c r="BF371" s="2" t="str">
        <f>HYPERLINK("http://dx.doi.org/10.1007/s00792-020-01210-z","http://dx.doi.org/10.1007/s00792-020-01210-z")</f>
        <v>http://dx.doi.org/10.1007/s00792-020-01210-z</v>
      </c>
      <c r="BG371" s="1" t="s">
        <v>74</v>
      </c>
      <c r="BH371" s="1" t="s">
        <v>3006</v>
      </c>
      <c r="BI371" s="1" t="s">
        <v>74</v>
      </c>
      <c r="BJ371" s="1" t="s">
        <v>74</v>
      </c>
      <c r="BK371" s="1" t="s">
        <v>74</v>
      </c>
      <c r="BL371" s="1" t="s">
        <v>74</v>
      </c>
      <c r="BM371" s="1" t="s">
        <v>74</v>
      </c>
      <c r="BN371" s="1">
        <v>3.3398611E7</v>
      </c>
      <c r="BO371" s="1" t="s">
        <v>74</v>
      </c>
      <c r="BP371" s="1" t="s">
        <v>74</v>
      </c>
      <c r="BQ371" s="1" t="s">
        <v>74</v>
      </c>
      <c r="BR371" s="1" t="s">
        <v>74</v>
      </c>
      <c r="BS371" s="1" t="s">
        <v>3751</v>
      </c>
      <c r="BT371" s="1" t="str">
        <f>HYPERLINK("https%3A%2F%2Fwww.webofscience.com%2Fwos%2Fwoscc%2Ffull-record%2FWOS:000604811200001","View Full Record in Web of Science")</f>
        <v>View Full Record in Web of Science</v>
      </c>
    </row>
    <row r="372" ht="12.75" customHeight="1">
      <c r="A372" s="1" t="s">
        <v>147</v>
      </c>
      <c r="B372" s="1" t="s">
        <v>3752</v>
      </c>
      <c r="C372" s="1" t="s">
        <v>74</v>
      </c>
      <c r="D372" s="1" t="s">
        <v>74</v>
      </c>
      <c r="E372" s="1" t="s">
        <v>793</v>
      </c>
      <c r="F372" s="1" t="s">
        <v>3753</v>
      </c>
      <c r="G372" s="1" t="s">
        <v>74</v>
      </c>
      <c r="H372" s="1" t="s">
        <v>74</v>
      </c>
      <c r="I372" s="1" t="s">
        <v>3754</v>
      </c>
      <c r="J372" s="1" t="s">
        <v>3755</v>
      </c>
      <c r="K372" s="1" t="s">
        <v>74</v>
      </c>
      <c r="L372" s="1" t="s">
        <v>74</v>
      </c>
      <c r="M372" s="1" t="s">
        <v>74</v>
      </c>
      <c r="N372" s="1" t="s">
        <v>74</v>
      </c>
      <c r="O372" s="1" t="s">
        <v>3756</v>
      </c>
      <c r="P372" s="1" t="s">
        <v>3757</v>
      </c>
      <c r="Q372" s="1" t="s">
        <v>3758</v>
      </c>
      <c r="R372" s="1" t="s">
        <v>3759</v>
      </c>
      <c r="S372" s="1" t="s">
        <v>74</v>
      </c>
      <c r="T372" s="1" t="s">
        <v>74</v>
      </c>
      <c r="U372" s="1" t="s">
        <v>74</v>
      </c>
      <c r="V372" s="1" t="s">
        <v>3760</v>
      </c>
      <c r="W372" s="1" t="s">
        <v>74</v>
      </c>
      <c r="X372" s="1" t="s">
        <v>74</v>
      </c>
      <c r="Y372" s="1" t="s">
        <v>74</v>
      </c>
      <c r="Z372" s="1" t="s">
        <v>74</v>
      </c>
      <c r="AA372" s="1" t="s">
        <v>3761</v>
      </c>
      <c r="AB372" s="1" t="s">
        <v>3762</v>
      </c>
      <c r="AC372" s="1" t="s">
        <v>74</v>
      </c>
      <c r="AD372" s="1" t="s">
        <v>74</v>
      </c>
      <c r="AE372" s="1" t="s">
        <v>74</v>
      </c>
      <c r="AF372" s="1" t="s">
        <v>74</v>
      </c>
      <c r="AG372" s="1" t="s">
        <v>74</v>
      </c>
      <c r="AH372" s="1" t="s">
        <v>74</v>
      </c>
      <c r="AI372" s="1" t="s">
        <v>74</v>
      </c>
      <c r="AJ372" s="1" t="s">
        <v>74</v>
      </c>
      <c r="AK372" s="1" t="s">
        <v>74</v>
      </c>
      <c r="AL372" s="1" t="s">
        <v>74</v>
      </c>
      <c r="AM372" s="1" t="s">
        <v>74</v>
      </c>
      <c r="AN372" s="1" t="s">
        <v>74</v>
      </c>
      <c r="AO372" s="1" t="s">
        <v>74</v>
      </c>
      <c r="AP372" s="1" t="s">
        <v>74</v>
      </c>
      <c r="AQ372" s="1" t="s">
        <v>3763</v>
      </c>
      <c r="AR372" s="1" t="s">
        <v>74</v>
      </c>
      <c r="AS372" s="1" t="s">
        <v>74</v>
      </c>
      <c r="AT372" s="1" t="s">
        <v>74</v>
      </c>
      <c r="AU372" s="1">
        <v>2021.0</v>
      </c>
      <c r="AV372" s="1" t="s">
        <v>74</v>
      </c>
      <c r="AW372" s="1" t="s">
        <v>74</v>
      </c>
      <c r="AX372" s="1" t="s">
        <v>74</v>
      </c>
      <c r="AY372" s="1" t="s">
        <v>74</v>
      </c>
      <c r="AZ372" s="1" t="s">
        <v>74</v>
      </c>
      <c r="BA372" s="1" t="s">
        <v>74</v>
      </c>
      <c r="BB372" s="1">
        <v>25.0</v>
      </c>
      <c r="BC372" s="1">
        <v>30.0</v>
      </c>
      <c r="BD372" s="1" t="s">
        <v>74</v>
      </c>
      <c r="BE372" s="1" t="s">
        <v>3764</v>
      </c>
      <c r="BF372" s="2" t="str">
        <f>HYPERLINK("http://dx.doi.org/10.1109/SACVLC53127.2021.9652248","http://dx.doi.org/10.1109/SACVLC53127.2021.9652248")</f>
        <v>http://dx.doi.org/10.1109/SACVLC53127.2021.9652248</v>
      </c>
      <c r="BG372" s="1" t="s">
        <v>74</v>
      </c>
      <c r="BH372" s="1" t="s">
        <v>74</v>
      </c>
      <c r="BI372" s="1" t="s">
        <v>74</v>
      </c>
      <c r="BJ372" s="1" t="s">
        <v>74</v>
      </c>
      <c r="BK372" s="1" t="s">
        <v>74</v>
      </c>
      <c r="BL372" s="1" t="s">
        <v>74</v>
      </c>
      <c r="BM372" s="1" t="s">
        <v>74</v>
      </c>
      <c r="BN372" s="1" t="s">
        <v>74</v>
      </c>
      <c r="BO372" s="1" t="s">
        <v>74</v>
      </c>
      <c r="BP372" s="1" t="s">
        <v>74</v>
      </c>
      <c r="BQ372" s="1" t="s">
        <v>74</v>
      </c>
      <c r="BR372" s="1" t="s">
        <v>74</v>
      </c>
      <c r="BS372" s="1" t="s">
        <v>3765</v>
      </c>
      <c r="BT372" s="1" t="str">
        <f>HYPERLINK("https%3A%2F%2Fwww.webofscience.com%2Fwos%2Fwoscc%2Ffull-record%2FWOS:000760247000005","View Full Record in Web of Science")</f>
        <v>View Full Record in Web of Science</v>
      </c>
    </row>
    <row r="373" ht="12.75" customHeight="1">
      <c r="A373" s="1" t="s">
        <v>147</v>
      </c>
      <c r="B373" s="1" t="s">
        <v>3766</v>
      </c>
      <c r="C373" s="1" t="s">
        <v>74</v>
      </c>
      <c r="D373" s="1" t="s">
        <v>74</v>
      </c>
      <c r="E373" s="1" t="s">
        <v>793</v>
      </c>
      <c r="F373" s="1" t="s">
        <v>3767</v>
      </c>
      <c r="G373" s="1" t="s">
        <v>74</v>
      </c>
      <c r="H373" s="1" t="s">
        <v>74</v>
      </c>
      <c r="I373" s="1" t="s">
        <v>3768</v>
      </c>
      <c r="J373" s="1" t="s">
        <v>3769</v>
      </c>
      <c r="K373" s="1" t="s">
        <v>74</v>
      </c>
      <c r="L373" s="1" t="s">
        <v>74</v>
      </c>
      <c r="M373" s="1" t="s">
        <v>74</v>
      </c>
      <c r="N373" s="1" t="s">
        <v>74</v>
      </c>
      <c r="O373" s="1" t="s">
        <v>3770</v>
      </c>
      <c r="P373" s="1" t="s">
        <v>3771</v>
      </c>
      <c r="Q373" s="1" t="s">
        <v>1499</v>
      </c>
      <c r="R373" s="1" t="s">
        <v>3772</v>
      </c>
      <c r="S373" s="1" t="s">
        <v>74</v>
      </c>
      <c r="T373" s="1" t="s">
        <v>74</v>
      </c>
      <c r="U373" s="1" t="s">
        <v>74</v>
      </c>
      <c r="V373" s="1" t="s">
        <v>3773</v>
      </c>
      <c r="W373" s="1" t="s">
        <v>74</v>
      </c>
      <c r="X373" s="1" t="s">
        <v>74</v>
      </c>
      <c r="Y373" s="1" t="s">
        <v>74</v>
      </c>
      <c r="Z373" s="1" t="s">
        <v>74</v>
      </c>
      <c r="AA373" s="1" t="s">
        <v>3774</v>
      </c>
      <c r="AB373" s="1" t="s">
        <v>3775</v>
      </c>
      <c r="AC373" s="1" t="s">
        <v>74</v>
      </c>
      <c r="AD373" s="1" t="s">
        <v>74</v>
      </c>
      <c r="AE373" s="1" t="s">
        <v>74</v>
      </c>
      <c r="AF373" s="1" t="s">
        <v>74</v>
      </c>
      <c r="AG373" s="1" t="s">
        <v>74</v>
      </c>
      <c r="AH373" s="1" t="s">
        <v>74</v>
      </c>
      <c r="AI373" s="1" t="s">
        <v>74</v>
      </c>
      <c r="AJ373" s="1" t="s">
        <v>74</v>
      </c>
      <c r="AK373" s="1" t="s">
        <v>74</v>
      </c>
      <c r="AL373" s="1" t="s">
        <v>74</v>
      </c>
      <c r="AM373" s="1" t="s">
        <v>74</v>
      </c>
      <c r="AN373" s="1" t="s">
        <v>74</v>
      </c>
      <c r="AO373" s="1" t="s">
        <v>74</v>
      </c>
      <c r="AP373" s="1" t="s">
        <v>74</v>
      </c>
      <c r="AQ373" s="1" t="s">
        <v>3776</v>
      </c>
      <c r="AR373" s="1" t="s">
        <v>74</v>
      </c>
      <c r="AS373" s="1" t="s">
        <v>74</v>
      </c>
      <c r="AT373" s="1" t="s">
        <v>74</v>
      </c>
      <c r="AU373" s="1">
        <v>2021.0</v>
      </c>
      <c r="AV373" s="1" t="s">
        <v>74</v>
      </c>
      <c r="AW373" s="1" t="s">
        <v>74</v>
      </c>
      <c r="AX373" s="1" t="s">
        <v>74</v>
      </c>
      <c r="AY373" s="1" t="s">
        <v>74</v>
      </c>
      <c r="AZ373" s="1" t="s">
        <v>74</v>
      </c>
      <c r="BA373" s="1" t="s">
        <v>74</v>
      </c>
      <c r="BB373" s="1" t="s">
        <v>74</v>
      </c>
      <c r="BC373" s="1" t="s">
        <v>74</v>
      </c>
      <c r="BD373" s="1" t="s">
        <v>74</v>
      </c>
      <c r="BE373" s="1" t="s">
        <v>3777</v>
      </c>
      <c r="BF373" s="2" t="str">
        <f>HYPERLINK("http://dx.doi.org/10.1109/ICAACCA51523.2021.9465280","http://dx.doi.org/10.1109/ICAACCA51523.2021.9465280")</f>
        <v>http://dx.doi.org/10.1109/ICAACCA51523.2021.9465280</v>
      </c>
      <c r="BG373" s="1" t="s">
        <v>74</v>
      </c>
      <c r="BH373" s="1" t="s">
        <v>74</v>
      </c>
      <c r="BI373" s="1" t="s">
        <v>74</v>
      </c>
      <c r="BJ373" s="1" t="s">
        <v>74</v>
      </c>
      <c r="BK373" s="1" t="s">
        <v>74</v>
      </c>
      <c r="BL373" s="1" t="s">
        <v>74</v>
      </c>
      <c r="BM373" s="1" t="s">
        <v>74</v>
      </c>
      <c r="BN373" s="1" t="s">
        <v>74</v>
      </c>
      <c r="BO373" s="1" t="s">
        <v>74</v>
      </c>
      <c r="BP373" s="1" t="s">
        <v>74</v>
      </c>
      <c r="BQ373" s="1" t="s">
        <v>74</v>
      </c>
      <c r="BR373" s="1" t="s">
        <v>74</v>
      </c>
      <c r="BS373" s="1" t="s">
        <v>3778</v>
      </c>
      <c r="BT373" s="1" t="str">
        <f>HYPERLINK("https%3A%2F%2Fwww.webofscience.com%2Fwos%2Fwoscc%2Ffull-record%2FWOS:000855764500042","View Full Record in Web of Science")</f>
        <v>View Full Record in Web of Science</v>
      </c>
    </row>
    <row r="374" ht="12.75" customHeight="1">
      <c r="A374" s="1" t="s">
        <v>72</v>
      </c>
      <c r="B374" s="1" t="s">
        <v>3779</v>
      </c>
      <c r="C374" s="1" t="s">
        <v>74</v>
      </c>
      <c r="D374" s="1" t="s">
        <v>74</v>
      </c>
      <c r="E374" s="1" t="s">
        <v>74</v>
      </c>
      <c r="F374" s="1" t="s">
        <v>3780</v>
      </c>
      <c r="G374" s="1" t="s">
        <v>74</v>
      </c>
      <c r="H374" s="1" t="s">
        <v>74</v>
      </c>
      <c r="I374" s="1" t="s">
        <v>3781</v>
      </c>
      <c r="J374" s="1" t="s">
        <v>3782</v>
      </c>
      <c r="K374" s="1" t="s">
        <v>74</v>
      </c>
      <c r="L374" s="1" t="s">
        <v>74</v>
      </c>
      <c r="M374" s="1" t="s">
        <v>74</v>
      </c>
      <c r="N374" s="1" t="s">
        <v>74</v>
      </c>
      <c r="O374" s="1" t="s">
        <v>74</v>
      </c>
      <c r="P374" s="1" t="s">
        <v>74</v>
      </c>
      <c r="Q374" s="1" t="s">
        <v>74</v>
      </c>
      <c r="R374" s="1" t="s">
        <v>74</v>
      </c>
      <c r="S374" s="1" t="s">
        <v>74</v>
      </c>
      <c r="T374" s="1" t="s">
        <v>74</v>
      </c>
      <c r="U374" s="1" t="s">
        <v>74</v>
      </c>
      <c r="V374" s="1" t="s">
        <v>3783</v>
      </c>
      <c r="W374" s="1" t="s">
        <v>74</v>
      </c>
      <c r="X374" s="1" t="s">
        <v>74</v>
      </c>
      <c r="Y374" s="1" t="s">
        <v>74</v>
      </c>
      <c r="Z374" s="1" t="s">
        <v>74</v>
      </c>
      <c r="AA374" s="1" t="s">
        <v>3784</v>
      </c>
      <c r="AB374" s="1" t="s">
        <v>3785</v>
      </c>
      <c r="AC374" s="1" t="s">
        <v>74</v>
      </c>
      <c r="AD374" s="1" t="s">
        <v>74</v>
      </c>
      <c r="AE374" s="1" t="s">
        <v>74</v>
      </c>
      <c r="AF374" s="1" t="s">
        <v>74</v>
      </c>
      <c r="AG374" s="1" t="s">
        <v>74</v>
      </c>
      <c r="AH374" s="1" t="s">
        <v>74</v>
      </c>
      <c r="AI374" s="1" t="s">
        <v>74</v>
      </c>
      <c r="AJ374" s="1" t="s">
        <v>74</v>
      </c>
      <c r="AK374" s="1" t="s">
        <v>74</v>
      </c>
      <c r="AL374" s="1" t="s">
        <v>74</v>
      </c>
      <c r="AM374" s="1" t="s">
        <v>74</v>
      </c>
      <c r="AN374" s="1" t="s">
        <v>74</v>
      </c>
      <c r="AO374" s="1" t="s">
        <v>3786</v>
      </c>
      <c r="AP374" s="1" t="s">
        <v>3787</v>
      </c>
      <c r="AQ374" s="1" t="s">
        <v>74</v>
      </c>
      <c r="AR374" s="1" t="s">
        <v>74</v>
      </c>
      <c r="AS374" s="1" t="s">
        <v>74</v>
      </c>
      <c r="AT374" s="1" t="s">
        <v>415</v>
      </c>
      <c r="AU374" s="1">
        <v>2020.0</v>
      </c>
      <c r="AV374" s="1">
        <v>150.0</v>
      </c>
      <c r="AW374" s="1">
        <v>6.0</v>
      </c>
      <c r="AX374" s="1" t="s">
        <v>74</v>
      </c>
      <c r="AY374" s="1" t="s">
        <v>74</v>
      </c>
      <c r="AZ374" s="1" t="s">
        <v>74</v>
      </c>
      <c r="BA374" s="1" t="s">
        <v>74</v>
      </c>
      <c r="BB374" s="1">
        <v>3074.0</v>
      </c>
      <c r="BC374" s="1">
        <v>3086.0</v>
      </c>
      <c r="BD374" s="1" t="s">
        <v>74</v>
      </c>
      <c r="BE374" s="1" t="s">
        <v>3788</v>
      </c>
      <c r="BF374" s="2" t="str">
        <f>HYPERLINK("http://dx.doi.org/10.1017/prm.2019.59","http://dx.doi.org/10.1017/prm.2019.59")</f>
        <v>http://dx.doi.org/10.1017/prm.2019.59</v>
      </c>
      <c r="BG374" s="1" t="s">
        <v>74</v>
      </c>
      <c r="BH374" s="1" t="s">
        <v>74</v>
      </c>
      <c r="BI374" s="1" t="s">
        <v>74</v>
      </c>
      <c r="BJ374" s="1" t="s">
        <v>74</v>
      </c>
      <c r="BK374" s="1" t="s">
        <v>74</v>
      </c>
      <c r="BL374" s="1" t="s">
        <v>74</v>
      </c>
      <c r="BM374" s="1" t="s">
        <v>74</v>
      </c>
      <c r="BN374" s="1" t="s">
        <v>74</v>
      </c>
      <c r="BO374" s="1" t="s">
        <v>74</v>
      </c>
      <c r="BP374" s="1" t="s">
        <v>74</v>
      </c>
      <c r="BQ374" s="1" t="s">
        <v>74</v>
      </c>
      <c r="BR374" s="1" t="s">
        <v>74</v>
      </c>
      <c r="BS374" s="1" t="s">
        <v>3789</v>
      </c>
      <c r="BT374" s="1" t="str">
        <f>HYPERLINK("https%3A%2F%2Fwww.webofscience.com%2Fwos%2Fwoscc%2Ffull-record%2FWOS:000595576100015","View Full Record in Web of Science")</f>
        <v>View Full Record in Web of Science</v>
      </c>
    </row>
    <row r="375" ht="12.75" customHeight="1">
      <c r="A375" s="1" t="s">
        <v>72</v>
      </c>
      <c r="B375" s="1" t="s">
        <v>3790</v>
      </c>
      <c r="C375" s="1" t="s">
        <v>74</v>
      </c>
      <c r="D375" s="1" t="s">
        <v>74</v>
      </c>
      <c r="E375" s="1" t="s">
        <v>74</v>
      </c>
      <c r="F375" s="1" t="s">
        <v>3791</v>
      </c>
      <c r="G375" s="1" t="s">
        <v>74</v>
      </c>
      <c r="H375" s="1" t="s">
        <v>74</v>
      </c>
      <c r="I375" s="1" t="s">
        <v>3792</v>
      </c>
      <c r="J375" s="1" t="s">
        <v>1319</v>
      </c>
      <c r="K375" s="1" t="s">
        <v>74</v>
      </c>
      <c r="L375" s="1" t="s">
        <v>74</v>
      </c>
      <c r="M375" s="1" t="s">
        <v>74</v>
      </c>
      <c r="N375" s="1" t="s">
        <v>74</v>
      </c>
      <c r="O375" s="1" t="s">
        <v>74</v>
      </c>
      <c r="P375" s="1" t="s">
        <v>74</v>
      </c>
      <c r="Q375" s="1" t="s">
        <v>74</v>
      </c>
      <c r="R375" s="1" t="s">
        <v>74</v>
      </c>
      <c r="S375" s="1" t="s">
        <v>74</v>
      </c>
      <c r="T375" s="1" t="s">
        <v>74</v>
      </c>
      <c r="U375" s="1" t="s">
        <v>74</v>
      </c>
      <c r="V375" s="1" t="s">
        <v>3793</v>
      </c>
      <c r="W375" s="1" t="s">
        <v>74</v>
      </c>
      <c r="X375" s="1" t="s">
        <v>74</v>
      </c>
      <c r="Y375" s="1" t="s">
        <v>74</v>
      </c>
      <c r="Z375" s="1" t="s">
        <v>74</v>
      </c>
      <c r="AA375" s="1" t="s">
        <v>3794</v>
      </c>
      <c r="AB375" s="1" t="s">
        <v>3795</v>
      </c>
      <c r="AC375" s="1" t="s">
        <v>74</v>
      </c>
      <c r="AD375" s="1" t="s">
        <v>74</v>
      </c>
      <c r="AE375" s="1" t="s">
        <v>74</v>
      </c>
      <c r="AF375" s="1" t="s">
        <v>74</v>
      </c>
      <c r="AG375" s="1" t="s">
        <v>74</v>
      </c>
      <c r="AH375" s="1" t="s">
        <v>74</v>
      </c>
      <c r="AI375" s="1" t="s">
        <v>74</v>
      </c>
      <c r="AJ375" s="1" t="s">
        <v>74</v>
      </c>
      <c r="AK375" s="1" t="s">
        <v>74</v>
      </c>
      <c r="AL375" s="1" t="s">
        <v>74</v>
      </c>
      <c r="AM375" s="1" t="s">
        <v>74</v>
      </c>
      <c r="AN375" s="1" t="s">
        <v>74</v>
      </c>
      <c r="AO375" s="1" t="s">
        <v>74</v>
      </c>
      <c r="AP375" s="1" t="s">
        <v>1323</v>
      </c>
      <c r="AQ375" s="1" t="s">
        <v>74</v>
      </c>
      <c r="AR375" s="1" t="s">
        <v>74</v>
      </c>
      <c r="AS375" s="1" t="s">
        <v>74</v>
      </c>
      <c r="AT375" s="1" t="s">
        <v>112</v>
      </c>
      <c r="AU375" s="1">
        <v>2020.0</v>
      </c>
      <c r="AV375" s="1">
        <v>12.0</v>
      </c>
      <c r="AW375" s="1">
        <v>11.0</v>
      </c>
      <c r="AX375" s="1" t="s">
        <v>74</v>
      </c>
      <c r="AY375" s="1" t="s">
        <v>74</v>
      </c>
      <c r="AZ375" s="1" t="s">
        <v>74</v>
      </c>
      <c r="BA375" s="1" t="s">
        <v>74</v>
      </c>
      <c r="BB375" s="1" t="s">
        <v>74</v>
      </c>
      <c r="BC375" s="1" t="s">
        <v>74</v>
      </c>
      <c r="BD375" s="1">
        <v>1871.0</v>
      </c>
      <c r="BE375" s="1" t="s">
        <v>3796</v>
      </c>
      <c r="BF375" s="2" t="str">
        <f>HYPERLINK("http://dx.doi.org/10.3390/sym12111871","http://dx.doi.org/10.3390/sym12111871")</f>
        <v>http://dx.doi.org/10.3390/sym12111871</v>
      </c>
      <c r="BG375" s="1" t="s">
        <v>74</v>
      </c>
      <c r="BH375" s="1" t="s">
        <v>74</v>
      </c>
      <c r="BI375" s="1" t="s">
        <v>74</v>
      </c>
      <c r="BJ375" s="1" t="s">
        <v>74</v>
      </c>
      <c r="BK375" s="1" t="s">
        <v>74</v>
      </c>
      <c r="BL375" s="1" t="s">
        <v>74</v>
      </c>
      <c r="BM375" s="1" t="s">
        <v>74</v>
      </c>
      <c r="BN375" s="1" t="s">
        <v>74</v>
      </c>
      <c r="BO375" s="1" t="s">
        <v>74</v>
      </c>
      <c r="BP375" s="1" t="s">
        <v>74</v>
      </c>
      <c r="BQ375" s="1" t="s">
        <v>74</v>
      </c>
      <c r="BR375" s="1" t="s">
        <v>74</v>
      </c>
      <c r="BS375" s="1" t="s">
        <v>3797</v>
      </c>
      <c r="BT375" s="1" t="str">
        <f>HYPERLINK("https%3A%2F%2Fwww.webofscience.com%2Fwos%2Fwoscc%2Ffull-record%2FWOS:000593822400001","View Full Record in Web of Science")</f>
        <v>View Full Record in Web of Science</v>
      </c>
    </row>
    <row r="376" ht="12.75" customHeight="1">
      <c r="A376" s="1" t="s">
        <v>72</v>
      </c>
      <c r="B376" s="1" t="s">
        <v>3798</v>
      </c>
      <c r="C376" s="1" t="s">
        <v>74</v>
      </c>
      <c r="D376" s="1" t="s">
        <v>74</v>
      </c>
      <c r="E376" s="1" t="s">
        <v>74</v>
      </c>
      <c r="F376" s="1" t="s">
        <v>3799</v>
      </c>
      <c r="G376" s="1" t="s">
        <v>74</v>
      </c>
      <c r="H376" s="1" t="s">
        <v>74</v>
      </c>
      <c r="I376" s="1" t="s">
        <v>3800</v>
      </c>
      <c r="J376" s="1" t="s">
        <v>3801</v>
      </c>
      <c r="K376" s="1" t="s">
        <v>74</v>
      </c>
      <c r="L376" s="1" t="s">
        <v>74</v>
      </c>
      <c r="M376" s="1" t="s">
        <v>74</v>
      </c>
      <c r="N376" s="1" t="s">
        <v>74</v>
      </c>
      <c r="O376" s="1" t="s">
        <v>74</v>
      </c>
      <c r="P376" s="1" t="s">
        <v>74</v>
      </c>
      <c r="Q376" s="1" t="s">
        <v>74</v>
      </c>
      <c r="R376" s="1" t="s">
        <v>74</v>
      </c>
      <c r="S376" s="1" t="s">
        <v>74</v>
      </c>
      <c r="T376" s="1" t="s">
        <v>74</v>
      </c>
      <c r="U376" s="1" t="s">
        <v>74</v>
      </c>
      <c r="V376" s="1" t="s">
        <v>3802</v>
      </c>
      <c r="W376" s="1" t="s">
        <v>74</v>
      </c>
      <c r="X376" s="1" t="s">
        <v>74</v>
      </c>
      <c r="Y376" s="1" t="s">
        <v>74</v>
      </c>
      <c r="Z376" s="1" t="s">
        <v>74</v>
      </c>
      <c r="AA376" s="1" t="s">
        <v>3803</v>
      </c>
      <c r="AB376" s="1" t="s">
        <v>3804</v>
      </c>
      <c r="AC376" s="1" t="s">
        <v>74</v>
      </c>
      <c r="AD376" s="1" t="s">
        <v>74</v>
      </c>
      <c r="AE376" s="1" t="s">
        <v>74</v>
      </c>
      <c r="AF376" s="1" t="s">
        <v>74</v>
      </c>
      <c r="AG376" s="1" t="s">
        <v>74</v>
      </c>
      <c r="AH376" s="1" t="s">
        <v>74</v>
      </c>
      <c r="AI376" s="1" t="s">
        <v>74</v>
      </c>
      <c r="AJ376" s="1" t="s">
        <v>74</v>
      </c>
      <c r="AK376" s="1" t="s">
        <v>74</v>
      </c>
      <c r="AL376" s="1" t="s">
        <v>74</v>
      </c>
      <c r="AM376" s="1" t="s">
        <v>74</v>
      </c>
      <c r="AN376" s="1" t="s">
        <v>74</v>
      </c>
      <c r="AO376" s="1" t="s">
        <v>3805</v>
      </c>
      <c r="AP376" s="1" t="s">
        <v>3806</v>
      </c>
      <c r="AQ376" s="1" t="s">
        <v>74</v>
      </c>
      <c r="AR376" s="1" t="s">
        <v>74</v>
      </c>
      <c r="AS376" s="1" t="s">
        <v>74</v>
      </c>
      <c r="AT376" s="1" t="s">
        <v>289</v>
      </c>
      <c r="AU376" s="1">
        <v>2021.0</v>
      </c>
      <c r="AV376" s="1">
        <v>235.0</v>
      </c>
      <c r="AW376" s="1">
        <v>2.0</v>
      </c>
      <c r="AX376" s="1" t="s">
        <v>74</v>
      </c>
      <c r="AY376" s="1" t="s">
        <v>74</v>
      </c>
      <c r="AZ376" s="1" t="s">
        <v>74</v>
      </c>
      <c r="BA376" s="1" t="s">
        <v>74</v>
      </c>
      <c r="BB376" s="1">
        <v>271.0</v>
      </c>
      <c r="BC376" s="1">
        <v>280.0</v>
      </c>
      <c r="BD376" s="1">
        <v>1.464419320963999E15</v>
      </c>
      <c r="BE376" s="1" t="s">
        <v>3807</v>
      </c>
      <c r="BF376" s="2" t="str">
        <f>HYPERLINK("http://dx.doi.org/10.1177/1464419320963999","http://dx.doi.org/10.1177/1464419320963999")</f>
        <v>http://dx.doi.org/10.1177/1464419320963999</v>
      </c>
      <c r="BG376" s="1" t="s">
        <v>74</v>
      </c>
      <c r="BH376" s="1" t="s">
        <v>2346</v>
      </c>
      <c r="BI376" s="1" t="s">
        <v>74</v>
      </c>
      <c r="BJ376" s="1" t="s">
        <v>74</v>
      </c>
      <c r="BK376" s="1" t="s">
        <v>74</v>
      </c>
      <c r="BL376" s="1" t="s">
        <v>74</v>
      </c>
      <c r="BM376" s="1" t="s">
        <v>74</v>
      </c>
      <c r="BN376" s="1" t="s">
        <v>74</v>
      </c>
      <c r="BO376" s="1" t="s">
        <v>74</v>
      </c>
      <c r="BP376" s="1" t="s">
        <v>74</v>
      </c>
      <c r="BQ376" s="1" t="s">
        <v>74</v>
      </c>
      <c r="BR376" s="1" t="s">
        <v>74</v>
      </c>
      <c r="BS376" s="1" t="s">
        <v>3808</v>
      </c>
      <c r="BT376" s="1" t="str">
        <f>HYPERLINK("https%3A%2F%2Fwww.webofscience.com%2Fwos%2Fwoscc%2Ffull-record%2FWOS:000582185200001","View Full Record in Web of Science")</f>
        <v>View Full Record in Web of Science</v>
      </c>
    </row>
    <row r="377" ht="12.75" customHeight="1">
      <c r="A377" s="1" t="s">
        <v>72</v>
      </c>
      <c r="B377" s="1" t="s">
        <v>3809</v>
      </c>
      <c r="C377" s="1" t="s">
        <v>74</v>
      </c>
      <c r="D377" s="1" t="s">
        <v>74</v>
      </c>
      <c r="E377" s="1" t="s">
        <v>74</v>
      </c>
      <c r="F377" s="1" t="s">
        <v>3810</v>
      </c>
      <c r="G377" s="1" t="s">
        <v>74</v>
      </c>
      <c r="H377" s="1" t="s">
        <v>74</v>
      </c>
      <c r="I377" s="1" t="s">
        <v>3811</v>
      </c>
      <c r="J377" s="1" t="s">
        <v>3812</v>
      </c>
      <c r="K377" s="1" t="s">
        <v>74</v>
      </c>
      <c r="L377" s="1" t="s">
        <v>74</v>
      </c>
      <c r="M377" s="1" t="s">
        <v>74</v>
      </c>
      <c r="N377" s="1" t="s">
        <v>74</v>
      </c>
      <c r="O377" s="1" t="s">
        <v>74</v>
      </c>
      <c r="P377" s="1" t="s">
        <v>74</v>
      </c>
      <c r="Q377" s="1" t="s">
        <v>74</v>
      </c>
      <c r="R377" s="1" t="s">
        <v>74</v>
      </c>
      <c r="S377" s="1" t="s">
        <v>74</v>
      </c>
      <c r="T377" s="1" t="s">
        <v>74</v>
      </c>
      <c r="U377" s="1" t="s">
        <v>74</v>
      </c>
      <c r="V377" s="1" t="s">
        <v>3813</v>
      </c>
      <c r="W377" s="1" t="s">
        <v>74</v>
      </c>
      <c r="X377" s="1" t="s">
        <v>74</v>
      </c>
      <c r="Y377" s="1" t="s">
        <v>74</v>
      </c>
      <c r="Z377" s="1" t="s">
        <v>74</v>
      </c>
      <c r="AA377" s="1" t="s">
        <v>3814</v>
      </c>
      <c r="AB377" s="1" t="s">
        <v>3815</v>
      </c>
      <c r="AC377" s="1" t="s">
        <v>74</v>
      </c>
      <c r="AD377" s="1" t="s">
        <v>74</v>
      </c>
      <c r="AE377" s="1" t="s">
        <v>74</v>
      </c>
      <c r="AF377" s="1" t="s">
        <v>74</v>
      </c>
      <c r="AG377" s="1" t="s">
        <v>74</v>
      </c>
      <c r="AH377" s="1" t="s">
        <v>74</v>
      </c>
      <c r="AI377" s="1" t="s">
        <v>74</v>
      </c>
      <c r="AJ377" s="1" t="s">
        <v>74</v>
      </c>
      <c r="AK377" s="1" t="s">
        <v>74</v>
      </c>
      <c r="AL377" s="1" t="s">
        <v>74</v>
      </c>
      <c r="AM377" s="1" t="s">
        <v>74</v>
      </c>
      <c r="AN377" s="1" t="s">
        <v>74</v>
      </c>
      <c r="AO377" s="1" t="s">
        <v>3816</v>
      </c>
      <c r="AP377" s="1" t="s">
        <v>74</v>
      </c>
      <c r="AQ377" s="1" t="s">
        <v>74</v>
      </c>
      <c r="AR377" s="1" t="s">
        <v>74</v>
      </c>
      <c r="AS377" s="1" t="s">
        <v>74</v>
      </c>
      <c r="AT377" s="1" t="s">
        <v>289</v>
      </c>
      <c r="AU377" s="1">
        <v>2020.0</v>
      </c>
      <c r="AV377" s="1">
        <v>10.0</v>
      </c>
      <c r="AW377" s="1">
        <v>2.0</v>
      </c>
      <c r="AX377" s="1" t="s">
        <v>74</v>
      </c>
      <c r="AY377" s="1" t="s">
        <v>74</v>
      </c>
      <c r="AZ377" s="1" t="s">
        <v>74</v>
      </c>
      <c r="BA377" s="1" t="s">
        <v>74</v>
      </c>
      <c r="BB377" s="1">
        <v>102.0</v>
      </c>
      <c r="BC377" s="1">
        <v>134.0</v>
      </c>
      <c r="BD377" s="1" t="s">
        <v>74</v>
      </c>
      <c r="BE377" s="1" t="s">
        <v>3817</v>
      </c>
      <c r="BF377" s="2" t="str">
        <f>HYPERLINK("http://dx.doi.org/10.4471/remie.2020.5604","http://dx.doi.org/10.4471/remie.2020.5604")</f>
        <v>http://dx.doi.org/10.4471/remie.2020.5604</v>
      </c>
      <c r="BG377" s="1" t="s">
        <v>74</v>
      </c>
      <c r="BH377" s="1" t="s">
        <v>74</v>
      </c>
      <c r="BI377" s="1" t="s">
        <v>74</v>
      </c>
      <c r="BJ377" s="1" t="s">
        <v>74</v>
      </c>
      <c r="BK377" s="1" t="s">
        <v>74</v>
      </c>
      <c r="BL377" s="1" t="s">
        <v>74</v>
      </c>
      <c r="BM377" s="1" t="s">
        <v>74</v>
      </c>
      <c r="BN377" s="1" t="s">
        <v>74</v>
      </c>
      <c r="BO377" s="1" t="s">
        <v>74</v>
      </c>
      <c r="BP377" s="1" t="s">
        <v>74</v>
      </c>
      <c r="BQ377" s="1" t="s">
        <v>74</v>
      </c>
      <c r="BR377" s="1" t="s">
        <v>74</v>
      </c>
      <c r="BS377" s="1" t="s">
        <v>3818</v>
      </c>
      <c r="BT377" s="1" t="str">
        <f>HYPERLINK("https%3A%2F%2Fwww.webofscience.com%2Fwos%2Fwoscc%2Ffull-record%2FWOS:000541825200001","View Full Record in Web of Science")</f>
        <v>View Full Record in Web of Science</v>
      </c>
    </row>
    <row r="378" ht="12.75" customHeight="1">
      <c r="A378" s="1" t="s">
        <v>72</v>
      </c>
      <c r="B378" s="1" t="s">
        <v>3819</v>
      </c>
      <c r="C378" s="1" t="s">
        <v>74</v>
      </c>
      <c r="D378" s="1" t="s">
        <v>74</v>
      </c>
      <c r="E378" s="1" t="s">
        <v>74</v>
      </c>
      <c r="F378" s="1" t="s">
        <v>3820</v>
      </c>
      <c r="G378" s="1" t="s">
        <v>74</v>
      </c>
      <c r="H378" s="1" t="s">
        <v>74</v>
      </c>
      <c r="I378" s="1" t="s">
        <v>3821</v>
      </c>
      <c r="J378" s="1" t="s">
        <v>3822</v>
      </c>
      <c r="K378" s="1" t="s">
        <v>74</v>
      </c>
      <c r="L378" s="1" t="s">
        <v>74</v>
      </c>
      <c r="M378" s="1" t="s">
        <v>74</v>
      </c>
      <c r="N378" s="1" t="s">
        <v>74</v>
      </c>
      <c r="O378" s="1" t="s">
        <v>74</v>
      </c>
      <c r="P378" s="1" t="s">
        <v>74</v>
      </c>
      <c r="Q378" s="1" t="s">
        <v>74</v>
      </c>
      <c r="R378" s="1" t="s">
        <v>74</v>
      </c>
      <c r="S378" s="1" t="s">
        <v>74</v>
      </c>
      <c r="T378" s="1" t="s">
        <v>74</v>
      </c>
      <c r="U378" s="1" t="s">
        <v>74</v>
      </c>
      <c r="V378" s="1" t="s">
        <v>3823</v>
      </c>
      <c r="W378" s="1" t="s">
        <v>74</v>
      </c>
      <c r="X378" s="1" t="s">
        <v>74</v>
      </c>
      <c r="Y378" s="1" t="s">
        <v>74</v>
      </c>
      <c r="Z378" s="1" t="s">
        <v>74</v>
      </c>
      <c r="AA378" s="1" t="s">
        <v>3824</v>
      </c>
      <c r="AB378" s="1" t="s">
        <v>74</v>
      </c>
      <c r="AC378" s="1" t="s">
        <v>74</v>
      </c>
      <c r="AD378" s="1" t="s">
        <v>74</v>
      </c>
      <c r="AE378" s="1" t="s">
        <v>74</v>
      </c>
      <c r="AF378" s="1" t="s">
        <v>74</v>
      </c>
      <c r="AG378" s="1" t="s">
        <v>74</v>
      </c>
      <c r="AH378" s="1" t="s">
        <v>74</v>
      </c>
      <c r="AI378" s="1" t="s">
        <v>74</v>
      </c>
      <c r="AJ378" s="1" t="s">
        <v>74</v>
      </c>
      <c r="AK378" s="1" t="s">
        <v>74</v>
      </c>
      <c r="AL378" s="1" t="s">
        <v>74</v>
      </c>
      <c r="AM378" s="1" t="s">
        <v>74</v>
      </c>
      <c r="AN378" s="1" t="s">
        <v>74</v>
      </c>
      <c r="AO378" s="1" t="s">
        <v>3825</v>
      </c>
      <c r="AP378" s="1" t="s">
        <v>3826</v>
      </c>
      <c r="AQ378" s="1" t="s">
        <v>74</v>
      </c>
      <c r="AR378" s="1" t="s">
        <v>74</v>
      </c>
      <c r="AS378" s="1" t="s">
        <v>74</v>
      </c>
      <c r="AT378" s="1" t="s">
        <v>289</v>
      </c>
      <c r="AU378" s="1">
        <v>2020.0</v>
      </c>
      <c r="AV378" s="1">
        <v>194.0</v>
      </c>
      <c r="AW378" s="1" t="s">
        <v>74</v>
      </c>
      <c r="AX378" s="1" t="s">
        <v>74</v>
      </c>
      <c r="AY378" s="1" t="s">
        <v>74</v>
      </c>
      <c r="AZ378" s="1" t="s">
        <v>74</v>
      </c>
      <c r="BA378" s="1" t="s">
        <v>74</v>
      </c>
      <c r="BB378" s="1" t="s">
        <v>74</v>
      </c>
      <c r="BC378" s="1" t="s">
        <v>74</v>
      </c>
      <c r="BD378" s="1">
        <v>105334.0</v>
      </c>
      <c r="BE378" s="1" t="s">
        <v>3827</v>
      </c>
      <c r="BF378" s="2" t="str">
        <f>HYPERLINK("http://dx.doi.org/10.1016/j.hydromet.2020.105334","http://dx.doi.org/10.1016/j.hydromet.2020.105334")</f>
        <v>http://dx.doi.org/10.1016/j.hydromet.2020.105334</v>
      </c>
      <c r="BG378" s="1" t="s">
        <v>74</v>
      </c>
      <c r="BH378" s="1" t="s">
        <v>74</v>
      </c>
      <c r="BI378" s="1" t="s">
        <v>74</v>
      </c>
      <c r="BJ378" s="1" t="s">
        <v>74</v>
      </c>
      <c r="BK378" s="1" t="s">
        <v>74</v>
      </c>
      <c r="BL378" s="1" t="s">
        <v>74</v>
      </c>
      <c r="BM378" s="1" t="s">
        <v>74</v>
      </c>
      <c r="BN378" s="1" t="s">
        <v>74</v>
      </c>
      <c r="BO378" s="1" t="s">
        <v>74</v>
      </c>
      <c r="BP378" s="1" t="s">
        <v>74</v>
      </c>
      <c r="BQ378" s="1" t="s">
        <v>74</v>
      </c>
      <c r="BR378" s="1" t="s">
        <v>74</v>
      </c>
      <c r="BS378" s="1" t="s">
        <v>3828</v>
      </c>
      <c r="BT378" s="1" t="str">
        <f>HYPERLINK("https%3A%2F%2Fwww.webofscience.com%2Fwos%2Fwoscc%2Ffull-record%2FWOS:000537628300002","View Full Record in Web of Science")</f>
        <v>View Full Record in Web of Science</v>
      </c>
    </row>
    <row r="379" ht="12.75" customHeight="1">
      <c r="A379" s="1" t="s">
        <v>147</v>
      </c>
      <c r="B379" s="1" t="s">
        <v>3829</v>
      </c>
      <c r="C379" s="1" t="s">
        <v>74</v>
      </c>
      <c r="D379" s="1" t="s">
        <v>3830</v>
      </c>
      <c r="E379" s="1" t="s">
        <v>74</v>
      </c>
      <c r="F379" s="1" t="s">
        <v>3831</v>
      </c>
      <c r="G379" s="1" t="s">
        <v>74</v>
      </c>
      <c r="H379" s="1" t="s">
        <v>74</v>
      </c>
      <c r="I379" s="1" t="s">
        <v>3832</v>
      </c>
      <c r="J379" s="1" t="s">
        <v>3833</v>
      </c>
      <c r="K379" s="1" t="s">
        <v>1022</v>
      </c>
      <c r="L379" s="1" t="s">
        <v>74</v>
      </c>
      <c r="M379" s="1" t="s">
        <v>74</v>
      </c>
      <c r="N379" s="1" t="s">
        <v>74</v>
      </c>
      <c r="O379" s="1" t="s">
        <v>3834</v>
      </c>
      <c r="P379" s="1" t="s">
        <v>3835</v>
      </c>
      <c r="Q379" s="1" t="s">
        <v>3836</v>
      </c>
      <c r="R379" s="1" t="s">
        <v>74</v>
      </c>
      <c r="S379" s="1" t="s">
        <v>3837</v>
      </c>
      <c r="T379" s="1" t="s">
        <v>74</v>
      </c>
      <c r="U379" s="1" t="s">
        <v>74</v>
      </c>
      <c r="V379" s="1" t="s">
        <v>3838</v>
      </c>
      <c r="W379" s="1" t="s">
        <v>74</v>
      </c>
      <c r="X379" s="1" t="s">
        <v>74</v>
      </c>
      <c r="Y379" s="1" t="s">
        <v>74</v>
      </c>
      <c r="Z379" s="1" t="s">
        <v>74</v>
      </c>
      <c r="AA379" s="1" t="s">
        <v>74</v>
      </c>
      <c r="AB379" s="1" t="s">
        <v>904</v>
      </c>
      <c r="AC379" s="1" t="s">
        <v>74</v>
      </c>
      <c r="AD379" s="1" t="s">
        <v>74</v>
      </c>
      <c r="AE379" s="1" t="s">
        <v>74</v>
      </c>
      <c r="AF379" s="1" t="s">
        <v>74</v>
      </c>
      <c r="AG379" s="1" t="s">
        <v>74</v>
      </c>
      <c r="AH379" s="1" t="s">
        <v>74</v>
      </c>
      <c r="AI379" s="1" t="s">
        <v>74</v>
      </c>
      <c r="AJ379" s="1" t="s">
        <v>74</v>
      </c>
      <c r="AK379" s="1" t="s">
        <v>74</v>
      </c>
      <c r="AL379" s="1" t="s">
        <v>74</v>
      </c>
      <c r="AM379" s="1" t="s">
        <v>74</v>
      </c>
      <c r="AN379" s="1" t="s">
        <v>74</v>
      </c>
      <c r="AO379" s="1" t="s">
        <v>1029</v>
      </c>
      <c r="AP379" s="1" t="s">
        <v>1030</v>
      </c>
      <c r="AQ379" s="1" t="s">
        <v>3839</v>
      </c>
      <c r="AR379" s="1" t="s">
        <v>74</v>
      </c>
      <c r="AS379" s="1" t="s">
        <v>74</v>
      </c>
      <c r="AT379" s="1" t="s">
        <v>74</v>
      </c>
      <c r="AU379" s="1">
        <v>2020.0</v>
      </c>
      <c r="AV379" s="1">
        <v>1026.0</v>
      </c>
      <c r="AW379" s="1" t="s">
        <v>74</v>
      </c>
      <c r="AX379" s="1" t="s">
        <v>74</v>
      </c>
      <c r="AY379" s="1" t="s">
        <v>74</v>
      </c>
      <c r="AZ379" s="1" t="s">
        <v>74</v>
      </c>
      <c r="BA379" s="1" t="s">
        <v>74</v>
      </c>
      <c r="BB379" s="1">
        <v>605.0</v>
      </c>
      <c r="BC379" s="1">
        <v>610.0</v>
      </c>
      <c r="BD379" s="1" t="s">
        <v>74</v>
      </c>
      <c r="BE379" s="1" t="s">
        <v>3840</v>
      </c>
      <c r="BF379" s="2" t="str">
        <f>HYPERLINK("http://dx.doi.org/10.1007/978-3-030-27928-8_92","http://dx.doi.org/10.1007/978-3-030-27928-8_92")</f>
        <v>http://dx.doi.org/10.1007/978-3-030-27928-8_92</v>
      </c>
      <c r="BG379" s="1" t="s">
        <v>74</v>
      </c>
      <c r="BH379" s="1" t="s">
        <v>74</v>
      </c>
      <c r="BI379" s="1" t="s">
        <v>74</v>
      </c>
      <c r="BJ379" s="1" t="s">
        <v>74</v>
      </c>
      <c r="BK379" s="1" t="s">
        <v>74</v>
      </c>
      <c r="BL379" s="1" t="s">
        <v>74</v>
      </c>
      <c r="BM379" s="1" t="s">
        <v>74</v>
      </c>
      <c r="BN379" s="1" t="s">
        <v>74</v>
      </c>
      <c r="BO379" s="1" t="s">
        <v>74</v>
      </c>
      <c r="BP379" s="1" t="s">
        <v>74</v>
      </c>
      <c r="BQ379" s="1" t="s">
        <v>74</v>
      </c>
      <c r="BR379" s="1" t="s">
        <v>74</v>
      </c>
      <c r="BS379" s="1" t="s">
        <v>3841</v>
      </c>
      <c r="BT379" s="1" t="str">
        <f>HYPERLINK("https%3A%2F%2Fwww.webofscience.com%2Fwos%2Fwoscc%2Ffull-record%2FWOS:000625366900092","View Full Record in Web of Science")</f>
        <v>View Full Record in Web of Science</v>
      </c>
    </row>
    <row r="380" ht="12.75" customHeight="1">
      <c r="A380" s="1" t="s">
        <v>72</v>
      </c>
      <c r="B380" s="1" t="s">
        <v>3842</v>
      </c>
      <c r="C380" s="1" t="s">
        <v>74</v>
      </c>
      <c r="D380" s="1" t="s">
        <v>74</v>
      </c>
      <c r="E380" s="1" t="s">
        <v>74</v>
      </c>
      <c r="F380" s="1" t="s">
        <v>3843</v>
      </c>
      <c r="G380" s="1" t="s">
        <v>74</v>
      </c>
      <c r="H380" s="1" t="s">
        <v>74</v>
      </c>
      <c r="I380" s="1" t="s">
        <v>3844</v>
      </c>
      <c r="J380" s="1" t="s">
        <v>3845</v>
      </c>
      <c r="K380" s="1" t="s">
        <v>74</v>
      </c>
      <c r="L380" s="1" t="s">
        <v>74</v>
      </c>
      <c r="M380" s="1" t="s">
        <v>74</v>
      </c>
      <c r="N380" s="1" t="s">
        <v>74</v>
      </c>
      <c r="O380" s="1" t="s">
        <v>74</v>
      </c>
      <c r="P380" s="1" t="s">
        <v>74</v>
      </c>
      <c r="Q380" s="1" t="s">
        <v>74</v>
      </c>
      <c r="R380" s="1" t="s">
        <v>74</v>
      </c>
      <c r="S380" s="1" t="s">
        <v>74</v>
      </c>
      <c r="T380" s="1" t="s">
        <v>74</v>
      </c>
      <c r="U380" s="1" t="s">
        <v>74</v>
      </c>
      <c r="V380" s="1" t="s">
        <v>3846</v>
      </c>
      <c r="W380" s="1" t="s">
        <v>74</v>
      </c>
      <c r="X380" s="1" t="s">
        <v>74</v>
      </c>
      <c r="Y380" s="1" t="s">
        <v>74</v>
      </c>
      <c r="Z380" s="1" t="s">
        <v>74</v>
      </c>
      <c r="AA380" s="1" t="s">
        <v>3847</v>
      </c>
      <c r="AB380" s="1" t="s">
        <v>2247</v>
      </c>
      <c r="AC380" s="1" t="s">
        <v>74</v>
      </c>
      <c r="AD380" s="1" t="s">
        <v>74</v>
      </c>
      <c r="AE380" s="1" t="s">
        <v>74</v>
      </c>
      <c r="AF380" s="1" t="s">
        <v>74</v>
      </c>
      <c r="AG380" s="1" t="s">
        <v>74</v>
      </c>
      <c r="AH380" s="1" t="s">
        <v>74</v>
      </c>
      <c r="AI380" s="1" t="s">
        <v>74</v>
      </c>
      <c r="AJ380" s="1" t="s">
        <v>74</v>
      </c>
      <c r="AK380" s="1" t="s">
        <v>74</v>
      </c>
      <c r="AL380" s="1" t="s">
        <v>74</v>
      </c>
      <c r="AM380" s="1" t="s">
        <v>74</v>
      </c>
      <c r="AN380" s="1" t="s">
        <v>74</v>
      </c>
      <c r="AO380" s="1" t="s">
        <v>3848</v>
      </c>
      <c r="AP380" s="1" t="s">
        <v>3849</v>
      </c>
      <c r="AQ380" s="1" t="s">
        <v>74</v>
      </c>
      <c r="AR380" s="1" t="s">
        <v>74</v>
      </c>
      <c r="AS380" s="1" t="s">
        <v>74</v>
      </c>
      <c r="AT380" s="1" t="s">
        <v>74</v>
      </c>
      <c r="AU380" s="1">
        <v>2020.0</v>
      </c>
      <c r="AV380" s="1">
        <v>15.0</v>
      </c>
      <c r="AW380" s="1" t="s">
        <v>74</v>
      </c>
      <c r="AX380" s="1" t="s">
        <v>74</v>
      </c>
      <c r="AY380" s="1" t="s">
        <v>74</v>
      </c>
      <c r="AZ380" s="1" t="s">
        <v>74</v>
      </c>
      <c r="BA380" s="1" t="s">
        <v>74</v>
      </c>
      <c r="BB380" s="1" t="s">
        <v>74</v>
      </c>
      <c r="BC380" s="1" t="s">
        <v>74</v>
      </c>
      <c r="BD380" s="1">
        <v>18.0</v>
      </c>
      <c r="BE380" s="1" t="s">
        <v>74</v>
      </c>
      <c r="BF380" s="1" t="s">
        <v>74</v>
      </c>
      <c r="BG380" s="1" t="s">
        <v>74</v>
      </c>
      <c r="BH380" s="1" t="s">
        <v>74</v>
      </c>
      <c r="BI380" s="1" t="s">
        <v>74</v>
      </c>
      <c r="BJ380" s="1" t="s">
        <v>74</v>
      </c>
      <c r="BK380" s="1" t="s">
        <v>74</v>
      </c>
      <c r="BL380" s="1" t="s">
        <v>74</v>
      </c>
      <c r="BM380" s="1" t="s">
        <v>74</v>
      </c>
      <c r="BN380" s="1" t="s">
        <v>74</v>
      </c>
      <c r="BO380" s="1" t="s">
        <v>74</v>
      </c>
      <c r="BP380" s="1" t="s">
        <v>74</v>
      </c>
      <c r="BQ380" s="1" t="s">
        <v>74</v>
      </c>
      <c r="BR380" s="1" t="s">
        <v>74</v>
      </c>
      <c r="BS380" s="1" t="s">
        <v>3850</v>
      </c>
      <c r="BT380" s="1" t="str">
        <f>HYPERLINK("https%3A%2F%2Fwww.webofscience.com%2Fwos%2Fwoscc%2Ffull-record%2FWOS:000617097000018","View Full Record in Web of Science")</f>
        <v>View Full Record in Web of Science</v>
      </c>
    </row>
    <row r="381" ht="12.75" customHeight="1">
      <c r="A381" s="1" t="s">
        <v>86</v>
      </c>
      <c r="B381" s="1" t="s">
        <v>3851</v>
      </c>
      <c r="C381" s="1" t="s">
        <v>74</v>
      </c>
      <c r="D381" s="1" t="s">
        <v>3852</v>
      </c>
      <c r="E381" s="1" t="s">
        <v>74</v>
      </c>
      <c r="F381" s="1" t="s">
        <v>3853</v>
      </c>
      <c r="G381" s="1" t="s">
        <v>74</v>
      </c>
      <c r="H381" s="1" t="s">
        <v>74</v>
      </c>
      <c r="I381" s="1" t="s">
        <v>3854</v>
      </c>
      <c r="J381" s="1" t="s">
        <v>3855</v>
      </c>
      <c r="K381" s="1" t="s">
        <v>3856</v>
      </c>
      <c r="L381" s="1" t="s">
        <v>74</v>
      </c>
      <c r="M381" s="1" t="s">
        <v>74</v>
      </c>
      <c r="N381" s="1" t="s">
        <v>74</v>
      </c>
      <c r="O381" s="1" t="s">
        <v>74</v>
      </c>
      <c r="P381" s="1" t="s">
        <v>74</v>
      </c>
      <c r="Q381" s="1" t="s">
        <v>74</v>
      </c>
      <c r="R381" s="1" t="s">
        <v>74</v>
      </c>
      <c r="S381" s="1" t="s">
        <v>74</v>
      </c>
      <c r="T381" s="1" t="s">
        <v>74</v>
      </c>
      <c r="U381" s="1" t="s">
        <v>74</v>
      </c>
      <c r="V381" s="1" t="s">
        <v>74</v>
      </c>
      <c r="W381" s="1" t="s">
        <v>74</v>
      </c>
      <c r="X381" s="1" t="s">
        <v>74</v>
      </c>
      <c r="Y381" s="1" t="s">
        <v>74</v>
      </c>
      <c r="Z381" s="1" t="s">
        <v>74</v>
      </c>
      <c r="AA381" s="1" t="s">
        <v>74</v>
      </c>
      <c r="AB381" s="1" t="s">
        <v>74</v>
      </c>
      <c r="AC381" s="1" t="s">
        <v>74</v>
      </c>
      <c r="AD381" s="1" t="s">
        <v>74</v>
      </c>
      <c r="AE381" s="1" t="s">
        <v>74</v>
      </c>
      <c r="AF381" s="1" t="s">
        <v>74</v>
      </c>
      <c r="AG381" s="1" t="s">
        <v>74</v>
      </c>
      <c r="AH381" s="1" t="s">
        <v>74</v>
      </c>
      <c r="AI381" s="1" t="s">
        <v>74</v>
      </c>
      <c r="AJ381" s="1" t="s">
        <v>74</v>
      </c>
      <c r="AK381" s="1" t="s">
        <v>74</v>
      </c>
      <c r="AL381" s="1" t="s">
        <v>74</v>
      </c>
      <c r="AM381" s="1" t="s">
        <v>74</v>
      </c>
      <c r="AN381" s="1" t="s">
        <v>74</v>
      </c>
      <c r="AO381" s="1" t="s">
        <v>74</v>
      </c>
      <c r="AP381" s="1" t="s">
        <v>74</v>
      </c>
      <c r="AQ381" s="1" t="s">
        <v>3857</v>
      </c>
      <c r="AR381" s="1" t="s">
        <v>74</v>
      </c>
      <c r="AS381" s="1" t="s">
        <v>74</v>
      </c>
      <c r="AT381" s="1" t="s">
        <v>74</v>
      </c>
      <c r="AU381" s="1">
        <v>2020.0</v>
      </c>
      <c r="AV381" s="1">
        <v>8.0</v>
      </c>
      <c r="AW381" s="1" t="s">
        <v>74</v>
      </c>
      <c r="AX381" s="1" t="s">
        <v>74</v>
      </c>
      <c r="AY381" s="1" t="s">
        <v>74</v>
      </c>
      <c r="AZ381" s="1" t="s">
        <v>74</v>
      </c>
      <c r="BA381" s="1" t="s">
        <v>74</v>
      </c>
      <c r="BB381" s="1">
        <v>162.0</v>
      </c>
      <c r="BC381" s="1">
        <v>166.0</v>
      </c>
      <c r="BD381" s="1" t="s">
        <v>74</v>
      </c>
      <c r="BE381" s="1" t="s">
        <v>74</v>
      </c>
      <c r="BF381" s="1" t="s">
        <v>74</v>
      </c>
      <c r="BG381" s="1" t="s">
        <v>74</v>
      </c>
      <c r="BH381" s="1" t="s">
        <v>74</v>
      </c>
      <c r="BI381" s="1" t="s">
        <v>74</v>
      </c>
      <c r="BJ381" s="1" t="s">
        <v>74</v>
      </c>
      <c r="BK381" s="1" t="s">
        <v>74</v>
      </c>
      <c r="BL381" s="1" t="s">
        <v>74</v>
      </c>
      <c r="BM381" s="1" t="s">
        <v>74</v>
      </c>
      <c r="BN381" s="1" t="s">
        <v>74</v>
      </c>
      <c r="BO381" s="1" t="s">
        <v>74</v>
      </c>
      <c r="BP381" s="1" t="s">
        <v>74</v>
      </c>
      <c r="BQ381" s="1" t="s">
        <v>74</v>
      </c>
      <c r="BR381" s="1" t="s">
        <v>74</v>
      </c>
      <c r="BS381" s="1" t="s">
        <v>3858</v>
      </c>
      <c r="BT381" s="1" t="str">
        <f>HYPERLINK("https%3A%2F%2Fwww.webofscience.com%2Fwos%2Fwoscc%2Ffull-record%2FWOS:000608865900040","View Full Record in Web of Science")</f>
        <v>View Full Record in Web of Science</v>
      </c>
    </row>
    <row r="382" ht="12.75" customHeight="1">
      <c r="A382" s="1" t="s">
        <v>72</v>
      </c>
      <c r="B382" s="1" t="s">
        <v>3859</v>
      </c>
      <c r="C382" s="1" t="s">
        <v>74</v>
      </c>
      <c r="D382" s="1" t="s">
        <v>74</v>
      </c>
      <c r="E382" s="1" t="s">
        <v>74</v>
      </c>
      <c r="F382" s="1" t="s">
        <v>3860</v>
      </c>
      <c r="G382" s="1" t="s">
        <v>74</v>
      </c>
      <c r="H382" s="1" t="s">
        <v>74</v>
      </c>
      <c r="I382" s="1" t="s">
        <v>3861</v>
      </c>
      <c r="J382" s="1" t="s">
        <v>3862</v>
      </c>
      <c r="K382" s="1" t="s">
        <v>74</v>
      </c>
      <c r="L382" s="1" t="s">
        <v>74</v>
      </c>
      <c r="M382" s="1" t="s">
        <v>74</v>
      </c>
      <c r="N382" s="1" t="s">
        <v>74</v>
      </c>
      <c r="O382" s="1" t="s">
        <v>74</v>
      </c>
      <c r="P382" s="1" t="s">
        <v>74</v>
      </c>
      <c r="Q382" s="1" t="s">
        <v>74</v>
      </c>
      <c r="R382" s="1" t="s">
        <v>74</v>
      </c>
      <c r="S382" s="1" t="s">
        <v>74</v>
      </c>
      <c r="T382" s="1" t="s">
        <v>74</v>
      </c>
      <c r="U382" s="1" t="s">
        <v>74</v>
      </c>
      <c r="V382" s="1" t="s">
        <v>3863</v>
      </c>
      <c r="W382" s="1" t="s">
        <v>74</v>
      </c>
      <c r="X382" s="1" t="s">
        <v>74</v>
      </c>
      <c r="Y382" s="1" t="s">
        <v>74</v>
      </c>
      <c r="Z382" s="1" t="s">
        <v>74</v>
      </c>
      <c r="AA382" s="1" t="s">
        <v>3864</v>
      </c>
      <c r="AB382" s="1" t="s">
        <v>3865</v>
      </c>
      <c r="AC382" s="1" t="s">
        <v>74</v>
      </c>
      <c r="AD382" s="1" t="s">
        <v>74</v>
      </c>
      <c r="AE382" s="1" t="s">
        <v>74</v>
      </c>
      <c r="AF382" s="1" t="s">
        <v>74</v>
      </c>
      <c r="AG382" s="1" t="s">
        <v>74</v>
      </c>
      <c r="AH382" s="1" t="s">
        <v>74</v>
      </c>
      <c r="AI382" s="1" t="s">
        <v>74</v>
      </c>
      <c r="AJ382" s="1" t="s">
        <v>74</v>
      </c>
      <c r="AK382" s="1" t="s">
        <v>74</v>
      </c>
      <c r="AL382" s="1" t="s">
        <v>74</v>
      </c>
      <c r="AM382" s="1" t="s">
        <v>74</v>
      </c>
      <c r="AN382" s="1" t="s">
        <v>74</v>
      </c>
      <c r="AO382" s="1" t="s">
        <v>3866</v>
      </c>
      <c r="AP382" s="1" t="s">
        <v>74</v>
      </c>
      <c r="AQ382" s="1" t="s">
        <v>74</v>
      </c>
      <c r="AR382" s="1" t="s">
        <v>74</v>
      </c>
      <c r="AS382" s="1" t="s">
        <v>74</v>
      </c>
      <c r="AT382" s="1" t="s">
        <v>533</v>
      </c>
      <c r="AU382" s="1">
        <v>2020.0</v>
      </c>
      <c r="AV382" s="1">
        <v>7.0</v>
      </c>
      <c r="AW382" s="1">
        <v>1.0</v>
      </c>
      <c r="AX382" s="1" t="s">
        <v>74</v>
      </c>
      <c r="AY382" s="1" t="s">
        <v>74</v>
      </c>
      <c r="AZ382" s="1" t="s">
        <v>74</v>
      </c>
      <c r="BA382" s="1" t="s">
        <v>74</v>
      </c>
      <c r="BB382" s="1" t="s">
        <v>74</v>
      </c>
      <c r="BC382" s="1" t="s">
        <v>74</v>
      </c>
      <c r="BD382" s="1">
        <v>1744920.0</v>
      </c>
      <c r="BE382" s="1" t="s">
        <v>3867</v>
      </c>
      <c r="BF382" s="2" t="str">
        <f>HYPERLINK("http://dx.doi.org/10.1080/23311916.2020.1744920","http://dx.doi.org/10.1080/23311916.2020.1744920")</f>
        <v>http://dx.doi.org/10.1080/23311916.2020.1744920</v>
      </c>
      <c r="BG382" s="1" t="s">
        <v>74</v>
      </c>
      <c r="BH382" s="1" t="s">
        <v>74</v>
      </c>
      <c r="BI382" s="1" t="s">
        <v>74</v>
      </c>
      <c r="BJ382" s="1" t="s">
        <v>74</v>
      </c>
      <c r="BK382" s="1" t="s">
        <v>74</v>
      </c>
      <c r="BL382" s="1" t="s">
        <v>74</v>
      </c>
      <c r="BM382" s="1" t="s">
        <v>74</v>
      </c>
      <c r="BN382" s="1" t="s">
        <v>74</v>
      </c>
      <c r="BO382" s="1" t="s">
        <v>74</v>
      </c>
      <c r="BP382" s="1" t="s">
        <v>74</v>
      </c>
      <c r="BQ382" s="1" t="s">
        <v>74</v>
      </c>
      <c r="BR382" s="1" t="s">
        <v>74</v>
      </c>
      <c r="BS382" s="1" t="s">
        <v>3868</v>
      </c>
      <c r="BT382" s="1" t="str">
        <f>HYPERLINK("https%3A%2F%2Fwww.webofscience.com%2Fwos%2Fwoscc%2Ffull-record%2FWOS:000526663500001","View Full Record in Web of Science")</f>
        <v>View Full Record in Web of Science</v>
      </c>
    </row>
    <row r="383" ht="12.75" customHeight="1">
      <c r="A383" s="1" t="s">
        <v>72</v>
      </c>
      <c r="B383" s="1" t="s">
        <v>3869</v>
      </c>
      <c r="C383" s="1" t="s">
        <v>74</v>
      </c>
      <c r="D383" s="1" t="s">
        <v>74</v>
      </c>
      <c r="E383" s="1" t="s">
        <v>74</v>
      </c>
      <c r="F383" s="1" t="s">
        <v>3870</v>
      </c>
      <c r="G383" s="1" t="s">
        <v>74</v>
      </c>
      <c r="H383" s="1" t="s">
        <v>74</v>
      </c>
      <c r="I383" s="1" t="s">
        <v>3871</v>
      </c>
      <c r="J383" s="1" t="s">
        <v>1898</v>
      </c>
      <c r="K383" s="1" t="s">
        <v>74</v>
      </c>
      <c r="L383" s="1" t="s">
        <v>74</v>
      </c>
      <c r="M383" s="1" t="s">
        <v>74</v>
      </c>
      <c r="N383" s="1" t="s">
        <v>74</v>
      </c>
      <c r="O383" s="1" t="s">
        <v>74</v>
      </c>
      <c r="P383" s="1" t="s">
        <v>74</v>
      </c>
      <c r="Q383" s="1" t="s">
        <v>74</v>
      </c>
      <c r="R383" s="1" t="s">
        <v>74</v>
      </c>
      <c r="S383" s="1" t="s">
        <v>74</v>
      </c>
      <c r="T383" s="1" t="s">
        <v>74</v>
      </c>
      <c r="U383" s="1" t="s">
        <v>74</v>
      </c>
      <c r="V383" s="1" t="s">
        <v>3872</v>
      </c>
      <c r="W383" s="1" t="s">
        <v>74</v>
      </c>
      <c r="X383" s="1" t="s">
        <v>74</v>
      </c>
      <c r="Y383" s="1" t="s">
        <v>74</v>
      </c>
      <c r="Z383" s="1" t="s">
        <v>74</v>
      </c>
      <c r="AA383" s="1" t="s">
        <v>3873</v>
      </c>
      <c r="AB383" s="1" t="s">
        <v>3874</v>
      </c>
      <c r="AC383" s="1" t="s">
        <v>74</v>
      </c>
      <c r="AD383" s="1" t="s">
        <v>74</v>
      </c>
      <c r="AE383" s="1" t="s">
        <v>74</v>
      </c>
      <c r="AF383" s="1" t="s">
        <v>74</v>
      </c>
      <c r="AG383" s="1" t="s">
        <v>74</v>
      </c>
      <c r="AH383" s="1" t="s">
        <v>74</v>
      </c>
      <c r="AI383" s="1" t="s">
        <v>74</v>
      </c>
      <c r="AJ383" s="1" t="s">
        <v>74</v>
      </c>
      <c r="AK383" s="1" t="s">
        <v>74</v>
      </c>
      <c r="AL383" s="1" t="s">
        <v>74</v>
      </c>
      <c r="AM383" s="1" t="s">
        <v>74</v>
      </c>
      <c r="AN383" s="1" t="s">
        <v>74</v>
      </c>
      <c r="AO383" s="1" t="s">
        <v>1902</v>
      </c>
      <c r="AP383" s="1" t="s">
        <v>74</v>
      </c>
      <c r="AQ383" s="1" t="s">
        <v>74</v>
      </c>
      <c r="AR383" s="1" t="s">
        <v>74</v>
      </c>
      <c r="AS383" s="1" t="s">
        <v>74</v>
      </c>
      <c r="AT383" s="1" t="s">
        <v>533</v>
      </c>
      <c r="AU383" s="1">
        <v>2020.0</v>
      </c>
      <c r="AV383" s="1">
        <v>145.0</v>
      </c>
      <c r="AW383" s="1" t="s">
        <v>74</v>
      </c>
      <c r="AX383" s="1" t="s">
        <v>74</v>
      </c>
      <c r="AY383" s="1" t="s">
        <v>74</v>
      </c>
      <c r="AZ383" s="1" t="s">
        <v>74</v>
      </c>
      <c r="BA383" s="1" t="s">
        <v>74</v>
      </c>
      <c r="BB383" s="1" t="s">
        <v>74</v>
      </c>
      <c r="BC383" s="1" t="s">
        <v>74</v>
      </c>
      <c r="BD383" s="1">
        <v>106060.0</v>
      </c>
      <c r="BE383" s="1" t="s">
        <v>3875</v>
      </c>
      <c r="BF383" s="2" t="str">
        <f>HYPERLINK("http://dx.doi.org/10.1016/j.mineng.2019.106060","http://dx.doi.org/10.1016/j.mineng.2019.106060")</f>
        <v>http://dx.doi.org/10.1016/j.mineng.2019.106060</v>
      </c>
      <c r="BG383" s="1" t="s">
        <v>74</v>
      </c>
      <c r="BH383" s="1" t="s">
        <v>74</v>
      </c>
      <c r="BI383" s="1" t="s">
        <v>74</v>
      </c>
      <c r="BJ383" s="1" t="s">
        <v>74</v>
      </c>
      <c r="BK383" s="1" t="s">
        <v>74</v>
      </c>
      <c r="BL383" s="1" t="s">
        <v>74</v>
      </c>
      <c r="BM383" s="1" t="s">
        <v>74</v>
      </c>
      <c r="BN383" s="1" t="s">
        <v>74</v>
      </c>
      <c r="BO383" s="1" t="s">
        <v>74</v>
      </c>
      <c r="BP383" s="1" t="s">
        <v>74</v>
      </c>
      <c r="BQ383" s="1" t="s">
        <v>74</v>
      </c>
      <c r="BR383" s="1" t="s">
        <v>74</v>
      </c>
      <c r="BS383" s="1" t="s">
        <v>3876</v>
      </c>
      <c r="BT383" s="1" t="str">
        <f>HYPERLINK("https%3A%2F%2Fwww.webofscience.com%2Fwos%2Fwoscc%2Ffull-record%2FWOS:000498752100033","View Full Record in Web of Science")</f>
        <v>View Full Record in Web of Science</v>
      </c>
    </row>
    <row r="384" ht="12.75" customHeight="1">
      <c r="A384" s="1" t="s">
        <v>72</v>
      </c>
      <c r="B384" s="1" t="s">
        <v>3877</v>
      </c>
      <c r="C384" s="1" t="s">
        <v>74</v>
      </c>
      <c r="D384" s="1" t="s">
        <v>74</v>
      </c>
      <c r="E384" s="1" t="s">
        <v>74</v>
      </c>
      <c r="F384" s="1" t="s">
        <v>3878</v>
      </c>
      <c r="G384" s="1" t="s">
        <v>74</v>
      </c>
      <c r="H384" s="1" t="s">
        <v>74</v>
      </c>
      <c r="I384" s="1" t="s">
        <v>3879</v>
      </c>
      <c r="J384" s="1" t="s">
        <v>3880</v>
      </c>
      <c r="K384" s="1" t="s">
        <v>74</v>
      </c>
      <c r="L384" s="1" t="s">
        <v>74</v>
      </c>
      <c r="M384" s="1" t="s">
        <v>74</v>
      </c>
      <c r="N384" s="1" t="s">
        <v>74</v>
      </c>
      <c r="O384" s="1" t="s">
        <v>74</v>
      </c>
      <c r="P384" s="1" t="s">
        <v>74</v>
      </c>
      <c r="Q384" s="1" t="s">
        <v>74</v>
      </c>
      <c r="R384" s="1" t="s">
        <v>74</v>
      </c>
      <c r="S384" s="1" t="s">
        <v>74</v>
      </c>
      <c r="T384" s="1" t="s">
        <v>74</v>
      </c>
      <c r="U384" s="1" t="s">
        <v>74</v>
      </c>
      <c r="V384" s="1" t="s">
        <v>3881</v>
      </c>
      <c r="W384" s="1" t="s">
        <v>74</v>
      </c>
      <c r="X384" s="1" t="s">
        <v>74</v>
      </c>
      <c r="Y384" s="1" t="s">
        <v>74</v>
      </c>
      <c r="Z384" s="1" t="s">
        <v>74</v>
      </c>
      <c r="AA384" s="1" t="s">
        <v>3882</v>
      </c>
      <c r="AB384" s="1" t="s">
        <v>3883</v>
      </c>
      <c r="AC384" s="1" t="s">
        <v>74</v>
      </c>
      <c r="AD384" s="1" t="s">
        <v>74</v>
      </c>
      <c r="AE384" s="1" t="s">
        <v>74</v>
      </c>
      <c r="AF384" s="1" t="s">
        <v>74</v>
      </c>
      <c r="AG384" s="1" t="s">
        <v>74</v>
      </c>
      <c r="AH384" s="1" t="s">
        <v>74</v>
      </c>
      <c r="AI384" s="1" t="s">
        <v>74</v>
      </c>
      <c r="AJ384" s="1" t="s">
        <v>74</v>
      </c>
      <c r="AK384" s="1" t="s">
        <v>74</v>
      </c>
      <c r="AL384" s="1" t="s">
        <v>74</v>
      </c>
      <c r="AM384" s="1" t="s">
        <v>74</v>
      </c>
      <c r="AN384" s="1" t="s">
        <v>74</v>
      </c>
      <c r="AO384" s="1" t="s">
        <v>74</v>
      </c>
      <c r="AP384" s="1" t="s">
        <v>3884</v>
      </c>
      <c r="AQ384" s="1" t="s">
        <v>74</v>
      </c>
      <c r="AR384" s="1" t="s">
        <v>74</v>
      </c>
      <c r="AS384" s="1" t="s">
        <v>74</v>
      </c>
      <c r="AT384" s="1" t="s">
        <v>533</v>
      </c>
      <c r="AU384" s="1">
        <v>2020.0</v>
      </c>
      <c r="AV384" s="1">
        <v>21.0</v>
      </c>
      <c r="AW384" s="1">
        <v>1.0</v>
      </c>
      <c r="AX384" s="1" t="s">
        <v>74</v>
      </c>
      <c r="AY384" s="1" t="s">
        <v>74</v>
      </c>
      <c r="AZ384" s="1" t="s">
        <v>74</v>
      </c>
      <c r="BA384" s="1" t="s">
        <v>74</v>
      </c>
      <c r="BB384" s="1" t="s">
        <v>74</v>
      </c>
      <c r="BC384" s="1" t="s">
        <v>74</v>
      </c>
      <c r="BD384" s="1">
        <v>153.0</v>
      </c>
      <c r="BE384" s="1" t="s">
        <v>3885</v>
      </c>
      <c r="BF384" s="2" t="str">
        <f>HYPERLINK("http://dx.doi.org/10.3390/ijms21010153","http://dx.doi.org/10.3390/ijms21010153")</f>
        <v>http://dx.doi.org/10.3390/ijms21010153</v>
      </c>
      <c r="BG384" s="1" t="s">
        <v>74</v>
      </c>
      <c r="BH384" s="1" t="s">
        <v>74</v>
      </c>
      <c r="BI384" s="1" t="s">
        <v>74</v>
      </c>
      <c r="BJ384" s="1" t="s">
        <v>74</v>
      </c>
      <c r="BK384" s="1" t="s">
        <v>74</v>
      </c>
      <c r="BL384" s="1" t="s">
        <v>74</v>
      </c>
      <c r="BM384" s="1" t="s">
        <v>74</v>
      </c>
      <c r="BN384" s="1">
        <v>3.1881655E7</v>
      </c>
      <c r="BO384" s="1" t="s">
        <v>74</v>
      </c>
      <c r="BP384" s="1" t="s">
        <v>74</v>
      </c>
      <c r="BQ384" s="1" t="s">
        <v>74</v>
      </c>
      <c r="BR384" s="1" t="s">
        <v>74</v>
      </c>
      <c r="BS384" s="1" t="s">
        <v>3886</v>
      </c>
      <c r="BT384" s="1" t="str">
        <f>HYPERLINK("https%3A%2F%2Fwww.webofscience.com%2Fwos%2Fwoscc%2Ffull-record%2FWOS:000515378000153","View Full Record in Web of Science")</f>
        <v>View Full Record in Web of Science</v>
      </c>
    </row>
    <row r="385" ht="12.75" customHeight="1">
      <c r="A385" s="1" t="s">
        <v>72</v>
      </c>
      <c r="B385" s="1" t="s">
        <v>2088</v>
      </c>
      <c r="C385" s="1" t="s">
        <v>74</v>
      </c>
      <c r="D385" s="1" t="s">
        <v>74</v>
      </c>
      <c r="E385" s="1" t="s">
        <v>74</v>
      </c>
      <c r="F385" s="1" t="s">
        <v>3887</v>
      </c>
      <c r="G385" s="1" t="s">
        <v>74</v>
      </c>
      <c r="H385" s="1" t="s">
        <v>74</v>
      </c>
      <c r="I385" s="1" t="s">
        <v>3888</v>
      </c>
      <c r="J385" s="1" t="s">
        <v>2091</v>
      </c>
      <c r="K385" s="1" t="s">
        <v>74</v>
      </c>
      <c r="L385" s="1" t="s">
        <v>74</v>
      </c>
      <c r="M385" s="1" t="s">
        <v>74</v>
      </c>
      <c r="N385" s="1" t="s">
        <v>74</v>
      </c>
      <c r="O385" s="1" t="s">
        <v>74</v>
      </c>
      <c r="P385" s="1" t="s">
        <v>74</v>
      </c>
      <c r="Q385" s="1" t="s">
        <v>74</v>
      </c>
      <c r="R385" s="1" t="s">
        <v>74</v>
      </c>
      <c r="S385" s="1" t="s">
        <v>74</v>
      </c>
      <c r="T385" s="1" t="s">
        <v>74</v>
      </c>
      <c r="U385" s="1" t="s">
        <v>74</v>
      </c>
      <c r="V385" s="1" t="s">
        <v>3889</v>
      </c>
      <c r="W385" s="1" t="s">
        <v>74</v>
      </c>
      <c r="X385" s="1" t="s">
        <v>74</v>
      </c>
      <c r="Y385" s="1" t="s">
        <v>74</v>
      </c>
      <c r="Z385" s="1" t="s">
        <v>74</v>
      </c>
      <c r="AA385" s="1" t="s">
        <v>74</v>
      </c>
      <c r="AB385" s="1" t="s">
        <v>74</v>
      </c>
      <c r="AC385" s="1" t="s">
        <v>74</v>
      </c>
      <c r="AD385" s="1" t="s">
        <v>74</v>
      </c>
      <c r="AE385" s="1" t="s">
        <v>74</v>
      </c>
      <c r="AF385" s="1" t="s">
        <v>74</v>
      </c>
      <c r="AG385" s="1" t="s">
        <v>74</v>
      </c>
      <c r="AH385" s="1" t="s">
        <v>74</v>
      </c>
      <c r="AI385" s="1" t="s">
        <v>74</v>
      </c>
      <c r="AJ385" s="1" t="s">
        <v>74</v>
      </c>
      <c r="AK385" s="1" t="s">
        <v>74</v>
      </c>
      <c r="AL385" s="1" t="s">
        <v>74</v>
      </c>
      <c r="AM385" s="1" t="s">
        <v>74</v>
      </c>
      <c r="AN385" s="1" t="s">
        <v>74</v>
      </c>
      <c r="AO385" s="1" t="s">
        <v>2093</v>
      </c>
      <c r="AP385" s="1" t="s">
        <v>74</v>
      </c>
      <c r="AQ385" s="1" t="s">
        <v>74</v>
      </c>
      <c r="AR385" s="1" t="s">
        <v>74</v>
      </c>
      <c r="AS385" s="1" t="s">
        <v>74</v>
      </c>
      <c r="AT385" s="1" t="s">
        <v>930</v>
      </c>
      <c r="AU385" s="1">
        <v>2019.0</v>
      </c>
      <c r="AV385" s="1">
        <v>86.0</v>
      </c>
      <c r="AW385" s="1">
        <v>344.0</v>
      </c>
      <c r="AX385" s="1" t="s">
        <v>74</v>
      </c>
      <c r="AY385" s="1" t="s">
        <v>74</v>
      </c>
      <c r="AZ385" s="1" t="s">
        <v>74</v>
      </c>
      <c r="BA385" s="1" t="s">
        <v>74</v>
      </c>
      <c r="BB385" s="1">
        <v>901.0</v>
      </c>
      <c r="BC385" s="1">
        <v>966.0</v>
      </c>
      <c r="BD385" s="1" t="s">
        <v>74</v>
      </c>
      <c r="BE385" s="1" t="s">
        <v>3890</v>
      </c>
      <c r="BF385" s="2" t="str">
        <f>HYPERLINK("http://dx.doi.org/10.20430/ete.v86i344.970","http://dx.doi.org/10.20430/ete.v86i344.970")</f>
        <v>http://dx.doi.org/10.20430/ete.v86i344.970</v>
      </c>
      <c r="BG385" s="1" t="s">
        <v>74</v>
      </c>
      <c r="BH385" s="1" t="s">
        <v>74</v>
      </c>
      <c r="BI385" s="1" t="s">
        <v>74</v>
      </c>
      <c r="BJ385" s="1" t="s">
        <v>74</v>
      </c>
      <c r="BK385" s="1" t="s">
        <v>74</v>
      </c>
      <c r="BL385" s="1" t="s">
        <v>74</v>
      </c>
      <c r="BM385" s="1" t="s">
        <v>74</v>
      </c>
      <c r="BN385" s="1" t="s">
        <v>74</v>
      </c>
      <c r="BO385" s="1" t="s">
        <v>74</v>
      </c>
      <c r="BP385" s="1" t="s">
        <v>74</v>
      </c>
      <c r="BQ385" s="1" t="s">
        <v>74</v>
      </c>
      <c r="BR385" s="1" t="s">
        <v>74</v>
      </c>
      <c r="BS385" s="1" t="s">
        <v>3891</v>
      </c>
      <c r="BT385" s="1" t="str">
        <f>HYPERLINK("https%3A%2F%2Fwww.webofscience.com%2Fwos%2Fwoscc%2Ffull-record%2FWOS:000489312000003","View Full Record in Web of Science")</f>
        <v>View Full Record in Web of Science</v>
      </c>
    </row>
    <row r="386" ht="12.75" customHeight="1">
      <c r="A386" s="1" t="s">
        <v>72</v>
      </c>
      <c r="B386" s="1" t="s">
        <v>3892</v>
      </c>
      <c r="C386" s="1" t="s">
        <v>74</v>
      </c>
      <c r="D386" s="1" t="s">
        <v>74</v>
      </c>
      <c r="E386" s="1" t="s">
        <v>74</v>
      </c>
      <c r="F386" s="1" t="s">
        <v>3893</v>
      </c>
      <c r="G386" s="1" t="s">
        <v>74</v>
      </c>
      <c r="H386" s="1" t="s">
        <v>74</v>
      </c>
      <c r="I386" s="1" t="s">
        <v>3894</v>
      </c>
      <c r="J386" s="1" t="s">
        <v>3895</v>
      </c>
      <c r="K386" s="1" t="s">
        <v>74</v>
      </c>
      <c r="L386" s="1" t="s">
        <v>74</v>
      </c>
      <c r="M386" s="1" t="s">
        <v>74</v>
      </c>
      <c r="N386" s="1" t="s">
        <v>74</v>
      </c>
      <c r="O386" s="1" t="s">
        <v>74</v>
      </c>
      <c r="P386" s="1" t="s">
        <v>74</v>
      </c>
      <c r="Q386" s="1" t="s">
        <v>74</v>
      </c>
      <c r="R386" s="1" t="s">
        <v>74</v>
      </c>
      <c r="S386" s="1" t="s">
        <v>74</v>
      </c>
      <c r="T386" s="1" t="s">
        <v>74</v>
      </c>
      <c r="U386" s="1" t="s">
        <v>74</v>
      </c>
      <c r="V386" s="1" t="s">
        <v>3896</v>
      </c>
      <c r="W386" s="1" t="s">
        <v>74</v>
      </c>
      <c r="X386" s="1" t="s">
        <v>74</v>
      </c>
      <c r="Y386" s="1" t="s">
        <v>74</v>
      </c>
      <c r="Z386" s="1" t="s">
        <v>74</v>
      </c>
      <c r="AA386" s="1" t="s">
        <v>1445</v>
      </c>
      <c r="AB386" s="1" t="s">
        <v>3897</v>
      </c>
      <c r="AC386" s="1" t="s">
        <v>74</v>
      </c>
      <c r="AD386" s="1" t="s">
        <v>74</v>
      </c>
      <c r="AE386" s="1" t="s">
        <v>74</v>
      </c>
      <c r="AF386" s="1" t="s">
        <v>74</v>
      </c>
      <c r="AG386" s="1" t="s">
        <v>74</v>
      </c>
      <c r="AH386" s="1" t="s">
        <v>74</v>
      </c>
      <c r="AI386" s="1" t="s">
        <v>74</v>
      </c>
      <c r="AJ386" s="1" t="s">
        <v>74</v>
      </c>
      <c r="AK386" s="1" t="s">
        <v>74</v>
      </c>
      <c r="AL386" s="1" t="s">
        <v>74</v>
      </c>
      <c r="AM386" s="1" t="s">
        <v>74</v>
      </c>
      <c r="AN386" s="1" t="s">
        <v>74</v>
      </c>
      <c r="AO386" s="1" t="s">
        <v>3898</v>
      </c>
      <c r="AP386" s="1" t="s">
        <v>3899</v>
      </c>
      <c r="AQ386" s="1" t="s">
        <v>74</v>
      </c>
      <c r="AR386" s="1" t="s">
        <v>74</v>
      </c>
      <c r="AS386" s="1" t="s">
        <v>74</v>
      </c>
      <c r="AT386" s="1" t="s">
        <v>421</v>
      </c>
      <c r="AU386" s="1">
        <v>2019.0</v>
      </c>
      <c r="AV386" s="1">
        <v>211.0</v>
      </c>
      <c r="AW386" s="1" t="s">
        <v>74</v>
      </c>
      <c r="AX386" s="1" t="s">
        <v>74</v>
      </c>
      <c r="AY386" s="1" t="s">
        <v>74</v>
      </c>
      <c r="AZ386" s="1" t="s">
        <v>74</v>
      </c>
      <c r="BA386" s="1" t="s">
        <v>74</v>
      </c>
      <c r="BB386" s="1">
        <v>34.0</v>
      </c>
      <c r="BC386" s="1">
        <v>43.0</v>
      </c>
      <c r="BD386" s="1" t="s">
        <v>74</v>
      </c>
      <c r="BE386" s="1" t="s">
        <v>3900</v>
      </c>
      <c r="BF386" s="2" t="str">
        <f>HYPERLINK("http://dx.doi.org/10.1016/j.ijpe.2019.01.029","http://dx.doi.org/10.1016/j.ijpe.2019.01.029")</f>
        <v>http://dx.doi.org/10.1016/j.ijpe.2019.01.029</v>
      </c>
      <c r="BG386" s="1" t="s">
        <v>74</v>
      </c>
      <c r="BH386" s="1" t="s">
        <v>74</v>
      </c>
      <c r="BI386" s="1" t="s">
        <v>74</v>
      </c>
      <c r="BJ386" s="1" t="s">
        <v>74</v>
      </c>
      <c r="BK386" s="1" t="s">
        <v>74</v>
      </c>
      <c r="BL386" s="1" t="s">
        <v>74</v>
      </c>
      <c r="BM386" s="1" t="s">
        <v>74</v>
      </c>
      <c r="BN386" s="1" t="s">
        <v>74</v>
      </c>
      <c r="BO386" s="1" t="s">
        <v>74</v>
      </c>
      <c r="BP386" s="1" t="s">
        <v>74</v>
      </c>
      <c r="BQ386" s="1" t="s">
        <v>74</v>
      </c>
      <c r="BR386" s="1" t="s">
        <v>74</v>
      </c>
      <c r="BS386" s="1" t="s">
        <v>3901</v>
      </c>
      <c r="BT386" s="1" t="str">
        <f>HYPERLINK("https%3A%2F%2Fwww.webofscience.com%2Fwos%2Fwoscc%2Ffull-record%2FWOS:000466622400004","View Full Record in Web of Science")</f>
        <v>View Full Record in Web of Science</v>
      </c>
    </row>
    <row r="387" ht="12.75" customHeight="1">
      <c r="A387" s="1" t="s">
        <v>72</v>
      </c>
      <c r="B387" s="1" t="s">
        <v>3902</v>
      </c>
      <c r="C387" s="1" t="s">
        <v>74</v>
      </c>
      <c r="D387" s="1" t="s">
        <v>74</v>
      </c>
      <c r="E387" s="1" t="s">
        <v>74</v>
      </c>
      <c r="F387" s="1" t="s">
        <v>3903</v>
      </c>
      <c r="G387" s="1" t="s">
        <v>74</v>
      </c>
      <c r="H387" s="1" t="s">
        <v>74</v>
      </c>
      <c r="I387" s="1" t="s">
        <v>3904</v>
      </c>
      <c r="J387" s="1" t="s">
        <v>3124</v>
      </c>
      <c r="K387" s="1" t="s">
        <v>74</v>
      </c>
      <c r="L387" s="1" t="s">
        <v>74</v>
      </c>
      <c r="M387" s="1" t="s">
        <v>74</v>
      </c>
      <c r="N387" s="1" t="s">
        <v>74</v>
      </c>
      <c r="O387" s="1" t="s">
        <v>3905</v>
      </c>
      <c r="P387" s="1" t="s">
        <v>3906</v>
      </c>
      <c r="Q387" s="1" t="s">
        <v>3907</v>
      </c>
      <c r="R387" s="1" t="s">
        <v>74</v>
      </c>
      <c r="S387" s="1" t="s">
        <v>74</v>
      </c>
      <c r="T387" s="1" t="s">
        <v>74</v>
      </c>
      <c r="U387" s="1" t="s">
        <v>74</v>
      </c>
      <c r="V387" s="1" t="s">
        <v>3908</v>
      </c>
      <c r="W387" s="1" t="s">
        <v>74</v>
      </c>
      <c r="X387" s="1" t="s">
        <v>74</v>
      </c>
      <c r="Y387" s="1" t="s">
        <v>74</v>
      </c>
      <c r="Z387" s="1" t="s">
        <v>74</v>
      </c>
      <c r="AA387" s="1" t="s">
        <v>3909</v>
      </c>
      <c r="AB387" s="1" t="s">
        <v>3910</v>
      </c>
      <c r="AC387" s="1" t="s">
        <v>74</v>
      </c>
      <c r="AD387" s="1" t="s">
        <v>74</v>
      </c>
      <c r="AE387" s="1" t="s">
        <v>74</v>
      </c>
      <c r="AF387" s="1" t="s">
        <v>74</v>
      </c>
      <c r="AG387" s="1" t="s">
        <v>74</v>
      </c>
      <c r="AH387" s="1" t="s">
        <v>74</v>
      </c>
      <c r="AI387" s="1" t="s">
        <v>74</v>
      </c>
      <c r="AJ387" s="1" t="s">
        <v>74</v>
      </c>
      <c r="AK387" s="1" t="s">
        <v>74</v>
      </c>
      <c r="AL387" s="1" t="s">
        <v>74</v>
      </c>
      <c r="AM387" s="1" t="s">
        <v>74</v>
      </c>
      <c r="AN387" s="1" t="s">
        <v>74</v>
      </c>
      <c r="AO387" s="1" t="s">
        <v>3128</v>
      </c>
      <c r="AP387" s="1" t="s">
        <v>3129</v>
      </c>
      <c r="AQ387" s="1" t="s">
        <v>74</v>
      </c>
      <c r="AR387" s="1" t="s">
        <v>74</v>
      </c>
      <c r="AS387" s="1" t="s">
        <v>74</v>
      </c>
      <c r="AT387" s="1" t="s">
        <v>389</v>
      </c>
      <c r="AU387" s="1">
        <v>2019.0</v>
      </c>
      <c r="AV387" s="1">
        <v>26.0</v>
      </c>
      <c r="AW387" s="1">
        <v>5.0</v>
      </c>
      <c r="AX387" s="1" t="s">
        <v>74</v>
      </c>
      <c r="AY387" s="1" t="s">
        <v>74</v>
      </c>
      <c r="AZ387" s="1" t="s">
        <v>74</v>
      </c>
      <c r="BA387" s="1" t="s">
        <v>74</v>
      </c>
      <c r="BB387" s="1">
        <v>4404.0</v>
      </c>
      <c r="BC387" s="1">
        <v>4414.0</v>
      </c>
      <c r="BD387" s="1" t="s">
        <v>74</v>
      </c>
      <c r="BE387" s="1" t="s">
        <v>3911</v>
      </c>
      <c r="BF387" s="2" t="str">
        <f>HYPERLINK("http://dx.doi.org/10.1007/s11356-018-2234-5","http://dx.doi.org/10.1007/s11356-018-2234-5")</f>
        <v>http://dx.doi.org/10.1007/s11356-018-2234-5</v>
      </c>
      <c r="BG387" s="1" t="s">
        <v>74</v>
      </c>
      <c r="BH387" s="1" t="s">
        <v>74</v>
      </c>
      <c r="BI387" s="1" t="s">
        <v>74</v>
      </c>
      <c r="BJ387" s="1" t="s">
        <v>74</v>
      </c>
      <c r="BK387" s="1" t="s">
        <v>74</v>
      </c>
      <c r="BL387" s="1" t="s">
        <v>74</v>
      </c>
      <c r="BM387" s="1" t="s">
        <v>74</v>
      </c>
      <c r="BN387" s="1">
        <v>2.9770941E7</v>
      </c>
      <c r="BO387" s="1" t="s">
        <v>74</v>
      </c>
      <c r="BP387" s="1" t="s">
        <v>74</v>
      </c>
      <c r="BQ387" s="1" t="s">
        <v>74</v>
      </c>
      <c r="BR387" s="1" t="s">
        <v>74</v>
      </c>
      <c r="BS387" s="1" t="s">
        <v>3912</v>
      </c>
      <c r="BT387" s="1" t="str">
        <f>HYPERLINK("https%3A%2F%2Fwww.webofscience.com%2Fwos%2Fwoscc%2Ffull-record%2FWOS:000458990300024","View Full Record in Web of Science")</f>
        <v>View Full Record in Web of Science</v>
      </c>
    </row>
    <row r="388" ht="12.75" customHeight="1">
      <c r="A388" s="1" t="s">
        <v>72</v>
      </c>
      <c r="B388" s="1" t="s">
        <v>3913</v>
      </c>
      <c r="C388" s="1" t="s">
        <v>74</v>
      </c>
      <c r="D388" s="1" t="s">
        <v>74</v>
      </c>
      <c r="E388" s="1" t="s">
        <v>74</v>
      </c>
      <c r="F388" s="1" t="s">
        <v>3914</v>
      </c>
      <c r="G388" s="1" t="s">
        <v>74</v>
      </c>
      <c r="H388" s="1" t="s">
        <v>74</v>
      </c>
      <c r="I388" s="1" t="s">
        <v>3915</v>
      </c>
      <c r="J388" s="1" t="s">
        <v>3916</v>
      </c>
      <c r="K388" s="1" t="s">
        <v>74</v>
      </c>
      <c r="L388" s="1" t="s">
        <v>74</v>
      </c>
      <c r="M388" s="1" t="s">
        <v>74</v>
      </c>
      <c r="N388" s="1" t="s">
        <v>74</v>
      </c>
      <c r="O388" s="1" t="s">
        <v>74</v>
      </c>
      <c r="P388" s="1" t="s">
        <v>74</v>
      </c>
      <c r="Q388" s="1" t="s">
        <v>74</v>
      </c>
      <c r="R388" s="1" t="s">
        <v>74</v>
      </c>
      <c r="S388" s="1" t="s">
        <v>74</v>
      </c>
      <c r="T388" s="1" t="s">
        <v>74</v>
      </c>
      <c r="U388" s="1" t="s">
        <v>74</v>
      </c>
      <c r="V388" s="1" t="s">
        <v>3917</v>
      </c>
      <c r="W388" s="1" t="s">
        <v>74</v>
      </c>
      <c r="X388" s="1" t="s">
        <v>74</v>
      </c>
      <c r="Y388" s="1" t="s">
        <v>74</v>
      </c>
      <c r="Z388" s="1" t="s">
        <v>74</v>
      </c>
      <c r="AA388" s="1" t="s">
        <v>3918</v>
      </c>
      <c r="AB388" s="1" t="s">
        <v>3919</v>
      </c>
      <c r="AC388" s="1" t="s">
        <v>74</v>
      </c>
      <c r="AD388" s="1" t="s">
        <v>74</v>
      </c>
      <c r="AE388" s="1" t="s">
        <v>74</v>
      </c>
      <c r="AF388" s="1" t="s">
        <v>74</v>
      </c>
      <c r="AG388" s="1" t="s">
        <v>74</v>
      </c>
      <c r="AH388" s="1" t="s">
        <v>74</v>
      </c>
      <c r="AI388" s="1" t="s">
        <v>74</v>
      </c>
      <c r="AJ388" s="1" t="s">
        <v>74</v>
      </c>
      <c r="AK388" s="1" t="s">
        <v>74</v>
      </c>
      <c r="AL388" s="1" t="s">
        <v>74</v>
      </c>
      <c r="AM388" s="1" t="s">
        <v>74</v>
      </c>
      <c r="AN388" s="1" t="s">
        <v>74</v>
      </c>
      <c r="AO388" s="1" t="s">
        <v>3920</v>
      </c>
      <c r="AP388" s="1" t="s">
        <v>74</v>
      </c>
      <c r="AQ388" s="1" t="s">
        <v>74</v>
      </c>
      <c r="AR388" s="1" t="s">
        <v>74</v>
      </c>
      <c r="AS388" s="1" t="s">
        <v>74</v>
      </c>
      <c r="AT388" s="1" t="s">
        <v>74</v>
      </c>
      <c r="AU388" s="1">
        <v>2019.0</v>
      </c>
      <c r="AV388" s="1">
        <v>37.0</v>
      </c>
      <c r="AW388" s="1">
        <v>2.0</v>
      </c>
      <c r="AX388" s="1" t="s">
        <v>74</v>
      </c>
      <c r="AY388" s="1" t="s">
        <v>74</v>
      </c>
      <c r="AZ388" s="1" t="s">
        <v>74</v>
      </c>
      <c r="BA388" s="1" t="s">
        <v>74</v>
      </c>
      <c r="BB388" s="1">
        <v>104.0</v>
      </c>
      <c r="BC388" s="1">
        <v>115.0</v>
      </c>
      <c r="BD388" s="1" t="s">
        <v>74</v>
      </c>
      <c r="BE388" s="1" t="s">
        <v>3921</v>
      </c>
      <c r="BF388" s="2" t="str">
        <f>HYPERLINK("http://dx.doi.org/10.4067/S0718-48082019000200104","http://dx.doi.org/10.4067/S0718-48082019000200104")</f>
        <v>http://dx.doi.org/10.4067/S0718-48082019000200104</v>
      </c>
      <c r="BG388" s="1" t="s">
        <v>74</v>
      </c>
      <c r="BH388" s="1" t="s">
        <v>74</v>
      </c>
      <c r="BI388" s="1" t="s">
        <v>74</v>
      </c>
      <c r="BJ388" s="1" t="s">
        <v>74</v>
      </c>
      <c r="BK388" s="1" t="s">
        <v>74</v>
      </c>
      <c r="BL388" s="1" t="s">
        <v>74</v>
      </c>
      <c r="BM388" s="1" t="s">
        <v>74</v>
      </c>
      <c r="BN388" s="1" t="s">
        <v>74</v>
      </c>
      <c r="BO388" s="1" t="s">
        <v>74</v>
      </c>
      <c r="BP388" s="1" t="s">
        <v>74</v>
      </c>
      <c r="BQ388" s="1" t="s">
        <v>74</v>
      </c>
      <c r="BR388" s="1" t="s">
        <v>74</v>
      </c>
      <c r="BS388" s="1" t="s">
        <v>3922</v>
      </c>
      <c r="BT388" s="1" t="str">
        <f>HYPERLINK("https%3A%2F%2Fwww.webofscience.com%2Fwos%2Fwoscc%2Ffull-record%2FWOS:000481655600003","View Full Record in Web of Science")</f>
        <v>View Full Record in Web of Science</v>
      </c>
    </row>
    <row r="389" ht="12.75" customHeight="1">
      <c r="A389" s="1" t="s">
        <v>147</v>
      </c>
      <c r="B389" s="1" t="s">
        <v>3923</v>
      </c>
      <c r="C389" s="1" t="s">
        <v>74</v>
      </c>
      <c r="D389" s="1" t="s">
        <v>3924</v>
      </c>
      <c r="E389" s="1" t="s">
        <v>74</v>
      </c>
      <c r="F389" s="1" t="s">
        <v>3925</v>
      </c>
      <c r="G389" s="1" t="s">
        <v>74</v>
      </c>
      <c r="H389" s="1" t="s">
        <v>74</v>
      </c>
      <c r="I389" s="1" t="s">
        <v>3926</v>
      </c>
      <c r="J389" s="1" t="s">
        <v>3927</v>
      </c>
      <c r="K389" s="1" t="s">
        <v>74</v>
      </c>
      <c r="L389" s="1" t="s">
        <v>74</v>
      </c>
      <c r="M389" s="1" t="s">
        <v>74</v>
      </c>
      <c r="N389" s="1" t="s">
        <v>74</v>
      </c>
      <c r="O389" s="1" t="s">
        <v>3928</v>
      </c>
      <c r="P389" s="1" t="s">
        <v>3929</v>
      </c>
      <c r="Q389" s="1" t="s">
        <v>940</v>
      </c>
      <c r="R389" s="1" t="s">
        <v>3930</v>
      </c>
      <c r="S389" s="1" t="s">
        <v>74</v>
      </c>
      <c r="T389" s="1" t="s">
        <v>74</v>
      </c>
      <c r="U389" s="1" t="s">
        <v>74</v>
      </c>
      <c r="V389" s="1" t="s">
        <v>3931</v>
      </c>
      <c r="W389" s="1" t="s">
        <v>74</v>
      </c>
      <c r="X389" s="1" t="s">
        <v>74</v>
      </c>
      <c r="Y389" s="1" t="s">
        <v>74</v>
      </c>
      <c r="Z389" s="1" t="s">
        <v>74</v>
      </c>
      <c r="AA389" s="1" t="s">
        <v>3932</v>
      </c>
      <c r="AB389" s="1" t="s">
        <v>3933</v>
      </c>
      <c r="AC389" s="1" t="s">
        <v>74</v>
      </c>
      <c r="AD389" s="1" t="s">
        <v>74</v>
      </c>
      <c r="AE389" s="1" t="s">
        <v>74</v>
      </c>
      <c r="AF389" s="1" t="s">
        <v>74</v>
      </c>
      <c r="AG389" s="1" t="s">
        <v>74</v>
      </c>
      <c r="AH389" s="1" t="s">
        <v>74</v>
      </c>
      <c r="AI389" s="1" t="s">
        <v>74</v>
      </c>
      <c r="AJ389" s="1" t="s">
        <v>74</v>
      </c>
      <c r="AK389" s="1" t="s">
        <v>74</v>
      </c>
      <c r="AL389" s="1" t="s">
        <v>74</v>
      </c>
      <c r="AM389" s="1" t="s">
        <v>74</v>
      </c>
      <c r="AN389" s="1" t="s">
        <v>74</v>
      </c>
      <c r="AO389" s="1" t="s">
        <v>74</v>
      </c>
      <c r="AP389" s="1" t="s">
        <v>74</v>
      </c>
      <c r="AQ389" s="1" t="s">
        <v>3934</v>
      </c>
      <c r="AR389" s="1" t="s">
        <v>74</v>
      </c>
      <c r="AS389" s="1" t="s">
        <v>74</v>
      </c>
      <c r="AT389" s="1" t="s">
        <v>74</v>
      </c>
      <c r="AU389" s="1">
        <v>2019.0</v>
      </c>
      <c r="AV389" s="1" t="s">
        <v>74</v>
      </c>
      <c r="AW389" s="1" t="s">
        <v>74</v>
      </c>
      <c r="AX389" s="1" t="s">
        <v>74</v>
      </c>
      <c r="AY389" s="1" t="s">
        <v>74</v>
      </c>
      <c r="AZ389" s="1" t="s">
        <v>74</v>
      </c>
      <c r="BA389" s="1" t="s">
        <v>74</v>
      </c>
      <c r="BB389" s="1" t="s">
        <v>74</v>
      </c>
      <c r="BC389" s="1" t="s">
        <v>74</v>
      </c>
      <c r="BD389" s="1" t="s">
        <v>74</v>
      </c>
      <c r="BE389" s="1" t="s">
        <v>3935</v>
      </c>
      <c r="BF389" s="2" t="str">
        <f>HYPERLINK("http://dx.doi.org/10.1109/ccac.2019.8921359","http://dx.doi.org/10.1109/ccac.2019.8921359")</f>
        <v>http://dx.doi.org/10.1109/ccac.2019.8921359</v>
      </c>
      <c r="BG389" s="1" t="s">
        <v>74</v>
      </c>
      <c r="BH389" s="1" t="s">
        <v>74</v>
      </c>
      <c r="BI389" s="1" t="s">
        <v>74</v>
      </c>
      <c r="BJ389" s="1" t="s">
        <v>74</v>
      </c>
      <c r="BK389" s="1" t="s">
        <v>74</v>
      </c>
      <c r="BL389" s="1" t="s">
        <v>74</v>
      </c>
      <c r="BM389" s="1" t="s">
        <v>74</v>
      </c>
      <c r="BN389" s="1" t="s">
        <v>74</v>
      </c>
      <c r="BO389" s="1" t="s">
        <v>74</v>
      </c>
      <c r="BP389" s="1" t="s">
        <v>74</v>
      </c>
      <c r="BQ389" s="1" t="s">
        <v>74</v>
      </c>
      <c r="BR389" s="1" t="s">
        <v>74</v>
      </c>
      <c r="BS389" s="1" t="s">
        <v>3936</v>
      </c>
      <c r="BT389" s="1" t="str">
        <f>HYPERLINK("https%3A%2F%2Fwww.webofscience.com%2Fwos%2Fwoscc%2Ffull-record%2FWOS:000556163800096","View Full Record in Web of Science")</f>
        <v>View Full Record in Web of Science</v>
      </c>
    </row>
    <row r="390" ht="12.75" customHeight="1">
      <c r="A390" s="1" t="s">
        <v>72</v>
      </c>
      <c r="B390" s="1" t="s">
        <v>3937</v>
      </c>
      <c r="C390" s="1" t="s">
        <v>74</v>
      </c>
      <c r="D390" s="1" t="s">
        <v>74</v>
      </c>
      <c r="E390" s="1" t="s">
        <v>74</v>
      </c>
      <c r="F390" s="1" t="s">
        <v>3938</v>
      </c>
      <c r="G390" s="1" t="s">
        <v>74</v>
      </c>
      <c r="H390" s="1" t="s">
        <v>74</v>
      </c>
      <c r="I390" s="1" t="s">
        <v>3939</v>
      </c>
      <c r="J390" s="1" t="s">
        <v>3083</v>
      </c>
      <c r="K390" s="1" t="s">
        <v>74</v>
      </c>
      <c r="L390" s="1" t="s">
        <v>74</v>
      </c>
      <c r="M390" s="1" t="s">
        <v>74</v>
      </c>
      <c r="N390" s="1" t="s">
        <v>74</v>
      </c>
      <c r="O390" s="1" t="s">
        <v>74</v>
      </c>
      <c r="P390" s="1" t="s">
        <v>74</v>
      </c>
      <c r="Q390" s="1" t="s">
        <v>74</v>
      </c>
      <c r="R390" s="1" t="s">
        <v>74</v>
      </c>
      <c r="S390" s="1" t="s">
        <v>74</v>
      </c>
      <c r="T390" s="1" t="s">
        <v>74</v>
      </c>
      <c r="U390" s="1" t="s">
        <v>74</v>
      </c>
      <c r="V390" s="1" t="s">
        <v>3940</v>
      </c>
      <c r="W390" s="1" t="s">
        <v>74</v>
      </c>
      <c r="X390" s="1" t="s">
        <v>74</v>
      </c>
      <c r="Y390" s="1" t="s">
        <v>74</v>
      </c>
      <c r="Z390" s="1" t="s">
        <v>74</v>
      </c>
      <c r="AA390" s="1" t="s">
        <v>3941</v>
      </c>
      <c r="AB390" s="1" t="s">
        <v>3942</v>
      </c>
      <c r="AC390" s="1" t="s">
        <v>74</v>
      </c>
      <c r="AD390" s="1" t="s">
        <v>74</v>
      </c>
      <c r="AE390" s="1" t="s">
        <v>74</v>
      </c>
      <c r="AF390" s="1" t="s">
        <v>74</v>
      </c>
      <c r="AG390" s="1" t="s">
        <v>74</v>
      </c>
      <c r="AH390" s="1" t="s">
        <v>74</v>
      </c>
      <c r="AI390" s="1" t="s">
        <v>74</v>
      </c>
      <c r="AJ390" s="1" t="s">
        <v>74</v>
      </c>
      <c r="AK390" s="1" t="s">
        <v>74</v>
      </c>
      <c r="AL390" s="1" t="s">
        <v>74</v>
      </c>
      <c r="AM390" s="1" t="s">
        <v>74</v>
      </c>
      <c r="AN390" s="1" t="s">
        <v>74</v>
      </c>
      <c r="AO390" s="1" t="s">
        <v>3087</v>
      </c>
      <c r="AP390" s="1" t="s">
        <v>3088</v>
      </c>
      <c r="AQ390" s="1" t="s">
        <v>74</v>
      </c>
      <c r="AR390" s="1" t="s">
        <v>74</v>
      </c>
      <c r="AS390" s="1" t="s">
        <v>74</v>
      </c>
      <c r="AT390" s="1" t="s">
        <v>916</v>
      </c>
      <c r="AU390" s="1">
        <v>2018.0</v>
      </c>
      <c r="AV390" s="1">
        <v>51.0</v>
      </c>
      <c r="AW390" s="1" t="s">
        <v>74</v>
      </c>
      <c r="AX390" s="1" t="s">
        <v>74</v>
      </c>
      <c r="AY390" s="1" t="s">
        <v>74</v>
      </c>
      <c r="AZ390" s="1" t="s">
        <v>74</v>
      </c>
      <c r="BA390" s="1" t="s">
        <v>74</v>
      </c>
      <c r="BB390" s="1" t="s">
        <v>74</v>
      </c>
      <c r="BC390" s="1" t="s">
        <v>74</v>
      </c>
      <c r="BD390" s="1">
        <v>48.0</v>
      </c>
      <c r="BE390" s="1" t="s">
        <v>3943</v>
      </c>
      <c r="BF390" s="2" t="str">
        <f>HYPERLINK("http://dx.doi.org/10.1186/s40659-018-0197-0","http://dx.doi.org/10.1186/s40659-018-0197-0")</f>
        <v>http://dx.doi.org/10.1186/s40659-018-0197-0</v>
      </c>
      <c r="BG390" s="1" t="s">
        <v>74</v>
      </c>
      <c r="BH390" s="1" t="s">
        <v>74</v>
      </c>
      <c r="BI390" s="1" t="s">
        <v>74</v>
      </c>
      <c r="BJ390" s="1" t="s">
        <v>74</v>
      </c>
      <c r="BK390" s="1" t="s">
        <v>74</v>
      </c>
      <c r="BL390" s="1" t="s">
        <v>74</v>
      </c>
      <c r="BM390" s="1" t="s">
        <v>74</v>
      </c>
      <c r="BN390" s="1">
        <v>3.0428921E7</v>
      </c>
      <c r="BO390" s="1" t="s">
        <v>74</v>
      </c>
      <c r="BP390" s="1" t="s">
        <v>74</v>
      </c>
      <c r="BQ390" s="1" t="s">
        <v>74</v>
      </c>
      <c r="BR390" s="1" t="s">
        <v>74</v>
      </c>
      <c r="BS390" s="1" t="s">
        <v>3944</v>
      </c>
      <c r="BT390" s="1" t="str">
        <f>HYPERLINK("https%3A%2F%2Fwww.webofscience.com%2Fwos%2Fwoscc%2Ffull-record%2FWOS:000450360100002","View Full Record in Web of Science")</f>
        <v>View Full Record in Web of Science</v>
      </c>
    </row>
    <row r="391" ht="12.75" customHeight="1">
      <c r="A391" s="1" t="s">
        <v>72</v>
      </c>
      <c r="B391" s="1" t="s">
        <v>3945</v>
      </c>
      <c r="C391" s="1" t="s">
        <v>74</v>
      </c>
      <c r="D391" s="1" t="s">
        <v>74</v>
      </c>
      <c r="E391" s="1" t="s">
        <v>74</v>
      </c>
      <c r="F391" s="1" t="s">
        <v>3946</v>
      </c>
      <c r="G391" s="1" t="s">
        <v>74</v>
      </c>
      <c r="H391" s="1" t="s">
        <v>74</v>
      </c>
      <c r="I391" s="1" t="s">
        <v>3947</v>
      </c>
      <c r="J391" s="1" t="s">
        <v>3948</v>
      </c>
      <c r="K391" s="1" t="s">
        <v>74</v>
      </c>
      <c r="L391" s="1" t="s">
        <v>74</v>
      </c>
      <c r="M391" s="1" t="s">
        <v>74</v>
      </c>
      <c r="N391" s="1" t="s">
        <v>74</v>
      </c>
      <c r="O391" s="1" t="s">
        <v>74</v>
      </c>
      <c r="P391" s="1" t="s">
        <v>74</v>
      </c>
      <c r="Q391" s="1" t="s">
        <v>74</v>
      </c>
      <c r="R391" s="1" t="s">
        <v>74</v>
      </c>
      <c r="S391" s="1" t="s">
        <v>74</v>
      </c>
      <c r="T391" s="1" t="s">
        <v>74</v>
      </c>
      <c r="U391" s="1" t="s">
        <v>74</v>
      </c>
      <c r="V391" s="1" t="s">
        <v>74</v>
      </c>
      <c r="W391" s="1" t="s">
        <v>74</v>
      </c>
      <c r="X391" s="1" t="s">
        <v>74</v>
      </c>
      <c r="Y391" s="1" t="s">
        <v>74</v>
      </c>
      <c r="Z391" s="1" t="s">
        <v>74</v>
      </c>
      <c r="AA391" s="1" t="s">
        <v>3949</v>
      </c>
      <c r="AB391" s="1" t="s">
        <v>3950</v>
      </c>
      <c r="AC391" s="1" t="s">
        <v>74</v>
      </c>
      <c r="AD391" s="1" t="s">
        <v>74</v>
      </c>
      <c r="AE391" s="1" t="s">
        <v>74</v>
      </c>
      <c r="AF391" s="1" t="s">
        <v>74</v>
      </c>
      <c r="AG391" s="1" t="s">
        <v>74</v>
      </c>
      <c r="AH391" s="1" t="s">
        <v>74</v>
      </c>
      <c r="AI391" s="1" t="s">
        <v>74</v>
      </c>
      <c r="AJ391" s="1" t="s">
        <v>74</v>
      </c>
      <c r="AK391" s="1" t="s">
        <v>74</v>
      </c>
      <c r="AL391" s="1" t="s">
        <v>74</v>
      </c>
      <c r="AM391" s="1" t="s">
        <v>74</v>
      </c>
      <c r="AN391" s="1" t="s">
        <v>74</v>
      </c>
      <c r="AO391" s="1" t="s">
        <v>3951</v>
      </c>
      <c r="AP391" s="1" t="s">
        <v>3952</v>
      </c>
      <c r="AQ391" s="1" t="s">
        <v>74</v>
      </c>
      <c r="AR391" s="1" t="s">
        <v>74</v>
      </c>
      <c r="AS391" s="1" t="s">
        <v>74</v>
      </c>
      <c r="AT391" s="1" t="s">
        <v>363</v>
      </c>
      <c r="AU391" s="1">
        <v>2018.0</v>
      </c>
      <c r="AV391" s="1">
        <v>25.0</v>
      </c>
      <c r="AW391" s="1" t="s">
        <v>74</v>
      </c>
      <c r="AX391" s="1" t="s">
        <v>74</v>
      </c>
      <c r="AY391" s="1">
        <v>1.0</v>
      </c>
      <c r="AZ391" s="1" t="s">
        <v>74</v>
      </c>
      <c r="BA391" s="1" t="s">
        <v>3953</v>
      </c>
      <c r="BB391" s="1" t="s">
        <v>3954</v>
      </c>
      <c r="BC391" s="1" t="s">
        <v>3954</v>
      </c>
      <c r="BD391" s="1" t="s">
        <v>74</v>
      </c>
      <c r="BE391" s="1" t="s">
        <v>74</v>
      </c>
      <c r="BF391" s="1" t="s">
        <v>74</v>
      </c>
      <c r="BG391" s="1" t="s">
        <v>74</v>
      </c>
      <c r="BH391" s="1" t="s">
        <v>74</v>
      </c>
      <c r="BI391" s="1" t="s">
        <v>74</v>
      </c>
      <c r="BJ391" s="1" t="s">
        <v>74</v>
      </c>
      <c r="BK391" s="1" t="s">
        <v>74</v>
      </c>
      <c r="BL391" s="1" t="s">
        <v>74</v>
      </c>
      <c r="BM391" s="1" t="s">
        <v>74</v>
      </c>
      <c r="BN391" s="1" t="s">
        <v>74</v>
      </c>
      <c r="BO391" s="1" t="s">
        <v>74</v>
      </c>
      <c r="BP391" s="1" t="s">
        <v>74</v>
      </c>
      <c r="BQ391" s="1" t="s">
        <v>74</v>
      </c>
      <c r="BR391" s="1" t="s">
        <v>74</v>
      </c>
      <c r="BS391" s="1" t="s">
        <v>3955</v>
      </c>
      <c r="BT391" s="1" t="str">
        <f>HYPERLINK("https%3A%2F%2Fwww.webofscience.com%2Fwos%2Fwoscc%2Ffull-record%2FWOS:000446532700238","View Full Record in Web of Science")</f>
        <v>View Full Record in Web of Science</v>
      </c>
    </row>
    <row r="392" ht="12.75" customHeight="1">
      <c r="A392" s="1" t="s">
        <v>72</v>
      </c>
      <c r="B392" s="1" t="s">
        <v>3956</v>
      </c>
      <c r="C392" s="1" t="s">
        <v>74</v>
      </c>
      <c r="D392" s="1" t="s">
        <v>74</v>
      </c>
      <c r="E392" s="1" t="s">
        <v>74</v>
      </c>
      <c r="F392" s="1" t="s">
        <v>3957</v>
      </c>
      <c r="G392" s="1" t="s">
        <v>74</v>
      </c>
      <c r="H392" s="1" t="s">
        <v>74</v>
      </c>
      <c r="I392" s="1" t="s">
        <v>3958</v>
      </c>
      <c r="J392" s="1" t="s">
        <v>1452</v>
      </c>
      <c r="K392" s="1" t="s">
        <v>74</v>
      </c>
      <c r="L392" s="1" t="s">
        <v>74</v>
      </c>
      <c r="M392" s="1" t="s">
        <v>74</v>
      </c>
      <c r="N392" s="1" t="s">
        <v>74</v>
      </c>
      <c r="O392" s="1" t="s">
        <v>74</v>
      </c>
      <c r="P392" s="1" t="s">
        <v>74</v>
      </c>
      <c r="Q392" s="1" t="s">
        <v>74</v>
      </c>
      <c r="R392" s="1" t="s">
        <v>74</v>
      </c>
      <c r="S392" s="1" t="s">
        <v>74</v>
      </c>
      <c r="T392" s="1" t="s">
        <v>74</v>
      </c>
      <c r="U392" s="1" t="s">
        <v>74</v>
      </c>
      <c r="V392" s="1" t="s">
        <v>3959</v>
      </c>
      <c r="W392" s="1" t="s">
        <v>74</v>
      </c>
      <c r="X392" s="1" t="s">
        <v>74</v>
      </c>
      <c r="Y392" s="1" t="s">
        <v>74</v>
      </c>
      <c r="Z392" s="1" t="s">
        <v>74</v>
      </c>
      <c r="AA392" s="1" t="s">
        <v>3960</v>
      </c>
      <c r="AB392" s="1" t="s">
        <v>3961</v>
      </c>
      <c r="AC392" s="1" t="s">
        <v>74</v>
      </c>
      <c r="AD392" s="1" t="s">
        <v>74</v>
      </c>
      <c r="AE392" s="1" t="s">
        <v>74</v>
      </c>
      <c r="AF392" s="1" t="s">
        <v>74</v>
      </c>
      <c r="AG392" s="1" t="s">
        <v>74</v>
      </c>
      <c r="AH392" s="1" t="s">
        <v>74</v>
      </c>
      <c r="AI392" s="1" t="s">
        <v>74</v>
      </c>
      <c r="AJ392" s="1" t="s">
        <v>74</v>
      </c>
      <c r="AK392" s="1" t="s">
        <v>74</v>
      </c>
      <c r="AL392" s="1" t="s">
        <v>74</v>
      </c>
      <c r="AM392" s="1" t="s">
        <v>74</v>
      </c>
      <c r="AN392" s="1" t="s">
        <v>74</v>
      </c>
      <c r="AO392" s="1" t="s">
        <v>1456</v>
      </c>
      <c r="AP392" s="1" t="s">
        <v>1457</v>
      </c>
      <c r="AQ392" s="1" t="s">
        <v>74</v>
      </c>
      <c r="AR392" s="1" t="s">
        <v>74</v>
      </c>
      <c r="AS392" s="1" t="s">
        <v>74</v>
      </c>
      <c r="AT392" s="1" t="s">
        <v>3962</v>
      </c>
      <c r="AU392" s="1">
        <v>2018.0</v>
      </c>
      <c r="AV392" s="1">
        <v>461.0</v>
      </c>
      <c r="AW392" s="1" t="s">
        <v>74</v>
      </c>
      <c r="AX392" s="1" t="s">
        <v>74</v>
      </c>
      <c r="AY392" s="1" t="s">
        <v>74</v>
      </c>
      <c r="AZ392" s="1" t="s">
        <v>74</v>
      </c>
      <c r="BA392" s="1" t="s">
        <v>74</v>
      </c>
      <c r="BB392" s="1">
        <v>28.0</v>
      </c>
      <c r="BC392" s="1">
        <v>38.0</v>
      </c>
      <c r="BD392" s="1" t="s">
        <v>74</v>
      </c>
      <c r="BE392" s="1" t="s">
        <v>3963</v>
      </c>
      <c r="BF392" s="2" t="str">
        <f>HYPERLINK("http://dx.doi.org/10.1016/j.fluid.2018.01.001","http://dx.doi.org/10.1016/j.fluid.2018.01.001")</f>
        <v>http://dx.doi.org/10.1016/j.fluid.2018.01.001</v>
      </c>
      <c r="BG392" s="1" t="s">
        <v>74</v>
      </c>
      <c r="BH392" s="1" t="s">
        <v>74</v>
      </c>
      <c r="BI392" s="1" t="s">
        <v>74</v>
      </c>
      <c r="BJ392" s="1" t="s">
        <v>74</v>
      </c>
      <c r="BK392" s="1" t="s">
        <v>74</v>
      </c>
      <c r="BL392" s="1" t="s">
        <v>74</v>
      </c>
      <c r="BM392" s="1" t="s">
        <v>74</v>
      </c>
      <c r="BN392" s="1" t="s">
        <v>74</v>
      </c>
      <c r="BO392" s="1" t="s">
        <v>74</v>
      </c>
      <c r="BP392" s="1" t="s">
        <v>74</v>
      </c>
      <c r="BQ392" s="1" t="s">
        <v>74</v>
      </c>
      <c r="BR392" s="1" t="s">
        <v>74</v>
      </c>
      <c r="BS392" s="1" t="s">
        <v>3964</v>
      </c>
      <c r="BT392" s="1" t="str">
        <f>HYPERLINK("https%3A%2F%2Fwww.webofscience.com%2Fwos%2Fwoscc%2Ffull-record%2FWOS:000428097200004","View Full Record in Web of Science")</f>
        <v>View Full Record in Web of Science</v>
      </c>
    </row>
    <row r="393" ht="12.75" customHeight="1">
      <c r="A393" s="1" t="s">
        <v>72</v>
      </c>
      <c r="B393" s="1" t="s">
        <v>3965</v>
      </c>
      <c r="C393" s="1" t="s">
        <v>74</v>
      </c>
      <c r="D393" s="1" t="s">
        <v>74</v>
      </c>
      <c r="E393" s="1" t="s">
        <v>74</v>
      </c>
      <c r="F393" s="1" t="s">
        <v>3966</v>
      </c>
      <c r="G393" s="1" t="s">
        <v>74</v>
      </c>
      <c r="H393" s="1" t="s">
        <v>74</v>
      </c>
      <c r="I393" s="1" t="s">
        <v>3967</v>
      </c>
      <c r="J393" s="1" t="s">
        <v>3968</v>
      </c>
      <c r="K393" s="1" t="s">
        <v>74</v>
      </c>
      <c r="L393" s="1" t="s">
        <v>74</v>
      </c>
      <c r="M393" s="1" t="s">
        <v>74</v>
      </c>
      <c r="N393" s="1" t="s">
        <v>74</v>
      </c>
      <c r="O393" s="1" t="s">
        <v>74</v>
      </c>
      <c r="P393" s="1" t="s">
        <v>74</v>
      </c>
      <c r="Q393" s="1" t="s">
        <v>74</v>
      </c>
      <c r="R393" s="1" t="s">
        <v>74</v>
      </c>
      <c r="S393" s="1" t="s">
        <v>74</v>
      </c>
      <c r="T393" s="1" t="s">
        <v>74</v>
      </c>
      <c r="U393" s="1" t="s">
        <v>74</v>
      </c>
      <c r="V393" s="1" t="s">
        <v>3969</v>
      </c>
      <c r="W393" s="1" t="s">
        <v>74</v>
      </c>
      <c r="X393" s="1" t="s">
        <v>74</v>
      </c>
      <c r="Y393" s="1" t="s">
        <v>74</v>
      </c>
      <c r="Z393" s="1" t="s">
        <v>74</v>
      </c>
      <c r="AA393" s="1" t="s">
        <v>1445</v>
      </c>
      <c r="AB393" s="1" t="s">
        <v>3970</v>
      </c>
      <c r="AC393" s="1" t="s">
        <v>74</v>
      </c>
      <c r="AD393" s="1" t="s">
        <v>74</v>
      </c>
      <c r="AE393" s="1" t="s">
        <v>74</v>
      </c>
      <c r="AF393" s="1" t="s">
        <v>74</v>
      </c>
      <c r="AG393" s="1" t="s">
        <v>74</v>
      </c>
      <c r="AH393" s="1" t="s">
        <v>74</v>
      </c>
      <c r="AI393" s="1" t="s">
        <v>74</v>
      </c>
      <c r="AJ393" s="1" t="s">
        <v>74</v>
      </c>
      <c r="AK393" s="1" t="s">
        <v>74</v>
      </c>
      <c r="AL393" s="1" t="s">
        <v>74</v>
      </c>
      <c r="AM393" s="1" t="s">
        <v>74</v>
      </c>
      <c r="AN393" s="1" t="s">
        <v>74</v>
      </c>
      <c r="AO393" s="1" t="s">
        <v>3971</v>
      </c>
      <c r="AP393" s="1" t="s">
        <v>3972</v>
      </c>
      <c r="AQ393" s="1" t="s">
        <v>74</v>
      </c>
      <c r="AR393" s="1" t="s">
        <v>74</v>
      </c>
      <c r="AS393" s="1" t="s">
        <v>74</v>
      </c>
      <c r="AT393" s="1" t="s">
        <v>841</v>
      </c>
      <c r="AU393" s="1">
        <v>2018.0</v>
      </c>
      <c r="AV393" s="1">
        <v>118.0</v>
      </c>
      <c r="AW393" s="1" t="s">
        <v>74</v>
      </c>
      <c r="AX393" s="1" t="s">
        <v>74</v>
      </c>
      <c r="AY393" s="1" t="s">
        <v>74</v>
      </c>
      <c r="AZ393" s="1" t="s">
        <v>74</v>
      </c>
      <c r="BA393" s="1" t="s">
        <v>74</v>
      </c>
      <c r="BB393" s="1">
        <v>170.0</v>
      </c>
      <c r="BC393" s="1">
        <v>179.0</v>
      </c>
      <c r="BD393" s="1" t="s">
        <v>74</v>
      </c>
      <c r="BE393" s="1" t="s">
        <v>3973</v>
      </c>
      <c r="BF393" s="2" t="str">
        <f>HYPERLINK("http://dx.doi.org/10.1016/j.cie.2018.02.020","http://dx.doi.org/10.1016/j.cie.2018.02.020")</f>
        <v>http://dx.doi.org/10.1016/j.cie.2018.02.020</v>
      </c>
      <c r="BG393" s="1" t="s">
        <v>74</v>
      </c>
      <c r="BH393" s="1" t="s">
        <v>74</v>
      </c>
      <c r="BI393" s="1" t="s">
        <v>74</v>
      </c>
      <c r="BJ393" s="1" t="s">
        <v>74</v>
      </c>
      <c r="BK393" s="1" t="s">
        <v>74</v>
      </c>
      <c r="BL393" s="1" t="s">
        <v>74</v>
      </c>
      <c r="BM393" s="1" t="s">
        <v>74</v>
      </c>
      <c r="BN393" s="1" t="s">
        <v>74</v>
      </c>
      <c r="BO393" s="1" t="s">
        <v>74</v>
      </c>
      <c r="BP393" s="1" t="s">
        <v>74</v>
      </c>
      <c r="BQ393" s="1" t="s">
        <v>74</v>
      </c>
      <c r="BR393" s="1" t="s">
        <v>74</v>
      </c>
      <c r="BS393" s="1" t="s">
        <v>3974</v>
      </c>
      <c r="BT393" s="1" t="str">
        <f>HYPERLINK("https%3A%2F%2Fwww.webofscience.com%2Fwos%2Fwoscc%2Ffull-record%2FWOS:000430785500016","View Full Record in Web of Science")</f>
        <v>View Full Record in Web of Science</v>
      </c>
    </row>
    <row r="394" ht="12.75" customHeight="1">
      <c r="A394" s="1" t="s">
        <v>86</v>
      </c>
      <c r="B394" s="1" t="s">
        <v>3975</v>
      </c>
      <c r="C394" s="1" t="s">
        <v>3976</v>
      </c>
      <c r="D394" s="1" t="s">
        <v>3975</v>
      </c>
      <c r="E394" s="1" t="s">
        <v>74</v>
      </c>
      <c r="F394" s="1" t="s">
        <v>3977</v>
      </c>
      <c r="G394" s="1" t="s">
        <v>3976</v>
      </c>
      <c r="H394" s="1" t="s">
        <v>74</v>
      </c>
      <c r="I394" s="1" t="s">
        <v>3978</v>
      </c>
      <c r="J394" s="1" t="s">
        <v>3979</v>
      </c>
      <c r="K394" s="1" t="s">
        <v>74</v>
      </c>
      <c r="L394" s="1" t="s">
        <v>74</v>
      </c>
      <c r="M394" s="1" t="s">
        <v>74</v>
      </c>
      <c r="N394" s="1" t="s">
        <v>74</v>
      </c>
      <c r="O394" s="1" t="s">
        <v>74</v>
      </c>
      <c r="P394" s="1" t="s">
        <v>74</v>
      </c>
      <c r="Q394" s="1" t="s">
        <v>74</v>
      </c>
      <c r="R394" s="1" t="s">
        <v>74</v>
      </c>
      <c r="S394" s="1" t="s">
        <v>74</v>
      </c>
      <c r="T394" s="1" t="s">
        <v>74</v>
      </c>
      <c r="U394" s="1" t="s">
        <v>74</v>
      </c>
      <c r="V394" s="1" t="s">
        <v>74</v>
      </c>
      <c r="W394" s="1" t="s">
        <v>74</v>
      </c>
      <c r="X394" s="1" t="s">
        <v>74</v>
      </c>
      <c r="Y394" s="1" t="s">
        <v>74</v>
      </c>
      <c r="Z394" s="1" t="s">
        <v>74</v>
      </c>
      <c r="AA394" s="1" t="s">
        <v>74</v>
      </c>
      <c r="AB394" s="1" t="s">
        <v>74</v>
      </c>
      <c r="AC394" s="1" t="s">
        <v>74</v>
      </c>
      <c r="AD394" s="1" t="s">
        <v>74</v>
      </c>
      <c r="AE394" s="1" t="s">
        <v>74</v>
      </c>
      <c r="AF394" s="1" t="s">
        <v>74</v>
      </c>
      <c r="AG394" s="1" t="s">
        <v>74</v>
      </c>
      <c r="AH394" s="1" t="s">
        <v>74</v>
      </c>
      <c r="AI394" s="1" t="s">
        <v>74</v>
      </c>
      <c r="AJ394" s="1" t="s">
        <v>74</v>
      </c>
      <c r="AK394" s="1" t="s">
        <v>74</v>
      </c>
      <c r="AL394" s="1" t="s">
        <v>74</v>
      </c>
      <c r="AM394" s="1" t="s">
        <v>74</v>
      </c>
      <c r="AN394" s="1" t="s">
        <v>74</v>
      </c>
      <c r="AO394" s="1" t="s">
        <v>74</v>
      </c>
      <c r="AP394" s="1" t="s">
        <v>74</v>
      </c>
      <c r="AQ394" s="1" t="s">
        <v>3980</v>
      </c>
      <c r="AR394" s="1" t="s">
        <v>74</v>
      </c>
      <c r="AS394" s="1" t="s">
        <v>74</v>
      </c>
      <c r="AT394" s="1" t="s">
        <v>74</v>
      </c>
      <c r="AU394" s="1">
        <v>2018.0</v>
      </c>
      <c r="AV394" s="1" t="s">
        <v>74</v>
      </c>
      <c r="AW394" s="1" t="s">
        <v>74</v>
      </c>
      <c r="AX394" s="1" t="s">
        <v>74</v>
      </c>
      <c r="AY394" s="1" t="s">
        <v>74</v>
      </c>
      <c r="AZ394" s="1" t="s">
        <v>74</v>
      </c>
      <c r="BA394" s="1" t="s">
        <v>74</v>
      </c>
      <c r="BB394" s="1">
        <v>9.0</v>
      </c>
      <c r="BC394" s="1">
        <v>13.0</v>
      </c>
      <c r="BD394" s="1" t="s">
        <v>74</v>
      </c>
      <c r="BE394" s="1" t="s">
        <v>74</v>
      </c>
      <c r="BF394" s="1" t="s">
        <v>74</v>
      </c>
      <c r="BG394" s="1" t="s">
        <v>74</v>
      </c>
      <c r="BH394" s="1" t="s">
        <v>74</v>
      </c>
      <c r="BI394" s="1" t="s">
        <v>74</v>
      </c>
      <c r="BJ394" s="1" t="s">
        <v>74</v>
      </c>
      <c r="BK394" s="1" t="s">
        <v>74</v>
      </c>
      <c r="BL394" s="1" t="s">
        <v>74</v>
      </c>
      <c r="BM394" s="1" t="s">
        <v>74</v>
      </c>
      <c r="BN394" s="1" t="s">
        <v>74</v>
      </c>
      <c r="BO394" s="1" t="s">
        <v>74</v>
      </c>
      <c r="BP394" s="1" t="s">
        <v>74</v>
      </c>
      <c r="BQ394" s="1" t="s">
        <v>74</v>
      </c>
      <c r="BR394" s="1" t="s">
        <v>74</v>
      </c>
      <c r="BS394" s="1" t="s">
        <v>3981</v>
      </c>
      <c r="BT394" s="1" t="str">
        <f>HYPERLINK("https%3A%2F%2Fwww.webofscience.com%2Fwos%2Fwoscc%2Ffull-record%2FWOS:000442145800001","View Full Record in Web of Science")</f>
        <v>View Full Record in Web of Science</v>
      </c>
    </row>
    <row r="395" ht="12.75" customHeight="1">
      <c r="A395" s="1" t="s">
        <v>86</v>
      </c>
      <c r="B395" s="1" t="s">
        <v>3982</v>
      </c>
      <c r="C395" s="1" t="s">
        <v>3983</v>
      </c>
      <c r="D395" s="1" t="s">
        <v>74</v>
      </c>
      <c r="E395" s="1" t="s">
        <v>74</v>
      </c>
      <c r="F395" s="1" t="s">
        <v>3984</v>
      </c>
      <c r="G395" s="1" t="s">
        <v>3983</v>
      </c>
      <c r="H395" s="1" t="s">
        <v>74</v>
      </c>
      <c r="I395" s="1" t="s">
        <v>3985</v>
      </c>
      <c r="J395" s="1" t="s">
        <v>3986</v>
      </c>
      <c r="K395" s="1" t="s">
        <v>74</v>
      </c>
      <c r="L395" s="1" t="s">
        <v>74</v>
      </c>
      <c r="M395" s="1" t="s">
        <v>74</v>
      </c>
      <c r="N395" s="1" t="s">
        <v>74</v>
      </c>
      <c r="O395" s="1" t="s">
        <v>74</v>
      </c>
      <c r="P395" s="1" t="s">
        <v>74</v>
      </c>
      <c r="Q395" s="1" t="s">
        <v>74</v>
      </c>
      <c r="R395" s="1" t="s">
        <v>74</v>
      </c>
      <c r="S395" s="1" t="s">
        <v>74</v>
      </c>
      <c r="T395" s="1" t="s">
        <v>74</v>
      </c>
      <c r="U395" s="1" t="s">
        <v>74</v>
      </c>
      <c r="V395" s="1" t="s">
        <v>74</v>
      </c>
      <c r="W395" s="1" t="s">
        <v>74</v>
      </c>
      <c r="X395" s="1" t="s">
        <v>74</v>
      </c>
      <c r="Y395" s="1" t="s">
        <v>74</v>
      </c>
      <c r="Z395" s="1" t="s">
        <v>74</v>
      </c>
      <c r="AA395" s="1" t="s">
        <v>74</v>
      </c>
      <c r="AB395" s="1" t="s">
        <v>74</v>
      </c>
      <c r="AC395" s="1" t="s">
        <v>74</v>
      </c>
      <c r="AD395" s="1" t="s">
        <v>74</v>
      </c>
      <c r="AE395" s="1" t="s">
        <v>74</v>
      </c>
      <c r="AF395" s="1" t="s">
        <v>74</v>
      </c>
      <c r="AG395" s="1" t="s">
        <v>74</v>
      </c>
      <c r="AH395" s="1" t="s">
        <v>74</v>
      </c>
      <c r="AI395" s="1" t="s">
        <v>74</v>
      </c>
      <c r="AJ395" s="1" t="s">
        <v>74</v>
      </c>
      <c r="AK395" s="1" t="s">
        <v>74</v>
      </c>
      <c r="AL395" s="1" t="s">
        <v>74</v>
      </c>
      <c r="AM395" s="1" t="s">
        <v>74</v>
      </c>
      <c r="AN395" s="1" t="s">
        <v>74</v>
      </c>
      <c r="AO395" s="1" t="s">
        <v>74</v>
      </c>
      <c r="AP395" s="1" t="s">
        <v>74</v>
      </c>
      <c r="AQ395" s="1" t="s">
        <v>3987</v>
      </c>
      <c r="AR395" s="1" t="s">
        <v>74</v>
      </c>
      <c r="AS395" s="1" t="s">
        <v>74</v>
      </c>
      <c r="AT395" s="1" t="s">
        <v>74</v>
      </c>
      <c r="AU395" s="1">
        <v>2018.0</v>
      </c>
      <c r="AV395" s="1" t="s">
        <v>74</v>
      </c>
      <c r="AW395" s="1" t="s">
        <v>74</v>
      </c>
      <c r="AX395" s="1" t="s">
        <v>74</v>
      </c>
      <c r="AY395" s="1" t="s">
        <v>74</v>
      </c>
      <c r="AZ395" s="1" t="s">
        <v>74</v>
      </c>
      <c r="BA395" s="1" t="s">
        <v>74</v>
      </c>
      <c r="BB395" s="1">
        <v>31.0</v>
      </c>
      <c r="BC395" s="1">
        <v>72.0</v>
      </c>
      <c r="BD395" s="1" t="s">
        <v>74</v>
      </c>
      <c r="BE395" s="1" t="s">
        <v>74</v>
      </c>
      <c r="BF395" s="1" t="s">
        <v>74</v>
      </c>
      <c r="BG395" s="1" t="s">
        <v>74</v>
      </c>
      <c r="BH395" s="1" t="s">
        <v>74</v>
      </c>
      <c r="BI395" s="1" t="s">
        <v>74</v>
      </c>
      <c r="BJ395" s="1" t="s">
        <v>74</v>
      </c>
      <c r="BK395" s="1" t="s">
        <v>74</v>
      </c>
      <c r="BL395" s="1" t="s">
        <v>74</v>
      </c>
      <c r="BM395" s="1" t="s">
        <v>74</v>
      </c>
      <c r="BN395" s="1" t="s">
        <v>74</v>
      </c>
      <c r="BO395" s="1" t="s">
        <v>74</v>
      </c>
      <c r="BP395" s="1" t="s">
        <v>74</v>
      </c>
      <c r="BQ395" s="1" t="s">
        <v>74</v>
      </c>
      <c r="BR395" s="1" t="s">
        <v>74</v>
      </c>
      <c r="BS395" s="1" t="s">
        <v>3988</v>
      </c>
      <c r="BT395" s="1" t="str">
        <f>HYPERLINK("https%3A%2F%2Fwww.webofscience.com%2Fwos%2Fwoscc%2Ffull-record%2FWOS:000482970600003","View Full Record in Web of Science")</f>
        <v>View Full Record in Web of Science</v>
      </c>
    </row>
    <row r="396" ht="12.75" customHeight="1">
      <c r="A396" s="1" t="s">
        <v>72</v>
      </c>
      <c r="B396" s="1" t="s">
        <v>3989</v>
      </c>
      <c r="C396" s="1" t="s">
        <v>74</v>
      </c>
      <c r="D396" s="1" t="s">
        <v>74</v>
      </c>
      <c r="E396" s="1" t="s">
        <v>74</v>
      </c>
      <c r="F396" s="1" t="s">
        <v>3990</v>
      </c>
      <c r="G396" s="1" t="s">
        <v>74</v>
      </c>
      <c r="H396" s="1" t="s">
        <v>74</v>
      </c>
      <c r="I396" s="1" t="s">
        <v>3991</v>
      </c>
      <c r="J396" s="1" t="s">
        <v>3992</v>
      </c>
      <c r="K396" s="1" t="s">
        <v>74</v>
      </c>
      <c r="L396" s="1" t="s">
        <v>74</v>
      </c>
      <c r="M396" s="1" t="s">
        <v>74</v>
      </c>
      <c r="N396" s="1" t="s">
        <v>74</v>
      </c>
      <c r="O396" s="1" t="s">
        <v>74</v>
      </c>
      <c r="P396" s="1" t="s">
        <v>74</v>
      </c>
      <c r="Q396" s="1" t="s">
        <v>74</v>
      </c>
      <c r="R396" s="1" t="s">
        <v>74</v>
      </c>
      <c r="S396" s="1" t="s">
        <v>74</v>
      </c>
      <c r="T396" s="1" t="s">
        <v>74</v>
      </c>
      <c r="U396" s="1" t="s">
        <v>74</v>
      </c>
      <c r="V396" s="1" t="s">
        <v>3993</v>
      </c>
      <c r="W396" s="1" t="s">
        <v>74</v>
      </c>
      <c r="X396" s="1" t="s">
        <v>74</v>
      </c>
      <c r="Y396" s="1" t="s">
        <v>74</v>
      </c>
      <c r="Z396" s="1" t="s">
        <v>74</v>
      </c>
      <c r="AA396" s="1" t="s">
        <v>3994</v>
      </c>
      <c r="AB396" s="1" t="s">
        <v>3995</v>
      </c>
      <c r="AC396" s="1" t="s">
        <v>74</v>
      </c>
      <c r="AD396" s="1" t="s">
        <v>74</v>
      </c>
      <c r="AE396" s="1" t="s">
        <v>74</v>
      </c>
      <c r="AF396" s="1" t="s">
        <v>74</v>
      </c>
      <c r="AG396" s="1" t="s">
        <v>74</v>
      </c>
      <c r="AH396" s="1" t="s">
        <v>74</v>
      </c>
      <c r="AI396" s="1" t="s">
        <v>74</v>
      </c>
      <c r="AJ396" s="1" t="s">
        <v>74</v>
      </c>
      <c r="AK396" s="1" t="s">
        <v>74</v>
      </c>
      <c r="AL396" s="1" t="s">
        <v>74</v>
      </c>
      <c r="AM396" s="1" t="s">
        <v>74</v>
      </c>
      <c r="AN396" s="1" t="s">
        <v>74</v>
      </c>
      <c r="AO396" s="1" t="s">
        <v>3996</v>
      </c>
      <c r="AP396" s="1" t="s">
        <v>74</v>
      </c>
      <c r="AQ396" s="1" t="s">
        <v>74</v>
      </c>
      <c r="AR396" s="1" t="s">
        <v>74</v>
      </c>
      <c r="AS396" s="1" t="s">
        <v>74</v>
      </c>
      <c r="AT396" s="1" t="s">
        <v>379</v>
      </c>
      <c r="AU396" s="1">
        <v>2017.0</v>
      </c>
      <c r="AV396" s="1">
        <v>26.0</v>
      </c>
      <c r="AW396" s="1" t="s">
        <v>74</v>
      </c>
      <c r="AX396" s="1" t="s">
        <v>74</v>
      </c>
      <c r="AY396" s="1" t="s">
        <v>74</v>
      </c>
      <c r="AZ396" s="1" t="s">
        <v>74</v>
      </c>
      <c r="BA396" s="1" t="s">
        <v>74</v>
      </c>
      <c r="BB396" s="1">
        <v>115.0</v>
      </c>
      <c r="BC396" s="1">
        <v>122.0</v>
      </c>
      <c r="BD396" s="1" t="s">
        <v>74</v>
      </c>
      <c r="BE396" s="1" t="s">
        <v>3997</v>
      </c>
      <c r="BF396" s="2" t="str">
        <f>HYPERLINK("http://dx.doi.org/10.1016/j.algal.2017.07.009","http://dx.doi.org/10.1016/j.algal.2017.07.009")</f>
        <v>http://dx.doi.org/10.1016/j.algal.2017.07.009</v>
      </c>
      <c r="BG396" s="1" t="s">
        <v>74</v>
      </c>
      <c r="BH396" s="1" t="s">
        <v>74</v>
      </c>
      <c r="BI396" s="1" t="s">
        <v>74</v>
      </c>
      <c r="BJ396" s="1" t="s">
        <v>74</v>
      </c>
      <c r="BK396" s="1" t="s">
        <v>74</v>
      </c>
      <c r="BL396" s="1" t="s">
        <v>74</v>
      </c>
      <c r="BM396" s="1" t="s">
        <v>74</v>
      </c>
      <c r="BN396" s="1" t="s">
        <v>74</v>
      </c>
      <c r="BO396" s="1" t="s">
        <v>74</v>
      </c>
      <c r="BP396" s="1" t="s">
        <v>74</v>
      </c>
      <c r="BQ396" s="1" t="s">
        <v>74</v>
      </c>
      <c r="BR396" s="1" t="s">
        <v>74</v>
      </c>
      <c r="BS396" s="1" t="s">
        <v>3998</v>
      </c>
      <c r="BT396" s="1" t="str">
        <f>HYPERLINK("https%3A%2F%2Fwww.webofscience.com%2Fwos%2Fwoscc%2Ffull-record%2FWOS:000411731800013","View Full Record in Web of Science")</f>
        <v>View Full Record in Web of Science</v>
      </c>
    </row>
    <row r="397" ht="12.75" customHeight="1">
      <c r="A397" s="1" t="s">
        <v>72</v>
      </c>
      <c r="B397" s="1" t="s">
        <v>493</v>
      </c>
      <c r="C397" s="1" t="s">
        <v>74</v>
      </c>
      <c r="D397" s="1" t="s">
        <v>74</v>
      </c>
      <c r="E397" s="1" t="s">
        <v>74</v>
      </c>
      <c r="F397" s="1" t="s">
        <v>494</v>
      </c>
      <c r="G397" s="1" t="s">
        <v>74</v>
      </c>
      <c r="H397" s="1" t="s">
        <v>74</v>
      </c>
      <c r="I397" s="1" t="s">
        <v>3999</v>
      </c>
      <c r="J397" s="1" t="s">
        <v>773</v>
      </c>
      <c r="K397" s="1" t="s">
        <v>74</v>
      </c>
      <c r="L397" s="1" t="s">
        <v>74</v>
      </c>
      <c r="M397" s="1" t="s">
        <v>74</v>
      </c>
      <c r="N397" s="1" t="s">
        <v>74</v>
      </c>
      <c r="O397" s="1" t="s">
        <v>74</v>
      </c>
      <c r="P397" s="1" t="s">
        <v>74</v>
      </c>
      <c r="Q397" s="1" t="s">
        <v>74</v>
      </c>
      <c r="R397" s="1" t="s">
        <v>74</v>
      </c>
      <c r="S397" s="1" t="s">
        <v>74</v>
      </c>
      <c r="T397" s="1" t="s">
        <v>74</v>
      </c>
      <c r="U397" s="1" t="s">
        <v>74</v>
      </c>
      <c r="V397" s="1" t="s">
        <v>4000</v>
      </c>
      <c r="W397" s="1" t="s">
        <v>74</v>
      </c>
      <c r="X397" s="1" t="s">
        <v>74</v>
      </c>
      <c r="Y397" s="1" t="s">
        <v>74</v>
      </c>
      <c r="Z397" s="1" t="s">
        <v>74</v>
      </c>
      <c r="AA397" s="1" t="s">
        <v>498</v>
      </c>
      <c r="AB397" s="1" t="s">
        <v>775</v>
      </c>
      <c r="AC397" s="1" t="s">
        <v>74</v>
      </c>
      <c r="AD397" s="1" t="s">
        <v>74</v>
      </c>
      <c r="AE397" s="1" t="s">
        <v>74</v>
      </c>
      <c r="AF397" s="1" t="s">
        <v>74</v>
      </c>
      <c r="AG397" s="1" t="s">
        <v>74</v>
      </c>
      <c r="AH397" s="1" t="s">
        <v>74</v>
      </c>
      <c r="AI397" s="1" t="s">
        <v>74</v>
      </c>
      <c r="AJ397" s="1" t="s">
        <v>74</v>
      </c>
      <c r="AK397" s="1" t="s">
        <v>74</v>
      </c>
      <c r="AL397" s="1" t="s">
        <v>74</v>
      </c>
      <c r="AM397" s="1" t="s">
        <v>74</v>
      </c>
      <c r="AN397" s="1" t="s">
        <v>74</v>
      </c>
      <c r="AO397" s="1" t="s">
        <v>776</v>
      </c>
      <c r="AP397" s="1" t="s">
        <v>777</v>
      </c>
      <c r="AQ397" s="1" t="s">
        <v>74</v>
      </c>
      <c r="AR397" s="1" t="s">
        <v>74</v>
      </c>
      <c r="AS397" s="1" t="s">
        <v>74</v>
      </c>
      <c r="AT397" s="1" t="s">
        <v>370</v>
      </c>
      <c r="AU397" s="1">
        <v>2016.0</v>
      </c>
      <c r="AV397" s="1">
        <v>28.0</v>
      </c>
      <c r="AW397" s="1">
        <v>4.0</v>
      </c>
      <c r="AX397" s="1" t="s">
        <v>74</v>
      </c>
      <c r="AY397" s="1" t="s">
        <v>74</v>
      </c>
      <c r="AZ397" s="1" t="s">
        <v>74</v>
      </c>
      <c r="BA397" s="1" t="s">
        <v>74</v>
      </c>
      <c r="BB397" s="1">
        <v>441.0</v>
      </c>
      <c r="BC397" s="1">
        <v>458.0</v>
      </c>
      <c r="BD397" s="1" t="s">
        <v>74</v>
      </c>
      <c r="BE397" s="1" t="s">
        <v>4001</v>
      </c>
      <c r="BF397" s="2" t="str">
        <f>HYPERLINK("http://dx.doi.org/10.1216/JIE-2016-28-4-441","http://dx.doi.org/10.1216/JIE-2016-28-4-441")</f>
        <v>http://dx.doi.org/10.1216/JIE-2016-28-4-441</v>
      </c>
      <c r="BG397" s="1" t="s">
        <v>74</v>
      </c>
      <c r="BH397" s="1" t="s">
        <v>74</v>
      </c>
      <c r="BI397" s="1" t="s">
        <v>74</v>
      </c>
      <c r="BJ397" s="1" t="s">
        <v>74</v>
      </c>
      <c r="BK397" s="1" t="s">
        <v>74</v>
      </c>
      <c r="BL397" s="1" t="s">
        <v>74</v>
      </c>
      <c r="BM397" s="1" t="s">
        <v>74</v>
      </c>
      <c r="BN397" s="1" t="s">
        <v>74</v>
      </c>
      <c r="BO397" s="1" t="s">
        <v>74</v>
      </c>
      <c r="BP397" s="1" t="s">
        <v>74</v>
      </c>
      <c r="BQ397" s="1" t="s">
        <v>74</v>
      </c>
      <c r="BR397" s="1" t="s">
        <v>74</v>
      </c>
      <c r="BS397" s="1" t="s">
        <v>4002</v>
      </c>
      <c r="BT397" s="1" t="str">
        <f>HYPERLINK("https%3A%2F%2Fwww.webofscience.com%2Fwos%2Fwoscc%2Ffull-record%2FWOS:000391538200001","View Full Record in Web of Science")</f>
        <v>View Full Record in Web of Science</v>
      </c>
    </row>
    <row r="398" ht="12.75" customHeight="1">
      <c r="A398" s="1" t="s">
        <v>72</v>
      </c>
      <c r="B398" s="1" t="s">
        <v>4003</v>
      </c>
      <c r="C398" s="1" t="s">
        <v>74</v>
      </c>
      <c r="D398" s="1" t="s">
        <v>74</v>
      </c>
      <c r="E398" s="1" t="s">
        <v>74</v>
      </c>
      <c r="F398" s="1" t="s">
        <v>4004</v>
      </c>
      <c r="G398" s="1" t="s">
        <v>74</v>
      </c>
      <c r="H398" s="1" t="s">
        <v>74</v>
      </c>
      <c r="I398" s="1" t="s">
        <v>4005</v>
      </c>
      <c r="J398" s="1" t="s">
        <v>4006</v>
      </c>
      <c r="K398" s="1" t="s">
        <v>74</v>
      </c>
      <c r="L398" s="1" t="s">
        <v>74</v>
      </c>
      <c r="M398" s="1" t="s">
        <v>74</v>
      </c>
      <c r="N398" s="1" t="s">
        <v>74</v>
      </c>
      <c r="O398" s="1" t="s">
        <v>74</v>
      </c>
      <c r="P398" s="1" t="s">
        <v>74</v>
      </c>
      <c r="Q398" s="1" t="s">
        <v>74</v>
      </c>
      <c r="R398" s="1" t="s">
        <v>74</v>
      </c>
      <c r="S398" s="1" t="s">
        <v>74</v>
      </c>
      <c r="T398" s="1" t="s">
        <v>74</v>
      </c>
      <c r="U398" s="1" t="s">
        <v>74</v>
      </c>
      <c r="V398" s="1" t="s">
        <v>4007</v>
      </c>
      <c r="W398" s="1" t="s">
        <v>74</v>
      </c>
      <c r="X398" s="1" t="s">
        <v>74</v>
      </c>
      <c r="Y398" s="1" t="s">
        <v>74</v>
      </c>
      <c r="Z398" s="1" t="s">
        <v>74</v>
      </c>
      <c r="AA398" s="1" t="s">
        <v>4008</v>
      </c>
      <c r="AB398" s="1" t="s">
        <v>4009</v>
      </c>
      <c r="AC398" s="1" t="s">
        <v>74</v>
      </c>
      <c r="AD398" s="1" t="s">
        <v>74</v>
      </c>
      <c r="AE398" s="1" t="s">
        <v>74</v>
      </c>
      <c r="AF398" s="1" t="s">
        <v>74</v>
      </c>
      <c r="AG398" s="1" t="s">
        <v>74</v>
      </c>
      <c r="AH398" s="1" t="s">
        <v>74</v>
      </c>
      <c r="AI398" s="1" t="s">
        <v>74</v>
      </c>
      <c r="AJ398" s="1" t="s">
        <v>74</v>
      </c>
      <c r="AK398" s="1" t="s">
        <v>74</v>
      </c>
      <c r="AL398" s="1" t="s">
        <v>74</v>
      </c>
      <c r="AM398" s="1" t="s">
        <v>74</v>
      </c>
      <c r="AN398" s="1" t="s">
        <v>74</v>
      </c>
      <c r="AO398" s="1" t="s">
        <v>4010</v>
      </c>
      <c r="AP398" s="1" t="s">
        <v>4011</v>
      </c>
      <c r="AQ398" s="1" t="s">
        <v>74</v>
      </c>
      <c r="AR398" s="1" t="s">
        <v>74</v>
      </c>
      <c r="AS398" s="1" t="s">
        <v>74</v>
      </c>
      <c r="AT398" s="1" t="s">
        <v>2571</v>
      </c>
      <c r="AU398" s="1">
        <v>2016.0</v>
      </c>
      <c r="AV398" s="1">
        <v>69.0</v>
      </c>
      <c r="AW398" s="1" t="s">
        <v>74</v>
      </c>
      <c r="AX398" s="1" t="s">
        <v>74</v>
      </c>
      <c r="AY398" s="1" t="s">
        <v>74</v>
      </c>
      <c r="AZ398" s="1" t="s">
        <v>74</v>
      </c>
      <c r="BA398" s="1" t="s">
        <v>74</v>
      </c>
      <c r="BB398" s="1">
        <v>1391.0</v>
      </c>
      <c r="BC398" s="1">
        <v>1409.0</v>
      </c>
      <c r="BD398" s="1" t="s">
        <v>74</v>
      </c>
      <c r="BE398" s="1" t="s">
        <v>4012</v>
      </c>
      <c r="BF398" s="2" t="str">
        <f>HYPERLINK("http://dx.doi.org/10.1016/j.msec.2016.08.041","http://dx.doi.org/10.1016/j.msec.2016.08.041")</f>
        <v>http://dx.doi.org/10.1016/j.msec.2016.08.041</v>
      </c>
      <c r="BG398" s="1" t="s">
        <v>74</v>
      </c>
      <c r="BH398" s="1" t="s">
        <v>74</v>
      </c>
      <c r="BI398" s="1" t="s">
        <v>74</v>
      </c>
      <c r="BJ398" s="1" t="s">
        <v>74</v>
      </c>
      <c r="BK398" s="1" t="s">
        <v>74</v>
      </c>
      <c r="BL398" s="1" t="s">
        <v>74</v>
      </c>
      <c r="BM398" s="1" t="s">
        <v>74</v>
      </c>
      <c r="BN398" s="1">
        <v>2.7612841E7</v>
      </c>
      <c r="BO398" s="1" t="s">
        <v>74</v>
      </c>
      <c r="BP398" s="1" t="s">
        <v>74</v>
      </c>
      <c r="BQ398" s="1" t="s">
        <v>74</v>
      </c>
      <c r="BR398" s="1" t="s">
        <v>74</v>
      </c>
      <c r="BS398" s="1" t="s">
        <v>4013</v>
      </c>
      <c r="BT398" s="1" t="str">
        <f>HYPERLINK("https%3A%2F%2Fwww.webofscience.com%2Fwos%2Fwoscc%2Ffull-record%2FWOS:000383930900160","View Full Record in Web of Science")</f>
        <v>View Full Record in Web of Science</v>
      </c>
    </row>
    <row r="399" ht="12.75" customHeight="1">
      <c r="A399" s="1" t="s">
        <v>72</v>
      </c>
      <c r="B399" s="1" t="s">
        <v>4014</v>
      </c>
      <c r="C399" s="1" t="s">
        <v>74</v>
      </c>
      <c r="D399" s="1" t="s">
        <v>74</v>
      </c>
      <c r="E399" s="1" t="s">
        <v>74</v>
      </c>
      <c r="F399" s="1" t="s">
        <v>4015</v>
      </c>
      <c r="G399" s="1" t="s">
        <v>74</v>
      </c>
      <c r="H399" s="1" t="s">
        <v>74</v>
      </c>
      <c r="I399" s="1" t="s">
        <v>4016</v>
      </c>
      <c r="J399" s="1" t="s">
        <v>4017</v>
      </c>
      <c r="K399" s="1" t="s">
        <v>74</v>
      </c>
      <c r="L399" s="1" t="s">
        <v>74</v>
      </c>
      <c r="M399" s="1" t="s">
        <v>74</v>
      </c>
      <c r="N399" s="1" t="s">
        <v>74</v>
      </c>
      <c r="O399" s="1" t="s">
        <v>74</v>
      </c>
      <c r="P399" s="1" t="s">
        <v>74</v>
      </c>
      <c r="Q399" s="1" t="s">
        <v>74</v>
      </c>
      <c r="R399" s="1" t="s">
        <v>74</v>
      </c>
      <c r="S399" s="1" t="s">
        <v>74</v>
      </c>
      <c r="T399" s="1" t="s">
        <v>74</v>
      </c>
      <c r="U399" s="1" t="s">
        <v>74</v>
      </c>
      <c r="V399" s="1" t="s">
        <v>4018</v>
      </c>
      <c r="W399" s="1" t="s">
        <v>74</v>
      </c>
      <c r="X399" s="1" t="s">
        <v>74</v>
      </c>
      <c r="Y399" s="1" t="s">
        <v>74</v>
      </c>
      <c r="Z399" s="1" t="s">
        <v>74</v>
      </c>
      <c r="AA399" s="1" t="s">
        <v>74</v>
      </c>
      <c r="AB399" s="1" t="s">
        <v>4019</v>
      </c>
      <c r="AC399" s="1" t="s">
        <v>74</v>
      </c>
      <c r="AD399" s="1" t="s">
        <v>74</v>
      </c>
      <c r="AE399" s="1" t="s">
        <v>74</v>
      </c>
      <c r="AF399" s="1" t="s">
        <v>74</v>
      </c>
      <c r="AG399" s="1" t="s">
        <v>74</v>
      </c>
      <c r="AH399" s="1" t="s">
        <v>74</v>
      </c>
      <c r="AI399" s="1" t="s">
        <v>74</v>
      </c>
      <c r="AJ399" s="1" t="s">
        <v>74</v>
      </c>
      <c r="AK399" s="1" t="s">
        <v>74</v>
      </c>
      <c r="AL399" s="1" t="s">
        <v>74</v>
      </c>
      <c r="AM399" s="1" t="s">
        <v>74</v>
      </c>
      <c r="AN399" s="1" t="s">
        <v>74</v>
      </c>
      <c r="AO399" s="1" t="s">
        <v>4020</v>
      </c>
      <c r="AP399" s="1" t="s">
        <v>74</v>
      </c>
      <c r="AQ399" s="1" t="s">
        <v>74</v>
      </c>
      <c r="AR399" s="1" t="s">
        <v>74</v>
      </c>
      <c r="AS399" s="1" t="s">
        <v>74</v>
      </c>
      <c r="AT399" s="1" t="s">
        <v>112</v>
      </c>
      <c r="AU399" s="1">
        <v>2016.0</v>
      </c>
      <c r="AV399" s="1">
        <v>22.0</v>
      </c>
      <c r="AW399" s="1">
        <v>2.0</v>
      </c>
      <c r="AX399" s="1" t="s">
        <v>74</v>
      </c>
      <c r="AY399" s="1" t="s">
        <v>74</v>
      </c>
      <c r="AZ399" s="1" t="s">
        <v>74</v>
      </c>
      <c r="BA399" s="1" t="s">
        <v>74</v>
      </c>
      <c r="BB399" s="1">
        <v>347.0</v>
      </c>
      <c r="BC399" s="1">
        <v>356.0</v>
      </c>
      <c r="BD399" s="1" t="s">
        <v>74</v>
      </c>
      <c r="BE399" s="1" t="s">
        <v>74</v>
      </c>
      <c r="BF399" s="1" t="s">
        <v>74</v>
      </c>
      <c r="BG399" s="1" t="s">
        <v>74</v>
      </c>
      <c r="BH399" s="1" t="s">
        <v>74</v>
      </c>
      <c r="BI399" s="1" t="s">
        <v>74</v>
      </c>
      <c r="BJ399" s="1" t="s">
        <v>74</v>
      </c>
      <c r="BK399" s="1" t="s">
        <v>74</v>
      </c>
      <c r="BL399" s="1" t="s">
        <v>74</v>
      </c>
      <c r="BM399" s="1" t="s">
        <v>74</v>
      </c>
      <c r="BN399" s="1" t="s">
        <v>74</v>
      </c>
      <c r="BO399" s="1" t="s">
        <v>74</v>
      </c>
      <c r="BP399" s="1" t="s">
        <v>74</v>
      </c>
      <c r="BQ399" s="1" t="s">
        <v>74</v>
      </c>
      <c r="BR399" s="1" t="s">
        <v>74</v>
      </c>
      <c r="BS399" s="1" t="s">
        <v>4021</v>
      </c>
      <c r="BT399" s="1" t="str">
        <f>HYPERLINK("https%3A%2F%2Fwww.webofscience.com%2Fwos%2Fwoscc%2Ffull-record%2FWOS:000392726500022","View Full Record in Web of Science")</f>
        <v>View Full Record in Web of Science</v>
      </c>
    </row>
    <row r="400" ht="12.75" customHeight="1">
      <c r="A400" s="1" t="s">
        <v>72</v>
      </c>
      <c r="B400" s="1" t="s">
        <v>4022</v>
      </c>
      <c r="C400" s="1" t="s">
        <v>74</v>
      </c>
      <c r="D400" s="1" t="s">
        <v>74</v>
      </c>
      <c r="E400" s="1" t="s">
        <v>74</v>
      </c>
      <c r="F400" s="1" t="s">
        <v>4023</v>
      </c>
      <c r="G400" s="1" t="s">
        <v>74</v>
      </c>
      <c r="H400" s="1" t="s">
        <v>74</v>
      </c>
      <c r="I400" s="1" t="s">
        <v>4024</v>
      </c>
      <c r="J400" s="1" t="s">
        <v>4025</v>
      </c>
      <c r="K400" s="1" t="s">
        <v>74</v>
      </c>
      <c r="L400" s="1" t="s">
        <v>74</v>
      </c>
      <c r="M400" s="1" t="s">
        <v>74</v>
      </c>
      <c r="N400" s="1" t="s">
        <v>74</v>
      </c>
      <c r="O400" s="1" t="s">
        <v>74</v>
      </c>
      <c r="P400" s="1" t="s">
        <v>74</v>
      </c>
      <c r="Q400" s="1" t="s">
        <v>74</v>
      </c>
      <c r="R400" s="1" t="s">
        <v>74</v>
      </c>
      <c r="S400" s="1" t="s">
        <v>74</v>
      </c>
      <c r="T400" s="1" t="s">
        <v>74</v>
      </c>
      <c r="U400" s="1" t="s">
        <v>74</v>
      </c>
      <c r="V400" s="1" t="s">
        <v>4026</v>
      </c>
      <c r="W400" s="1" t="s">
        <v>74</v>
      </c>
      <c r="X400" s="1" t="s">
        <v>74</v>
      </c>
      <c r="Y400" s="1" t="s">
        <v>74</v>
      </c>
      <c r="Z400" s="1" t="s">
        <v>74</v>
      </c>
      <c r="AA400" s="1" t="s">
        <v>74</v>
      </c>
      <c r="AB400" s="1" t="s">
        <v>74</v>
      </c>
      <c r="AC400" s="1" t="s">
        <v>74</v>
      </c>
      <c r="AD400" s="1" t="s">
        <v>74</v>
      </c>
      <c r="AE400" s="1" t="s">
        <v>74</v>
      </c>
      <c r="AF400" s="1" t="s">
        <v>74</v>
      </c>
      <c r="AG400" s="1" t="s">
        <v>74</v>
      </c>
      <c r="AH400" s="1" t="s">
        <v>74</v>
      </c>
      <c r="AI400" s="1" t="s">
        <v>74</v>
      </c>
      <c r="AJ400" s="1" t="s">
        <v>74</v>
      </c>
      <c r="AK400" s="1" t="s">
        <v>74</v>
      </c>
      <c r="AL400" s="1" t="s">
        <v>74</v>
      </c>
      <c r="AM400" s="1" t="s">
        <v>74</v>
      </c>
      <c r="AN400" s="1" t="s">
        <v>74</v>
      </c>
      <c r="AO400" s="1" t="s">
        <v>4027</v>
      </c>
      <c r="AP400" s="1" t="s">
        <v>4028</v>
      </c>
      <c r="AQ400" s="1" t="s">
        <v>74</v>
      </c>
      <c r="AR400" s="1" t="s">
        <v>74</v>
      </c>
      <c r="AS400" s="1" t="s">
        <v>74</v>
      </c>
      <c r="AT400" s="1" t="s">
        <v>930</v>
      </c>
      <c r="AU400" s="1">
        <v>2016.0</v>
      </c>
      <c r="AV400" s="1">
        <v>60.0</v>
      </c>
      <c r="AW400" s="1">
        <v>4.0</v>
      </c>
      <c r="AX400" s="1" t="s">
        <v>74</v>
      </c>
      <c r="AY400" s="1" t="s">
        <v>74</v>
      </c>
      <c r="AZ400" s="1" t="s">
        <v>74</v>
      </c>
      <c r="BA400" s="1" t="s">
        <v>74</v>
      </c>
      <c r="BB400" s="1">
        <v>238.0</v>
      </c>
      <c r="BC400" s="1">
        <v>246.0</v>
      </c>
      <c r="BD400" s="1" t="s">
        <v>74</v>
      </c>
      <c r="BE400" s="1" t="s">
        <v>74</v>
      </c>
      <c r="BF400" s="1" t="s">
        <v>74</v>
      </c>
      <c r="BG400" s="1" t="s">
        <v>74</v>
      </c>
      <c r="BH400" s="1" t="s">
        <v>74</v>
      </c>
      <c r="BI400" s="1" t="s">
        <v>74</v>
      </c>
      <c r="BJ400" s="1" t="s">
        <v>74</v>
      </c>
      <c r="BK400" s="1" t="s">
        <v>74</v>
      </c>
      <c r="BL400" s="1" t="s">
        <v>74</v>
      </c>
      <c r="BM400" s="1" t="s">
        <v>74</v>
      </c>
      <c r="BN400" s="1" t="s">
        <v>74</v>
      </c>
      <c r="BO400" s="1" t="s">
        <v>74</v>
      </c>
      <c r="BP400" s="1" t="s">
        <v>74</v>
      </c>
      <c r="BQ400" s="1" t="s">
        <v>74</v>
      </c>
      <c r="BR400" s="1" t="s">
        <v>74</v>
      </c>
      <c r="BS400" s="1" t="s">
        <v>4029</v>
      </c>
      <c r="BT400" s="1" t="str">
        <f>HYPERLINK("https%3A%2F%2Fwww.webofscience.com%2Fwos%2Fwoscc%2Ffull-record%2FWOS:000398807900008","View Full Record in Web of Science")</f>
        <v>View Full Record in Web of Science</v>
      </c>
    </row>
    <row r="401" ht="12.75" customHeight="1">
      <c r="A401" s="1" t="s">
        <v>72</v>
      </c>
      <c r="B401" s="1" t="s">
        <v>4030</v>
      </c>
      <c r="C401" s="1" t="s">
        <v>74</v>
      </c>
      <c r="D401" s="1" t="s">
        <v>74</v>
      </c>
      <c r="E401" s="1" t="s">
        <v>74</v>
      </c>
      <c r="F401" s="1" t="s">
        <v>4031</v>
      </c>
      <c r="G401" s="1" t="s">
        <v>74</v>
      </c>
      <c r="H401" s="1" t="s">
        <v>74</v>
      </c>
      <c r="I401" s="1" t="s">
        <v>4032</v>
      </c>
      <c r="J401" s="1" t="s">
        <v>4033</v>
      </c>
      <c r="K401" s="1" t="s">
        <v>74</v>
      </c>
      <c r="L401" s="1" t="s">
        <v>74</v>
      </c>
      <c r="M401" s="1" t="s">
        <v>74</v>
      </c>
      <c r="N401" s="1" t="s">
        <v>74</v>
      </c>
      <c r="O401" s="1" t="s">
        <v>74</v>
      </c>
      <c r="P401" s="1" t="s">
        <v>74</v>
      </c>
      <c r="Q401" s="1" t="s">
        <v>74</v>
      </c>
      <c r="R401" s="1" t="s">
        <v>74</v>
      </c>
      <c r="S401" s="1" t="s">
        <v>74</v>
      </c>
      <c r="T401" s="1" t="s">
        <v>74</v>
      </c>
      <c r="U401" s="1" t="s">
        <v>74</v>
      </c>
      <c r="V401" s="1" t="s">
        <v>4034</v>
      </c>
      <c r="W401" s="1" t="s">
        <v>74</v>
      </c>
      <c r="X401" s="1" t="s">
        <v>74</v>
      </c>
      <c r="Y401" s="1" t="s">
        <v>74</v>
      </c>
      <c r="Z401" s="1" t="s">
        <v>74</v>
      </c>
      <c r="AA401" s="1" t="s">
        <v>4035</v>
      </c>
      <c r="AB401" s="1" t="s">
        <v>4036</v>
      </c>
      <c r="AC401" s="1" t="s">
        <v>74</v>
      </c>
      <c r="AD401" s="1" t="s">
        <v>74</v>
      </c>
      <c r="AE401" s="1" t="s">
        <v>74</v>
      </c>
      <c r="AF401" s="1" t="s">
        <v>74</v>
      </c>
      <c r="AG401" s="1" t="s">
        <v>74</v>
      </c>
      <c r="AH401" s="1" t="s">
        <v>74</v>
      </c>
      <c r="AI401" s="1" t="s">
        <v>74</v>
      </c>
      <c r="AJ401" s="1" t="s">
        <v>74</v>
      </c>
      <c r="AK401" s="1" t="s">
        <v>74</v>
      </c>
      <c r="AL401" s="1" t="s">
        <v>74</v>
      </c>
      <c r="AM401" s="1" t="s">
        <v>74</v>
      </c>
      <c r="AN401" s="1" t="s">
        <v>74</v>
      </c>
      <c r="AO401" s="1" t="s">
        <v>4037</v>
      </c>
      <c r="AP401" s="1" t="s">
        <v>4038</v>
      </c>
      <c r="AQ401" s="1" t="s">
        <v>74</v>
      </c>
      <c r="AR401" s="1" t="s">
        <v>74</v>
      </c>
      <c r="AS401" s="1" t="s">
        <v>74</v>
      </c>
      <c r="AT401" s="1" t="s">
        <v>4039</v>
      </c>
      <c r="AU401" s="1">
        <v>2016.0</v>
      </c>
      <c r="AV401" s="1">
        <v>135.0</v>
      </c>
      <c r="AW401" s="1">
        <v>8.0</v>
      </c>
      <c r="AX401" s="1" t="s">
        <v>74</v>
      </c>
      <c r="AY401" s="1" t="s">
        <v>74</v>
      </c>
      <c r="AZ401" s="1" t="s">
        <v>74</v>
      </c>
      <c r="BA401" s="1" t="s">
        <v>74</v>
      </c>
      <c r="BB401" s="1" t="s">
        <v>74</v>
      </c>
      <c r="BC401" s="1" t="s">
        <v>74</v>
      </c>
      <c r="BD401" s="1">
        <v>192.0</v>
      </c>
      <c r="BE401" s="1" t="s">
        <v>4040</v>
      </c>
      <c r="BF401" s="2" t="str">
        <f>HYPERLINK("http://dx.doi.org/10.1007/s00214-016-1941-6","http://dx.doi.org/10.1007/s00214-016-1941-6")</f>
        <v>http://dx.doi.org/10.1007/s00214-016-1941-6</v>
      </c>
      <c r="BG401" s="1" t="s">
        <v>74</v>
      </c>
      <c r="BH401" s="1" t="s">
        <v>74</v>
      </c>
      <c r="BI401" s="1" t="s">
        <v>74</v>
      </c>
      <c r="BJ401" s="1" t="s">
        <v>74</v>
      </c>
      <c r="BK401" s="1" t="s">
        <v>74</v>
      </c>
      <c r="BL401" s="1" t="s">
        <v>74</v>
      </c>
      <c r="BM401" s="1" t="s">
        <v>74</v>
      </c>
      <c r="BN401" s="1" t="s">
        <v>74</v>
      </c>
      <c r="BO401" s="1" t="s">
        <v>74</v>
      </c>
      <c r="BP401" s="1" t="s">
        <v>74</v>
      </c>
      <c r="BQ401" s="1" t="s">
        <v>74</v>
      </c>
      <c r="BR401" s="1" t="s">
        <v>74</v>
      </c>
      <c r="BS401" s="1" t="s">
        <v>4041</v>
      </c>
      <c r="BT401" s="1" t="str">
        <f>HYPERLINK("https%3A%2F%2Fwww.webofscience.com%2Fwos%2Fwoscc%2Ffull-record%2FWOS:000382127800002","View Full Record in Web of Science")</f>
        <v>View Full Record in Web of Science</v>
      </c>
    </row>
    <row r="402" ht="12.75" customHeight="1">
      <c r="A402" s="1" t="s">
        <v>72</v>
      </c>
      <c r="B402" s="1" t="s">
        <v>4042</v>
      </c>
      <c r="C402" s="1" t="s">
        <v>74</v>
      </c>
      <c r="D402" s="1" t="s">
        <v>74</v>
      </c>
      <c r="E402" s="1" t="s">
        <v>74</v>
      </c>
      <c r="F402" s="1" t="s">
        <v>4043</v>
      </c>
      <c r="G402" s="1" t="s">
        <v>74</v>
      </c>
      <c r="H402" s="1" t="s">
        <v>74</v>
      </c>
      <c r="I402" s="1" t="s">
        <v>4044</v>
      </c>
      <c r="J402" s="1" t="s">
        <v>4045</v>
      </c>
      <c r="K402" s="1" t="s">
        <v>74</v>
      </c>
      <c r="L402" s="1" t="s">
        <v>74</v>
      </c>
      <c r="M402" s="1" t="s">
        <v>74</v>
      </c>
      <c r="N402" s="1" t="s">
        <v>74</v>
      </c>
      <c r="O402" s="1" t="s">
        <v>74</v>
      </c>
      <c r="P402" s="1" t="s">
        <v>74</v>
      </c>
      <c r="Q402" s="1" t="s">
        <v>74</v>
      </c>
      <c r="R402" s="1" t="s">
        <v>74</v>
      </c>
      <c r="S402" s="1" t="s">
        <v>74</v>
      </c>
      <c r="T402" s="1" t="s">
        <v>74</v>
      </c>
      <c r="U402" s="1" t="s">
        <v>74</v>
      </c>
      <c r="V402" s="1" t="s">
        <v>4046</v>
      </c>
      <c r="W402" s="1" t="s">
        <v>74</v>
      </c>
      <c r="X402" s="1" t="s">
        <v>74</v>
      </c>
      <c r="Y402" s="1" t="s">
        <v>74</v>
      </c>
      <c r="Z402" s="1" t="s">
        <v>74</v>
      </c>
      <c r="AA402" s="1" t="s">
        <v>4047</v>
      </c>
      <c r="AB402" s="1" t="s">
        <v>4048</v>
      </c>
      <c r="AC402" s="1" t="s">
        <v>74</v>
      </c>
      <c r="AD402" s="1" t="s">
        <v>74</v>
      </c>
      <c r="AE402" s="1" t="s">
        <v>74</v>
      </c>
      <c r="AF402" s="1" t="s">
        <v>74</v>
      </c>
      <c r="AG402" s="1" t="s">
        <v>74</v>
      </c>
      <c r="AH402" s="1" t="s">
        <v>74</v>
      </c>
      <c r="AI402" s="1" t="s">
        <v>74</v>
      </c>
      <c r="AJ402" s="1" t="s">
        <v>74</v>
      </c>
      <c r="AK402" s="1" t="s">
        <v>74</v>
      </c>
      <c r="AL402" s="1" t="s">
        <v>74</v>
      </c>
      <c r="AM402" s="1" t="s">
        <v>74</v>
      </c>
      <c r="AN402" s="1" t="s">
        <v>74</v>
      </c>
      <c r="AO402" s="1" t="s">
        <v>4049</v>
      </c>
      <c r="AP402" s="1" t="s">
        <v>4050</v>
      </c>
      <c r="AQ402" s="1" t="s">
        <v>74</v>
      </c>
      <c r="AR402" s="1" t="s">
        <v>74</v>
      </c>
      <c r="AS402" s="1" t="s">
        <v>74</v>
      </c>
      <c r="AT402" s="1" t="s">
        <v>74</v>
      </c>
      <c r="AU402" s="1">
        <v>2016.0</v>
      </c>
      <c r="AV402" s="1">
        <v>19.0</v>
      </c>
      <c r="AW402" s="1">
        <v>16.0</v>
      </c>
      <c r="AX402" s="1" t="s">
        <v>74</v>
      </c>
      <c r="AY402" s="1" t="s">
        <v>74</v>
      </c>
      <c r="AZ402" s="1" t="s">
        <v>74</v>
      </c>
      <c r="BA402" s="1" t="s">
        <v>74</v>
      </c>
      <c r="BB402" s="1">
        <v>1738.0</v>
      </c>
      <c r="BC402" s="1">
        <v>1748.0</v>
      </c>
      <c r="BD402" s="1" t="s">
        <v>74</v>
      </c>
      <c r="BE402" s="1" t="s">
        <v>4051</v>
      </c>
      <c r="BF402" s="2" t="str">
        <f>HYPERLINK("http://dx.doi.org/10.1080/10255842.2016.1183125","http://dx.doi.org/10.1080/10255842.2016.1183125")</f>
        <v>http://dx.doi.org/10.1080/10255842.2016.1183125</v>
      </c>
      <c r="BG402" s="1" t="s">
        <v>74</v>
      </c>
      <c r="BH402" s="1" t="s">
        <v>74</v>
      </c>
      <c r="BI402" s="1" t="s">
        <v>74</v>
      </c>
      <c r="BJ402" s="1" t="s">
        <v>74</v>
      </c>
      <c r="BK402" s="1" t="s">
        <v>74</v>
      </c>
      <c r="BL402" s="1" t="s">
        <v>74</v>
      </c>
      <c r="BM402" s="1" t="s">
        <v>74</v>
      </c>
      <c r="BN402" s="1">
        <v>2.7178265E7</v>
      </c>
      <c r="BO402" s="1" t="s">
        <v>74</v>
      </c>
      <c r="BP402" s="1" t="s">
        <v>74</v>
      </c>
      <c r="BQ402" s="1" t="s">
        <v>74</v>
      </c>
      <c r="BR402" s="1" t="s">
        <v>74</v>
      </c>
      <c r="BS402" s="1" t="s">
        <v>4052</v>
      </c>
      <c r="BT402" s="1" t="str">
        <f>HYPERLINK("https%3A%2F%2Fwww.webofscience.com%2Fwos%2Fwoscc%2Ffull-record%2FWOS:000386378400007","View Full Record in Web of Science")</f>
        <v>View Full Record in Web of Science</v>
      </c>
    </row>
    <row r="403" ht="12.75" customHeight="1">
      <c r="A403" s="1" t="s">
        <v>72</v>
      </c>
      <c r="B403" s="1" t="s">
        <v>4053</v>
      </c>
      <c r="C403" s="1" t="s">
        <v>74</v>
      </c>
      <c r="D403" s="1" t="s">
        <v>74</v>
      </c>
      <c r="E403" s="1" t="s">
        <v>74</v>
      </c>
      <c r="F403" s="1" t="s">
        <v>4054</v>
      </c>
      <c r="G403" s="1" t="s">
        <v>74</v>
      </c>
      <c r="H403" s="1" t="s">
        <v>74</v>
      </c>
      <c r="I403" s="1" t="s">
        <v>4055</v>
      </c>
      <c r="J403" s="1" t="s">
        <v>236</v>
      </c>
      <c r="K403" s="1" t="s">
        <v>74</v>
      </c>
      <c r="L403" s="1" t="s">
        <v>74</v>
      </c>
      <c r="M403" s="1" t="s">
        <v>74</v>
      </c>
      <c r="N403" s="1" t="s">
        <v>74</v>
      </c>
      <c r="O403" s="1" t="s">
        <v>74</v>
      </c>
      <c r="P403" s="1" t="s">
        <v>74</v>
      </c>
      <c r="Q403" s="1" t="s">
        <v>74</v>
      </c>
      <c r="R403" s="1" t="s">
        <v>74</v>
      </c>
      <c r="S403" s="1" t="s">
        <v>74</v>
      </c>
      <c r="T403" s="1" t="s">
        <v>74</v>
      </c>
      <c r="U403" s="1" t="s">
        <v>74</v>
      </c>
      <c r="V403" s="1" t="s">
        <v>4056</v>
      </c>
      <c r="W403" s="1" t="s">
        <v>74</v>
      </c>
      <c r="X403" s="1" t="s">
        <v>74</v>
      </c>
      <c r="Y403" s="1" t="s">
        <v>74</v>
      </c>
      <c r="Z403" s="1" t="s">
        <v>74</v>
      </c>
      <c r="AA403" s="1" t="s">
        <v>74</v>
      </c>
      <c r="AB403" s="1" t="s">
        <v>74</v>
      </c>
      <c r="AC403" s="1" t="s">
        <v>74</v>
      </c>
      <c r="AD403" s="1" t="s">
        <v>74</v>
      </c>
      <c r="AE403" s="1" t="s">
        <v>74</v>
      </c>
      <c r="AF403" s="1" t="s">
        <v>74</v>
      </c>
      <c r="AG403" s="1" t="s">
        <v>74</v>
      </c>
      <c r="AH403" s="1" t="s">
        <v>74</v>
      </c>
      <c r="AI403" s="1" t="s">
        <v>74</v>
      </c>
      <c r="AJ403" s="1" t="s">
        <v>74</v>
      </c>
      <c r="AK403" s="1" t="s">
        <v>74</v>
      </c>
      <c r="AL403" s="1" t="s">
        <v>74</v>
      </c>
      <c r="AM403" s="1" t="s">
        <v>74</v>
      </c>
      <c r="AN403" s="1" t="s">
        <v>74</v>
      </c>
      <c r="AO403" s="1" t="s">
        <v>239</v>
      </c>
      <c r="AP403" s="1" t="s">
        <v>74</v>
      </c>
      <c r="AQ403" s="1" t="s">
        <v>74</v>
      </c>
      <c r="AR403" s="1" t="s">
        <v>74</v>
      </c>
      <c r="AS403" s="1" t="s">
        <v>74</v>
      </c>
      <c r="AT403" s="1" t="s">
        <v>699</v>
      </c>
      <c r="AU403" s="1">
        <v>2015.0</v>
      </c>
      <c r="AV403" s="1">
        <v>48.0</v>
      </c>
      <c r="AW403" s="1">
        <v>2.0</v>
      </c>
      <c r="AX403" s="1" t="s">
        <v>74</v>
      </c>
      <c r="AY403" s="1" t="s">
        <v>74</v>
      </c>
      <c r="AZ403" s="1" t="s">
        <v>74</v>
      </c>
      <c r="BA403" s="1" t="s">
        <v>74</v>
      </c>
      <c r="BB403" s="1">
        <v>563.0</v>
      </c>
      <c r="BC403" s="1">
        <v>594.0</v>
      </c>
      <c r="BD403" s="1" t="s">
        <v>74</v>
      </c>
      <c r="BE403" s="1" t="s">
        <v>74</v>
      </c>
      <c r="BF403" s="1" t="s">
        <v>74</v>
      </c>
      <c r="BG403" s="1" t="s">
        <v>74</v>
      </c>
      <c r="BH403" s="1" t="s">
        <v>74</v>
      </c>
      <c r="BI403" s="1" t="s">
        <v>74</v>
      </c>
      <c r="BJ403" s="1" t="s">
        <v>74</v>
      </c>
      <c r="BK403" s="1" t="s">
        <v>74</v>
      </c>
      <c r="BL403" s="1" t="s">
        <v>74</v>
      </c>
      <c r="BM403" s="1" t="s">
        <v>74</v>
      </c>
      <c r="BN403" s="1" t="s">
        <v>74</v>
      </c>
      <c r="BO403" s="1" t="s">
        <v>74</v>
      </c>
      <c r="BP403" s="1" t="s">
        <v>74</v>
      </c>
      <c r="BQ403" s="1" t="s">
        <v>74</v>
      </c>
      <c r="BR403" s="1" t="s">
        <v>74</v>
      </c>
      <c r="BS403" s="1" t="s">
        <v>4057</v>
      </c>
      <c r="BT403" s="1" t="str">
        <f>HYPERLINK("https%3A%2F%2Fwww.webofscience.com%2Fwos%2Fwoscc%2Ffull-record%2FWOS:000368046200006","View Full Record in Web of Science")</f>
        <v>View Full Record in Web of Science</v>
      </c>
    </row>
    <row r="404" ht="12.75" customHeight="1">
      <c r="A404" s="1" t="s">
        <v>72</v>
      </c>
      <c r="B404" s="1" t="s">
        <v>4058</v>
      </c>
      <c r="C404" s="1" t="s">
        <v>74</v>
      </c>
      <c r="D404" s="1" t="s">
        <v>74</v>
      </c>
      <c r="E404" s="1" t="s">
        <v>74</v>
      </c>
      <c r="F404" s="1" t="s">
        <v>4059</v>
      </c>
      <c r="G404" s="1" t="s">
        <v>74</v>
      </c>
      <c r="H404" s="1" t="s">
        <v>74</v>
      </c>
      <c r="I404" s="1" t="s">
        <v>4060</v>
      </c>
      <c r="J404" s="1" t="s">
        <v>1943</v>
      </c>
      <c r="K404" s="1" t="s">
        <v>74</v>
      </c>
      <c r="L404" s="1" t="s">
        <v>74</v>
      </c>
      <c r="M404" s="1" t="s">
        <v>74</v>
      </c>
      <c r="N404" s="1" t="s">
        <v>74</v>
      </c>
      <c r="O404" s="1" t="s">
        <v>74</v>
      </c>
      <c r="P404" s="1" t="s">
        <v>74</v>
      </c>
      <c r="Q404" s="1" t="s">
        <v>74</v>
      </c>
      <c r="R404" s="1" t="s">
        <v>74</v>
      </c>
      <c r="S404" s="1" t="s">
        <v>74</v>
      </c>
      <c r="T404" s="1" t="s">
        <v>74</v>
      </c>
      <c r="U404" s="1" t="s">
        <v>74</v>
      </c>
      <c r="V404" s="1" t="s">
        <v>4061</v>
      </c>
      <c r="W404" s="1" t="s">
        <v>74</v>
      </c>
      <c r="X404" s="1" t="s">
        <v>74</v>
      </c>
      <c r="Y404" s="1" t="s">
        <v>74</v>
      </c>
      <c r="Z404" s="1" t="s">
        <v>74</v>
      </c>
      <c r="AA404" s="1" t="s">
        <v>4062</v>
      </c>
      <c r="AB404" s="1" t="s">
        <v>74</v>
      </c>
      <c r="AC404" s="1" t="s">
        <v>74</v>
      </c>
      <c r="AD404" s="1" t="s">
        <v>74</v>
      </c>
      <c r="AE404" s="1" t="s">
        <v>74</v>
      </c>
      <c r="AF404" s="1" t="s">
        <v>74</v>
      </c>
      <c r="AG404" s="1" t="s">
        <v>74</v>
      </c>
      <c r="AH404" s="1" t="s">
        <v>74</v>
      </c>
      <c r="AI404" s="1" t="s">
        <v>74</v>
      </c>
      <c r="AJ404" s="1" t="s">
        <v>74</v>
      </c>
      <c r="AK404" s="1" t="s">
        <v>74</v>
      </c>
      <c r="AL404" s="1" t="s">
        <v>74</v>
      </c>
      <c r="AM404" s="1" t="s">
        <v>74</v>
      </c>
      <c r="AN404" s="1" t="s">
        <v>74</v>
      </c>
      <c r="AO404" s="1" t="s">
        <v>1946</v>
      </c>
      <c r="AP404" s="1" t="s">
        <v>1947</v>
      </c>
      <c r="AQ404" s="1" t="s">
        <v>74</v>
      </c>
      <c r="AR404" s="1" t="s">
        <v>74</v>
      </c>
      <c r="AS404" s="1" t="s">
        <v>74</v>
      </c>
      <c r="AT404" s="1" t="s">
        <v>3738</v>
      </c>
      <c r="AU404" s="1">
        <v>2015.0</v>
      </c>
      <c r="AV404" s="1">
        <v>256.0</v>
      </c>
      <c r="AW404" s="1" t="s">
        <v>74</v>
      </c>
      <c r="AX404" s="1" t="s">
        <v>74</v>
      </c>
      <c r="AY404" s="1" t="s">
        <v>74</v>
      </c>
      <c r="AZ404" s="1" t="s">
        <v>74</v>
      </c>
      <c r="BA404" s="1" t="s">
        <v>74</v>
      </c>
      <c r="BB404" s="1">
        <v>109.0</v>
      </c>
      <c r="BC404" s="1">
        <v>118.0</v>
      </c>
      <c r="BD404" s="1" t="s">
        <v>74</v>
      </c>
      <c r="BE404" s="1" t="s">
        <v>4063</v>
      </c>
      <c r="BF404" s="2" t="str">
        <f>HYPERLINK("http://dx.doi.org/10.1016/j.amc.2015.01.005","http://dx.doi.org/10.1016/j.amc.2015.01.005")</f>
        <v>http://dx.doi.org/10.1016/j.amc.2015.01.005</v>
      </c>
      <c r="BG404" s="1" t="s">
        <v>74</v>
      </c>
      <c r="BH404" s="1" t="s">
        <v>74</v>
      </c>
      <c r="BI404" s="1" t="s">
        <v>74</v>
      </c>
      <c r="BJ404" s="1" t="s">
        <v>74</v>
      </c>
      <c r="BK404" s="1" t="s">
        <v>74</v>
      </c>
      <c r="BL404" s="1" t="s">
        <v>74</v>
      </c>
      <c r="BM404" s="1" t="s">
        <v>74</v>
      </c>
      <c r="BN404" s="1" t="s">
        <v>74</v>
      </c>
      <c r="BO404" s="1" t="s">
        <v>74</v>
      </c>
      <c r="BP404" s="1" t="s">
        <v>74</v>
      </c>
      <c r="BQ404" s="1" t="s">
        <v>74</v>
      </c>
      <c r="BR404" s="1" t="s">
        <v>74</v>
      </c>
      <c r="BS404" s="1" t="s">
        <v>4064</v>
      </c>
      <c r="BT404" s="1" t="str">
        <f>HYPERLINK("https%3A%2F%2Fwww.webofscience.com%2Fwos%2Fwoscc%2Ffull-record%2FWOS:000349979300010","View Full Record in Web of Science")</f>
        <v>View Full Record in Web of Science</v>
      </c>
    </row>
    <row r="405" ht="12.75" customHeight="1">
      <c r="A405" s="1" t="s">
        <v>72</v>
      </c>
      <c r="B405" s="1" t="s">
        <v>4065</v>
      </c>
      <c r="C405" s="1" t="s">
        <v>74</v>
      </c>
      <c r="D405" s="1" t="s">
        <v>74</v>
      </c>
      <c r="E405" s="1" t="s">
        <v>74</v>
      </c>
      <c r="F405" s="1" t="s">
        <v>4066</v>
      </c>
      <c r="G405" s="1" t="s">
        <v>74</v>
      </c>
      <c r="H405" s="1" t="s">
        <v>74</v>
      </c>
      <c r="I405" s="1" t="s">
        <v>4067</v>
      </c>
      <c r="J405" s="1" t="s">
        <v>1181</v>
      </c>
      <c r="K405" s="1" t="s">
        <v>74</v>
      </c>
      <c r="L405" s="1" t="s">
        <v>74</v>
      </c>
      <c r="M405" s="1" t="s">
        <v>74</v>
      </c>
      <c r="N405" s="1" t="s">
        <v>74</v>
      </c>
      <c r="O405" s="1" t="s">
        <v>74</v>
      </c>
      <c r="P405" s="1" t="s">
        <v>74</v>
      </c>
      <c r="Q405" s="1" t="s">
        <v>74</v>
      </c>
      <c r="R405" s="1" t="s">
        <v>74</v>
      </c>
      <c r="S405" s="1" t="s">
        <v>74</v>
      </c>
      <c r="T405" s="1" t="s">
        <v>74</v>
      </c>
      <c r="U405" s="1" t="s">
        <v>74</v>
      </c>
      <c r="V405" s="1" t="s">
        <v>4068</v>
      </c>
      <c r="W405" s="1" t="s">
        <v>74</v>
      </c>
      <c r="X405" s="1" t="s">
        <v>74</v>
      </c>
      <c r="Y405" s="1" t="s">
        <v>74</v>
      </c>
      <c r="Z405" s="1" t="s">
        <v>74</v>
      </c>
      <c r="AA405" s="1" t="s">
        <v>4069</v>
      </c>
      <c r="AB405" s="1" t="s">
        <v>4070</v>
      </c>
      <c r="AC405" s="1" t="s">
        <v>74</v>
      </c>
      <c r="AD405" s="1" t="s">
        <v>74</v>
      </c>
      <c r="AE405" s="1" t="s">
        <v>74</v>
      </c>
      <c r="AF405" s="1" t="s">
        <v>74</v>
      </c>
      <c r="AG405" s="1" t="s">
        <v>74</v>
      </c>
      <c r="AH405" s="1" t="s">
        <v>74</v>
      </c>
      <c r="AI405" s="1" t="s">
        <v>74</v>
      </c>
      <c r="AJ405" s="1" t="s">
        <v>74</v>
      </c>
      <c r="AK405" s="1" t="s">
        <v>74</v>
      </c>
      <c r="AL405" s="1" t="s">
        <v>74</v>
      </c>
      <c r="AM405" s="1" t="s">
        <v>74</v>
      </c>
      <c r="AN405" s="1" t="s">
        <v>74</v>
      </c>
      <c r="AO405" s="1" t="s">
        <v>1185</v>
      </c>
      <c r="AP405" s="1" t="s">
        <v>1186</v>
      </c>
      <c r="AQ405" s="1" t="s">
        <v>74</v>
      </c>
      <c r="AR405" s="1" t="s">
        <v>74</v>
      </c>
      <c r="AS405" s="1" t="s">
        <v>74</v>
      </c>
      <c r="AT405" s="1" t="s">
        <v>389</v>
      </c>
      <c r="AU405" s="1">
        <v>2015.0</v>
      </c>
      <c r="AV405" s="1">
        <v>81.0</v>
      </c>
      <c r="AW405" s="1">
        <v>4.0</v>
      </c>
      <c r="AX405" s="1" t="s">
        <v>74</v>
      </c>
      <c r="AY405" s="1" t="s">
        <v>74</v>
      </c>
      <c r="AZ405" s="1" t="s">
        <v>74</v>
      </c>
      <c r="BA405" s="1" t="s">
        <v>74</v>
      </c>
      <c r="BB405" s="1">
        <v>1210.0</v>
      </c>
      <c r="BC405" s="1">
        <v>1224.0</v>
      </c>
      <c r="BD405" s="1" t="s">
        <v>74</v>
      </c>
      <c r="BE405" s="1" t="s">
        <v>4071</v>
      </c>
      <c r="BF405" s="2" t="str">
        <f>HYPERLINK("http://dx.doi.org/10.1128/AEM.03153-14","http://dx.doi.org/10.1128/AEM.03153-14")</f>
        <v>http://dx.doi.org/10.1128/AEM.03153-14</v>
      </c>
      <c r="BG405" s="1" t="s">
        <v>74</v>
      </c>
      <c r="BH405" s="1" t="s">
        <v>74</v>
      </c>
      <c r="BI405" s="1" t="s">
        <v>74</v>
      </c>
      <c r="BJ405" s="1" t="s">
        <v>74</v>
      </c>
      <c r="BK405" s="1" t="s">
        <v>74</v>
      </c>
      <c r="BL405" s="1" t="s">
        <v>74</v>
      </c>
      <c r="BM405" s="1" t="s">
        <v>74</v>
      </c>
      <c r="BN405" s="1">
        <v>2.548075E7</v>
      </c>
      <c r="BO405" s="1" t="s">
        <v>74</v>
      </c>
      <c r="BP405" s="1" t="s">
        <v>74</v>
      </c>
      <c r="BQ405" s="1" t="s">
        <v>74</v>
      </c>
      <c r="BR405" s="1" t="s">
        <v>74</v>
      </c>
      <c r="BS405" s="1" t="s">
        <v>4072</v>
      </c>
      <c r="BT405" s="1" t="str">
        <f>HYPERLINK("https%3A%2F%2Fwww.webofscience.com%2Fwos%2Fwoscc%2Ffull-record%2FWOS:000348927600003","View Full Record in Web of Science")</f>
        <v>View Full Record in Web of Science</v>
      </c>
    </row>
    <row r="406" ht="12.75" customHeight="1">
      <c r="A406" s="1" t="s">
        <v>72</v>
      </c>
      <c r="B406" s="1" t="s">
        <v>4073</v>
      </c>
      <c r="C406" s="1" t="s">
        <v>74</v>
      </c>
      <c r="D406" s="1" t="s">
        <v>74</v>
      </c>
      <c r="E406" s="1" t="s">
        <v>74</v>
      </c>
      <c r="F406" s="1" t="s">
        <v>4074</v>
      </c>
      <c r="G406" s="1" t="s">
        <v>74</v>
      </c>
      <c r="H406" s="1" t="s">
        <v>74</v>
      </c>
      <c r="I406" s="1" t="s">
        <v>4075</v>
      </c>
      <c r="J406" s="1" t="s">
        <v>1943</v>
      </c>
      <c r="K406" s="1" t="s">
        <v>74</v>
      </c>
      <c r="L406" s="1" t="s">
        <v>74</v>
      </c>
      <c r="M406" s="1" t="s">
        <v>74</v>
      </c>
      <c r="N406" s="1" t="s">
        <v>74</v>
      </c>
      <c r="O406" s="1" t="s">
        <v>74</v>
      </c>
      <c r="P406" s="1" t="s">
        <v>74</v>
      </c>
      <c r="Q406" s="1" t="s">
        <v>74</v>
      </c>
      <c r="R406" s="1" t="s">
        <v>74</v>
      </c>
      <c r="S406" s="1" t="s">
        <v>74</v>
      </c>
      <c r="T406" s="1" t="s">
        <v>74</v>
      </c>
      <c r="U406" s="1" t="s">
        <v>74</v>
      </c>
      <c r="V406" s="1" t="s">
        <v>4076</v>
      </c>
      <c r="W406" s="1" t="s">
        <v>74</v>
      </c>
      <c r="X406" s="1" t="s">
        <v>74</v>
      </c>
      <c r="Y406" s="1" t="s">
        <v>74</v>
      </c>
      <c r="Z406" s="1" t="s">
        <v>74</v>
      </c>
      <c r="AA406" s="1" t="s">
        <v>4077</v>
      </c>
      <c r="AB406" s="1" t="s">
        <v>4078</v>
      </c>
      <c r="AC406" s="1" t="s">
        <v>74</v>
      </c>
      <c r="AD406" s="1" t="s">
        <v>74</v>
      </c>
      <c r="AE406" s="1" t="s">
        <v>74</v>
      </c>
      <c r="AF406" s="1" t="s">
        <v>74</v>
      </c>
      <c r="AG406" s="1" t="s">
        <v>74</v>
      </c>
      <c r="AH406" s="1" t="s">
        <v>74</v>
      </c>
      <c r="AI406" s="1" t="s">
        <v>74</v>
      </c>
      <c r="AJ406" s="1" t="s">
        <v>74</v>
      </c>
      <c r="AK406" s="1" t="s">
        <v>74</v>
      </c>
      <c r="AL406" s="1" t="s">
        <v>74</v>
      </c>
      <c r="AM406" s="1" t="s">
        <v>74</v>
      </c>
      <c r="AN406" s="1" t="s">
        <v>74</v>
      </c>
      <c r="AO406" s="1" t="s">
        <v>1946</v>
      </c>
      <c r="AP406" s="1" t="s">
        <v>1947</v>
      </c>
      <c r="AQ406" s="1" t="s">
        <v>74</v>
      </c>
      <c r="AR406" s="1" t="s">
        <v>74</v>
      </c>
      <c r="AS406" s="1" t="s">
        <v>74</v>
      </c>
      <c r="AT406" s="1" t="s">
        <v>1361</v>
      </c>
      <c r="AU406" s="1">
        <v>2015.0</v>
      </c>
      <c r="AV406" s="1">
        <v>251.0</v>
      </c>
      <c r="AW406" s="1" t="s">
        <v>74</v>
      </c>
      <c r="AX406" s="1" t="s">
        <v>74</v>
      </c>
      <c r="AY406" s="1" t="s">
        <v>74</v>
      </c>
      <c r="AZ406" s="1" t="s">
        <v>74</v>
      </c>
      <c r="BA406" s="1" t="s">
        <v>74</v>
      </c>
      <c r="BB406" s="1">
        <v>507.0</v>
      </c>
      <c r="BC406" s="1">
        <v>520.0</v>
      </c>
      <c r="BD406" s="1" t="s">
        <v>74</v>
      </c>
      <c r="BE406" s="1" t="s">
        <v>4079</v>
      </c>
      <c r="BF406" s="2" t="str">
        <f>HYPERLINK("http://dx.doi.org/10.1016/j.amc.2014.11.083","http://dx.doi.org/10.1016/j.amc.2014.11.083")</f>
        <v>http://dx.doi.org/10.1016/j.amc.2014.11.083</v>
      </c>
      <c r="BG406" s="1" t="s">
        <v>74</v>
      </c>
      <c r="BH406" s="1" t="s">
        <v>74</v>
      </c>
      <c r="BI406" s="1" t="s">
        <v>74</v>
      </c>
      <c r="BJ406" s="1" t="s">
        <v>74</v>
      </c>
      <c r="BK406" s="1" t="s">
        <v>74</v>
      </c>
      <c r="BL406" s="1" t="s">
        <v>74</v>
      </c>
      <c r="BM406" s="1" t="s">
        <v>74</v>
      </c>
      <c r="BN406" s="1" t="s">
        <v>74</v>
      </c>
      <c r="BO406" s="1" t="s">
        <v>74</v>
      </c>
      <c r="BP406" s="1" t="s">
        <v>74</v>
      </c>
      <c r="BQ406" s="1" t="s">
        <v>74</v>
      </c>
      <c r="BR406" s="1" t="s">
        <v>74</v>
      </c>
      <c r="BS406" s="1" t="s">
        <v>4080</v>
      </c>
      <c r="BT406" s="1" t="str">
        <f>HYPERLINK("https%3A%2F%2Fwww.webofscience.com%2Fwos%2Fwoscc%2Ffull-record%2FWOS:000347405500046","View Full Record in Web of Science")</f>
        <v>View Full Record in Web of Science</v>
      </c>
    </row>
    <row r="407" ht="12.75" customHeight="1">
      <c r="A407" s="1" t="s">
        <v>72</v>
      </c>
      <c r="B407" s="1" t="s">
        <v>4081</v>
      </c>
      <c r="C407" s="1" t="s">
        <v>74</v>
      </c>
      <c r="D407" s="1" t="s">
        <v>74</v>
      </c>
      <c r="E407" s="1" t="s">
        <v>74</v>
      </c>
      <c r="F407" s="1" t="s">
        <v>4082</v>
      </c>
      <c r="G407" s="1" t="s">
        <v>74</v>
      </c>
      <c r="H407" s="1" t="s">
        <v>74</v>
      </c>
      <c r="I407" s="1" t="s">
        <v>4083</v>
      </c>
      <c r="J407" s="1" t="s">
        <v>4084</v>
      </c>
      <c r="K407" s="1" t="s">
        <v>74</v>
      </c>
      <c r="L407" s="1" t="s">
        <v>74</v>
      </c>
      <c r="M407" s="1" t="s">
        <v>74</v>
      </c>
      <c r="N407" s="1" t="s">
        <v>74</v>
      </c>
      <c r="O407" s="1" t="s">
        <v>74</v>
      </c>
      <c r="P407" s="1" t="s">
        <v>74</v>
      </c>
      <c r="Q407" s="1" t="s">
        <v>74</v>
      </c>
      <c r="R407" s="1" t="s">
        <v>74</v>
      </c>
      <c r="S407" s="1" t="s">
        <v>74</v>
      </c>
      <c r="T407" s="1" t="s">
        <v>74</v>
      </c>
      <c r="U407" s="1" t="s">
        <v>74</v>
      </c>
      <c r="V407" s="1" t="s">
        <v>4085</v>
      </c>
      <c r="W407" s="1" t="s">
        <v>74</v>
      </c>
      <c r="X407" s="1" t="s">
        <v>74</v>
      </c>
      <c r="Y407" s="1" t="s">
        <v>74</v>
      </c>
      <c r="Z407" s="1" t="s">
        <v>74</v>
      </c>
      <c r="AA407" s="1" t="s">
        <v>4086</v>
      </c>
      <c r="AB407" s="1" t="s">
        <v>4087</v>
      </c>
      <c r="AC407" s="1" t="s">
        <v>74</v>
      </c>
      <c r="AD407" s="1" t="s">
        <v>74</v>
      </c>
      <c r="AE407" s="1" t="s">
        <v>74</v>
      </c>
      <c r="AF407" s="1" t="s">
        <v>74</v>
      </c>
      <c r="AG407" s="1" t="s">
        <v>74</v>
      </c>
      <c r="AH407" s="1" t="s">
        <v>74</v>
      </c>
      <c r="AI407" s="1" t="s">
        <v>74</v>
      </c>
      <c r="AJ407" s="1" t="s">
        <v>74</v>
      </c>
      <c r="AK407" s="1" t="s">
        <v>74</v>
      </c>
      <c r="AL407" s="1" t="s">
        <v>74</v>
      </c>
      <c r="AM407" s="1" t="s">
        <v>74</v>
      </c>
      <c r="AN407" s="1" t="s">
        <v>74</v>
      </c>
      <c r="AO407" s="1" t="s">
        <v>4088</v>
      </c>
      <c r="AP407" s="1" t="s">
        <v>4089</v>
      </c>
      <c r="AQ407" s="1" t="s">
        <v>74</v>
      </c>
      <c r="AR407" s="1" t="s">
        <v>74</v>
      </c>
      <c r="AS407" s="1" t="s">
        <v>74</v>
      </c>
      <c r="AT407" s="1" t="s">
        <v>74</v>
      </c>
      <c r="AU407" s="1">
        <v>2015.0</v>
      </c>
      <c r="AV407" s="1">
        <v>25.0</v>
      </c>
      <c r="AW407" s="1">
        <v>7.0</v>
      </c>
      <c r="AX407" s="1" t="s">
        <v>74</v>
      </c>
      <c r="AY407" s="1" t="s">
        <v>74</v>
      </c>
      <c r="AZ407" s="1" t="s">
        <v>74</v>
      </c>
      <c r="BA407" s="1" t="s">
        <v>74</v>
      </c>
      <c r="BB407" s="1">
        <v>1718.0</v>
      </c>
      <c r="BC407" s="1">
        <v>1745.0</v>
      </c>
      <c r="BD407" s="1" t="s">
        <v>74</v>
      </c>
      <c r="BE407" s="1" t="s">
        <v>4090</v>
      </c>
      <c r="BF407" s="2" t="str">
        <f>HYPERLINK("http://dx.doi.org/10.1108/HFF-10-2014-0308","http://dx.doi.org/10.1108/HFF-10-2014-0308")</f>
        <v>http://dx.doi.org/10.1108/HFF-10-2014-0308</v>
      </c>
      <c r="BG407" s="1" t="s">
        <v>74</v>
      </c>
      <c r="BH407" s="1" t="s">
        <v>74</v>
      </c>
      <c r="BI407" s="1" t="s">
        <v>74</v>
      </c>
      <c r="BJ407" s="1" t="s">
        <v>74</v>
      </c>
      <c r="BK407" s="1" t="s">
        <v>74</v>
      </c>
      <c r="BL407" s="1" t="s">
        <v>74</v>
      </c>
      <c r="BM407" s="1" t="s">
        <v>74</v>
      </c>
      <c r="BN407" s="1" t="s">
        <v>74</v>
      </c>
      <c r="BO407" s="1" t="s">
        <v>74</v>
      </c>
      <c r="BP407" s="1" t="s">
        <v>74</v>
      </c>
      <c r="BQ407" s="1" t="s">
        <v>74</v>
      </c>
      <c r="BR407" s="1" t="s">
        <v>74</v>
      </c>
      <c r="BS407" s="1" t="s">
        <v>4091</v>
      </c>
      <c r="BT407" s="1" t="str">
        <f>HYPERLINK("https%3A%2F%2Fwww.webofscience.com%2Fwos%2Fwoscc%2Ffull-record%2FWOS:000366496900015","View Full Record in Web of Science")</f>
        <v>View Full Record in Web of Science</v>
      </c>
    </row>
    <row r="408" ht="12.75" customHeight="1">
      <c r="A408" s="1" t="s">
        <v>72</v>
      </c>
      <c r="B408" s="1" t="s">
        <v>4092</v>
      </c>
      <c r="C408" s="1" t="s">
        <v>74</v>
      </c>
      <c r="D408" s="1" t="s">
        <v>74</v>
      </c>
      <c r="E408" s="1" t="s">
        <v>74</v>
      </c>
      <c r="F408" s="1" t="s">
        <v>4093</v>
      </c>
      <c r="G408" s="1" t="s">
        <v>74</v>
      </c>
      <c r="H408" s="1" t="s">
        <v>74</v>
      </c>
      <c r="I408" s="1" t="s">
        <v>4094</v>
      </c>
      <c r="J408" s="1" t="s">
        <v>4095</v>
      </c>
      <c r="K408" s="1" t="s">
        <v>74</v>
      </c>
      <c r="L408" s="1" t="s">
        <v>74</v>
      </c>
      <c r="M408" s="1" t="s">
        <v>74</v>
      </c>
      <c r="N408" s="1" t="s">
        <v>74</v>
      </c>
      <c r="O408" s="1" t="s">
        <v>74</v>
      </c>
      <c r="P408" s="1" t="s">
        <v>74</v>
      </c>
      <c r="Q408" s="1" t="s">
        <v>74</v>
      </c>
      <c r="R408" s="1" t="s">
        <v>74</v>
      </c>
      <c r="S408" s="1" t="s">
        <v>74</v>
      </c>
      <c r="T408" s="1" t="s">
        <v>74</v>
      </c>
      <c r="U408" s="1" t="s">
        <v>74</v>
      </c>
      <c r="V408" s="1" t="s">
        <v>4096</v>
      </c>
      <c r="W408" s="1" t="s">
        <v>74</v>
      </c>
      <c r="X408" s="1" t="s">
        <v>74</v>
      </c>
      <c r="Y408" s="1" t="s">
        <v>74</v>
      </c>
      <c r="Z408" s="1" t="s">
        <v>74</v>
      </c>
      <c r="AA408" s="1" t="s">
        <v>4097</v>
      </c>
      <c r="AB408" s="1" t="s">
        <v>74</v>
      </c>
      <c r="AC408" s="1" t="s">
        <v>74</v>
      </c>
      <c r="AD408" s="1" t="s">
        <v>74</v>
      </c>
      <c r="AE408" s="1" t="s">
        <v>74</v>
      </c>
      <c r="AF408" s="1" t="s">
        <v>74</v>
      </c>
      <c r="AG408" s="1" t="s">
        <v>74</v>
      </c>
      <c r="AH408" s="1" t="s">
        <v>74</v>
      </c>
      <c r="AI408" s="1" t="s">
        <v>74</v>
      </c>
      <c r="AJ408" s="1" t="s">
        <v>74</v>
      </c>
      <c r="AK408" s="1" t="s">
        <v>74</v>
      </c>
      <c r="AL408" s="1" t="s">
        <v>74</v>
      </c>
      <c r="AM408" s="1" t="s">
        <v>74</v>
      </c>
      <c r="AN408" s="1" t="s">
        <v>74</v>
      </c>
      <c r="AO408" s="1" t="s">
        <v>4098</v>
      </c>
      <c r="AP408" s="1" t="s">
        <v>4099</v>
      </c>
      <c r="AQ408" s="1" t="s">
        <v>74</v>
      </c>
      <c r="AR408" s="1" t="s">
        <v>74</v>
      </c>
      <c r="AS408" s="1" t="s">
        <v>74</v>
      </c>
      <c r="AT408" s="1" t="s">
        <v>74</v>
      </c>
      <c r="AU408" s="1">
        <v>2015.0</v>
      </c>
      <c r="AV408" s="1" t="s">
        <v>74</v>
      </c>
      <c r="AW408" s="1">
        <v>67.0</v>
      </c>
      <c r="AX408" s="1" t="s">
        <v>74</v>
      </c>
      <c r="AY408" s="1" t="s">
        <v>74</v>
      </c>
      <c r="AZ408" s="1" t="s">
        <v>74</v>
      </c>
      <c r="BA408" s="1" t="s">
        <v>74</v>
      </c>
      <c r="BB408" s="1">
        <v>83.0</v>
      </c>
      <c r="BC408" s="1">
        <v>103.0</v>
      </c>
      <c r="BD408" s="1" t="s">
        <v>74</v>
      </c>
      <c r="BE408" s="1" t="s">
        <v>4100</v>
      </c>
      <c r="BF408" s="2" t="str">
        <f>HYPERLINK("http://dx.doi.org/10.21138/bage.1818","http://dx.doi.org/10.21138/bage.1818")</f>
        <v>http://dx.doi.org/10.21138/bage.1818</v>
      </c>
      <c r="BG408" s="1" t="s">
        <v>74</v>
      </c>
      <c r="BH408" s="1" t="s">
        <v>74</v>
      </c>
      <c r="BI408" s="1" t="s">
        <v>74</v>
      </c>
      <c r="BJ408" s="1" t="s">
        <v>74</v>
      </c>
      <c r="BK408" s="1" t="s">
        <v>74</v>
      </c>
      <c r="BL408" s="1" t="s">
        <v>74</v>
      </c>
      <c r="BM408" s="1" t="s">
        <v>74</v>
      </c>
      <c r="BN408" s="1" t="s">
        <v>74</v>
      </c>
      <c r="BO408" s="1" t="s">
        <v>74</v>
      </c>
      <c r="BP408" s="1" t="s">
        <v>74</v>
      </c>
      <c r="BQ408" s="1" t="s">
        <v>74</v>
      </c>
      <c r="BR408" s="1" t="s">
        <v>74</v>
      </c>
      <c r="BS408" s="1" t="s">
        <v>4101</v>
      </c>
      <c r="BT408" s="1" t="str">
        <f>HYPERLINK("https%3A%2F%2Fwww.webofscience.com%2Fwos%2Fwoscc%2Ffull-record%2FWOS:000352464500004","View Full Record in Web of Science")</f>
        <v>View Full Record in Web of Science</v>
      </c>
    </row>
    <row r="409" ht="12.75" customHeight="1">
      <c r="A409" s="1" t="s">
        <v>72</v>
      </c>
      <c r="B409" s="1" t="s">
        <v>4102</v>
      </c>
      <c r="C409" s="1" t="s">
        <v>74</v>
      </c>
      <c r="D409" s="1" t="s">
        <v>74</v>
      </c>
      <c r="E409" s="1" t="s">
        <v>74</v>
      </c>
      <c r="F409" s="1" t="s">
        <v>4103</v>
      </c>
      <c r="G409" s="1" t="s">
        <v>74</v>
      </c>
      <c r="H409" s="1" t="s">
        <v>74</v>
      </c>
      <c r="I409" s="1" t="s">
        <v>4104</v>
      </c>
      <c r="J409" s="1" t="s">
        <v>2091</v>
      </c>
      <c r="K409" s="1" t="s">
        <v>74</v>
      </c>
      <c r="L409" s="1" t="s">
        <v>74</v>
      </c>
      <c r="M409" s="1" t="s">
        <v>74</v>
      </c>
      <c r="N409" s="1" t="s">
        <v>74</v>
      </c>
      <c r="O409" s="1" t="s">
        <v>74</v>
      </c>
      <c r="P409" s="1" t="s">
        <v>74</v>
      </c>
      <c r="Q409" s="1" t="s">
        <v>74</v>
      </c>
      <c r="R409" s="1" t="s">
        <v>74</v>
      </c>
      <c r="S409" s="1" t="s">
        <v>74</v>
      </c>
      <c r="T409" s="1" t="s">
        <v>74</v>
      </c>
      <c r="U409" s="1" t="s">
        <v>74</v>
      </c>
      <c r="V409" s="1" t="s">
        <v>74</v>
      </c>
      <c r="W409" s="1" t="s">
        <v>74</v>
      </c>
      <c r="X409" s="1" t="s">
        <v>74</v>
      </c>
      <c r="Y409" s="1" t="s">
        <v>74</v>
      </c>
      <c r="Z409" s="1" t="s">
        <v>74</v>
      </c>
      <c r="AA409" s="1" t="s">
        <v>4105</v>
      </c>
      <c r="AB409" s="1" t="s">
        <v>74</v>
      </c>
      <c r="AC409" s="1" t="s">
        <v>74</v>
      </c>
      <c r="AD409" s="1" t="s">
        <v>74</v>
      </c>
      <c r="AE409" s="1" t="s">
        <v>74</v>
      </c>
      <c r="AF409" s="1" t="s">
        <v>74</v>
      </c>
      <c r="AG409" s="1" t="s">
        <v>74</v>
      </c>
      <c r="AH409" s="1" t="s">
        <v>74</v>
      </c>
      <c r="AI409" s="1" t="s">
        <v>74</v>
      </c>
      <c r="AJ409" s="1" t="s">
        <v>74</v>
      </c>
      <c r="AK409" s="1" t="s">
        <v>74</v>
      </c>
      <c r="AL409" s="1" t="s">
        <v>74</v>
      </c>
      <c r="AM409" s="1" t="s">
        <v>74</v>
      </c>
      <c r="AN409" s="1" t="s">
        <v>74</v>
      </c>
      <c r="AO409" s="1" t="s">
        <v>2093</v>
      </c>
      <c r="AP409" s="1" t="s">
        <v>74</v>
      </c>
      <c r="AQ409" s="1" t="s">
        <v>74</v>
      </c>
      <c r="AR409" s="1" t="s">
        <v>74</v>
      </c>
      <c r="AS409" s="1" t="s">
        <v>74</v>
      </c>
      <c r="AT409" s="1" t="s">
        <v>3629</v>
      </c>
      <c r="AU409" s="1">
        <v>2014.0</v>
      </c>
      <c r="AV409" s="1">
        <v>81.0</v>
      </c>
      <c r="AW409" s="1">
        <v>323.0</v>
      </c>
      <c r="AX409" s="1" t="s">
        <v>74</v>
      </c>
      <c r="AY409" s="1" t="s">
        <v>74</v>
      </c>
      <c r="AZ409" s="1" t="s">
        <v>74</v>
      </c>
      <c r="BA409" s="1" t="s">
        <v>74</v>
      </c>
      <c r="BB409" s="1">
        <v>595.0</v>
      </c>
      <c r="BC409" s="1">
        <v>618.0</v>
      </c>
      <c r="BD409" s="1" t="s">
        <v>74</v>
      </c>
      <c r="BE409" s="1" t="s">
        <v>74</v>
      </c>
      <c r="BF409" s="1" t="s">
        <v>74</v>
      </c>
      <c r="BG409" s="1" t="s">
        <v>74</v>
      </c>
      <c r="BH409" s="1" t="s">
        <v>74</v>
      </c>
      <c r="BI409" s="1" t="s">
        <v>74</v>
      </c>
      <c r="BJ409" s="1" t="s">
        <v>74</v>
      </c>
      <c r="BK409" s="1" t="s">
        <v>74</v>
      </c>
      <c r="BL409" s="1" t="s">
        <v>74</v>
      </c>
      <c r="BM409" s="1" t="s">
        <v>74</v>
      </c>
      <c r="BN409" s="1" t="s">
        <v>74</v>
      </c>
      <c r="BO409" s="1" t="s">
        <v>74</v>
      </c>
      <c r="BP409" s="1" t="s">
        <v>74</v>
      </c>
      <c r="BQ409" s="1" t="s">
        <v>74</v>
      </c>
      <c r="BR409" s="1" t="s">
        <v>74</v>
      </c>
      <c r="BS409" s="1" t="s">
        <v>4106</v>
      </c>
      <c r="BT409" s="1" t="str">
        <f>HYPERLINK("https%3A%2F%2Fwww.webofscience.com%2Fwos%2Fwoscc%2Ffull-record%2FWOS:000342252900003","View Full Record in Web of Science")</f>
        <v>View Full Record in Web of Science</v>
      </c>
    </row>
    <row r="410" ht="12.75" customHeight="1">
      <c r="A410" s="1" t="s">
        <v>72</v>
      </c>
      <c r="B410" s="1" t="s">
        <v>4107</v>
      </c>
      <c r="C410" s="1" t="s">
        <v>74</v>
      </c>
      <c r="D410" s="1" t="s">
        <v>74</v>
      </c>
      <c r="E410" s="1" t="s">
        <v>74</v>
      </c>
      <c r="F410" s="1" t="s">
        <v>4108</v>
      </c>
      <c r="G410" s="1" t="s">
        <v>74</v>
      </c>
      <c r="H410" s="1" t="s">
        <v>74</v>
      </c>
      <c r="I410" s="1" t="s">
        <v>4109</v>
      </c>
      <c r="J410" s="1" t="s">
        <v>4110</v>
      </c>
      <c r="K410" s="1" t="s">
        <v>74</v>
      </c>
      <c r="L410" s="1" t="s">
        <v>74</v>
      </c>
      <c r="M410" s="1" t="s">
        <v>74</v>
      </c>
      <c r="N410" s="1" t="s">
        <v>74</v>
      </c>
      <c r="O410" s="1" t="s">
        <v>74</v>
      </c>
      <c r="P410" s="1" t="s">
        <v>74</v>
      </c>
      <c r="Q410" s="1" t="s">
        <v>74</v>
      </c>
      <c r="R410" s="1" t="s">
        <v>74</v>
      </c>
      <c r="S410" s="1" t="s">
        <v>74</v>
      </c>
      <c r="T410" s="1" t="s">
        <v>74</v>
      </c>
      <c r="U410" s="1" t="s">
        <v>74</v>
      </c>
      <c r="V410" s="1" t="s">
        <v>4111</v>
      </c>
      <c r="W410" s="1" t="s">
        <v>74</v>
      </c>
      <c r="X410" s="1" t="s">
        <v>74</v>
      </c>
      <c r="Y410" s="1" t="s">
        <v>74</v>
      </c>
      <c r="Z410" s="1" t="s">
        <v>74</v>
      </c>
      <c r="AA410" s="1" t="s">
        <v>4112</v>
      </c>
      <c r="AB410" s="1" t="s">
        <v>4113</v>
      </c>
      <c r="AC410" s="1" t="s">
        <v>74</v>
      </c>
      <c r="AD410" s="1" t="s">
        <v>74</v>
      </c>
      <c r="AE410" s="1" t="s">
        <v>74</v>
      </c>
      <c r="AF410" s="1" t="s">
        <v>74</v>
      </c>
      <c r="AG410" s="1" t="s">
        <v>74</v>
      </c>
      <c r="AH410" s="1" t="s">
        <v>74</v>
      </c>
      <c r="AI410" s="1" t="s">
        <v>74</v>
      </c>
      <c r="AJ410" s="1" t="s">
        <v>74</v>
      </c>
      <c r="AK410" s="1" t="s">
        <v>74</v>
      </c>
      <c r="AL410" s="1" t="s">
        <v>74</v>
      </c>
      <c r="AM410" s="1" t="s">
        <v>74</v>
      </c>
      <c r="AN410" s="1" t="s">
        <v>74</v>
      </c>
      <c r="AO410" s="1" t="s">
        <v>4114</v>
      </c>
      <c r="AP410" s="1" t="s">
        <v>4115</v>
      </c>
      <c r="AQ410" s="1" t="s">
        <v>74</v>
      </c>
      <c r="AR410" s="1" t="s">
        <v>74</v>
      </c>
      <c r="AS410" s="1" t="s">
        <v>74</v>
      </c>
      <c r="AT410" s="1" t="s">
        <v>289</v>
      </c>
      <c r="AU410" s="1">
        <v>2014.0</v>
      </c>
      <c r="AV410" s="1">
        <v>44.0</v>
      </c>
      <c r="AW410" s="1">
        <v>6.0</v>
      </c>
      <c r="AX410" s="1" t="s">
        <v>74</v>
      </c>
      <c r="AY410" s="1" t="s">
        <v>74</v>
      </c>
      <c r="AZ410" s="1" t="s">
        <v>74</v>
      </c>
      <c r="BA410" s="1" t="s">
        <v>74</v>
      </c>
      <c r="BB410" s="1">
        <v>936.0</v>
      </c>
      <c r="BC410" s="1">
        <v>949.0</v>
      </c>
      <c r="BD410" s="1" t="s">
        <v>74</v>
      </c>
      <c r="BE410" s="1" t="s">
        <v>4116</v>
      </c>
      <c r="BF410" s="2" t="str">
        <f>HYPERLINK("http://dx.doi.org/10.1109/TCYB.2013.2277664","http://dx.doi.org/10.1109/TCYB.2013.2277664")</f>
        <v>http://dx.doi.org/10.1109/TCYB.2013.2277664</v>
      </c>
      <c r="BG410" s="1" t="s">
        <v>74</v>
      </c>
      <c r="BH410" s="1" t="s">
        <v>74</v>
      </c>
      <c r="BI410" s="1" t="s">
        <v>74</v>
      </c>
      <c r="BJ410" s="1" t="s">
        <v>74</v>
      </c>
      <c r="BK410" s="1" t="s">
        <v>74</v>
      </c>
      <c r="BL410" s="1" t="s">
        <v>74</v>
      </c>
      <c r="BM410" s="1" t="s">
        <v>74</v>
      </c>
      <c r="BN410" s="1">
        <v>2.414469E7</v>
      </c>
      <c r="BO410" s="1" t="s">
        <v>74</v>
      </c>
      <c r="BP410" s="1" t="s">
        <v>74</v>
      </c>
      <c r="BQ410" s="1" t="s">
        <v>74</v>
      </c>
      <c r="BR410" s="1" t="s">
        <v>74</v>
      </c>
      <c r="BS410" s="1" t="s">
        <v>4117</v>
      </c>
      <c r="BT410" s="1" t="str">
        <f>HYPERLINK("https%3A%2F%2Fwww.webofscience.com%2Fwos%2Fwoscc%2Ffull-record%2FWOS:000337960000017","View Full Record in Web of Science")</f>
        <v>View Full Record in Web of Science</v>
      </c>
    </row>
    <row r="411" ht="12.75" customHeight="1">
      <c r="A411" s="1" t="s">
        <v>72</v>
      </c>
      <c r="B411" s="1" t="s">
        <v>4118</v>
      </c>
      <c r="C411" s="1" t="s">
        <v>74</v>
      </c>
      <c r="D411" s="1" t="s">
        <v>74</v>
      </c>
      <c r="E411" s="1" t="s">
        <v>74</v>
      </c>
      <c r="F411" s="1" t="s">
        <v>4119</v>
      </c>
      <c r="G411" s="1" t="s">
        <v>74</v>
      </c>
      <c r="H411" s="1" t="s">
        <v>74</v>
      </c>
      <c r="I411" s="1" t="s">
        <v>4120</v>
      </c>
      <c r="J411" s="1" t="s">
        <v>4121</v>
      </c>
      <c r="K411" s="1" t="s">
        <v>74</v>
      </c>
      <c r="L411" s="1" t="s">
        <v>74</v>
      </c>
      <c r="M411" s="1" t="s">
        <v>74</v>
      </c>
      <c r="N411" s="1" t="s">
        <v>74</v>
      </c>
      <c r="O411" s="1" t="s">
        <v>74</v>
      </c>
      <c r="P411" s="1" t="s">
        <v>74</v>
      </c>
      <c r="Q411" s="1" t="s">
        <v>74</v>
      </c>
      <c r="R411" s="1" t="s">
        <v>74</v>
      </c>
      <c r="S411" s="1" t="s">
        <v>74</v>
      </c>
      <c r="T411" s="1" t="s">
        <v>74</v>
      </c>
      <c r="U411" s="1" t="s">
        <v>74</v>
      </c>
      <c r="V411" s="1" t="s">
        <v>4122</v>
      </c>
      <c r="W411" s="1" t="s">
        <v>74</v>
      </c>
      <c r="X411" s="1" t="s">
        <v>74</v>
      </c>
      <c r="Y411" s="1" t="s">
        <v>74</v>
      </c>
      <c r="Z411" s="1" t="s">
        <v>74</v>
      </c>
      <c r="AA411" s="1" t="s">
        <v>4123</v>
      </c>
      <c r="AB411" s="1" t="s">
        <v>74</v>
      </c>
      <c r="AC411" s="1" t="s">
        <v>74</v>
      </c>
      <c r="AD411" s="1" t="s">
        <v>74</v>
      </c>
      <c r="AE411" s="1" t="s">
        <v>74</v>
      </c>
      <c r="AF411" s="1" t="s">
        <v>74</v>
      </c>
      <c r="AG411" s="1" t="s">
        <v>74</v>
      </c>
      <c r="AH411" s="1" t="s">
        <v>74</v>
      </c>
      <c r="AI411" s="1" t="s">
        <v>74</v>
      </c>
      <c r="AJ411" s="1" t="s">
        <v>74</v>
      </c>
      <c r="AK411" s="1" t="s">
        <v>74</v>
      </c>
      <c r="AL411" s="1" t="s">
        <v>74</v>
      </c>
      <c r="AM411" s="1" t="s">
        <v>74</v>
      </c>
      <c r="AN411" s="1" t="s">
        <v>74</v>
      </c>
      <c r="AO411" s="1" t="s">
        <v>4124</v>
      </c>
      <c r="AP411" s="1" t="s">
        <v>4125</v>
      </c>
      <c r="AQ411" s="1" t="s">
        <v>74</v>
      </c>
      <c r="AR411" s="1" t="s">
        <v>74</v>
      </c>
      <c r="AS411" s="1" t="s">
        <v>74</v>
      </c>
      <c r="AT411" s="1" t="s">
        <v>74</v>
      </c>
      <c r="AU411" s="1">
        <v>2014.0</v>
      </c>
      <c r="AV411" s="1">
        <v>19.0</v>
      </c>
      <c r="AW411" s="1" t="s">
        <v>74</v>
      </c>
      <c r="AX411" s="1" t="s">
        <v>74</v>
      </c>
      <c r="AY411" s="1" t="s">
        <v>74</v>
      </c>
      <c r="AZ411" s="1" t="s">
        <v>74</v>
      </c>
      <c r="BA411" s="1" t="s">
        <v>74</v>
      </c>
      <c r="BB411" s="1">
        <v>231.0</v>
      </c>
      <c r="BC411" s="1">
        <v>248.0</v>
      </c>
      <c r="BD411" s="1" t="s">
        <v>74</v>
      </c>
      <c r="BE411" s="1" t="s">
        <v>4126</v>
      </c>
      <c r="BF411" s="2" t="str">
        <f>HYPERLINK("http://dx.doi.org/10.5209/rev_HICS.2014.v19.47294","http://dx.doi.org/10.5209/rev_HICS.2014.v19.47294")</f>
        <v>http://dx.doi.org/10.5209/rev_HICS.2014.v19.47294</v>
      </c>
      <c r="BG411" s="1" t="s">
        <v>74</v>
      </c>
      <c r="BH411" s="1" t="s">
        <v>74</v>
      </c>
      <c r="BI411" s="1" t="s">
        <v>74</v>
      </c>
      <c r="BJ411" s="1" t="s">
        <v>74</v>
      </c>
      <c r="BK411" s="1" t="s">
        <v>74</v>
      </c>
      <c r="BL411" s="1" t="s">
        <v>74</v>
      </c>
      <c r="BM411" s="1" t="s">
        <v>74</v>
      </c>
      <c r="BN411" s="1" t="s">
        <v>74</v>
      </c>
      <c r="BO411" s="1" t="s">
        <v>74</v>
      </c>
      <c r="BP411" s="1" t="s">
        <v>74</v>
      </c>
      <c r="BQ411" s="1" t="s">
        <v>74</v>
      </c>
      <c r="BR411" s="1" t="s">
        <v>74</v>
      </c>
      <c r="BS411" s="1" t="s">
        <v>4127</v>
      </c>
      <c r="BT411" s="1" t="str">
        <f>HYPERLINK("https%3A%2F%2Fwww.webofscience.com%2Fwos%2Fwoscc%2Ffull-record%2FWOS:000347642800014","View Full Record in Web of Science")</f>
        <v>View Full Record in Web of Science</v>
      </c>
    </row>
    <row r="412" ht="12.75" customHeight="1">
      <c r="A412" s="1" t="s">
        <v>72</v>
      </c>
      <c r="B412" s="1" t="s">
        <v>4128</v>
      </c>
      <c r="C412" s="1" t="s">
        <v>74</v>
      </c>
      <c r="D412" s="1" t="s">
        <v>74</v>
      </c>
      <c r="E412" s="1" t="s">
        <v>74</v>
      </c>
      <c r="F412" s="1" t="s">
        <v>4129</v>
      </c>
      <c r="G412" s="1" t="s">
        <v>74</v>
      </c>
      <c r="H412" s="1" t="s">
        <v>74</v>
      </c>
      <c r="I412" s="1" t="s">
        <v>4130</v>
      </c>
      <c r="J412" s="1" t="s">
        <v>4131</v>
      </c>
      <c r="K412" s="1" t="s">
        <v>74</v>
      </c>
      <c r="L412" s="1" t="s">
        <v>74</v>
      </c>
      <c r="M412" s="1" t="s">
        <v>74</v>
      </c>
      <c r="N412" s="1" t="s">
        <v>74</v>
      </c>
      <c r="O412" s="1" t="s">
        <v>74</v>
      </c>
      <c r="P412" s="1" t="s">
        <v>74</v>
      </c>
      <c r="Q412" s="1" t="s">
        <v>74</v>
      </c>
      <c r="R412" s="1" t="s">
        <v>74</v>
      </c>
      <c r="S412" s="1" t="s">
        <v>74</v>
      </c>
      <c r="T412" s="1" t="s">
        <v>74</v>
      </c>
      <c r="U412" s="1" t="s">
        <v>74</v>
      </c>
      <c r="V412" s="1" t="s">
        <v>4132</v>
      </c>
      <c r="W412" s="1" t="s">
        <v>74</v>
      </c>
      <c r="X412" s="1" t="s">
        <v>74</v>
      </c>
      <c r="Y412" s="1" t="s">
        <v>74</v>
      </c>
      <c r="Z412" s="1" t="s">
        <v>74</v>
      </c>
      <c r="AA412" s="1" t="s">
        <v>74</v>
      </c>
      <c r="AB412" s="1" t="s">
        <v>74</v>
      </c>
      <c r="AC412" s="1" t="s">
        <v>74</v>
      </c>
      <c r="AD412" s="1" t="s">
        <v>74</v>
      </c>
      <c r="AE412" s="1" t="s">
        <v>74</v>
      </c>
      <c r="AF412" s="1" t="s">
        <v>74</v>
      </c>
      <c r="AG412" s="1" t="s">
        <v>74</v>
      </c>
      <c r="AH412" s="1" t="s">
        <v>74</v>
      </c>
      <c r="AI412" s="1" t="s">
        <v>74</v>
      </c>
      <c r="AJ412" s="1" t="s">
        <v>74</v>
      </c>
      <c r="AK412" s="1" t="s">
        <v>74</v>
      </c>
      <c r="AL412" s="1" t="s">
        <v>74</v>
      </c>
      <c r="AM412" s="1" t="s">
        <v>74</v>
      </c>
      <c r="AN412" s="1" t="s">
        <v>74</v>
      </c>
      <c r="AO412" s="1" t="s">
        <v>4133</v>
      </c>
      <c r="AP412" s="1" t="s">
        <v>4134</v>
      </c>
      <c r="AQ412" s="1" t="s">
        <v>74</v>
      </c>
      <c r="AR412" s="1" t="s">
        <v>74</v>
      </c>
      <c r="AS412" s="1" t="s">
        <v>74</v>
      </c>
      <c r="AT412" s="1" t="s">
        <v>379</v>
      </c>
      <c r="AU412" s="1">
        <v>2013.0</v>
      </c>
      <c r="AV412" s="1">
        <v>40.0</v>
      </c>
      <c r="AW412" s="1">
        <v>2.0</v>
      </c>
      <c r="AX412" s="1" t="s">
        <v>74</v>
      </c>
      <c r="AY412" s="1" t="s">
        <v>74</v>
      </c>
      <c r="AZ412" s="1" t="s">
        <v>74</v>
      </c>
      <c r="BA412" s="1" t="s">
        <v>74</v>
      </c>
      <c r="BB412" s="1">
        <v>1.0</v>
      </c>
      <c r="BC412" s="1">
        <v>16.0</v>
      </c>
      <c r="BD412" s="1" t="s">
        <v>74</v>
      </c>
      <c r="BE412" s="1" t="s">
        <v>74</v>
      </c>
      <c r="BF412" s="1" t="s">
        <v>74</v>
      </c>
      <c r="BG412" s="1" t="s">
        <v>74</v>
      </c>
      <c r="BH412" s="1" t="s">
        <v>74</v>
      </c>
      <c r="BI412" s="1" t="s">
        <v>74</v>
      </c>
      <c r="BJ412" s="1" t="s">
        <v>74</v>
      </c>
      <c r="BK412" s="1" t="s">
        <v>74</v>
      </c>
      <c r="BL412" s="1" t="s">
        <v>74</v>
      </c>
      <c r="BM412" s="1" t="s">
        <v>74</v>
      </c>
      <c r="BN412" s="1" t="s">
        <v>74</v>
      </c>
      <c r="BO412" s="1" t="s">
        <v>74</v>
      </c>
      <c r="BP412" s="1" t="s">
        <v>74</v>
      </c>
      <c r="BQ412" s="1" t="s">
        <v>74</v>
      </c>
      <c r="BR412" s="1" t="s">
        <v>74</v>
      </c>
      <c r="BS412" s="1" t="s">
        <v>4135</v>
      </c>
      <c r="BT412" s="1" t="str">
        <f>HYPERLINK("https%3A%2F%2Fwww.webofscience.com%2Fwos%2Fwoscc%2Ffull-record%2FWOS:000333064700001","View Full Record in Web of Science")</f>
        <v>View Full Record in Web of Science</v>
      </c>
    </row>
    <row r="413" ht="12.75" customHeight="1">
      <c r="A413" s="1" t="s">
        <v>72</v>
      </c>
      <c r="B413" s="1" t="s">
        <v>4136</v>
      </c>
      <c r="C413" s="1" t="s">
        <v>74</v>
      </c>
      <c r="D413" s="1" t="s">
        <v>74</v>
      </c>
      <c r="E413" s="1" t="s">
        <v>74</v>
      </c>
      <c r="F413" s="1" t="s">
        <v>4137</v>
      </c>
      <c r="G413" s="1" t="s">
        <v>74</v>
      </c>
      <c r="H413" s="1" t="s">
        <v>74</v>
      </c>
      <c r="I413" s="1" t="s">
        <v>4138</v>
      </c>
      <c r="J413" s="1" t="s">
        <v>4139</v>
      </c>
      <c r="K413" s="1" t="s">
        <v>74</v>
      </c>
      <c r="L413" s="1" t="s">
        <v>74</v>
      </c>
      <c r="M413" s="1" t="s">
        <v>74</v>
      </c>
      <c r="N413" s="1" t="s">
        <v>74</v>
      </c>
      <c r="O413" s="1" t="s">
        <v>74</v>
      </c>
      <c r="P413" s="1" t="s">
        <v>74</v>
      </c>
      <c r="Q413" s="1" t="s">
        <v>74</v>
      </c>
      <c r="R413" s="1" t="s">
        <v>74</v>
      </c>
      <c r="S413" s="1" t="s">
        <v>74</v>
      </c>
      <c r="T413" s="1" t="s">
        <v>74</v>
      </c>
      <c r="U413" s="1" t="s">
        <v>74</v>
      </c>
      <c r="V413" s="1" t="s">
        <v>4140</v>
      </c>
      <c r="W413" s="1" t="s">
        <v>74</v>
      </c>
      <c r="X413" s="1" t="s">
        <v>74</v>
      </c>
      <c r="Y413" s="1" t="s">
        <v>74</v>
      </c>
      <c r="Z413" s="1" t="s">
        <v>74</v>
      </c>
      <c r="AA413" s="1" t="s">
        <v>4141</v>
      </c>
      <c r="AB413" s="1" t="s">
        <v>4142</v>
      </c>
      <c r="AC413" s="1" t="s">
        <v>74</v>
      </c>
      <c r="AD413" s="1" t="s">
        <v>74</v>
      </c>
      <c r="AE413" s="1" t="s">
        <v>74</v>
      </c>
      <c r="AF413" s="1" t="s">
        <v>74</v>
      </c>
      <c r="AG413" s="1" t="s">
        <v>74</v>
      </c>
      <c r="AH413" s="1" t="s">
        <v>74</v>
      </c>
      <c r="AI413" s="1" t="s">
        <v>74</v>
      </c>
      <c r="AJ413" s="1" t="s">
        <v>74</v>
      </c>
      <c r="AK413" s="1" t="s">
        <v>74</v>
      </c>
      <c r="AL413" s="1" t="s">
        <v>74</v>
      </c>
      <c r="AM413" s="1" t="s">
        <v>74</v>
      </c>
      <c r="AN413" s="1" t="s">
        <v>74</v>
      </c>
      <c r="AO413" s="1" t="s">
        <v>4143</v>
      </c>
      <c r="AP413" s="1" t="s">
        <v>4144</v>
      </c>
      <c r="AQ413" s="1" t="s">
        <v>74</v>
      </c>
      <c r="AR413" s="1" t="s">
        <v>74</v>
      </c>
      <c r="AS413" s="1" t="s">
        <v>74</v>
      </c>
      <c r="AT413" s="1" t="s">
        <v>841</v>
      </c>
      <c r="AU413" s="1">
        <v>2013.0</v>
      </c>
      <c r="AV413" s="1">
        <v>22.0</v>
      </c>
      <c r="AW413" s="1">
        <v>1.0</v>
      </c>
      <c r="AX413" s="1" t="s">
        <v>74</v>
      </c>
      <c r="AY413" s="1" t="s">
        <v>74</v>
      </c>
      <c r="AZ413" s="1" t="s">
        <v>74</v>
      </c>
      <c r="BA413" s="1" t="s">
        <v>74</v>
      </c>
      <c r="BB413" s="1">
        <v>5.0</v>
      </c>
      <c r="BC413" s="1">
        <v>14.0</v>
      </c>
      <c r="BD413" s="1" t="s">
        <v>74</v>
      </c>
      <c r="BE413" s="1" t="s">
        <v>74</v>
      </c>
      <c r="BF413" s="1" t="s">
        <v>74</v>
      </c>
      <c r="BG413" s="1" t="s">
        <v>74</v>
      </c>
      <c r="BH413" s="1" t="s">
        <v>74</v>
      </c>
      <c r="BI413" s="1" t="s">
        <v>74</v>
      </c>
      <c r="BJ413" s="1" t="s">
        <v>74</v>
      </c>
      <c r="BK413" s="1" t="s">
        <v>74</v>
      </c>
      <c r="BL413" s="1" t="s">
        <v>74</v>
      </c>
      <c r="BM413" s="1" t="s">
        <v>74</v>
      </c>
      <c r="BN413" s="1" t="s">
        <v>74</v>
      </c>
      <c r="BO413" s="1" t="s">
        <v>74</v>
      </c>
      <c r="BP413" s="1" t="s">
        <v>74</v>
      </c>
      <c r="BQ413" s="1" t="s">
        <v>74</v>
      </c>
      <c r="BR413" s="1" t="s">
        <v>74</v>
      </c>
      <c r="BS413" s="1" t="s">
        <v>4145</v>
      </c>
      <c r="BT413" s="1" t="str">
        <f>HYPERLINK("https%3A%2F%2Fwww.webofscience.com%2Fwos%2Fwoscc%2Ffull-record%2FWOS:000319965600002","View Full Record in Web of Science")</f>
        <v>View Full Record in Web of Science</v>
      </c>
    </row>
    <row r="414" ht="12.75" customHeight="1">
      <c r="A414" s="1" t="s">
        <v>72</v>
      </c>
      <c r="B414" s="1" t="s">
        <v>4146</v>
      </c>
      <c r="C414" s="1" t="s">
        <v>74</v>
      </c>
      <c r="D414" s="1" t="s">
        <v>74</v>
      </c>
      <c r="E414" s="1" t="s">
        <v>74</v>
      </c>
      <c r="F414" s="1" t="s">
        <v>4147</v>
      </c>
      <c r="G414" s="1" t="s">
        <v>74</v>
      </c>
      <c r="H414" s="1" t="s">
        <v>74</v>
      </c>
      <c r="I414" s="1" t="s">
        <v>4148</v>
      </c>
      <c r="J414" s="1" t="s">
        <v>4149</v>
      </c>
      <c r="K414" s="1" t="s">
        <v>74</v>
      </c>
      <c r="L414" s="1" t="s">
        <v>74</v>
      </c>
      <c r="M414" s="1" t="s">
        <v>74</v>
      </c>
      <c r="N414" s="1" t="s">
        <v>74</v>
      </c>
      <c r="O414" s="1" t="s">
        <v>74</v>
      </c>
      <c r="P414" s="1" t="s">
        <v>74</v>
      </c>
      <c r="Q414" s="1" t="s">
        <v>74</v>
      </c>
      <c r="R414" s="1" t="s">
        <v>74</v>
      </c>
      <c r="S414" s="1" t="s">
        <v>74</v>
      </c>
      <c r="T414" s="1" t="s">
        <v>74</v>
      </c>
      <c r="U414" s="1" t="s">
        <v>74</v>
      </c>
      <c r="V414" s="1" t="s">
        <v>74</v>
      </c>
      <c r="W414" s="1" t="s">
        <v>74</v>
      </c>
      <c r="X414" s="1" t="s">
        <v>74</v>
      </c>
      <c r="Y414" s="1" t="s">
        <v>74</v>
      </c>
      <c r="Z414" s="1" t="s">
        <v>74</v>
      </c>
      <c r="AA414" s="1" t="s">
        <v>4150</v>
      </c>
      <c r="AB414" s="1" t="s">
        <v>74</v>
      </c>
      <c r="AC414" s="1" t="s">
        <v>74</v>
      </c>
      <c r="AD414" s="1" t="s">
        <v>74</v>
      </c>
      <c r="AE414" s="1" t="s">
        <v>74</v>
      </c>
      <c r="AF414" s="1" t="s">
        <v>74</v>
      </c>
      <c r="AG414" s="1" t="s">
        <v>74</v>
      </c>
      <c r="AH414" s="1" t="s">
        <v>74</v>
      </c>
      <c r="AI414" s="1" t="s">
        <v>74</v>
      </c>
      <c r="AJ414" s="1" t="s">
        <v>74</v>
      </c>
      <c r="AK414" s="1" t="s">
        <v>74</v>
      </c>
      <c r="AL414" s="1" t="s">
        <v>74</v>
      </c>
      <c r="AM414" s="1" t="s">
        <v>74</v>
      </c>
      <c r="AN414" s="1" t="s">
        <v>74</v>
      </c>
      <c r="AO414" s="1" t="s">
        <v>4151</v>
      </c>
      <c r="AP414" s="1" t="s">
        <v>4152</v>
      </c>
      <c r="AQ414" s="1" t="s">
        <v>74</v>
      </c>
      <c r="AR414" s="1" t="s">
        <v>74</v>
      </c>
      <c r="AS414" s="1" t="s">
        <v>74</v>
      </c>
      <c r="AT414" s="1" t="s">
        <v>122</v>
      </c>
      <c r="AU414" s="1">
        <v>2012.0</v>
      </c>
      <c r="AV414" s="1" t="s">
        <v>74</v>
      </c>
      <c r="AW414" s="1">
        <v>107.0</v>
      </c>
      <c r="AX414" s="1" t="s">
        <v>74</v>
      </c>
      <c r="AY414" s="1" t="s">
        <v>74</v>
      </c>
      <c r="AZ414" s="1" t="s">
        <v>74</v>
      </c>
      <c r="BA414" s="1" t="s">
        <v>74</v>
      </c>
      <c r="BB414" s="1">
        <v>51.0</v>
      </c>
      <c r="BC414" s="1">
        <v>65.0</v>
      </c>
      <c r="BD414" s="1" t="s">
        <v>74</v>
      </c>
      <c r="BE414" s="1" t="s">
        <v>74</v>
      </c>
      <c r="BF414" s="1" t="s">
        <v>74</v>
      </c>
      <c r="BG414" s="1" t="s">
        <v>74</v>
      </c>
      <c r="BH414" s="1" t="s">
        <v>74</v>
      </c>
      <c r="BI414" s="1" t="s">
        <v>74</v>
      </c>
      <c r="BJ414" s="1" t="s">
        <v>74</v>
      </c>
      <c r="BK414" s="1" t="s">
        <v>74</v>
      </c>
      <c r="BL414" s="1" t="s">
        <v>74</v>
      </c>
      <c r="BM414" s="1" t="s">
        <v>74</v>
      </c>
      <c r="BN414" s="1" t="s">
        <v>74</v>
      </c>
      <c r="BO414" s="1" t="s">
        <v>74</v>
      </c>
      <c r="BP414" s="1" t="s">
        <v>74</v>
      </c>
      <c r="BQ414" s="1" t="s">
        <v>74</v>
      </c>
      <c r="BR414" s="1" t="s">
        <v>74</v>
      </c>
      <c r="BS414" s="1" t="s">
        <v>4153</v>
      </c>
      <c r="BT414" s="1" t="str">
        <f>HYPERLINK("https%3A%2F%2Fwww.webofscience.com%2Fwos%2Fwoscc%2Ffull-record%2FWOS:000307383000003","View Full Record in Web of Science")</f>
        <v>View Full Record in Web of Science</v>
      </c>
    </row>
    <row r="415" ht="12.75" customHeight="1">
      <c r="A415" s="1" t="s">
        <v>72</v>
      </c>
      <c r="B415" s="1" t="s">
        <v>4154</v>
      </c>
      <c r="C415" s="1" t="s">
        <v>74</v>
      </c>
      <c r="D415" s="1" t="s">
        <v>74</v>
      </c>
      <c r="E415" s="1" t="s">
        <v>74</v>
      </c>
      <c r="F415" s="1" t="s">
        <v>4155</v>
      </c>
      <c r="G415" s="1" t="s">
        <v>74</v>
      </c>
      <c r="H415" s="1" t="s">
        <v>74</v>
      </c>
      <c r="I415" s="1" t="s">
        <v>4156</v>
      </c>
      <c r="J415" s="1" t="s">
        <v>3916</v>
      </c>
      <c r="K415" s="1" t="s">
        <v>74</v>
      </c>
      <c r="L415" s="1" t="s">
        <v>74</v>
      </c>
      <c r="M415" s="1" t="s">
        <v>74</v>
      </c>
      <c r="N415" s="1" t="s">
        <v>74</v>
      </c>
      <c r="O415" s="1" t="s">
        <v>74</v>
      </c>
      <c r="P415" s="1" t="s">
        <v>74</v>
      </c>
      <c r="Q415" s="1" t="s">
        <v>74</v>
      </c>
      <c r="R415" s="1" t="s">
        <v>74</v>
      </c>
      <c r="S415" s="1" t="s">
        <v>74</v>
      </c>
      <c r="T415" s="1" t="s">
        <v>74</v>
      </c>
      <c r="U415" s="1" t="s">
        <v>74</v>
      </c>
      <c r="V415" s="1" t="s">
        <v>4157</v>
      </c>
      <c r="W415" s="1" t="s">
        <v>74</v>
      </c>
      <c r="X415" s="1" t="s">
        <v>74</v>
      </c>
      <c r="Y415" s="1" t="s">
        <v>74</v>
      </c>
      <c r="Z415" s="1" t="s">
        <v>74</v>
      </c>
      <c r="AA415" s="1" t="s">
        <v>4158</v>
      </c>
      <c r="AB415" s="1" t="s">
        <v>316</v>
      </c>
      <c r="AC415" s="1" t="s">
        <v>74</v>
      </c>
      <c r="AD415" s="1" t="s">
        <v>74</v>
      </c>
      <c r="AE415" s="1" t="s">
        <v>74</v>
      </c>
      <c r="AF415" s="1" t="s">
        <v>74</v>
      </c>
      <c r="AG415" s="1" t="s">
        <v>74</v>
      </c>
      <c r="AH415" s="1" t="s">
        <v>74</v>
      </c>
      <c r="AI415" s="1" t="s">
        <v>74</v>
      </c>
      <c r="AJ415" s="1" t="s">
        <v>74</v>
      </c>
      <c r="AK415" s="1" t="s">
        <v>74</v>
      </c>
      <c r="AL415" s="1" t="s">
        <v>74</v>
      </c>
      <c r="AM415" s="1" t="s">
        <v>74</v>
      </c>
      <c r="AN415" s="1" t="s">
        <v>74</v>
      </c>
      <c r="AO415" s="1" t="s">
        <v>3920</v>
      </c>
      <c r="AP415" s="1" t="s">
        <v>74</v>
      </c>
      <c r="AQ415" s="1" t="s">
        <v>74</v>
      </c>
      <c r="AR415" s="1" t="s">
        <v>74</v>
      </c>
      <c r="AS415" s="1" t="s">
        <v>74</v>
      </c>
      <c r="AT415" s="1" t="s">
        <v>621</v>
      </c>
      <c r="AU415" s="1">
        <v>2012.0</v>
      </c>
      <c r="AV415" s="1">
        <v>30.0</v>
      </c>
      <c r="AW415" s="1">
        <v>2.0</v>
      </c>
      <c r="AX415" s="1" t="s">
        <v>74</v>
      </c>
      <c r="AY415" s="1" t="s">
        <v>74</v>
      </c>
      <c r="AZ415" s="1" t="s">
        <v>74</v>
      </c>
      <c r="BA415" s="1" t="s">
        <v>74</v>
      </c>
      <c r="BB415" s="1">
        <v>77.0</v>
      </c>
      <c r="BC415" s="1">
        <v>84.0</v>
      </c>
      <c r="BD415" s="1" t="s">
        <v>74</v>
      </c>
      <c r="BE415" s="1" t="s">
        <v>4159</v>
      </c>
      <c r="BF415" s="2" t="str">
        <f>HYPERLINK("http://dx.doi.org/10.4067/S0718-48082012000200008","http://dx.doi.org/10.4067/S0718-48082012000200008")</f>
        <v>http://dx.doi.org/10.4067/S0718-48082012000200008</v>
      </c>
      <c r="BG415" s="1" t="s">
        <v>74</v>
      </c>
      <c r="BH415" s="1" t="s">
        <v>74</v>
      </c>
      <c r="BI415" s="1" t="s">
        <v>74</v>
      </c>
      <c r="BJ415" s="1" t="s">
        <v>74</v>
      </c>
      <c r="BK415" s="1" t="s">
        <v>74</v>
      </c>
      <c r="BL415" s="1" t="s">
        <v>74</v>
      </c>
      <c r="BM415" s="1" t="s">
        <v>74</v>
      </c>
      <c r="BN415" s="1" t="s">
        <v>74</v>
      </c>
      <c r="BO415" s="1" t="s">
        <v>74</v>
      </c>
      <c r="BP415" s="1" t="s">
        <v>74</v>
      </c>
      <c r="BQ415" s="1" t="s">
        <v>74</v>
      </c>
      <c r="BR415" s="1" t="s">
        <v>74</v>
      </c>
      <c r="BS415" s="1" t="s">
        <v>4160</v>
      </c>
      <c r="BT415" s="1" t="str">
        <f>HYPERLINK("https%3A%2F%2Fwww.webofscience.com%2Fwos%2Fwoscc%2Ffull-record%2FWOS:000305048800008","View Full Record in Web of Science")</f>
        <v>View Full Record in Web of Science</v>
      </c>
    </row>
    <row r="416" ht="12.75" customHeight="1">
      <c r="A416" s="1" t="s">
        <v>72</v>
      </c>
      <c r="B416" s="1" t="s">
        <v>4161</v>
      </c>
      <c r="C416" s="1" t="s">
        <v>74</v>
      </c>
      <c r="D416" s="1" t="s">
        <v>74</v>
      </c>
      <c r="E416" s="1" t="s">
        <v>74</v>
      </c>
      <c r="F416" s="1" t="s">
        <v>4162</v>
      </c>
      <c r="G416" s="1" t="s">
        <v>74</v>
      </c>
      <c r="H416" s="1" t="s">
        <v>74</v>
      </c>
      <c r="I416" s="1" t="s">
        <v>4163</v>
      </c>
      <c r="J416" s="1" t="s">
        <v>4164</v>
      </c>
      <c r="K416" s="1" t="s">
        <v>74</v>
      </c>
      <c r="L416" s="1" t="s">
        <v>74</v>
      </c>
      <c r="M416" s="1" t="s">
        <v>74</v>
      </c>
      <c r="N416" s="1" t="s">
        <v>74</v>
      </c>
      <c r="O416" s="1" t="s">
        <v>74</v>
      </c>
      <c r="P416" s="1" t="s">
        <v>74</v>
      </c>
      <c r="Q416" s="1" t="s">
        <v>74</v>
      </c>
      <c r="R416" s="1" t="s">
        <v>74</v>
      </c>
      <c r="S416" s="1" t="s">
        <v>74</v>
      </c>
      <c r="T416" s="1" t="s">
        <v>74</v>
      </c>
      <c r="U416" s="1" t="s">
        <v>74</v>
      </c>
      <c r="V416" s="1" t="s">
        <v>4165</v>
      </c>
      <c r="W416" s="1" t="s">
        <v>74</v>
      </c>
      <c r="X416" s="1" t="s">
        <v>74</v>
      </c>
      <c r="Y416" s="1" t="s">
        <v>74</v>
      </c>
      <c r="Z416" s="1" t="s">
        <v>74</v>
      </c>
      <c r="AA416" s="1" t="s">
        <v>74</v>
      </c>
      <c r="AB416" s="1" t="s">
        <v>4166</v>
      </c>
      <c r="AC416" s="1" t="s">
        <v>74</v>
      </c>
      <c r="AD416" s="1" t="s">
        <v>74</v>
      </c>
      <c r="AE416" s="1" t="s">
        <v>74</v>
      </c>
      <c r="AF416" s="1" t="s">
        <v>74</v>
      </c>
      <c r="AG416" s="1" t="s">
        <v>74</v>
      </c>
      <c r="AH416" s="1" t="s">
        <v>74</v>
      </c>
      <c r="AI416" s="1" t="s">
        <v>74</v>
      </c>
      <c r="AJ416" s="1" t="s">
        <v>74</v>
      </c>
      <c r="AK416" s="1" t="s">
        <v>74</v>
      </c>
      <c r="AL416" s="1" t="s">
        <v>74</v>
      </c>
      <c r="AM416" s="1" t="s">
        <v>74</v>
      </c>
      <c r="AN416" s="1" t="s">
        <v>74</v>
      </c>
      <c r="AO416" s="1" t="s">
        <v>4167</v>
      </c>
      <c r="AP416" s="1" t="s">
        <v>4168</v>
      </c>
      <c r="AQ416" s="1" t="s">
        <v>74</v>
      </c>
      <c r="AR416" s="1" t="s">
        <v>74</v>
      </c>
      <c r="AS416" s="1" t="s">
        <v>74</v>
      </c>
      <c r="AT416" s="1" t="s">
        <v>289</v>
      </c>
      <c r="AU416" s="1">
        <v>2012.0</v>
      </c>
      <c r="AV416" s="1">
        <v>43.0</v>
      </c>
      <c r="AW416" s="1">
        <v>2.0</v>
      </c>
      <c r="AX416" s="1" t="s">
        <v>74</v>
      </c>
      <c r="AY416" s="1" t="s">
        <v>74</v>
      </c>
      <c r="AZ416" s="1" t="s">
        <v>74</v>
      </c>
      <c r="BA416" s="1" t="s">
        <v>74</v>
      </c>
      <c r="BB416" s="1">
        <v>221.0</v>
      </c>
      <c r="BC416" s="1">
        <v>245.0</v>
      </c>
      <c r="BD416" s="1" t="s">
        <v>74</v>
      </c>
      <c r="BE416" s="1" t="s">
        <v>4169</v>
      </c>
      <c r="BF416" s="2" t="str">
        <f>HYPERLINK("http://dx.doi.org/10.1007/s00574-012-0011-5","http://dx.doi.org/10.1007/s00574-012-0011-5")</f>
        <v>http://dx.doi.org/10.1007/s00574-012-0011-5</v>
      </c>
      <c r="BG416" s="1" t="s">
        <v>74</v>
      </c>
      <c r="BH416" s="1" t="s">
        <v>74</v>
      </c>
      <c r="BI416" s="1" t="s">
        <v>74</v>
      </c>
      <c r="BJ416" s="1" t="s">
        <v>74</v>
      </c>
      <c r="BK416" s="1" t="s">
        <v>74</v>
      </c>
      <c r="BL416" s="1" t="s">
        <v>74</v>
      </c>
      <c r="BM416" s="1" t="s">
        <v>74</v>
      </c>
      <c r="BN416" s="1" t="s">
        <v>74</v>
      </c>
      <c r="BO416" s="1" t="s">
        <v>74</v>
      </c>
      <c r="BP416" s="1" t="s">
        <v>74</v>
      </c>
      <c r="BQ416" s="1" t="s">
        <v>74</v>
      </c>
      <c r="BR416" s="1" t="s">
        <v>74</v>
      </c>
      <c r="BS416" s="1" t="s">
        <v>4170</v>
      </c>
      <c r="BT416" s="1" t="str">
        <f>HYPERLINK("https%3A%2F%2Fwww.webofscience.com%2Fwos%2Fwoscc%2Ffull-record%2FWOS:000304694700003","View Full Record in Web of Science")</f>
        <v>View Full Record in Web of Science</v>
      </c>
    </row>
    <row r="417" ht="12.75" customHeight="1">
      <c r="A417" s="1" t="s">
        <v>72</v>
      </c>
      <c r="B417" s="1" t="s">
        <v>4171</v>
      </c>
      <c r="C417" s="1" t="s">
        <v>74</v>
      </c>
      <c r="D417" s="1" t="s">
        <v>74</v>
      </c>
      <c r="E417" s="1" t="s">
        <v>74</v>
      </c>
      <c r="F417" s="1" t="s">
        <v>4172</v>
      </c>
      <c r="G417" s="1" t="s">
        <v>74</v>
      </c>
      <c r="H417" s="1" t="s">
        <v>74</v>
      </c>
      <c r="I417" s="1" t="s">
        <v>4173</v>
      </c>
      <c r="J417" s="1" t="s">
        <v>4174</v>
      </c>
      <c r="K417" s="1" t="s">
        <v>74</v>
      </c>
      <c r="L417" s="1" t="s">
        <v>74</v>
      </c>
      <c r="M417" s="1" t="s">
        <v>74</v>
      </c>
      <c r="N417" s="1" t="s">
        <v>74</v>
      </c>
      <c r="O417" s="1" t="s">
        <v>74</v>
      </c>
      <c r="P417" s="1" t="s">
        <v>74</v>
      </c>
      <c r="Q417" s="1" t="s">
        <v>74</v>
      </c>
      <c r="R417" s="1" t="s">
        <v>74</v>
      </c>
      <c r="S417" s="1" t="s">
        <v>74</v>
      </c>
      <c r="T417" s="1" t="s">
        <v>74</v>
      </c>
      <c r="U417" s="1" t="s">
        <v>74</v>
      </c>
      <c r="V417" s="1" t="s">
        <v>74</v>
      </c>
      <c r="W417" s="1" t="s">
        <v>74</v>
      </c>
      <c r="X417" s="1" t="s">
        <v>74</v>
      </c>
      <c r="Y417" s="1" t="s">
        <v>74</v>
      </c>
      <c r="Z417" s="1" t="s">
        <v>74</v>
      </c>
      <c r="AA417" s="1" t="s">
        <v>4175</v>
      </c>
      <c r="AB417" s="1" t="s">
        <v>4176</v>
      </c>
      <c r="AC417" s="1" t="s">
        <v>74</v>
      </c>
      <c r="AD417" s="1" t="s">
        <v>74</v>
      </c>
      <c r="AE417" s="1" t="s">
        <v>74</v>
      </c>
      <c r="AF417" s="1" t="s">
        <v>74</v>
      </c>
      <c r="AG417" s="1" t="s">
        <v>74</v>
      </c>
      <c r="AH417" s="1" t="s">
        <v>74</v>
      </c>
      <c r="AI417" s="1" t="s">
        <v>74</v>
      </c>
      <c r="AJ417" s="1" t="s">
        <v>74</v>
      </c>
      <c r="AK417" s="1" t="s">
        <v>74</v>
      </c>
      <c r="AL417" s="1" t="s">
        <v>74</v>
      </c>
      <c r="AM417" s="1" t="s">
        <v>74</v>
      </c>
      <c r="AN417" s="1" t="s">
        <v>74</v>
      </c>
      <c r="AO417" s="1" t="s">
        <v>4177</v>
      </c>
      <c r="AP417" s="1" t="s">
        <v>74</v>
      </c>
      <c r="AQ417" s="1" t="s">
        <v>74</v>
      </c>
      <c r="AR417" s="1" t="s">
        <v>74</v>
      </c>
      <c r="AS417" s="1" t="s">
        <v>74</v>
      </c>
      <c r="AT417" s="1" t="s">
        <v>4178</v>
      </c>
      <c r="AU417" s="1">
        <v>2012.0</v>
      </c>
      <c r="AV417" s="1">
        <v>338.0</v>
      </c>
      <c r="AW417" s="1" t="s">
        <v>74</v>
      </c>
      <c r="AX417" s="1" t="s">
        <v>74</v>
      </c>
      <c r="AY417" s="1" t="s">
        <v>74</v>
      </c>
      <c r="AZ417" s="1" t="s">
        <v>74</v>
      </c>
      <c r="BA417" s="1" t="s">
        <v>74</v>
      </c>
      <c r="BB417" s="1">
        <v>314.0</v>
      </c>
      <c r="BC417" s="1">
        <v>314.0</v>
      </c>
      <c r="BD417" s="1" t="s">
        <v>74</v>
      </c>
      <c r="BE417" s="1" t="s">
        <v>4179</v>
      </c>
      <c r="BF417" s="2" t="str">
        <f>HYPERLINK("http://dx.doi.org/10.1016/j.aquaculture.2012.01.002","http://dx.doi.org/10.1016/j.aquaculture.2012.01.002")</f>
        <v>http://dx.doi.org/10.1016/j.aquaculture.2012.01.002</v>
      </c>
      <c r="BG417" s="1" t="s">
        <v>74</v>
      </c>
      <c r="BH417" s="1" t="s">
        <v>74</v>
      </c>
      <c r="BI417" s="1" t="s">
        <v>74</v>
      </c>
      <c r="BJ417" s="1" t="s">
        <v>74</v>
      </c>
      <c r="BK417" s="1" t="s">
        <v>74</v>
      </c>
      <c r="BL417" s="1" t="s">
        <v>74</v>
      </c>
      <c r="BM417" s="1" t="s">
        <v>74</v>
      </c>
      <c r="BN417" s="1" t="s">
        <v>74</v>
      </c>
      <c r="BO417" s="1" t="s">
        <v>74</v>
      </c>
      <c r="BP417" s="1" t="s">
        <v>74</v>
      </c>
      <c r="BQ417" s="1" t="s">
        <v>74</v>
      </c>
      <c r="BR417" s="1" t="s">
        <v>74</v>
      </c>
      <c r="BS417" s="1" t="s">
        <v>4180</v>
      </c>
      <c r="BT417" s="1" t="str">
        <f>HYPERLINK("https%3A%2F%2Fwww.webofscience.com%2Fwos%2Fwoscc%2Ffull-record%2FWOS:000304290700044","View Full Record in Web of Science")</f>
        <v>View Full Record in Web of Science</v>
      </c>
    </row>
    <row r="418" ht="12.75" customHeight="1">
      <c r="A418" s="1" t="s">
        <v>72</v>
      </c>
      <c r="B418" s="1" t="s">
        <v>4181</v>
      </c>
      <c r="C418" s="1" t="s">
        <v>74</v>
      </c>
      <c r="D418" s="1" t="s">
        <v>74</v>
      </c>
      <c r="E418" s="1" t="s">
        <v>74</v>
      </c>
      <c r="F418" s="1" t="s">
        <v>4182</v>
      </c>
      <c r="G418" s="1" t="s">
        <v>74</v>
      </c>
      <c r="H418" s="1" t="s">
        <v>74</v>
      </c>
      <c r="I418" s="1" t="s">
        <v>4183</v>
      </c>
      <c r="J418" s="1" t="s">
        <v>4184</v>
      </c>
      <c r="K418" s="1" t="s">
        <v>74</v>
      </c>
      <c r="L418" s="1" t="s">
        <v>74</v>
      </c>
      <c r="M418" s="1" t="s">
        <v>74</v>
      </c>
      <c r="N418" s="1" t="s">
        <v>74</v>
      </c>
      <c r="O418" s="1" t="s">
        <v>74</v>
      </c>
      <c r="P418" s="1" t="s">
        <v>74</v>
      </c>
      <c r="Q418" s="1" t="s">
        <v>74</v>
      </c>
      <c r="R418" s="1" t="s">
        <v>74</v>
      </c>
      <c r="S418" s="1" t="s">
        <v>74</v>
      </c>
      <c r="T418" s="1" t="s">
        <v>74</v>
      </c>
      <c r="U418" s="1" t="s">
        <v>74</v>
      </c>
      <c r="V418" s="1" t="s">
        <v>4185</v>
      </c>
      <c r="W418" s="1" t="s">
        <v>74</v>
      </c>
      <c r="X418" s="1" t="s">
        <v>74</v>
      </c>
      <c r="Y418" s="1" t="s">
        <v>74</v>
      </c>
      <c r="Z418" s="1" t="s">
        <v>74</v>
      </c>
      <c r="AA418" s="1" t="s">
        <v>74</v>
      </c>
      <c r="AB418" s="1" t="s">
        <v>74</v>
      </c>
      <c r="AC418" s="1" t="s">
        <v>74</v>
      </c>
      <c r="AD418" s="1" t="s">
        <v>74</v>
      </c>
      <c r="AE418" s="1" t="s">
        <v>74</v>
      </c>
      <c r="AF418" s="1" t="s">
        <v>74</v>
      </c>
      <c r="AG418" s="1" t="s">
        <v>74</v>
      </c>
      <c r="AH418" s="1" t="s">
        <v>74</v>
      </c>
      <c r="AI418" s="1" t="s">
        <v>74</v>
      </c>
      <c r="AJ418" s="1" t="s">
        <v>74</v>
      </c>
      <c r="AK418" s="1" t="s">
        <v>74</v>
      </c>
      <c r="AL418" s="1" t="s">
        <v>74</v>
      </c>
      <c r="AM418" s="1" t="s">
        <v>74</v>
      </c>
      <c r="AN418" s="1" t="s">
        <v>74</v>
      </c>
      <c r="AO418" s="1" t="s">
        <v>4186</v>
      </c>
      <c r="AP418" s="1" t="s">
        <v>4187</v>
      </c>
      <c r="AQ418" s="1" t="s">
        <v>74</v>
      </c>
      <c r="AR418" s="1" t="s">
        <v>74</v>
      </c>
      <c r="AS418" s="1" t="s">
        <v>74</v>
      </c>
      <c r="AT418" s="1" t="s">
        <v>74</v>
      </c>
      <c r="AU418" s="1">
        <v>2012.0</v>
      </c>
      <c r="AV418" s="1">
        <v>58.0</v>
      </c>
      <c r="AW418" s="1">
        <v>7.0</v>
      </c>
      <c r="AX418" s="1" t="s">
        <v>74</v>
      </c>
      <c r="AY418" s="1" t="s">
        <v>74</v>
      </c>
      <c r="AZ418" s="1" t="s">
        <v>74</v>
      </c>
      <c r="BA418" s="1" t="s">
        <v>74</v>
      </c>
      <c r="BB418" s="1">
        <v>789.0</v>
      </c>
      <c r="BC418" s="1">
        <v>803.0</v>
      </c>
      <c r="BD418" s="1" t="s">
        <v>74</v>
      </c>
      <c r="BE418" s="1" t="s">
        <v>4188</v>
      </c>
      <c r="BF418" s="2" t="str">
        <f>HYPERLINK("http://dx.doi.org/10.1080/03650340.2010.546787","http://dx.doi.org/10.1080/03650340.2010.546787")</f>
        <v>http://dx.doi.org/10.1080/03650340.2010.546787</v>
      </c>
      <c r="BG418" s="1" t="s">
        <v>74</v>
      </c>
      <c r="BH418" s="1" t="s">
        <v>74</v>
      </c>
      <c r="BI418" s="1" t="s">
        <v>74</v>
      </c>
      <c r="BJ418" s="1" t="s">
        <v>74</v>
      </c>
      <c r="BK418" s="1" t="s">
        <v>74</v>
      </c>
      <c r="BL418" s="1" t="s">
        <v>74</v>
      </c>
      <c r="BM418" s="1" t="s">
        <v>74</v>
      </c>
      <c r="BN418" s="1" t="s">
        <v>74</v>
      </c>
      <c r="BO418" s="1" t="s">
        <v>74</v>
      </c>
      <c r="BP418" s="1" t="s">
        <v>74</v>
      </c>
      <c r="BQ418" s="1" t="s">
        <v>74</v>
      </c>
      <c r="BR418" s="1" t="s">
        <v>74</v>
      </c>
      <c r="BS418" s="1" t="s">
        <v>4189</v>
      </c>
      <c r="BT418" s="1" t="str">
        <f>HYPERLINK("https%3A%2F%2Fwww.webofscience.com%2Fwos%2Fwoscc%2Ffull-record%2FWOS:000305565800007","View Full Record in Web of Science")</f>
        <v>View Full Record in Web of Science</v>
      </c>
    </row>
    <row r="419" ht="12.75" customHeight="1">
      <c r="A419" s="1" t="s">
        <v>72</v>
      </c>
      <c r="B419" s="1" t="s">
        <v>4190</v>
      </c>
      <c r="C419" s="1" t="s">
        <v>74</v>
      </c>
      <c r="D419" s="1" t="s">
        <v>74</v>
      </c>
      <c r="E419" s="1" t="s">
        <v>74</v>
      </c>
      <c r="F419" s="1" t="s">
        <v>4191</v>
      </c>
      <c r="G419" s="1" t="s">
        <v>74</v>
      </c>
      <c r="H419" s="1" t="s">
        <v>74</v>
      </c>
      <c r="I419" s="1" t="s">
        <v>4192</v>
      </c>
      <c r="J419" s="1" t="s">
        <v>4193</v>
      </c>
      <c r="K419" s="1" t="s">
        <v>74</v>
      </c>
      <c r="L419" s="1" t="s">
        <v>74</v>
      </c>
      <c r="M419" s="1" t="s">
        <v>74</v>
      </c>
      <c r="N419" s="1" t="s">
        <v>74</v>
      </c>
      <c r="O419" s="1" t="s">
        <v>74</v>
      </c>
      <c r="P419" s="1" t="s">
        <v>74</v>
      </c>
      <c r="Q419" s="1" t="s">
        <v>74</v>
      </c>
      <c r="R419" s="1" t="s">
        <v>74</v>
      </c>
      <c r="S419" s="1" t="s">
        <v>74</v>
      </c>
      <c r="T419" s="1" t="s">
        <v>74</v>
      </c>
      <c r="U419" s="1" t="s">
        <v>74</v>
      </c>
      <c r="V419" s="1" t="s">
        <v>4194</v>
      </c>
      <c r="W419" s="1" t="s">
        <v>74</v>
      </c>
      <c r="X419" s="1" t="s">
        <v>74</v>
      </c>
      <c r="Y419" s="1" t="s">
        <v>74</v>
      </c>
      <c r="Z419" s="1" t="s">
        <v>74</v>
      </c>
      <c r="AA419" s="1" t="s">
        <v>4195</v>
      </c>
      <c r="AB419" s="1" t="s">
        <v>1255</v>
      </c>
      <c r="AC419" s="1" t="s">
        <v>74</v>
      </c>
      <c r="AD419" s="1" t="s">
        <v>74</v>
      </c>
      <c r="AE419" s="1" t="s">
        <v>74</v>
      </c>
      <c r="AF419" s="1" t="s">
        <v>74</v>
      </c>
      <c r="AG419" s="1" t="s">
        <v>74</v>
      </c>
      <c r="AH419" s="1" t="s">
        <v>74</v>
      </c>
      <c r="AI419" s="1" t="s">
        <v>74</v>
      </c>
      <c r="AJ419" s="1" t="s">
        <v>74</v>
      </c>
      <c r="AK419" s="1" t="s">
        <v>74</v>
      </c>
      <c r="AL419" s="1" t="s">
        <v>74</v>
      </c>
      <c r="AM419" s="1" t="s">
        <v>74</v>
      </c>
      <c r="AN419" s="1" t="s">
        <v>74</v>
      </c>
      <c r="AO419" s="1" t="s">
        <v>4196</v>
      </c>
      <c r="AP419" s="1" t="s">
        <v>4197</v>
      </c>
      <c r="AQ419" s="1" t="s">
        <v>74</v>
      </c>
      <c r="AR419" s="1" t="s">
        <v>74</v>
      </c>
      <c r="AS419" s="1" t="s">
        <v>74</v>
      </c>
      <c r="AT419" s="1" t="s">
        <v>74</v>
      </c>
      <c r="AU419" s="1">
        <v>2012.0</v>
      </c>
      <c r="AV419" s="1">
        <v>12.0</v>
      </c>
      <c r="AW419" s="1">
        <v>4.0</v>
      </c>
      <c r="AX419" s="1" t="s">
        <v>74</v>
      </c>
      <c r="AY419" s="1" t="s">
        <v>74</v>
      </c>
      <c r="AZ419" s="1" t="s">
        <v>74</v>
      </c>
      <c r="BA419" s="1" t="s">
        <v>74</v>
      </c>
      <c r="BB419" s="1">
        <v>893.0</v>
      </c>
      <c r="BC419" s="1">
        <v>911.0</v>
      </c>
      <c r="BD419" s="1" t="s">
        <v>74</v>
      </c>
      <c r="BE419" s="1" t="s">
        <v>4198</v>
      </c>
      <c r="BF419" s="2" t="str">
        <f>HYPERLINK("http://dx.doi.org/10.4067/S0718-95162013005000029","http://dx.doi.org/10.4067/S0718-95162013005000029")</f>
        <v>http://dx.doi.org/10.4067/S0718-95162013005000029</v>
      </c>
      <c r="BG419" s="1" t="s">
        <v>74</v>
      </c>
      <c r="BH419" s="1" t="s">
        <v>74</v>
      </c>
      <c r="BI419" s="1" t="s">
        <v>74</v>
      </c>
      <c r="BJ419" s="1" t="s">
        <v>74</v>
      </c>
      <c r="BK419" s="1" t="s">
        <v>74</v>
      </c>
      <c r="BL419" s="1" t="s">
        <v>74</v>
      </c>
      <c r="BM419" s="1" t="s">
        <v>74</v>
      </c>
      <c r="BN419" s="1" t="s">
        <v>74</v>
      </c>
      <c r="BO419" s="1" t="s">
        <v>74</v>
      </c>
      <c r="BP419" s="1" t="s">
        <v>74</v>
      </c>
      <c r="BQ419" s="1" t="s">
        <v>74</v>
      </c>
      <c r="BR419" s="1" t="s">
        <v>74</v>
      </c>
      <c r="BS419" s="1" t="s">
        <v>4199</v>
      </c>
      <c r="BT419" s="1" t="str">
        <f>HYPERLINK("https%3A%2F%2Fwww.webofscience.com%2Fwos%2Fwoscc%2Ffull-record%2FWOS:000317737000020","View Full Record in Web of Science")</f>
        <v>View Full Record in Web of Science</v>
      </c>
    </row>
    <row r="420" ht="12.75" customHeight="1">
      <c r="A420" s="1" t="s">
        <v>72</v>
      </c>
      <c r="B420" s="1" t="s">
        <v>4200</v>
      </c>
      <c r="C420" s="1" t="s">
        <v>74</v>
      </c>
      <c r="D420" s="1" t="s">
        <v>74</v>
      </c>
      <c r="E420" s="1" t="s">
        <v>74</v>
      </c>
      <c r="F420" s="1" t="s">
        <v>4201</v>
      </c>
      <c r="G420" s="1" t="s">
        <v>74</v>
      </c>
      <c r="H420" s="1" t="s">
        <v>74</v>
      </c>
      <c r="I420" s="1" t="s">
        <v>4202</v>
      </c>
      <c r="J420" s="1" t="s">
        <v>2383</v>
      </c>
      <c r="K420" s="1" t="s">
        <v>74</v>
      </c>
      <c r="L420" s="1" t="s">
        <v>74</v>
      </c>
      <c r="M420" s="1" t="s">
        <v>74</v>
      </c>
      <c r="N420" s="1" t="s">
        <v>74</v>
      </c>
      <c r="O420" s="1" t="s">
        <v>74</v>
      </c>
      <c r="P420" s="1" t="s">
        <v>74</v>
      </c>
      <c r="Q420" s="1" t="s">
        <v>74</v>
      </c>
      <c r="R420" s="1" t="s">
        <v>74</v>
      </c>
      <c r="S420" s="1" t="s">
        <v>74</v>
      </c>
      <c r="T420" s="1" t="s">
        <v>74</v>
      </c>
      <c r="U420" s="1" t="s">
        <v>74</v>
      </c>
      <c r="V420" s="1" t="s">
        <v>4203</v>
      </c>
      <c r="W420" s="1" t="s">
        <v>74</v>
      </c>
      <c r="X420" s="1" t="s">
        <v>74</v>
      </c>
      <c r="Y420" s="1" t="s">
        <v>74</v>
      </c>
      <c r="Z420" s="1" t="s">
        <v>74</v>
      </c>
      <c r="AA420" s="1" t="s">
        <v>4204</v>
      </c>
      <c r="AB420" s="1" t="s">
        <v>4205</v>
      </c>
      <c r="AC420" s="1" t="s">
        <v>74</v>
      </c>
      <c r="AD420" s="1" t="s">
        <v>74</v>
      </c>
      <c r="AE420" s="1" t="s">
        <v>74</v>
      </c>
      <c r="AF420" s="1" t="s">
        <v>74</v>
      </c>
      <c r="AG420" s="1" t="s">
        <v>74</v>
      </c>
      <c r="AH420" s="1" t="s">
        <v>74</v>
      </c>
      <c r="AI420" s="1" t="s">
        <v>74</v>
      </c>
      <c r="AJ420" s="1" t="s">
        <v>74</v>
      </c>
      <c r="AK420" s="1" t="s">
        <v>74</v>
      </c>
      <c r="AL420" s="1" t="s">
        <v>74</v>
      </c>
      <c r="AM420" s="1" t="s">
        <v>74</v>
      </c>
      <c r="AN420" s="1" t="s">
        <v>74</v>
      </c>
      <c r="AO420" s="1" t="s">
        <v>2386</v>
      </c>
      <c r="AP420" s="1" t="s">
        <v>74</v>
      </c>
      <c r="AQ420" s="1" t="s">
        <v>74</v>
      </c>
      <c r="AR420" s="1" t="s">
        <v>74</v>
      </c>
      <c r="AS420" s="1" t="s">
        <v>74</v>
      </c>
      <c r="AT420" s="1" t="s">
        <v>2399</v>
      </c>
      <c r="AU420" s="1">
        <v>2011.0</v>
      </c>
      <c r="AV420" s="1">
        <v>85.0</v>
      </c>
      <c r="AW420" s="1">
        <v>5.0</v>
      </c>
      <c r="AX420" s="1" t="s">
        <v>74</v>
      </c>
      <c r="AY420" s="1" t="s">
        <v>74</v>
      </c>
      <c r="AZ420" s="1" t="s">
        <v>74</v>
      </c>
      <c r="BA420" s="1" t="s">
        <v>74</v>
      </c>
      <c r="BB420" s="1">
        <v>2316.0</v>
      </c>
      <c r="BC420" s="1">
        <v>2319.0</v>
      </c>
      <c r="BD420" s="1" t="s">
        <v>74</v>
      </c>
      <c r="BE420" s="1" t="s">
        <v>4206</v>
      </c>
      <c r="BF420" s="2" t="str">
        <f>HYPERLINK("http://dx.doi.org/10.1016/j.talanta.2011.07.062","http://dx.doi.org/10.1016/j.talanta.2011.07.062")</f>
        <v>http://dx.doi.org/10.1016/j.talanta.2011.07.062</v>
      </c>
      <c r="BG420" s="1" t="s">
        <v>74</v>
      </c>
      <c r="BH420" s="1" t="s">
        <v>74</v>
      </c>
      <c r="BI420" s="1" t="s">
        <v>74</v>
      </c>
      <c r="BJ420" s="1" t="s">
        <v>74</v>
      </c>
      <c r="BK420" s="1" t="s">
        <v>74</v>
      </c>
      <c r="BL420" s="1" t="s">
        <v>74</v>
      </c>
      <c r="BM420" s="1" t="s">
        <v>74</v>
      </c>
      <c r="BN420" s="1">
        <v>2.1962648E7</v>
      </c>
      <c r="BO420" s="1" t="s">
        <v>74</v>
      </c>
      <c r="BP420" s="1" t="s">
        <v>74</v>
      </c>
      <c r="BQ420" s="1" t="s">
        <v>74</v>
      </c>
      <c r="BR420" s="1" t="s">
        <v>74</v>
      </c>
      <c r="BS420" s="1" t="s">
        <v>4207</v>
      </c>
      <c r="BT420" s="1" t="str">
        <f>HYPERLINK("https%3A%2F%2Fwww.webofscience.com%2Fwos%2Fwoscc%2Ffull-record%2FWOS:000296115600009","View Full Record in Web of Science")</f>
        <v>View Full Record in Web of Science</v>
      </c>
    </row>
    <row r="421" ht="12.75" customHeight="1">
      <c r="A421" s="1" t="s">
        <v>72</v>
      </c>
      <c r="B421" s="1" t="s">
        <v>4208</v>
      </c>
      <c r="C421" s="1" t="s">
        <v>74</v>
      </c>
      <c r="D421" s="1" t="s">
        <v>74</v>
      </c>
      <c r="E421" s="1" t="s">
        <v>74</v>
      </c>
      <c r="F421" s="1" t="s">
        <v>4209</v>
      </c>
      <c r="G421" s="1" t="s">
        <v>74</v>
      </c>
      <c r="H421" s="1" t="s">
        <v>74</v>
      </c>
      <c r="I421" s="1" t="s">
        <v>4210</v>
      </c>
      <c r="J421" s="1" t="s">
        <v>4211</v>
      </c>
      <c r="K421" s="1" t="s">
        <v>74</v>
      </c>
      <c r="L421" s="1" t="s">
        <v>74</v>
      </c>
      <c r="M421" s="1" t="s">
        <v>74</v>
      </c>
      <c r="N421" s="1" t="s">
        <v>74</v>
      </c>
      <c r="O421" s="1" t="s">
        <v>74</v>
      </c>
      <c r="P421" s="1" t="s">
        <v>74</v>
      </c>
      <c r="Q421" s="1" t="s">
        <v>74</v>
      </c>
      <c r="R421" s="1" t="s">
        <v>74</v>
      </c>
      <c r="S421" s="1" t="s">
        <v>74</v>
      </c>
      <c r="T421" s="1" t="s">
        <v>74</v>
      </c>
      <c r="U421" s="1" t="s">
        <v>74</v>
      </c>
      <c r="V421" s="1" t="s">
        <v>4212</v>
      </c>
      <c r="W421" s="1" t="s">
        <v>74</v>
      </c>
      <c r="X421" s="1" t="s">
        <v>74</v>
      </c>
      <c r="Y421" s="1" t="s">
        <v>74</v>
      </c>
      <c r="Z421" s="1" t="s">
        <v>74</v>
      </c>
      <c r="AA421" s="1" t="s">
        <v>1013</v>
      </c>
      <c r="AB421" s="1" t="s">
        <v>4213</v>
      </c>
      <c r="AC421" s="1" t="s">
        <v>74</v>
      </c>
      <c r="AD421" s="1" t="s">
        <v>74</v>
      </c>
      <c r="AE421" s="1" t="s">
        <v>74</v>
      </c>
      <c r="AF421" s="1" t="s">
        <v>74</v>
      </c>
      <c r="AG421" s="1" t="s">
        <v>74</v>
      </c>
      <c r="AH421" s="1" t="s">
        <v>74</v>
      </c>
      <c r="AI421" s="1" t="s">
        <v>74</v>
      </c>
      <c r="AJ421" s="1" t="s">
        <v>74</v>
      </c>
      <c r="AK421" s="1" t="s">
        <v>74</v>
      </c>
      <c r="AL421" s="1" t="s">
        <v>74</v>
      </c>
      <c r="AM421" s="1" t="s">
        <v>74</v>
      </c>
      <c r="AN421" s="1" t="s">
        <v>74</v>
      </c>
      <c r="AO421" s="1" t="s">
        <v>4214</v>
      </c>
      <c r="AP421" s="1" t="s">
        <v>4215</v>
      </c>
      <c r="AQ421" s="1" t="s">
        <v>74</v>
      </c>
      <c r="AR421" s="1" t="s">
        <v>74</v>
      </c>
      <c r="AS421" s="1" t="s">
        <v>74</v>
      </c>
      <c r="AT421" s="1" t="s">
        <v>363</v>
      </c>
      <c r="AU421" s="1">
        <v>2011.0</v>
      </c>
      <c r="AV421" s="1">
        <v>38.0</v>
      </c>
      <c r="AW421" s="1">
        <v>10.0</v>
      </c>
      <c r="AX421" s="1" t="s">
        <v>74</v>
      </c>
      <c r="AY421" s="1" t="s">
        <v>74</v>
      </c>
      <c r="AZ421" s="1" t="s">
        <v>74</v>
      </c>
      <c r="BA421" s="1" t="s">
        <v>74</v>
      </c>
      <c r="BB421" s="1">
        <v>1377.0</v>
      </c>
      <c r="BC421" s="1">
        <v>1399.0</v>
      </c>
      <c r="BD421" s="1" t="s">
        <v>74</v>
      </c>
      <c r="BE421" s="1" t="s">
        <v>4216</v>
      </c>
      <c r="BF421" s="2" t="str">
        <f>HYPERLINK("http://dx.doi.org/10.1016/j.cor.2011.01.002","http://dx.doi.org/10.1016/j.cor.2011.01.002")</f>
        <v>http://dx.doi.org/10.1016/j.cor.2011.01.002</v>
      </c>
      <c r="BG421" s="1" t="s">
        <v>74</v>
      </c>
      <c r="BH421" s="1" t="s">
        <v>74</v>
      </c>
      <c r="BI421" s="1" t="s">
        <v>74</v>
      </c>
      <c r="BJ421" s="1" t="s">
        <v>74</v>
      </c>
      <c r="BK421" s="1" t="s">
        <v>74</v>
      </c>
      <c r="BL421" s="1" t="s">
        <v>74</v>
      </c>
      <c r="BM421" s="1" t="s">
        <v>74</v>
      </c>
      <c r="BN421" s="1" t="s">
        <v>74</v>
      </c>
      <c r="BO421" s="1" t="s">
        <v>74</v>
      </c>
      <c r="BP421" s="1" t="s">
        <v>74</v>
      </c>
      <c r="BQ421" s="1" t="s">
        <v>74</v>
      </c>
      <c r="BR421" s="1" t="s">
        <v>74</v>
      </c>
      <c r="BS421" s="1" t="s">
        <v>4217</v>
      </c>
      <c r="BT421" s="1" t="str">
        <f>HYPERLINK("https%3A%2F%2Fwww.webofscience.com%2Fwos%2Fwoscc%2Ffull-record%2FWOS:000288410200002","View Full Record in Web of Science")</f>
        <v>View Full Record in Web of Science</v>
      </c>
    </row>
    <row r="422" ht="12.75" customHeight="1">
      <c r="A422" s="1" t="s">
        <v>72</v>
      </c>
      <c r="B422" s="1" t="s">
        <v>4218</v>
      </c>
      <c r="C422" s="1" t="s">
        <v>74</v>
      </c>
      <c r="D422" s="1" t="s">
        <v>74</v>
      </c>
      <c r="E422" s="1" t="s">
        <v>74</v>
      </c>
      <c r="F422" s="1" t="s">
        <v>4219</v>
      </c>
      <c r="G422" s="1" t="s">
        <v>74</v>
      </c>
      <c r="H422" s="1" t="s">
        <v>74</v>
      </c>
      <c r="I422" s="1" t="s">
        <v>4220</v>
      </c>
      <c r="J422" s="1" t="s">
        <v>4221</v>
      </c>
      <c r="K422" s="1" t="s">
        <v>74</v>
      </c>
      <c r="L422" s="1" t="s">
        <v>74</v>
      </c>
      <c r="M422" s="1" t="s">
        <v>74</v>
      </c>
      <c r="N422" s="1" t="s">
        <v>74</v>
      </c>
      <c r="O422" s="1" t="s">
        <v>74</v>
      </c>
      <c r="P422" s="1" t="s">
        <v>74</v>
      </c>
      <c r="Q422" s="1" t="s">
        <v>74</v>
      </c>
      <c r="R422" s="1" t="s">
        <v>74</v>
      </c>
      <c r="S422" s="1" t="s">
        <v>74</v>
      </c>
      <c r="T422" s="1" t="s">
        <v>74</v>
      </c>
      <c r="U422" s="1" t="s">
        <v>74</v>
      </c>
      <c r="V422" s="1" t="s">
        <v>4222</v>
      </c>
      <c r="W422" s="1" t="s">
        <v>74</v>
      </c>
      <c r="X422" s="1" t="s">
        <v>74</v>
      </c>
      <c r="Y422" s="1" t="s">
        <v>74</v>
      </c>
      <c r="Z422" s="1" t="s">
        <v>74</v>
      </c>
      <c r="AA422" s="1" t="s">
        <v>4223</v>
      </c>
      <c r="AB422" s="1" t="s">
        <v>4224</v>
      </c>
      <c r="AC422" s="1" t="s">
        <v>74</v>
      </c>
      <c r="AD422" s="1" t="s">
        <v>74</v>
      </c>
      <c r="AE422" s="1" t="s">
        <v>74</v>
      </c>
      <c r="AF422" s="1" t="s">
        <v>74</v>
      </c>
      <c r="AG422" s="1" t="s">
        <v>74</v>
      </c>
      <c r="AH422" s="1" t="s">
        <v>74</v>
      </c>
      <c r="AI422" s="1" t="s">
        <v>74</v>
      </c>
      <c r="AJ422" s="1" t="s">
        <v>74</v>
      </c>
      <c r="AK422" s="1" t="s">
        <v>74</v>
      </c>
      <c r="AL422" s="1" t="s">
        <v>74</v>
      </c>
      <c r="AM422" s="1" t="s">
        <v>74</v>
      </c>
      <c r="AN422" s="1" t="s">
        <v>74</v>
      </c>
      <c r="AO422" s="1" t="s">
        <v>4225</v>
      </c>
      <c r="AP422" s="1" t="s">
        <v>4226</v>
      </c>
      <c r="AQ422" s="1" t="s">
        <v>74</v>
      </c>
      <c r="AR422" s="1" t="s">
        <v>74</v>
      </c>
      <c r="AS422" s="1" t="s">
        <v>74</v>
      </c>
      <c r="AT422" s="1" t="s">
        <v>289</v>
      </c>
      <c r="AU422" s="1">
        <v>2011.0</v>
      </c>
      <c r="AV422" s="1">
        <v>13.0</v>
      </c>
      <c r="AW422" s="1">
        <v>3.0</v>
      </c>
      <c r="AX422" s="1" t="s">
        <v>74</v>
      </c>
      <c r="AY422" s="1" t="s">
        <v>74</v>
      </c>
      <c r="AZ422" s="1" t="s">
        <v>74</v>
      </c>
      <c r="BA422" s="1" t="s">
        <v>74</v>
      </c>
      <c r="BB422" s="1">
        <v>544.0</v>
      </c>
      <c r="BC422" s="1">
        <v>556.0</v>
      </c>
      <c r="BD422" s="1" t="s">
        <v>74</v>
      </c>
      <c r="BE422" s="1" t="s">
        <v>4227</v>
      </c>
      <c r="BF422" s="2" t="str">
        <f>HYPERLINK("http://dx.doi.org/10.1007/s10126-010-9325-8","http://dx.doi.org/10.1007/s10126-010-9325-8")</f>
        <v>http://dx.doi.org/10.1007/s10126-010-9325-8</v>
      </c>
      <c r="BG422" s="1" t="s">
        <v>74</v>
      </c>
      <c r="BH422" s="1" t="s">
        <v>74</v>
      </c>
      <c r="BI422" s="1" t="s">
        <v>74</v>
      </c>
      <c r="BJ422" s="1" t="s">
        <v>74</v>
      </c>
      <c r="BK422" s="1" t="s">
        <v>74</v>
      </c>
      <c r="BL422" s="1" t="s">
        <v>74</v>
      </c>
      <c r="BM422" s="1" t="s">
        <v>74</v>
      </c>
      <c r="BN422" s="1">
        <v>2.093632E7</v>
      </c>
      <c r="BO422" s="1" t="s">
        <v>74</v>
      </c>
      <c r="BP422" s="1" t="s">
        <v>74</v>
      </c>
      <c r="BQ422" s="1" t="s">
        <v>74</v>
      </c>
      <c r="BR422" s="1" t="s">
        <v>74</v>
      </c>
      <c r="BS422" s="1" t="s">
        <v>4228</v>
      </c>
      <c r="BT422" s="1" t="str">
        <f>HYPERLINK("https%3A%2F%2Fwww.webofscience.com%2Fwos%2Fwoscc%2Ffull-record%2FWOS:000291168500020","View Full Record in Web of Science")</f>
        <v>View Full Record in Web of Science</v>
      </c>
    </row>
    <row r="423" ht="12.75" customHeight="1">
      <c r="A423" s="1" t="s">
        <v>72</v>
      </c>
      <c r="B423" s="1" t="s">
        <v>4229</v>
      </c>
      <c r="C423" s="1" t="s">
        <v>74</v>
      </c>
      <c r="D423" s="1" t="s">
        <v>74</v>
      </c>
      <c r="E423" s="1" t="s">
        <v>74</v>
      </c>
      <c r="F423" s="1" t="s">
        <v>4230</v>
      </c>
      <c r="G423" s="1" t="s">
        <v>74</v>
      </c>
      <c r="H423" s="1" t="s">
        <v>74</v>
      </c>
      <c r="I423" s="1" t="s">
        <v>4231</v>
      </c>
      <c r="J423" s="1" t="s">
        <v>4232</v>
      </c>
      <c r="K423" s="1" t="s">
        <v>74</v>
      </c>
      <c r="L423" s="1" t="s">
        <v>74</v>
      </c>
      <c r="M423" s="1" t="s">
        <v>74</v>
      </c>
      <c r="N423" s="1" t="s">
        <v>74</v>
      </c>
      <c r="O423" s="1" t="s">
        <v>74</v>
      </c>
      <c r="P423" s="1" t="s">
        <v>74</v>
      </c>
      <c r="Q423" s="1" t="s">
        <v>74</v>
      </c>
      <c r="R423" s="1" t="s">
        <v>74</v>
      </c>
      <c r="S423" s="1" t="s">
        <v>74</v>
      </c>
      <c r="T423" s="1" t="s">
        <v>74</v>
      </c>
      <c r="U423" s="1" t="s">
        <v>74</v>
      </c>
      <c r="V423" s="1" t="s">
        <v>4233</v>
      </c>
      <c r="W423" s="1" t="s">
        <v>74</v>
      </c>
      <c r="X423" s="1" t="s">
        <v>74</v>
      </c>
      <c r="Y423" s="1" t="s">
        <v>74</v>
      </c>
      <c r="Z423" s="1" t="s">
        <v>74</v>
      </c>
      <c r="AA423" s="1" t="s">
        <v>4234</v>
      </c>
      <c r="AB423" s="1" t="s">
        <v>4235</v>
      </c>
      <c r="AC423" s="1" t="s">
        <v>74</v>
      </c>
      <c r="AD423" s="1" t="s">
        <v>74</v>
      </c>
      <c r="AE423" s="1" t="s">
        <v>74</v>
      </c>
      <c r="AF423" s="1" t="s">
        <v>74</v>
      </c>
      <c r="AG423" s="1" t="s">
        <v>74</v>
      </c>
      <c r="AH423" s="1" t="s">
        <v>74</v>
      </c>
      <c r="AI423" s="1" t="s">
        <v>74</v>
      </c>
      <c r="AJ423" s="1" t="s">
        <v>74</v>
      </c>
      <c r="AK423" s="1" t="s">
        <v>74</v>
      </c>
      <c r="AL423" s="1" t="s">
        <v>74</v>
      </c>
      <c r="AM423" s="1" t="s">
        <v>74</v>
      </c>
      <c r="AN423" s="1" t="s">
        <v>74</v>
      </c>
      <c r="AO423" s="1" t="s">
        <v>4236</v>
      </c>
      <c r="AP423" s="1" t="s">
        <v>4237</v>
      </c>
      <c r="AQ423" s="1" t="s">
        <v>74</v>
      </c>
      <c r="AR423" s="1" t="s">
        <v>74</v>
      </c>
      <c r="AS423" s="1" t="s">
        <v>74</v>
      </c>
      <c r="AT423" s="1" t="s">
        <v>4238</v>
      </c>
      <c r="AU423" s="1">
        <v>2010.0</v>
      </c>
      <c r="AV423" s="1">
        <v>125.0</v>
      </c>
      <c r="AW423" s="1">
        <v>4.0</v>
      </c>
      <c r="AX423" s="1" t="s">
        <v>74</v>
      </c>
      <c r="AY423" s="1" t="s">
        <v>74</v>
      </c>
      <c r="AZ423" s="1" t="s">
        <v>74</v>
      </c>
      <c r="BA423" s="1" t="s">
        <v>74</v>
      </c>
      <c r="BB423" s="1">
        <v>775.0</v>
      </c>
      <c r="BC423" s="1">
        <v>778.0</v>
      </c>
      <c r="BD423" s="1" t="s">
        <v>74</v>
      </c>
      <c r="BE423" s="1" t="s">
        <v>4239</v>
      </c>
      <c r="BF423" s="2" t="str">
        <f>HYPERLINK("http://dx.doi.org/10.1016/j.scienta.2010.04.046","http://dx.doi.org/10.1016/j.scienta.2010.04.046")</f>
        <v>http://dx.doi.org/10.1016/j.scienta.2010.04.046</v>
      </c>
      <c r="BG423" s="1" t="s">
        <v>74</v>
      </c>
      <c r="BH423" s="1" t="s">
        <v>74</v>
      </c>
      <c r="BI423" s="1" t="s">
        <v>74</v>
      </c>
      <c r="BJ423" s="1" t="s">
        <v>74</v>
      </c>
      <c r="BK423" s="1" t="s">
        <v>74</v>
      </c>
      <c r="BL423" s="1" t="s">
        <v>74</v>
      </c>
      <c r="BM423" s="1" t="s">
        <v>74</v>
      </c>
      <c r="BN423" s="1" t="s">
        <v>74</v>
      </c>
      <c r="BO423" s="1" t="s">
        <v>74</v>
      </c>
      <c r="BP423" s="1" t="s">
        <v>74</v>
      </c>
      <c r="BQ423" s="1" t="s">
        <v>74</v>
      </c>
      <c r="BR423" s="1" t="s">
        <v>74</v>
      </c>
      <c r="BS423" s="1" t="s">
        <v>4240</v>
      </c>
      <c r="BT423" s="1" t="str">
        <f>HYPERLINK("https%3A%2F%2Fwww.webofscience.com%2Fwos%2Fwoscc%2Ffull-record%2FWOS:000280660000035","View Full Record in Web of Science")</f>
        <v>View Full Record in Web of Science</v>
      </c>
    </row>
    <row r="424" ht="12.75" customHeight="1">
      <c r="A424" s="1" t="s">
        <v>72</v>
      </c>
      <c r="B424" s="1" t="s">
        <v>4241</v>
      </c>
      <c r="C424" s="1" t="s">
        <v>74</v>
      </c>
      <c r="D424" s="1" t="s">
        <v>74</v>
      </c>
      <c r="E424" s="1" t="s">
        <v>74</v>
      </c>
      <c r="F424" s="1" t="s">
        <v>4242</v>
      </c>
      <c r="G424" s="1" t="s">
        <v>74</v>
      </c>
      <c r="H424" s="1" t="s">
        <v>74</v>
      </c>
      <c r="I424" s="1" t="s">
        <v>4243</v>
      </c>
      <c r="J424" s="1" t="s">
        <v>2393</v>
      </c>
      <c r="K424" s="1" t="s">
        <v>74</v>
      </c>
      <c r="L424" s="1" t="s">
        <v>74</v>
      </c>
      <c r="M424" s="1" t="s">
        <v>74</v>
      </c>
      <c r="N424" s="1" t="s">
        <v>74</v>
      </c>
      <c r="O424" s="1" t="s">
        <v>74</v>
      </c>
      <c r="P424" s="1" t="s">
        <v>74</v>
      </c>
      <c r="Q424" s="1" t="s">
        <v>74</v>
      </c>
      <c r="R424" s="1" t="s">
        <v>74</v>
      </c>
      <c r="S424" s="1" t="s">
        <v>74</v>
      </c>
      <c r="T424" s="1" t="s">
        <v>74</v>
      </c>
      <c r="U424" s="1" t="s">
        <v>74</v>
      </c>
      <c r="V424" s="1" t="s">
        <v>4244</v>
      </c>
      <c r="W424" s="1" t="s">
        <v>74</v>
      </c>
      <c r="X424" s="1" t="s">
        <v>74</v>
      </c>
      <c r="Y424" s="1" t="s">
        <v>74</v>
      </c>
      <c r="Z424" s="1" t="s">
        <v>74</v>
      </c>
      <c r="AA424" s="1" t="s">
        <v>4245</v>
      </c>
      <c r="AB424" s="1" t="s">
        <v>4246</v>
      </c>
      <c r="AC424" s="1" t="s">
        <v>74</v>
      </c>
      <c r="AD424" s="1" t="s">
        <v>74</v>
      </c>
      <c r="AE424" s="1" t="s">
        <v>74</v>
      </c>
      <c r="AF424" s="1" t="s">
        <v>74</v>
      </c>
      <c r="AG424" s="1" t="s">
        <v>74</v>
      </c>
      <c r="AH424" s="1" t="s">
        <v>74</v>
      </c>
      <c r="AI424" s="1" t="s">
        <v>74</v>
      </c>
      <c r="AJ424" s="1" t="s">
        <v>74</v>
      </c>
      <c r="AK424" s="1" t="s">
        <v>74</v>
      </c>
      <c r="AL424" s="1" t="s">
        <v>74</v>
      </c>
      <c r="AM424" s="1" t="s">
        <v>74</v>
      </c>
      <c r="AN424" s="1" t="s">
        <v>74</v>
      </c>
      <c r="AO424" s="1" t="s">
        <v>2397</v>
      </c>
      <c r="AP424" s="1" t="s">
        <v>2398</v>
      </c>
      <c r="AQ424" s="1" t="s">
        <v>74</v>
      </c>
      <c r="AR424" s="1" t="s">
        <v>74</v>
      </c>
      <c r="AS424" s="1" t="s">
        <v>74</v>
      </c>
      <c r="AT424" s="1" t="s">
        <v>4247</v>
      </c>
      <c r="AU424" s="1">
        <v>2010.0</v>
      </c>
      <c r="AV424" s="1">
        <v>160.0</v>
      </c>
      <c r="AW424" s="1">
        <v>2.0</v>
      </c>
      <c r="AX424" s="1" t="s">
        <v>74</v>
      </c>
      <c r="AY424" s="1" t="s">
        <v>74</v>
      </c>
      <c r="AZ424" s="1" t="s">
        <v>74</v>
      </c>
      <c r="BA424" s="1" t="s">
        <v>74</v>
      </c>
      <c r="BB424" s="1">
        <v>530.0</v>
      </c>
      <c r="BC424" s="1">
        <v>537.0</v>
      </c>
      <c r="BD424" s="1" t="s">
        <v>74</v>
      </c>
      <c r="BE424" s="1" t="s">
        <v>4248</v>
      </c>
      <c r="BF424" s="2" t="str">
        <f>HYPERLINK("http://dx.doi.org/10.1016/j.cej.2010.03.064","http://dx.doi.org/10.1016/j.cej.2010.03.064")</f>
        <v>http://dx.doi.org/10.1016/j.cej.2010.03.064</v>
      </c>
      <c r="BG424" s="1" t="s">
        <v>74</v>
      </c>
      <c r="BH424" s="1" t="s">
        <v>74</v>
      </c>
      <c r="BI424" s="1" t="s">
        <v>74</v>
      </c>
      <c r="BJ424" s="1" t="s">
        <v>74</v>
      </c>
      <c r="BK424" s="1" t="s">
        <v>74</v>
      </c>
      <c r="BL424" s="1" t="s">
        <v>74</v>
      </c>
      <c r="BM424" s="1" t="s">
        <v>74</v>
      </c>
      <c r="BN424" s="1" t="s">
        <v>74</v>
      </c>
      <c r="BO424" s="1" t="s">
        <v>74</v>
      </c>
      <c r="BP424" s="1" t="s">
        <v>74</v>
      </c>
      <c r="BQ424" s="1" t="s">
        <v>74</v>
      </c>
      <c r="BR424" s="1" t="s">
        <v>74</v>
      </c>
      <c r="BS424" s="1" t="s">
        <v>4249</v>
      </c>
      <c r="BT424" s="1" t="str">
        <f>HYPERLINK("https%3A%2F%2Fwww.webofscience.com%2Fwos%2Fwoscc%2Ffull-record%2FWOS:000279137900018","View Full Record in Web of Science")</f>
        <v>View Full Record in Web of Science</v>
      </c>
    </row>
    <row r="425" ht="12.75" customHeight="1">
      <c r="A425" s="1" t="s">
        <v>86</v>
      </c>
      <c r="B425" s="1" t="s">
        <v>4250</v>
      </c>
      <c r="C425" s="1" t="s">
        <v>74</v>
      </c>
      <c r="D425" s="1" t="s">
        <v>4251</v>
      </c>
      <c r="E425" s="1" t="s">
        <v>74</v>
      </c>
      <c r="F425" s="1" t="s">
        <v>4252</v>
      </c>
      <c r="G425" s="1" t="s">
        <v>74</v>
      </c>
      <c r="H425" s="1" t="s">
        <v>74</v>
      </c>
      <c r="I425" s="1" t="s">
        <v>4253</v>
      </c>
      <c r="J425" s="1" t="s">
        <v>4254</v>
      </c>
      <c r="K425" s="1" t="s">
        <v>4255</v>
      </c>
      <c r="L425" s="1" t="s">
        <v>74</v>
      </c>
      <c r="M425" s="1" t="s">
        <v>74</v>
      </c>
      <c r="N425" s="1" t="s">
        <v>74</v>
      </c>
      <c r="O425" s="1" t="s">
        <v>74</v>
      </c>
      <c r="P425" s="1" t="s">
        <v>74</v>
      </c>
      <c r="Q425" s="1" t="s">
        <v>74</v>
      </c>
      <c r="R425" s="1" t="s">
        <v>74</v>
      </c>
      <c r="S425" s="1" t="s">
        <v>74</v>
      </c>
      <c r="T425" s="1" t="s">
        <v>74</v>
      </c>
      <c r="U425" s="1" t="s">
        <v>74</v>
      </c>
      <c r="V425" s="1" t="s">
        <v>4256</v>
      </c>
      <c r="W425" s="1" t="s">
        <v>74</v>
      </c>
      <c r="X425" s="1" t="s">
        <v>74</v>
      </c>
      <c r="Y425" s="1" t="s">
        <v>74</v>
      </c>
      <c r="Z425" s="1" t="s">
        <v>74</v>
      </c>
      <c r="AA425" s="1" t="s">
        <v>4257</v>
      </c>
      <c r="AB425" s="1" t="s">
        <v>4258</v>
      </c>
      <c r="AC425" s="1" t="s">
        <v>74</v>
      </c>
      <c r="AD425" s="1" t="s">
        <v>74</v>
      </c>
      <c r="AE425" s="1" t="s">
        <v>74</v>
      </c>
      <c r="AF425" s="1" t="s">
        <v>74</v>
      </c>
      <c r="AG425" s="1" t="s">
        <v>74</v>
      </c>
      <c r="AH425" s="1" t="s">
        <v>74</v>
      </c>
      <c r="AI425" s="1" t="s">
        <v>74</v>
      </c>
      <c r="AJ425" s="1" t="s">
        <v>74</v>
      </c>
      <c r="AK425" s="1" t="s">
        <v>74</v>
      </c>
      <c r="AL425" s="1" t="s">
        <v>74</v>
      </c>
      <c r="AM425" s="1" t="s">
        <v>74</v>
      </c>
      <c r="AN425" s="1" t="s">
        <v>74</v>
      </c>
      <c r="AO425" s="1" t="s">
        <v>74</v>
      </c>
      <c r="AP425" s="1" t="s">
        <v>74</v>
      </c>
      <c r="AQ425" s="1" t="s">
        <v>4259</v>
      </c>
      <c r="AR425" s="1" t="s">
        <v>74</v>
      </c>
      <c r="AS425" s="1" t="s">
        <v>74</v>
      </c>
      <c r="AT425" s="1" t="s">
        <v>74</v>
      </c>
      <c r="AU425" s="1">
        <v>2010.0</v>
      </c>
      <c r="AV425" s="1" t="s">
        <v>74</v>
      </c>
      <c r="AW425" s="1" t="s">
        <v>74</v>
      </c>
      <c r="AX425" s="1" t="s">
        <v>74</v>
      </c>
      <c r="AY425" s="1" t="s">
        <v>74</v>
      </c>
      <c r="AZ425" s="1" t="s">
        <v>74</v>
      </c>
      <c r="BA425" s="1" t="s">
        <v>74</v>
      </c>
      <c r="BB425" s="1">
        <v>41.0</v>
      </c>
      <c r="BC425" s="1">
        <v>80.0</v>
      </c>
      <c r="BD425" s="1" t="s">
        <v>74</v>
      </c>
      <c r="BE425" s="1" t="s">
        <v>74</v>
      </c>
      <c r="BF425" s="1" t="s">
        <v>74</v>
      </c>
      <c r="BG425" s="1" t="s">
        <v>74</v>
      </c>
      <c r="BH425" s="1" t="s">
        <v>74</v>
      </c>
      <c r="BI425" s="1" t="s">
        <v>74</v>
      </c>
      <c r="BJ425" s="1" t="s">
        <v>74</v>
      </c>
      <c r="BK425" s="1" t="s">
        <v>74</v>
      </c>
      <c r="BL425" s="1" t="s">
        <v>74</v>
      </c>
      <c r="BM425" s="1" t="s">
        <v>74</v>
      </c>
      <c r="BN425" s="1" t="s">
        <v>74</v>
      </c>
      <c r="BO425" s="1" t="s">
        <v>74</v>
      </c>
      <c r="BP425" s="1" t="s">
        <v>74</v>
      </c>
      <c r="BQ425" s="1" t="s">
        <v>74</v>
      </c>
      <c r="BR425" s="1" t="s">
        <v>74</v>
      </c>
      <c r="BS425" s="1" t="s">
        <v>4260</v>
      </c>
      <c r="BT425" s="1" t="str">
        <f>HYPERLINK("https%3A%2F%2Fwww.webofscience.com%2Fwos%2Fwoscc%2Ffull-record%2FWOS:000284345000002","View Full Record in Web of Science")</f>
        <v>View Full Record in Web of Science</v>
      </c>
    </row>
    <row r="426" ht="12.75" customHeight="1">
      <c r="A426" s="1" t="s">
        <v>72</v>
      </c>
      <c r="B426" s="1" t="s">
        <v>4261</v>
      </c>
      <c r="C426" s="1" t="s">
        <v>74</v>
      </c>
      <c r="D426" s="1" t="s">
        <v>74</v>
      </c>
      <c r="E426" s="1" t="s">
        <v>74</v>
      </c>
      <c r="F426" s="1" t="s">
        <v>4262</v>
      </c>
      <c r="G426" s="1" t="s">
        <v>74</v>
      </c>
      <c r="H426" s="1" t="s">
        <v>74</v>
      </c>
      <c r="I426" s="1" t="s">
        <v>4263</v>
      </c>
      <c r="J426" s="1" t="s">
        <v>4264</v>
      </c>
      <c r="K426" s="1" t="s">
        <v>74</v>
      </c>
      <c r="L426" s="1" t="s">
        <v>74</v>
      </c>
      <c r="M426" s="1" t="s">
        <v>74</v>
      </c>
      <c r="N426" s="1" t="s">
        <v>74</v>
      </c>
      <c r="O426" s="1" t="s">
        <v>74</v>
      </c>
      <c r="P426" s="1" t="s">
        <v>74</v>
      </c>
      <c r="Q426" s="1" t="s">
        <v>74</v>
      </c>
      <c r="R426" s="1" t="s">
        <v>74</v>
      </c>
      <c r="S426" s="1" t="s">
        <v>74</v>
      </c>
      <c r="T426" s="1" t="s">
        <v>74</v>
      </c>
      <c r="U426" s="1" t="s">
        <v>74</v>
      </c>
      <c r="V426" s="1" t="s">
        <v>4265</v>
      </c>
      <c r="W426" s="1" t="s">
        <v>74</v>
      </c>
      <c r="X426" s="1" t="s">
        <v>74</v>
      </c>
      <c r="Y426" s="1" t="s">
        <v>74</v>
      </c>
      <c r="Z426" s="1" t="s">
        <v>74</v>
      </c>
      <c r="AA426" s="1" t="s">
        <v>4266</v>
      </c>
      <c r="AB426" s="1" t="s">
        <v>4267</v>
      </c>
      <c r="AC426" s="1" t="s">
        <v>74</v>
      </c>
      <c r="AD426" s="1" t="s">
        <v>74</v>
      </c>
      <c r="AE426" s="1" t="s">
        <v>74</v>
      </c>
      <c r="AF426" s="1" t="s">
        <v>74</v>
      </c>
      <c r="AG426" s="1" t="s">
        <v>74</v>
      </c>
      <c r="AH426" s="1" t="s">
        <v>74</v>
      </c>
      <c r="AI426" s="1" t="s">
        <v>74</v>
      </c>
      <c r="AJ426" s="1" t="s">
        <v>74</v>
      </c>
      <c r="AK426" s="1" t="s">
        <v>74</v>
      </c>
      <c r="AL426" s="1" t="s">
        <v>74</v>
      </c>
      <c r="AM426" s="1" t="s">
        <v>74</v>
      </c>
      <c r="AN426" s="1" t="s">
        <v>74</v>
      </c>
      <c r="AO426" s="1" t="s">
        <v>4268</v>
      </c>
      <c r="AP426" s="1" t="s">
        <v>4269</v>
      </c>
      <c r="AQ426" s="1" t="s">
        <v>74</v>
      </c>
      <c r="AR426" s="1" t="s">
        <v>74</v>
      </c>
      <c r="AS426" s="1" t="s">
        <v>74</v>
      </c>
      <c r="AT426" s="1" t="s">
        <v>389</v>
      </c>
      <c r="AU426" s="1">
        <v>2008.0</v>
      </c>
      <c r="AV426" s="1">
        <v>2.0</v>
      </c>
      <c r="AW426" s="1">
        <v>1.0</v>
      </c>
      <c r="AX426" s="1" t="s">
        <v>74</v>
      </c>
      <c r="AY426" s="1" t="s">
        <v>74</v>
      </c>
      <c r="AZ426" s="1" t="s">
        <v>74</v>
      </c>
      <c r="BA426" s="1" t="s">
        <v>74</v>
      </c>
      <c r="BB426" s="1">
        <v>69.0</v>
      </c>
      <c r="BC426" s="1">
        <v>79.0</v>
      </c>
      <c r="BD426" s="1" t="s">
        <v>74</v>
      </c>
      <c r="BE426" s="1" t="s">
        <v>4270</v>
      </c>
      <c r="BF426" s="2" t="str">
        <f>HYPERLINK("http://dx.doi.org/10.1049/iet-cds:20070042","http://dx.doi.org/10.1049/iet-cds:20070042")</f>
        <v>http://dx.doi.org/10.1049/iet-cds:20070042</v>
      </c>
      <c r="BG426" s="1" t="s">
        <v>74</v>
      </c>
      <c r="BH426" s="1" t="s">
        <v>74</v>
      </c>
      <c r="BI426" s="1" t="s">
        <v>74</v>
      </c>
      <c r="BJ426" s="1" t="s">
        <v>74</v>
      </c>
      <c r="BK426" s="1" t="s">
        <v>74</v>
      </c>
      <c r="BL426" s="1" t="s">
        <v>74</v>
      </c>
      <c r="BM426" s="1" t="s">
        <v>74</v>
      </c>
      <c r="BN426" s="1" t="s">
        <v>74</v>
      </c>
      <c r="BO426" s="1" t="s">
        <v>74</v>
      </c>
      <c r="BP426" s="1" t="s">
        <v>74</v>
      </c>
      <c r="BQ426" s="1" t="s">
        <v>74</v>
      </c>
      <c r="BR426" s="1" t="s">
        <v>74</v>
      </c>
      <c r="BS426" s="1" t="s">
        <v>4271</v>
      </c>
      <c r="BT426" s="1" t="str">
        <f>HYPERLINK("https%3A%2F%2Fwww.webofscience.com%2Fwos%2Fwoscc%2Ffull-record%2FWOS:000254487900010","View Full Record in Web of Science")</f>
        <v>View Full Record in Web of Science</v>
      </c>
    </row>
    <row r="427" ht="12.75" customHeight="1">
      <c r="A427" s="1" t="s">
        <v>147</v>
      </c>
      <c r="B427" s="1" t="s">
        <v>4272</v>
      </c>
      <c r="C427" s="1" t="s">
        <v>74</v>
      </c>
      <c r="D427" s="1" t="s">
        <v>4273</v>
      </c>
      <c r="E427" s="1" t="s">
        <v>74</v>
      </c>
      <c r="F427" s="1" t="s">
        <v>4274</v>
      </c>
      <c r="G427" s="1" t="s">
        <v>74</v>
      </c>
      <c r="H427" s="1" t="s">
        <v>74</v>
      </c>
      <c r="I427" s="1" t="s">
        <v>4275</v>
      </c>
      <c r="J427" s="1" t="s">
        <v>4276</v>
      </c>
      <c r="K427" s="1" t="s">
        <v>3189</v>
      </c>
      <c r="L427" s="1" t="s">
        <v>74</v>
      </c>
      <c r="M427" s="1" t="s">
        <v>74</v>
      </c>
      <c r="N427" s="1" t="s">
        <v>74</v>
      </c>
      <c r="O427" s="1" t="s">
        <v>4277</v>
      </c>
      <c r="P427" s="1" t="s">
        <v>4278</v>
      </c>
      <c r="Q427" s="1" t="s">
        <v>4279</v>
      </c>
      <c r="R427" s="1" t="s">
        <v>4280</v>
      </c>
      <c r="S427" s="1" t="s">
        <v>74</v>
      </c>
      <c r="T427" s="1" t="s">
        <v>74</v>
      </c>
      <c r="U427" s="1" t="s">
        <v>74</v>
      </c>
      <c r="V427" s="1" t="s">
        <v>4281</v>
      </c>
      <c r="W427" s="1" t="s">
        <v>74</v>
      </c>
      <c r="X427" s="1" t="s">
        <v>74</v>
      </c>
      <c r="Y427" s="1" t="s">
        <v>74</v>
      </c>
      <c r="Z427" s="1" t="s">
        <v>74</v>
      </c>
      <c r="AA427" s="1" t="s">
        <v>74</v>
      </c>
      <c r="AB427" s="1" t="s">
        <v>4282</v>
      </c>
      <c r="AC427" s="1" t="s">
        <v>74</v>
      </c>
      <c r="AD427" s="1" t="s">
        <v>74</v>
      </c>
      <c r="AE427" s="1" t="s">
        <v>74</v>
      </c>
      <c r="AF427" s="1" t="s">
        <v>74</v>
      </c>
      <c r="AG427" s="1" t="s">
        <v>74</v>
      </c>
      <c r="AH427" s="1" t="s">
        <v>74</v>
      </c>
      <c r="AI427" s="1" t="s">
        <v>74</v>
      </c>
      <c r="AJ427" s="1" t="s">
        <v>74</v>
      </c>
      <c r="AK427" s="1" t="s">
        <v>74</v>
      </c>
      <c r="AL427" s="1" t="s">
        <v>74</v>
      </c>
      <c r="AM427" s="1" t="s">
        <v>74</v>
      </c>
      <c r="AN427" s="1" t="s">
        <v>74</v>
      </c>
      <c r="AO427" s="1" t="s">
        <v>3197</v>
      </c>
      <c r="AP427" s="1" t="s">
        <v>74</v>
      </c>
      <c r="AQ427" s="1" t="s">
        <v>4283</v>
      </c>
      <c r="AR427" s="1" t="s">
        <v>74</v>
      </c>
      <c r="AS427" s="1" t="s">
        <v>74</v>
      </c>
      <c r="AT427" s="1" t="s">
        <v>74</v>
      </c>
      <c r="AU427" s="1">
        <v>2007.0</v>
      </c>
      <c r="AV427" s="1">
        <v>4491.0</v>
      </c>
      <c r="AW427" s="1" t="s">
        <v>74</v>
      </c>
      <c r="AX427" s="1" t="s">
        <v>74</v>
      </c>
      <c r="AY427" s="1" t="s">
        <v>74</v>
      </c>
      <c r="AZ427" s="1" t="s">
        <v>74</v>
      </c>
      <c r="BA427" s="1" t="s">
        <v>74</v>
      </c>
      <c r="BB427" s="1">
        <v>1255.0</v>
      </c>
      <c r="BC427" s="1" t="s">
        <v>265</v>
      </c>
      <c r="BD427" s="1" t="s">
        <v>74</v>
      </c>
      <c r="BE427" s="1" t="s">
        <v>74</v>
      </c>
      <c r="BF427" s="1" t="s">
        <v>74</v>
      </c>
      <c r="BG427" s="1" t="s">
        <v>74</v>
      </c>
      <c r="BH427" s="1" t="s">
        <v>74</v>
      </c>
      <c r="BI427" s="1" t="s">
        <v>74</v>
      </c>
      <c r="BJ427" s="1" t="s">
        <v>74</v>
      </c>
      <c r="BK427" s="1" t="s">
        <v>74</v>
      </c>
      <c r="BL427" s="1" t="s">
        <v>74</v>
      </c>
      <c r="BM427" s="1" t="s">
        <v>74</v>
      </c>
      <c r="BN427" s="1" t="s">
        <v>74</v>
      </c>
      <c r="BO427" s="1" t="s">
        <v>74</v>
      </c>
      <c r="BP427" s="1" t="s">
        <v>74</v>
      </c>
      <c r="BQ427" s="1" t="s">
        <v>74</v>
      </c>
      <c r="BR427" s="1" t="s">
        <v>74</v>
      </c>
      <c r="BS427" s="1" t="s">
        <v>4284</v>
      </c>
      <c r="BT427" s="1" t="str">
        <f>HYPERLINK("https%3A%2F%2Fwww.webofscience.com%2Fwos%2Fwoscc%2Ffull-record%2FWOS:000247063100146","View Full Record in Web of Science")</f>
        <v>View Full Record in Web of Science</v>
      </c>
    </row>
    <row r="428" ht="12.75" customHeight="1">
      <c r="A428" s="1" t="s">
        <v>72</v>
      </c>
      <c r="B428" s="1" t="s">
        <v>4285</v>
      </c>
      <c r="C428" s="1" t="s">
        <v>74</v>
      </c>
      <c r="D428" s="1" t="s">
        <v>74</v>
      </c>
      <c r="E428" s="1" t="s">
        <v>74</v>
      </c>
      <c r="F428" s="1" t="s">
        <v>4286</v>
      </c>
      <c r="G428" s="1" t="s">
        <v>74</v>
      </c>
      <c r="H428" s="1" t="s">
        <v>74</v>
      </c>
      <c r="I428" s="1" t="s">
        <v>4287</v>
      </c>
      <c r="J428" s="1" t="s">
        <v>4288</v>
      </c>
      <c r="K428" s="1" t="s">
        <v>74</v>
      </c>
      <c r="L428" s="1" t="s">
        <v>74</v>
      </c>
      <c r="M428" s="1" t="s">
        <v>74</v>
      </c>
      <c r="N428" s="1" t="s">
        <v>74</v>
      </c>
      <c r="O428" s="1" t="s">
        <v>74</v>
      </c>
      <c r="P428" s="1" t="s">
        <v>74</v>
      </c>
      <c r="Q428" s="1" t="s">
        <v>74</v>
      </c>
      <c r="R428" s="1" t="s">
        <v>74</v>
      </c>
      <c r="S428" s="1" t="s">
        <v>74</v>
      </c>
      <c r="T428" s="1" t="s">
        <v>74</v>
      </c>
      <c r="U428" s="1" t="s">
        <v>74</v>
      </c>
      <c r="V428" s="1" t="s">
        <v>4289</v>
      </c>
      <c r="W428" s="1" t="s">
        <v>74</v>
      </c>
      <c r="X428" s="1" t="s">
        <v>74</v>
      </c>
      <c r="Y428" s="1" t="s">
        <v>74</v>
      </c>
      <c r="Z428" s="1" t="s">
        <v>74</v>
      </c>
      <c r="AA428" s="1" t="s">
        <v>4290</v>
      </c>
      <c r="AB428" s="1" t="s">
        <v>4291</v>
      </c>
      <c r="AC428" s="1" t="s">
        <v>74</v>
      </c>
      <c r="AD428" s="1" t="s">
        <v>74</v>
      </c>
      <c r="AE428" s="1" t="s">
        <v>74</v>
      </c>
      <c r="AF428" s="1" t="s">
        <v>74</v>
      </c>
      <c r="AG428" s="1" t="s">
        <v>74</v>
      </c>
      <c r="AH428" s="1" t="s">
        <v>74</v>
      </c>
      <c r="AI428" s="1" t="s">
        <v>74</v>
      </c>
      <c r="AJ428" s="1" t="s">
        <v>74</v>
      </c>
      <c r="AK428" s="1" t="s">
        <v>74</v>
      </c>
      <c r="AL428" s="1" t="s">
        <v>74</v>
      </c>
      <c r="AM428" s="1" t="s">
        <v>74</v>
      </c>
      <c r="AN428" s="1" t="s">
        <v>74</v>
      </c>
      <c r="AO428" s="1" t="s">
        <v>4292</v>
      </c>
      <c r="AP428" s="1" t="s">
        <v>4293</v>
      </c>
      <c r="AQ428" s="1" t="s">
        <v>74</v>
      </c>
      <c r="AR428" s="1" t="s">
        <v>74</v>
      </c>
      <c r="AS428" s="1" t="s">
        <v>74</v>
      </c>
      <c r="AT428" s="1" t="s">
        <v>415</v>
      </c>
      <c r="AU428" s="1">
        <v>2006.0</v>
      </c>
      <c r="AV428" s="1">
        <v>86.0</v>
      </c>
      <c r="AW428" s="1">
        <v>6.0</v>
      </c>
      <c r="AX428" s="1" t="s">
        <v>74</v>
      </c>
      <c r="AY428" s="1" t="s">
        <v>74</v>
      </c>
      <c r="AZ428" s="1" t="s">
        <v>74</v>
      </c>
      <c r="BA428" s="1" t="s">
        <v>74</v>
      </c>
      <c r="BB428" s="1">
        <v>1750.0</v>
      </c>
      <c r="BC428" s="1">
        <v>1757.0</v>
      </c>
      <c r="BD428" s="1" t="s">
        <v>74</v>
      </c>
      <c r="BE428" s="1" t="s">
        <v>4294</v>
      </c>
      <c r="BF428" s="2" t="str">
        <f>HYPERLINK("http://dx.doi.org/10.1016/j.fertnstert.2006.05.033","http://dx.doi.org/10.1016/j.fertnstert.2006.05.033")</f>
        <v>http://dx.doi.org/10.1016/j.fertnstert.2006.05.033</v>
      </c>
      <c r="BG428" s="1" t="s">
        <v>74</v>
      </c>
      <c r="BH428" s="1" t="s">
        <v>74</v>
      </c>
      <c r="BI428" s="1" t="s">
        <v>74</v>
      </c>
      <c r="BJ428" s="1" t="s">
        <v>74</v>
      </c>
      <c r="BK428" s="1" t="s">
        <v>74</v>
      </c>
      <c r="BL428" s="1" t="s">
        <v>74</v>
      </c>
      <c r="BM428" s="1" t="s">
        <v>74</v>
      </c>
      <c r="BN428" s="1">
        <v>1.7074347E7</v>
      </c>
      <c r="BO428" s="1" t="s">
        <v>74</v>
      </c>
      <c r="BP428" s="1" t="s">
        <v>74</v>
      </c>
      <c r="BQ428" s="1" t="s">
        <v>74</v>
      </c>
      <c r="BR428" s="1" t="s">
        <v>74</v>
      </c>
      <c r="BS428" s="1" t="s">
        <v>4295</v>
      </c>
      <c r="BT428" s="1" t="str">
        <f>HYPERLINK("https%3A%2F%2Fwww.webofscience.com%2Fwos%2Fwoscc%2Ffull-record%2FWOS:000242863400028","View Full Record in Web of Science")</f>
        <v>View Full Record in Web of Science</v>
      </c>
    </row>
    <row r="429" ht="12.75" customHeight="1">
      <c r="A429" s="1" t="s">
        <v>72</v>
      </c>
      <c r="B429" s="1" t="s">
        <v>4296</v>
      </c>
      <c r="C429" s="1" t="s">
        <v>74</v>
      </c>
      <c r="D429" s="1" t="s">
        <v>74</v>
      </c>
      <c r="E429" s="1" t="s">
        <v>74</v>
      </c>
      <c r="F429" s="1" t="s">
        <v>4297</v>
      </c>
      <c r="G429" s="1" t="s">
        <v>74</v>
      </c>
      <c r="H429" s="1" t="s">
        <v>74</v>
      </c>
      <c r="I429" s="1" t="s">
        <v>4298</v>
      </c>
      <c r="J429" s="1" t="s">
        <v>4299</v>
      </c>
      <c r="K429" s="1" t="s">
        <v>74</v>
      </c>
      <c r="L429" s="1" t="s">
        <v>74</v>
      </c>
      <c r="M429" s="1" t="s">
        <v>74</v>
      </c>
      <c r="N429" s="1" t="s">
        <v>74</v>
      </c>
      <c r="O429" s="1" t="s">
        <v>74</v>
      </c>
      <c r="P429" s="1" t="s">
        <v>74</v>
      </c>
      <c r="Q429" s="1" t="s">
        <v>74</v>
      </c>
      <c r="R429" s="1" t="s">
        <v>74</v>
      </c>
      <c r="S429" s="1" t="s">
        <v>74</v>
      </c>
      <c r="T429" s="1" t="s">
        <v>74</v>
      </c>
      <c r="U429" s="1" t="s">
        <v>74</v>
      </c>
      <c r="V429" s="1" t="s">
        <v>74</v>
      </c>
      <c r="W429" s="1" t="s">
        <v>74</v>
      </c>
      <c r="X429" s="1" t="s">
        <v>74</v>
      </c>
      <c r="Y429" s="1" t="s">
        <v>74</v>
      </c>
      <c r="Z429" s="1" t="s">
        <v>74</v>
      </c>
      <c r="AA429" s="1" t="s">
        <v>74</v>
      </c>
      <c r="AB429" s="1" t="s">
        <v>74</v>
      </c>
      <c r="AC429" s="1" t="s">
        <v>74</v>
      </c>
      <c r="AD429" s="1" t="s">
        <v>74</v>
      </c>
      <c r="AE429" s="1" t="s">
        <v>74</v>
      </c>
      <c r="AF429" s="1" t="s">
        <v>74</v>
      </c>
      <c r="AG429" s="1" t="s">
        <v>74</v>
      </c>
      <c r="AH429" s="1" t="s">
        <v>74</v>
      </c>
      <c r="AI429" s="1" t="s">
        <v>74</v>
      </c>
      <c r="AJ429" s="1" t="s">
        <v>74</v>
      </c>
      <c r="AK429" s="1" t="s">
        <v>74</v>
      </c>
      <c r="AL429" s="1" t="s">
        <v>74</v>
      </c>
      <c r="AM429" s="1" t="s">
        <v>74</v>
      </c>
      <c r="AN429" s="1" t="s">
        <v>74</v>
      </c>
      <c r="AO429" s="1" t="s">
        <v>4300</v>
      </c>
      <c r="AP429" s="1" t="s">
        <v>74</v>
      </c>
      <c r="AQ429" s="1" t="s">
        <v>74</v>
      </c>
      <c r="AR429" s="1" t="s">
        <v>74</v>
      </c>
      <c r="AS429" s="1" t="s">
        <v>74</v>
      </c>
      <c r="AT429" s="1" t="s">
        <v>112</v>
      </c>
      <c r="AU429" s="1">
        <v>2006.0</v>
      </c>
      <c r="AV429" s="1">
        <v>86.0</v>
      </c>
      <c r="AW429" s="1">
        <v>4.0</v>
      </c>
      <c r="AX429" s="1" t="s">
        <v>74</v>
      </c>
      <c r="AY429" s="1" t="s">
        <v>74</v>
      </c>
      <c r="AZ429" s="1" t="s">
        <v>74</v>
      </c>
      <c r="BA429" s="1" t="s">
        <v>74</v>
      </c>
      <c r="BB429" s="1">
        <v>707.0</v>
      </c>
      <c r="BC429" s="1">
        <v>745.0</v>
      </c>
      <c r="BD429" s="1" t="s">
        <v>74</v>
      </c>
      <c r="BE429" s="1" t="s">
        <v>4301</v>
      </c>
      <c r="BF429" s="2" t="str">
        <f>HYPERLINK("http://dx.doi.org/10.1215/00182168-2006-048","http://dx.doi.org/10.1215/00182168-2006-048")</f>
        <v>http://dx.doi.org/10.1215/00182168-2006-048</v>
      </c>
      <c r="BG429" s="1" t="s">
        <v>74</v>
      </c>
      <c r="BH429" s="1" t="s">
        <v>74</v>
      </c>
      <c r="BI429" s="1" t="s">
        <v>74</v>
      </c>
      <c r="BJ429" s="1" t="s">
        <v>74</v>
      </c>
      <c r="BK429" s="1" t="s">
        <v>74</v>
      </c>
      <c r="BL429" s="1" t="s">
        <v>74</v>
      </c>
      <c r="BM429" s="1" t="s">
        <v>74</v>
      </c>
      <c r="BN429" s="1" t="s">
        <v>74</v>
      </c>
      <c r="BO429" s="1" t="s">
        <v>74</v>
      </c>
      <c r="BP429" s="1" t="s">
        <v>74</v>
      </c>
      <c r="BQ429" s="1" t="s">
        <v>74</v>
      </c>
      <c r="BR429" s="1" t="s">
        <v>74</v>
      </c>
      <c r="BS429" s="1" t="s">
        <v>4302</v>
      </c>
      <c r="BT429" s="1" t="str">
        <f>HYPERLINK("https%3A%2F%2Fwww.webofscience.com%2Fwos%2Fwoscc%2Ffull-record%2FWOS:000242104700003","View Full Record in Web of Science")</f>
        <v>View Full Record in Web of Science</v>
      </c>
    </row>
    <row r="430" ht="12.75" customHeight="1">
      <c r="A430" s="1" t="s">
        <v>72</v>
      </c>
      <c r="B430" s="1" t="s">
        <v>4303</v>
      </c>
      <c r="C430" s="1" t="s">
        <v>74</v>
      </c>
      <c r="D430" s="1" t="s">
        <v>74</v>
      </c>
      <c r="E430" s="1" t="s">
        <v>74</v>
      </c>
      <c r="F430" s="1" t="s">
        <v>4303</v>
      </c>
      <c r="G430" s="1" t="s">
        <v>74</v>
      </c>
      <c r="H430" s="1" t="s">
        <v>74</v>
      </c>
      <c r="I430" s="1" t="s">
        <v>4304</v>
      </c>
      <c r="J430" s="1" t="s">
        <v>3068</v>
      </c>
      <c r="K430" s="1" t="s">
        <v>74</v>
      </c>
      <c r="L430" s="1" t="s">
        <v>74</v>
      </c>
      <c r="M430" s="1" t="s">
        <v>74</v>
      </c>
      <c r="N430" s="1" t="s">
        <v>74</v>
      </c>
      <c r="O430" s="1" t="s">
        <v>4305</v>
      </c>
      <c r="P430" s="1" t="s">
        <v>4306</v>
      </c>
      <c r="Q430" s="1" t="s">
        <v>2522</v>
      </c>
      <c r="R430" s="1" t="s">
        <v>4307</v>
      </c>
      <c r="S430" s="1" t="s">
        <v>74</v>
      </c>
      <c r="T430" s="1" t="s">
        <v>74</v>
      </c>
      <c r="U430" s="1" t="s">
        <v>74</v>
      </c>
      <c r="V430" s="1" t="s">
        <v>74</v>
      </c>
      <c r="W430" s="1" t="s">
        <v>74</v>
      </c>
      <c r="X430" s="1" t="s">
        <v>74</v>
      </c>
      <c r="Y430" s="1" t="s">
        <v>74</v>
      </c>
      <c r="Z430" s="1" t="s">
        <v>74</v>
      </c>
      <c r="AA430" s="1" t="s">
        <v>4290</v>
      </c>
      <c r="AB430" s="1" t="s">
        <v>74</v>
      </c>
      <c r="AC430" s="1" t="s">
        <v>74</v>
      </c>
      <c r="AD430" s="1" t="s">
        <v>74</v>
      </c>
      <c r="AE430" s="1" t="s">
        <v>74</v>
      </c>
      <c r="AF430" s="1" t="s">
        <v>74</v>
      </c>
      <c r="AG430" s="1" t="s">
        <v>74</v>
      </c>
      <c r="AH430" s="1" t="s">
        <v>74</v>
      </c>
      <c r="AI430" s="1" t="s">
        <v>74</v>
      </c>
      <c r="AJ430" s="1" t="s">
        <v>74</v>
      </c>
      <c r="AK430" s="1" t="s">
        <v>74</v>
      </c>
      <c r="AL430" s="1" t="s">
        <v>74</v>
      </c>
      <c r="AM430" s="1" t="s">
        <v>74</v>
      </c>
      <c r="AN430" s="1" t="s">
        <v>74</v>
      </c>
      <c r="AO430" s="1" t="s">
        <v>3074</v>
      </c>
      <c r="AP430" s="1" t="s">
        <v>74</v>
      </c>
      <c r="AQ430" s="1" t="s">
        <v>74</v>
      </c>
      <c r="AR430" s="1" t="s">
        <v>74</v>
      </c>
      <c r="AS430" s="1" t="s">
        <v>74</v>
      </c>
      <c r="AT430" s="1" t="s">
        <v>277</v>
      </c>
      <c r="AU430" s="1">
        <v>2006.0</v>
      </c>
      <c r="AV430" s="1">
        <v>27.0</v>
      </c>
      <c r="AW430" s="1">
        <v>1.0</v>
      </c>
      <c r="AX430" s="1" t="s">
        <v>74</v>
      </c>
      <c r="AY430" s="1" t="s">
        <v>74</v>
      </c>
      <c r="AZ430" s="1" t="s">
        <v>74</v>
      </c>
      <c r="BA430" s="1" t="s">
        <v>74</v>
      </c>
      <c r="BB430" s="1" t="s">
        <v>4308</v>
      </c>
      <c r="BC430" s="1" t="s">
        <v>4308</v>
      </c>
      <c r="BD430" s="1" t="s">
        <v>74</v>
      </c>
      <c r="BE430" s="1" t="s">
        <v>74</v>
      </c>
      <c r="BF430" s="1" t="s">
        <v>74</v>
      </c>
      <c r="BG430" s="1" t="s">
        <v>74</v>
      </c>
      <c r="BH430" s="1" t="s">
        <v>74</v>
      </c>
      <c r="BI430" s="1" t="s">
        <v>74</v>
      </c>
      <c r="BJ430" s="1" t="s">
        <v>74</v>
      </c>
      <c r="BK430" s="1" t="s">
        <v>74</v>
      </c>
      <c r="BL430" s="1" t="s">
        <v>74</v>
      </c>
      <c r="BM430" s="1" t="s">
        <v>74</v>
      </c>
      <c r="BN430" s="1" t="s">
        <v>74</v>
      </c>
      <c r="BO430" s="1" t="s">
        <v>74</v>
      </c>
      <c r="BP430" s="1" t="s">
        <v>74</v>
      </c>
      <c r="BQ430" s="1" t="s">
        <v>74</v>
      </c>
      <c r="BR430" s="1" t="s">
        <v>74</v>
      </c>
      <c r="BS430" s="1" t="s">
        <v>4309</v>
      </c>
      <c r="BT430" s="1" t="str">
        <f>HYPERLINK("https%3A%2F%2Fwww.webofscience.com%2Fwos%2Fwoscc%2Ffull-record%2FWOS:000233996200258","View Full Record in Web of Science")</f>
        <v>View Full Record in Web of Science</v>
      </c>
    </row>
    <row r="431" ht="12.75" customHeight="1">
      <c r="A431" s="1" t="s">
        <v>72</v>
      </c>
      <c r="B431" s="1" t="s">
        <v>4310</v>
      </c>
      <c r="C431" s="1" t="s">
        <v>74</v>
      </c>
      <c r="D431" s="1" t="s">
        <v>74</v>
      </c>
      <c r="E431" s="1" t="s">
        <v>74</v>
      </c>
      <c r="F431" s="1" t="s">
        <v>4310</v>
      </c>
      <c r="G431" s="1" t="s">
        <v>74</v>
      </c>
      <c r="H431" s="1" t="s">
        <v>74</v>
      </c>
      <c r="I431" s="1" t="s">
        <v>4311</v>
      </c>
      <c r="J431" s="1" t="s">
        <v>4312</v>
      </c>
      <c r="K431" s="1" t="s">
        <v>74</v>
      </c>
      <c r="L431" s="1" t="s">
        <v>74</v>
      </c>
      <c r="M431" s="1" t="s">
        <v>74</v>
      </c>
      <c r="N431" s="1" t="s">
        <v>74</v>
      </c>
      <c r="O431" s="1" t="s">
        <v>74</v>
      </c>
      <c r="P431" s="1" t="s">
        <v>74</v>
      </c>
      <c r="Q431" s="1" t="s">
        <v>74</v>
      </c>
      <c r="R431" s="1" t="s">
        <v>74</v>
      </c>
      <c r="S431" s="1" t="s">
        <v>74</v>
      </c>
      <c r="T431" s="1" t="s">
        <v>74</v>
      </c>
      <c r="U431" s="1" t="s">
        <v>74</v>
      </c>
      <c r="V431" s="1" t="s">
        <v>4313</v>
      </c>
      <c r="W431" s="1" t="s">
        <v>74</v>
      </c>
      <c r="X431" s="1" t="s">
        <v>74</v>
      </c>
      <c r="Y431" s="1" t="s">
        <v>74</v>
      </c>
      <c r="Z431" s="1" t="s">
        <v>74</v>
      </c>
      <c r="AA431" s="1" t="s">
        <v>4314</v>
      </c>
      <c r="AB431" s="1" t="s">
        <v>4315</v>
      </c>
      <c r="AC431" s="1" t="s">
        <v>74</v>
      </c>
      <c r="AD431" s="1" t="s">
        <v>74</v>
      </c>
      <c r="AE431" s="1" t="s">
        <v>74</v>
      </c>
      <c r="AF431" s="1" t="s">
        <v>74</v>
      </c>
      <c r="AG431" s="1" t="s">
        <v>74</v>
      </c>
      <c r="AH431" s="1" t="s">
        <v>74</v>
      </c>
      <c r="AI431" s="1" t="s">
        <v>74</v>
      </c>
      <c r="AJ431" s="1" t="s">
        <v>74</v>
      </c>
      <c r="AK431" s="1" t="s">
        <v>74</v>
      </c>
      <c r="AL431" s="1" t="s">
        <v>74</v>
      </c>
      <c r="AM431" s="1" t="s">
        <v>74</v>
      </c>
      <c r="AN431" s="1" t="s">
        <v>74</v>
      </c>
      <c r="AO431" s="1" t="s">
        <v>4316</v>
      </c>
      <c r="AP431" s="1" t="s">
        <v>4317</v>
      </c>
      <c r="AQ431" s="1" t="s">
        <v>74</v>
      </c>
      <c r="AR431" s="1" t="s">
        <v>74</v>
      </c>
      <c r="AS431" s="1" t="s">
        <v>74</v>
      </c>
      <c r="AT431" s="1" t="s">
        <v>122</v>
      </c>
      <c r="AU431" s="1">
        <v>2004.0</v>
      </c>
      <c r="AV431" s="1">
        <v>70.0</v>
      </c>
      <c r="AW431" s="1">
        <v>2.0</v>
      </c>
      <c r="AX431" s="1">
        <v>2.0</v>
      </c>
      <c r="AY431" s="1" t="s">
        <v>74</v>
      </c>
      <c r="AZ431" s="1" t="s">
        <v>74</v>
      </c>
      <c r="BA431" s="1" t="s">
        <v>74</v>
      </c>
      <c r="BB431" s="1" t="s">
        <v>74</v>
      </c>
      <c r="BC431" s="1" t="s">
        <v>74</v>
      </c>
      <c r="BD431" s="1">
        <v>26102.0</v>
      </c>
      <c r="BE431" s="1" t="s">
        <v>4318</v>
      </c>
      <c r="BF431" s="2" t="str">
        <f>HYPERLINK("http://dx.doi.org/10.1103/PhysRevE.70.026102","http://dx.doi.org/10.1103/PhysRevE.70.026102")</f>
        <v>http://dx.doi.org/10.1103/PhysRevE.70.026102</v>
      </c>
      <c r="BG431" s="1" t="s">
        <v>74</v>
      </c>
      <c r="BH431" s="1" t="s">
        <v>74</v>
      </c>
      <c r="BI431" s="1" t="s">
        <v>74</v>
      </c>
      <c r="BJ431" s="1" t="s">
        <v>74</v>
      </c>
      <c r="BK431" s="1" t="s">
        <v>74</v>
      </c>
      <c r="BL431" s="1" t="s">
        <v>74</v>
      </c>
      <c r="BM431" s="1" t="s">
        <v>74</v>
      </c>
      <c r="BN431" s="1">
        <v>1.544754E7</v>
      </c>
      <c r="BO431" s="1" t="s">
        <v>74</v>
      </c>
      <c r="BP431" s="1" t="s">
        <v>74</v>
      </c>
      <c r="BQ431" s="1" t="s">
        <v>74</v>
      </c>
      <c r="BR431" s="1" t="s">
        <v>74</v>
      </c>
      <c r="BS431" s="1" t="s">
        <v>4319</v>
      </c>
      <c r="BT431" s="1" t="str">
        <f>HYPERLINK("https%3A%2F%2Fwww.webofscience.com%2Fwos%2Fwoscc%2Ffull-record%2FWOS:000223784600011","View Full Record in Web of Science")</f>
        <v>View Full Record in Web of Science</v>
      </c>
    </row>
    <row r="432" ht="12.75" customHeight="1">
      <c r="A432" s="1" t="s">
        <v>72</v>
      </c>
      <c r="B432" s="1" t="s">
        <v>4320</v>
      </c>
      <c r="C432" s="1" t="s">
        <v>74</v>
      </c>
      <c r="D432" s="1" t="s">
        <v>74</v>
      </c>
      <c r="E432" s="1" t="s">
        <v>74</v>
      </c>
      <c r="F432" s="1" t="s">
        <v>4320</v>
      </c>
      <c r="G432" s="1" t="s">
        <v>74</v>
      </c>
      <c r="H432" s="1" t="s">
        <v>74</v>
      </c>
      <c r="I432" s="1" t="s">
        <v>4321</v>
      </c>
      <c r="J432" s="1" t="s">
        <v>4322</v>
      </c>
      <c r="K432" s="1" t="s">
        <v>74</v>
      </c>
      <c r="L432" s="1" t="s">
        <v>74</v>
      </c>
      <c r="M432" s="1" t="s">
        <v>74</v>
      </c>
      <c r="N432" s="1" t="s">
        <v>74</v>
      </c>
      <c r="O432" s="1" t="s">
        <v>74</v>
      </c>
      <c r="P432" s="1" t="s">
        <v>74</v>
      </c>
      <c r="Q432" s="1" t="s">
        <v>74</v>
      </c>
      <c r="R432" s="1" t="s">
        <v>74</v>
      </c>
      <c r="S432" s="1" t="s">
        <v>74</v>
      </c>
      <c r="T432" s="1" t="s">
        <v>74</v>
      </c>
      <c r="U432" s="1" t="s">
        <v>74</v>
      </c>
      <c r="V432" s="1" t="s">
        <v>4323</v>
      </c>
      <c r="W432" s="1" t="s">
        <v>74</v>
      </c>
      <c r="X432" s="1" t="s">
        <v>74</v>
      </c>
      <c r="Y432" s="1" t="s">
        <v>74</v>
      </c>
      <c r="Z432" s="1" t="s">
        <v>74</v>
      </c>
      <c r="AA432" s="1" t="s">
        <v>4324</v>
      </c>
      <c r="AB432" s="1" t="s">
        <v>4325</v>
      </c>
      <c r="AC432" s="1" t="s">
        <v>74</v>
      </c>
      <c r="AD432" s="1" t="s">
        <v>74</v>
      </c>
      <c r="AE432" s="1" t="s">
        <v>74</v>
      </c>
      <c r="AF432" s="1" t="s">
        <v>74</v>
      </c>
      <c r="AG432" s="1" t="s">
        <v>74</v>
      </c>
      <c r="AH432" s="1" t="s">
        <v>74</v>
      </c>
      <c r="AI432" s="1" t="s">
        <v>74</v>
      </c>
      <c r="AJ432" s="1" t="s">
        <v>74</v>
      </c>
      <c r="AK432" s="1" t="s">
        <v>74</v>
      </c>
      <c r="AL432" s="1" t="s">
        <v>74</v>
      </c>
      <c r="AM432" s="1" t="s">
        <v>74</v>
      </c>
      <c r="AN432" s="1" t="s">
        <v>74</v>
      </c>
      <c r="AO432" s="1" t="s">
        <v>4326</v>
      </c>
      <c r="AP432" s="1" t="s">
        <v>4327</v>
      </c>
      <c r="AQ432" s="1" t="s">
        <v>74</v>
      </c>
      <c r="AR432" s="1" t="s">
        <v>74</v>
      </c>
      <c r="AS432" s="1" t="s">
        <v>74</v>
      </c>
      <c r="AT432" s="1" t="s">
        <v>621</v>
      </c>
      <c r="AU432" s="1">
        <v>2004.0</v>
      </c>
      <c r="AV432" s="1">
        <v>25.0</v>
      </c>
      <c r="AW432" s="1">
        <v>4.0</v>
      </c>
      <c r="AX432" s="1" t="s">
        <v>74</v>
      </c>
      <c r="AY432" s="1" t="s">
        <v>74</v>
      </c>
      <c r="AZ432" s="1" t="s">
        <v>74</v>
      </c>
      <c r="BA432" s="1" t="s">
        <v>74</v>
      </c>
      <c r="BB432" s="1">
        <v>529.0</v>
      </c>
      <c r="BC432" s="1">
        <v>550.0</v>
      </c>
      <c r="BD432" s="1" t="s">
        <v>74</v>
      </c>
      <c r="BE432" s="1" t="s">
        <v>4328</v>
      </c>
      <c r="BF432" s="2" t="str">
        <f>HYPERLINK("http://dx.doi.org/10.1111/j.1467-9892.2004.01797.x","http://dx.doi.org/10.1111/j.1467-9892.2004.01797.x")</f>
        <v>http://dx.doi.org/10.1111/j.1467-9892.2004.01797.x</v>
      </c>
      <c r="BG432" s="1" t="s">
        <v>74</v>
      </c>
      <c r="BH432" s="1" t="s">
        <v>74</v>
      </c>
      <c r="BI432" s="1" t="s">
        <v>74</v>
      </c>
      <c r="BJ432" s="1" t="s">
        <v>74</v>
      </c>
      <c r="BK432" s="1" t="s">
        <v>74</v>
      </c>
      <c r="BL432" s="1" t="s">
        <v>74</v>
      </c>
      <c r="BM432" s="1" t="s">
        <v>74</v>
      </c>
      <c r="BN432" s="1" t="s">
        <v>74</v>
      </c>
      <c r="BO432" s="1" t="s">
        <v>74</v>
      </c>
      <c r="BP432" s="1" t="s">
        <v>74</v>
      </c>
      <c r="BQ432" s="1" t="s">
        <v>74</v>
      </c>
      <c r="BR432" s="1" t="s">
        <v>74</v>
      </c>
      <c r="BS432" s="1" t="s">
        <v>4329</v>
      </c>
      <c r="BT432" s="1" t="str">
        <f>HYPERLINK("https%3A%2F%2Fwww.webofscience.com%2Fwos%2Fwoscc%2Ffull-record%2FWOS:000221974800006","View Full Record in Web of Science")</f>
        <v>View Full Record in Web of Science</v>
      </c>
    </row>
    <row r="433" ht="12.75" customHeight="1">
      <c r="A433" s="1" t="s">
        <v>72</v>
      </c>
      <c r="B433" s="1" t="s">
        <v>4330</v>
      </c>
      <c r="C433" s="1" t="s">
        <v>74</v>
      </c>
      <c r="D433" s="1" t="s">
        <v>74</v>
      </c>
      <c r="E433" s="1" t="s">
        <v>74</v>
      </c>
      <c r="F433" s="1" t="s">
        <v>4330</v>
      </c>
      <c r="G433" s="1" t="s">
        <v>74</v>
      </c>
      <c r="H433" s="1" t="s">
        <v>74</v>
      </c>
      <c r="I433" s="1" t="s">
        <v>4331</v>
      </c>
      <c r="J433" s="1" t="s">
        <v>4332</v>
      </c>
      <c r="K433" s="1" t="s">
        <v>74</v>
      </c>
      <c r="L433" s="1" t="s">
        <v>74</v>
      </c>
      <c r="M433" s="1" t="s">
        <v>74</v>
      </c>
      <c r="N433" s="1" t="s">
        <v>74</v>
      </c>
      <c r="O433" s="1" t="s">
        <v>74</v>
      </c>
      <c r="P433" s="1" t="s">
        <v>74</v>
      </c>
      <c r="Q433" s="1" t="s">
        <v>74</v>
      </c>
      <c r="R433" s="1" t="s">
        <v>74</v>
      </c>
      <c r="S433" s="1" t="s">
        <v>74</v>
      </c>
      <c r="T433" s="1" t="s">
        <v>74</v>
      </c>
      <c r="U433" s="1" t="s">
        <v>74</v>
      </c>
      <c r="V433" s="1" t="s">
        <v>4333</v>
      </c>
      <c r="W433" s="1" t="s">
        <v>74</v>
      </c>
      <c r="X433" s="1" t="s">
        <v>74</v>
      </c>
      <c r="Y433" s="1" t="s">
        <v>74</v>
      </c>
      <c r="Z433" s="1" t="s">
        <v>74</v>
      </c>
      <c r="AA433" s="1" t="s">
        <v>4334</v>
      </c>
      <c r="AB433" s="1" t="s">
        <v>74</v>
      </c>
      <c r="AC433" s="1" t="s">
        <v>74</v>
      </c>
      <c r="AD433" s="1" t="s">
        <v>74</v>
      </c>
      <c r="AE433" s="1" t="s">
        <v>74</v>
      </c>
      <c r="AF433" s="1" t="s">
        <v>74</v>
      </c>
      <c r="AG433" s="1" t="s">
        <v>74</v>
      </c>
      <c r="AH433" s="1" t="s">
        <v>74</v>
      </c>
      <c r="AI433" s="1" t="s">
        <v>74</v>
      </c>
      <c r="AJ433" s="1" t="s">
        <v>74</v>
      </c>
      <c r="AK433" s="1" t="s">
        <v>74</v>
      </c>
      <c r="AL433" s="1" t="s">
        <v>74</v>
      </c>
      <c r="AM433" s="1" t="s">
        <v>74</v>
      </c>
      <c r="AN433" s="1" t="s">
        <v>74</v>
      </c>
      <c r="AO433" s="1" t="s">
        <v>4335</v>
      </c>
      <c r="AP433" s="1" t="s">
        <v>4336</v>
      </c>
      <c r="AQ433" s="1" t="s">
        <v>74</v>
      </c>
      <c r="AR433" s="1" t="s">
        <v>74</v>
      </c>
      <c r="AS433" s="1" t="s">
        <v>74</v>
      </c>
      <c r="AT433" s="1" t="s">
        <v>421</v>
      </c>
      <c r="AU433" s="1">
        <v>2004.0</v>
      </c>
      <c r="AV433" s="1">
        <v>57.0</v>
      </c>
      <c r="AW433" s="1">
        <v>3.0</v>
      </c>
      <c r="AX433" s="1" t="s">
        <v>74</v>
      </c>
      <c r="AY433" s="1" t="s">
        <v>74</v>
      </c>
      <c r="AZ433" s="1" t="s">
        <v>74</v>
      </c>
      <c r="BA433" s="1" t="s">
        <v>74</v>
      </c>
      <c r="BB433" s="1">
        <v>275.0</v>
      </c>
      <c r="BC433" s="1">
        <v>290.0</v>
      </c>
      <c r="BD433" s="1" t="s">
        <v>74</v>
      </c>
      <c r="BE433" s="1" t="s">
        <v>4337</v>
      </c>
      <c r="BF433" s="2" t="str">
        <f>HYPERLINK("http://dx.doi.org/10.1016/S0140-1963(03)00106-X","http://dx.doi.org/10.1016/S0140-1963(03)00106-X")</f>
        <v>http://dx.doi.org/10.1016/S0140-1963(03)00106-X</v>
      </c>
      <c r="BG433" s="1" t="s">
        <v>74</v>
      </c>
      <c r="BH433" s="1" t="s">
        <v>74</v>
      </c>
      <c r="BI433" s="1" t="s">
        <v>74</v>
      </c>
      <c r="BJ433" s="1" t="s">
        <v>74</v>
      </c>
      <c r="BK433" s="1" t="s">
        <v>74</v>
      </c>
      <c r="BL433" s="1" t="s">
        <v>74</v>
      </c>
      <c r="BM433" s="1" t="s">
        <v>74</v>
      </c>
      <c r="BN433" s="1" t="s">
        <v>74</v>
      </c>
      <c r="BO433" s="1" t="s">
        <v>74</v>
      </c>
      <c r="BP433" s="1" t="s">
        <v>74</v>
      </c>
      <c r="BQ433" s="1" t="s">
        <v>74</v>
      </c>
      <c r="BR433" s="1" t="s">
        <v>74</v>
      </c>
      <c r="BS433" s="1" t="s">
        <v>4338</v>
      </c>
      <c r="BT433" s="1" t="str">
        <f>HYPERLINK("https%3A%2F%2Fwww.webofscience.com%2Fwos%2Fwoscc%2Ffull-record%2FWOS:000220418100001","View Full Record in Web of Science")</f>
        <v>View Full Record in Web of Science</v>
      </c>
    </row>
    <row r="434" ht="12.75" customHeight="1">
      <c r="A434" s="1" t="s">
        <v>72</v>
      </c>
      <c r="B434" s="1" t="s">
        <v>4339</v>
      </c>
      <c r="C434" s="1" t="s">
        <v>74</v>
      </c>
      <c r="D434" s="1" t="s">
        <v>74</v>
      </c>
      <c r="E434" s="1" t="s">
        <v>74</v>
      </c>
      <c r="F434" s="1" t="s">
        <v>4339</v>
      </c>
      <c r="G434" s="1" t="s">
        <v>74</v>
      </c>
      <c r="H434" s="1" t="s">
        <v>74</v>
      </c>
      <c r="I434" s="1" t="s">
        <v>4340</v>
      </c>
      <c r="J434" s="1" t="s">
        <v>4341</v>
      </c>
      <c r="K434" s="1" t="s">
        <v>74</v>
      </c>
      <c r="L434" s="1" t="s">
        <v>74</v>
      </c>
      <c r="M434" s="1" t="s">
        <v>74</v>
      </c>
      <c r="N434" s="1" t="s">
        <v>74</v>
      </c>
      <c r="O434" s="1" t="s">
        <v>74</v>
      </c>
      <c r="P434" s="1" t="s">
        <v>74</v>
      </c>
      <c r="Q434" s="1" t="s">
        <v>74</v>
      </c>
      <c r="R434" s="1" t="s">
        <v>74</v>
      </c>
      <c r="S434" s="1" t="s">
        <v>74</v>
      </c>
      <c r="T434" s="1" t="s">
        <v>74</v>
      </c>
      <c r="U434" s="1" t="s">
        <v>74</v>
      </c>
      <c r="V434" s="1" t="s">
        <v>74</v>
      </c>
      <c r="W434" s="1" t="s">
        <v>74</v>
      </c>
      <c r="X434" s="1" t="s">
        <v>74</v>
      </c>
      <c r="Y434" s="1" t="s">
        <v>74</v>
      </c>
      <c r="Z434" s="1" t="s">
        <v>74</v>
      </c>
      <c r="AA434" s="1" t="s">
        <v>74</v>
      </c>
      <c r="AB434" s="1" t="s">
        <v>74</v>
      </c>
      <c r="AC434" s="1" t="s">
        <v>74</v>
      </c>
      <c r="AD434" s="1" t="s">
        <v>74</v>
      </c>
      <c r="AE434" s="1" t="s">
        <v>74</v>
      </c>
      <c r="AF434" s="1" t="s">
        <v>74</v>
      </c>
      <c r="AG434" s="1" t="s">
        <v>74</v>
      </c>
      <c r="AH434" s="1" t="s">
        <v>74</v>
      </c>
      <c r="AI434" s="1" t="s">
        <v>74</v>
      </c>
      <c r="AJ434" s="1" t="s">
        <v>74</v>
      </c>
      <c r="AK434" s="1" t="s">
        <v>74</v>
      </c>
      <c r="AL434" s="1" t="s">
        <v>74</v>
      </c>
      <c r="AM434" s="1" t="s">
        <v>74</v>
      </c>
      <c r="AN434" s="1" t="s">
        <v>74</v>
      </c>
      <c r="AO434" s="1" t="s">
        <v>4342</v>
      </c>
      <c r="AP434" s="1" t="s">
        <v>74</v>
      </c>
      <c r="AQ434" s="1" t="s">
        <v>74</v>
      </c>
      <c r="AR434" s="1" t="s">
        <v>74</v>
      </c>
      <c r="AS434" s="1" t="s">
        <v>74</v>
      </c>
      <c r="AT434" s="1" t="s">
        <v>389</v>
      </c>
      <c r="AU434" s="1">
        <v>1997.0</v>
      </c>
      <c r="AV434" s="1">
        <v>55.0</v>
      </c>
      <c r="AW434" s="1" t="s">
        <v>74</v>
      </c>
      <c r="AX434" s="1">
        <v>1.0</v>
      </c>
      <c r="AY434" s="1" t="s">
        <v>74</v>
      </c>
      <c r="AZ434" s="1" t="s">
        <v>74</v>
      </c>
      <c r="BA434" s="1" t="s">
        <v>74</v>
      </c>
      <c r="BB434" s="1">
        <v>159.0</v>
      </c>
      <c r="BC434" s="1">
        <v>169.0</v>
      </c>
      <c r="BD434" s="1" t="s">
        <v>74</v>
      </c>
      <c r="BE434" s="1" t="s">
        <v>4343</v>
      </c>
      <c r="BF434" s="2" t="str">
        <f>HYPERLINK("http://dx.doi.org/10.1112/S002461079600453X","http://dx.doi.org/10.1112/S002461079600453X")</f>
        <v>http://dx.doi.org/10.1112/S002461079600453X</v>
      </c>
      <c r="BG434" s="1" t="s">
        <v>74</v>
      </c>
      <c r="BH434" s="1" t="s">
        <v>74</v>
      </c>
      <c r="BI434" s="1" t="s">
        <v>74</v>
      </c>
      <c r="BJ434" s="1" t="s">
        <v>74</v>
      </c>
      <c r="BK434" s="1" t="s">
        <v>74</v>
      </c>
      <c r="BL434" s="1" t="s">
        <v>74</v>
      </c>
      <c r="BM434" s="1" t="s">
        <v>74</v>
      </c>
      <c r="BN434" s="1" t="s">
        <v>74</v>
      </c>
      <c r="BO434" s="1" t="s">
        <v>74</v>
      </c>
      <c r="BP434" s="1" t="s">
        <v>74</v>
      </c>
      <c r="BQ434" s="1" t="s">
        <v>74</v>
      </c>
      <c r="BR434" s="1" t="s">
        <v>74</v>
      </c>
      <c r="BS434" s="1" t="s">
        <v>4344</v>
      </c>
      <c r="BT434" s="1" t="str">
        <f>HYPERLINK("https%3A%2F%2Fwww.webofscience.com%2Fwos%2Fwoscc%2Ffull-record%2FWOS:A1997WN21900013","View Full Record in Web of Science")</f>
        <v>View Full Record in Web of Science</v>
      </c>
    </row>
    <row r="435" ht="12.75" customHeight="1">
      <c r="A435" s="1" t="s">
        <v>72</v>
      </c>
      <c r="B435" s="1" t="s">
        <v>4345</v>
      </c>
      <c r="C435" s="1" t="s">
        <v>74</v>
      </c>
      <c r="D435" s="1" t="s">
        <v>74</v>
      </c>
      <c r="E435" s="1" t="s">
        <v>74</v>
      </c>
      <c r="F435" s="1" t="s">
        <v>4345</v>
      </c>
      <c r="G435" s="1" t="s">
        <v>74</v>
      </c>
      <c r="H435" s="1" t="s">
        <v>74</v>
      </c>
      <c r="I435" s="1" t="s">
        <v>4346</v>
      </c>
      <c r="J435" s="1" t="s">
        <v>413</v>
      </c>
      <c r="K435" s="1" t="s">
        <v>74</v>
      </c>
      <c r="L435" s="1" t="s">
        <v>74</v>
      </c>
      <c r="M435" s="1" t="s">
        <v>74</v>
      </c>
      <c r="N435" s="1" t="s">
        <v>74</v>
      </c>
      <c r="O435" s="1" t="s">
        <v>1244</v>
      </c>
      <c r="P435" s="1" t="s">
        <v>1245</v>
      </c>
      <c r="Q435" s="1" t="s">
        <v>1246</v>
      </c>
      <c r="R435" s="1" t="s">
        <v>74</v>
      </c>
      <c r="S435" s="1" t="s">
        <v>74</v>
      </c>
      <c r="T435" s="1" t="s">
        <v>74</v>
      </c>
      <c r="U435" s="1" t="s">
        <v>74</v>
      </c>
      <c r="V435" s="1" t="s">
        <v>4347</v>
      </c>
      <c r="W435" s="1" t="s">
        <v>74</v>
      </c>
      <c r="X435" s="1" t="s">
        <v>74</v>
      </c>
      <c r="Y435" s="1" t="s">
        <v>74</v>
      </c>
      <c r="Z435" s="1" t="s">
        <v>74</v>
      </c>
      <c r="AA435" s="1" t="s">
        <v>74</v>
      </c>
      <c r="AB435" s="1" t="s">
        <v>4348</v>
      </c>
      <c r="AC435" s="1" t="s">
        <v>74</v>
      </c>
      <c r="AD435" s="1" t="s">
        <v>74</v>
      </c>
      <c r="AE435" s="1" t="s">
        <v>74</v>
      </c>
      <c r="AF435" s="1" t="s">
        <v>74</v>
      </c>
      <c r="AG435" s="1" t="s">
        <v>74</v>
      </c>
      <c r="AH435" s="1" t="s">
        <v>74</v>
      </c>
      <c r="AI435" s="1" t="s">
        <v>74</v>
      </c>
      <c r="AJ435" s="1" t="s">
        <v>74</v>
      </c>
      <c r="AK435" s="1" t="s">
        <v>74</v>
      </c>
      <c r="AL435" s="1" t="s">
        <v>74</v>
      </c>
      <c r="AM435" s="1" t="s">
        <v>74</v>
      </c>
      <c r="AN435" s="1" t="s">
        <v>74</v>
      </c>
      <c r="AO435" s="1" t="s">
        <v>414</v>
      </c>
      <c r="AP435" s="1" t="s">
        <v>74</v>
      </c>
      <c r="AQ435" s="1" t="s">
        <v>74</v>
      </c>
      <c r="AR435" s="1" t="s">
        <v>74</v>
      </c>
      <c r="AS435" s="1" t="s">
        <v>74</v>
      </c>
      <c r="AT435" s="1" t="s">
        <v>144</v>
      </c>
      <c r="AU435" s="1">
        <v>1996.0</v>
      </c>
      <c r="AV435" s="1">
        <v>41.0</v>
      </c>
      <c r="AW435" s="1">
        <v>1.0</v>
      </c>
      <c r="AX435" s="1" t="s">
        <v>74</v>
      </c>
      <c r="AY435" s="1" t="s">
        <v>74</v>
      </c>
      <c r="AZ435" s="1" t="s">
        <v>74</v>
      </c>
      <c r="BA435" s="1" t="s">
        <v>74</v>
      </c>
      <c r="BB435" s="1">
        <v>93.0</v>
      </c>
      <c r="BC435" s="1">
        <v>97.0</v>
      </c>
      <c r="BD435" s="1" t="s">
        <v>74</v>
      </c>
      <c r="BE435" s="1" t="s">
        <v>74</v>
      </c>
      <c r="BF435" s="1" t="s">
        <v>74</v>
      </c>
      <c r="BG435" s="1" t="s">
        <v>74</v>
      </c>
      <c r="BH435" s="1" t="s">
        <v>74</v>
      </c>
      <c r="BI435" s="1" t="s">
        <v>74</v>
      </c>
      <c r="BJ435" s="1" t="s">
        <v>74</v>
      </c>
      <c r="BK435" s="1" t="s">
        <v>74</v>
      </c>
      <c r="BL435" s="1" t="s">
        <v>74</v>
      </c>
      <c r="BM435" s="1" t="s">
        <v>74</v>
      </c>
      <c r="BN435" s="1" t="s">
        <v>74</v>
      </c>
      <c r="BO435" s="1" t="s">
        <v>74</v>
      </c>
      <c r="BP435" s="1" t="s">
        <v>74</v>
      </c>
      <c r="BQ435" s="1" t="s">
        <v>74</v>
      </c>
      <c r="BR435" s="1" t="s">
        <v>74</v>
      </c>
      <c r="BS435" s="1" t="s">
        <v>4349</v>
      </c>
      <c r="BT435" s="1" t="str">
        <f>HYPERLINK("https%3A%2F%2Fwww.webofscience.com%2Fwos%2Fwoscc%2Ffull-record%2FWOS:A1996UD45500014","View Full Record in Web of Science")</f>
        <v>View Full Record in Web of Science</v>
      </c>
    </row>
    <row r="436" ht="12.75" customHeight="1">
      <c r="A436" s="1" t="s">
        <v>72</v>
      </c>
      <c r="B436" s="1" t="s">
        <v>4350</v>
      </c>
      <c r="C436" s="1" t="s">
        <v>74</v>
      </c>
      <c r="D436" s="1" t="s">
        <v>74</v>
      </c>
      <c r="E436" s="1" t="s">
        <v>74</v>
      </c>
      <c r="F436" s="1" t="s">
        <v>4350</v>
      </c>
      <c r="G436" s="1" t="s">
        <v>74</v>
      </c>
      <c r="H436" s="1" t="s">
        <v>74</v>
      </c>
      <c r="I436" s="1" t="s">
        <v>4351</v>
      </c>
      <c r="J436" s="1" t="s">
        <v>413</v>
      </c>
      <c r="K436" s="1" t="s">
        <v>74</v>
      </c>
      <c r="L436" s="1" t="s">
        <v>74</v>
      </c>
      <c r="M436" s="1" t="s">
        <v>74</v>
      </c>
      <c r="N436" s="1" t="s">
        <v>74</v>
      </c>
      <c r="O436" s="1" t="s">
        <v>74</v>
      </c>
      <c r="P436" s="1" t="s">
        <v>74</v>
      </c>
      <c r="Q436" s="1" t="s">
        <v>74</v>
      </c>
      <c r="R436" s="1" t="s">
        <v>74</v>
      </c>
      <c r="S436" s="1" t="s">
        <v>74</v>
      </c>
      <c r="T436" s="1" t="s">
        <v>74</v>
      </c>
      <c r="U436" s="1" t="s">
        <v>74</v>
      </c>
      <c r="V436" s="1" t="s">
        <v>4352</v>
      </c>
      <c r="W436" s="1" t="s">
        <v>74</v>
      </c>
      <c r="X436" s="1" t="s">
        <v>74</v>
      </c>
      <c r="Y436" s="1" t="s">
        <v>74</v>
      </c>
      <c r="Z436" s="1" t="s">
        <v>74</v>
      </c>
      <c r="AA436" s="1" t="s">
        <v>74</v>
      </c>
      <c r="AB436" s="1" t="s">
        <v>74</v>
      </c>
      <c r="AC436" s="1" t="s">
        <v>74</v>
      </c>
      <c r="AD436" s="1" t="s">
        <v>74</v>
      </c>
      <c r="AE436" s="1" t="s">
        <v>74</v>
      </c>
      <c r="AF436" s="1" t="s">
        <v>74</v>
      </c>
      <c r="AG436" s="1" t="s">
        <v>74</v>
      </c>
      <c r="AH436" s="1" t="s">
        <v>74</v>
      </c>
      <c r="AI436" s="1" t="s">
        <v>74</v>
      </c>
      <c r="AJ436" s="1" t="s">
        <v>74</v>
      </c>
      <c r="AK436" s="1" t="s">
        <v>74</v>
      </c>
      <c r="AL436" s="1" t="s">
        <v>74</v>
      </c>
      <c r="AM436" s="1" t="s">
        <v>74</v>
      </c>
      <c r="AN436" s="1" t="s">
        <v>74</v>
      </c>
      <c r="AO436" s="1" t="s">
        <v>414</v>
      </c>
      <c r="AP436" s="1" t="s">
        <v>74</v>
      </c>
      <c r="AQ436" s="1" t="s">
        <v>74</v>
      </c>
      <c r="AR436" s="1" t="s">
        <v>74</v>
      </c>
      <c r="AS436" s="1" t="s">
        <v>74</v>
      </c>
      <c r="AT436" s="1" t="s">
        <v>415</v>
      </c>
      <c r="AU436" s="1">
        <v>1995.0</v>
      </c>
      <c r="AV436" s="1">
        <v>40.0</v>
      </c>
      <c r="AW436" s="1">
        <v>4.0</v>
      </c>
      <c r="AX436" s="1" t="s">
        <v>74</v>
      </c>
      <c r="AY436" s="1" t="s">
        <v>74</v>
      </c>
      <c r="AZ436" s="1" t="s">
        <v>74</v>
      </c>
      <c r="BA436" s="1" t="s">
        <v>74</v>
      </c>
      <c r="BB436" s="1">
        <v>461.0</v>
      </c>
      <c r="BC436" s="1">
        <v>463.0</v>
      </c>
      <c r="BD436" s="1" t="s">
        <v>74</v>
      </c>
      <c r="BE436" s="1" t="s">
        <v>74</v>
      </c>
      <c r="BF436" s="1" t="s">
        <v>74</v>
      </c>
      <c r="BG436" s="1" t="s">
        <v>74</v>
      </c>
      <c r="BH436" s="1" t="s">
        <v>74</v>
      </c>
      <c r="BI436" s="1" t="s">
        <v>74</v>
      </c>
      <c r="BJ436" s="1" t="s">
        <v>74</v>
      </c>
      <c r="BK436" s="1" t="s">
        <v>74</v>
      </c>
      <c r="BL436" s="1" t="s">
        <v>74</v>
      </c>
      <c r="BM436" s="1" t="s">
        <v>74</v>
      </c>
      <c r="BN436" s="1" t="s">
        <v>74</v>
      </c>
      <c r="BO436" s="1" t="s">
        <v>74</v>
      </c>
      <c r="BP436" s="1" t="s">
        <v>74</v>
      </c>
      <c r="BQ436" s="1" t="s">
        <v>74</v>
      </c>
      <c r="BR436" s="1" t="s">
        <v>74</v>
      </c>
      <c r="BS436" s="1" t="s">
        <v>4353</v>
      </c>
      <c r="BT436" s="1" t="str">
        <f>HYPERLINK("https%3A%2F%2Fwww.webofscience.com%2Fwos%2Fwoscc%2Ffull-record%2FWOS:A1995TN57900017","View Full Record in Web of Science")</f>
        <v>View Full Record in Web of Science</v>
      </c>
    </row>
    <row r="437" ht="12.75" customHeight="1">
      <c r="A437" s="1" t="s">
        <v>72</v>
      </c>
      <c r="B437" s="1" t="s">
        <v>4354</v>
      </c>
      <c r="C437" s="1" t="s">
        <v>74</v>
      </c>
      <c r="D437" s="1" t="s">
        <v>74</v>
      </c>
      <c r="E437" s="1" t="s">
        <v>74</v>
      </c>
      <c r="F437" s="1" t="s">
        <v>4354</v>
      </c>
      <c r="G437" s="1" t="s">
        <v>74</v>
      </c>
      <c r="H437" s="1" t="s">
        <v>74</v>
      </c>
      <c r="I437" s="1" t="s">
        <v>4355</v>
      </c>
      <c r="J437" s="1" t="s">
        <v>4356</v>
      </c>
      <c r="K437" s="1" t="s">
        <v>74</v>
      </c>
      <c r="L437" s="1" t="s">
        <v>74</v>
      </c>
      <c r="M437" s="1" t="s">
        <v>74</v>
      </c>
      <c r="N437" s="1" t="s">
        <v>74</v>
      </c>
      <c r="O437" s="1" t="s">
        <v>74</v>
      </c>
      <c r="P437" s="1" t="s">
        <v>74</v>
      </c>
      <c r="Q437" s="1" t="s">
        <v>74</v>
      </c>
      <c r="R437" s="1" t="s">
        <v>74</v>
      </c>
      <c r="S437" s="1" t="s">
        <v>74</v>
      </c>
      <c r="T437" s="1" t="s">
        <v>74</v>
      </c>
      <c r="U437" s="1" t="s">
        <v>74</v>
      </c>
      <c r="V437" s="1" t="s">
        <v>4357</v>
      </c>
      <c r="W437" s="1" t="s">
        <v>74</v>
      </c>
      <c r="X437" s="1" t="s">
        <v>74</v>
      </c>
      <c r="Y437" s="1" t="s">
        <v>74</v>
      </c>
      <c r="Z437" s="1" t="s">
        <v>74</v>
      </c>
      <c r="AA437" s="1" t="s">
        <v>4358</v>
      </c>
      <c r="AB437" s="1" t="s">
        <v>4359</v>
      </c>
      <c r="AC437" s="1" t="s">
        <v>74</v>
      </c>
      <c r="AD437" s="1" t="s">
        <v>74</v>
      </c>
      <c r="AE437" s="1" t="s">
        <v>74</v>
      </c>
      <c r="AF437" s="1" t="s">
        <v>74</v>
      </c>
      <c r="AG437" s="1" t="s">
        <v>74</v>
      </c>
      <c r="AH437" s="1" t="s">
        <v>74</v>
      </c>
      <c r="AI437" s="1" t="s">
        <v>74</v>
      </c>
      <c r="AJ437" s="1" t="s">
        <v>74</v>
      </c>
      <c r="AK437" s="1" t="s">
        <v>74</v>
      </c>
      <c r="AL437" s="1" t="s">
        <v>74</v>
      </c>
      <c r="AM437" s="1" t="s">
        <v>74</v>
      </c>
      <c r="AN437" s="1" t="s">
        <v>74</v>
      </c>
      <c r="AO437" s="1" t="s">
        <v>4360</v>
      </c>
      <c r="AP437" s="1" t="s">
        <v>74</v>
      </c>
      <c r="AQ437" s="1" t="s">
        <v>74</v>
      </c>
      <c r="AR437" s="1" t="s">
        <v>74</v>
      </c>
      <c r="AS437" s="1" t="s">
        <v>74</v>
      </c>
      <c r="AT437" s="1" t="s">
        <v>841</v>
      </c>
      <c r="AU437" s="1">
        <v>1995.0</v>
      </c>
      <c r="AV437" s="1">
        <v>6.0</v>
      </c>
      <c r="AW437" s="1">
        <v>2.0</v>
      </c>
      <c r="AX437" s="1" t="s">
        <v>74</v>
      </c>
      <c r="AY437" s="1" t="s">
        <v>74</v>
      </c>
      <c r="AZ437" s="1" t="s">
        <v>74</v>
      </c>
      <c r="BA437" s="1" t="s">
        <v>74</v>
      </c>
      <c r="BB437" s="1">
        <v>131.0</v>
      </c>
      <c r="BC437" s="1">
        <v>140.0</v>
      </c>
      <c r="BD437" s="1" t="s">
        <v>74</v>
      </c>
      <c r="BE437" s="1" t="s">
        <v>4361</v>
      </c>
      <c r="BF437" s="2" t="str">
        <f>HYPERLINK("http://dx.doi.org/10.1007/BF02281739","http://dx.doi.org/10.1007/BF02281739")</f>
        <v>http://dx.doi.org/10.1007/BF02281739</v>
      </c>
      <c r="BG437" s="1" t="s">
        <v>74</v>
      </c>
      <c r="BH437" s="1" t="s">
        <v>74</v>
      </c>
      <c r="BI437" s="1" t="s">
        <v>74</v>
      </c>
      <c r="BJ437" s="1" t="s">
        <v>74</v>
      </c>
      <c r="BK437" s="1" t="s">
        <v>74</v>
      </c>
      <c r="BL437" s="1" t="s">
        <v>74</v>
      </c>
      <c r="BM437" s="1" t="s">
        <v>74</v>
      </c>
      <c r="BN437" s="1" t="s">
        <v>74</v>
      </c>
      <c r="BO437" s="1" t="s">
        <v>74</v>
      </c>
      <c r="BP437" s="1" t="s">
        <v>74</v>
      </c>
      <c r="BQ437" s="1" t="s">
        <v>74</v>
      </c>
      <c r="BR437" s="1" t="s">
        <v>74</v>
      </c>
      <c r="BS437" s="1" t="s">
        <v>4362</v>
      </c>
      <c r="BT437" s="1" t="str">
        <f>HYPERLINK("https%3A%2F%2Fwww.webofscience.com%2Fwos%2Fwoscc%2Ffull-record%2FWOS:A1995QT99200008","View Full Record in Web of Science")</f>
        <v>View Full Record in Web of Science</v>
      </c>
    </row>
    <row r="438" ht="12.75" customHeight="1">
      <c r="A438" s="1" t="s">
        <v>72</v>
      </c>
      <c r="B438" s="1" t="s">
        <v>4363</v>
      </c>
      <c r="C438" s="1" t="s">
        <v>74</v>
      </c>
      <c r="D438" s="1" t="s">
        <v>74</v>
      </c>
      <c r="E438" s="1" t="s">
        <v>74</v>
      </c>
      <c r="F438" s="1" t="s">
        <v>4363</v>
      </c>
      <c r="G438" s="1" t="s">
        <v>74</v>
      </c>
      <c r="H438" s="1" t="s">
        <v>74</v>
      </c>
      <c r="I438" s="1" t="s">
        <v>4364</v>
      </c>
      <c r="J438" s="1" t="s">
        <v>4365</v>
      </c>
      <c r="K438" s="1" t="s">
        <v>74</v>
      </c>
      <c r="L438" s="1" t="s">
        <v>74</v>
      </c>
      <c r="M438" s="1" t="s">
        <v>74</v>
      </c>
      <c r="N438" s="1" t="s">
        <v>74</v>
      </c>
      <c r="O438" s="1" t="s">
        <v>74</v>
      </c>
      <c r="P438" s="1" t="s">
        <v>74</v>
      </c>
      <c r="Q438" s="1" t="s">
        <v>74</v>
      </c>
      <c r="R438" s="1" t="s">
        <v>74</v>
      </c>
      <c r="S438" s="1" t="s">
        <v>74</v>
      </c>
      <c r="T438" s="1" t="s">
        <v>74</v>
      </c>
      <c r="U438" s="1" t="s">
        <v>74</v>
      </c>
      <c r="V438" s="1" t="s">
        <v>4366</v>
      </c>
      <c r="W438" s="1" t="s">
        <v>74</v>
      </c>
      <c r="X438" s="1" t="s">
        <v>74</v>
      </c>
      <c r="Y438" s="1" t="s">
        <v>74</v>
      </c>
      <c r="Z438" s="1" t="s">
        <v>74</v>
      </c>
      <c r="AA438" s="1" t="s">
        <v>2072</v>
      </c>
      <c r="AB438" s="1" t="s">
        <v>74</v>
      </c>
      <c r="AC438" s="1" t="s">
        <v>74</v>
      </c>
      <c r="AD438" s="1" t="s">
        <v>74</v>
      </c>
      <c r="AE438" s="1" t="s">
        <v>74</v>
      </c>
      <c r="AF438" s="1" t="s">
        <v>74</v>
      </c>
      <c r="AG438" s="1" t="s">
        <v>74</v>
      </c>
      <c r="AH438" s="1" t="s">
        <v>74</v>
      </c>
      <c r="AI438" s="1" t="s">
        <v>74</v>
      </c>
      <c r="AJ438" s="1" t="s">
        <v>74</v>
      </c>
      <c r="AK438" s="1" t="s">
        <v>74</v>
      </c>
      <c r="AL438" s="1" t="s">
        <v>74</v>
      </c>
      <c r="AM438" s="1" t="s">
        <v>74</v>
      </c>
      <c r="AN438" s="1" t="s">
        <v>74</v>
      </c>
      <c r="AO438" s="1" t="s">
        <v>4367</v>
      </c>
      <c r="AP438" s="1" t="s">
        <v>74</v>
      </c>
      <c r="AQ438" s="1" t="s">
        <v>74</v>
      </c>
      <c r="AR438" s="1" t="s">
        <v>74</v>
      </c>
      <c r="AS438" s="1" t="s">
        <v>74</v>
      </c>
      <c r="AT438" s="1" t="s">
        <v>4368</v>
      </c>
      <c r="AU438" s="1">
        <v>1993.0</v>
      </c>
      <c r="AV438" s="1">
        <v>1162.0</v>
      </c>
      <c r="AW438" s="1" t="s">
        <v>308</v>
      </c>
      <c r="AX438" s="1" t="s">
        <v>74</v>
      </c>
      <c r="AY438" s="1" t="s">
        <v>74</v>
      </c>
      <c r="AZ438" s="1" t="s">
        <v>74</v>
      </c>
      <c r="BA438" s="1" t="s">
        <v>74</v>
      </c>
      <c r="BB438" s="1">
        <v>195.0</v>
      </c>
      <c r="BC438" s="1">
        <v>202.0</v>
      </c>
      <c r="BD438" s="1" t="s">
        <v>74</v>
      </c>
      <c r="BE438" s="1" t="s">
        <v>4369</v>
      </c>
      <c r="BF438" s="2" t="str">
        <f>HYPERLINK("http://dx.doi.org/10.1016/0167-4838(93)90147-J","http://dx.doi.org/10.1016/0167-4838(93)90147-J")</f>
        <v>http://dx.doi.org/10.1016/0167-4838(93)90147-J</v>
      </c>
      <c r="BG438" s="1" t="s">
        <v>74</v>
      </c>
      <c r="BH438" s="1" t="s">
        <v>74</v>
      </c>
      <c r="BI438" s="1" t="s">
        <v>74</v>
      </c>
      <c r="BJ438" s="1" t="s">
        <v>74</v>
      </c>
      <c r="BK438" s="1" t="s">
        <v>74</v>
      </c>
      <c r="BL438" s="1" t="s">
        <v>74</v>
      </c>
      <c r="BM438" s="1" t="s">
        <v>74</v>
      </c>
      <c r="BN438" s="1">
        <v>8448184.0</v>
      </c>
      <c r="BO438" s="1" t="s">
        <v>74</v>
      </c>
      <c r="BP438" s="1" t="s">
        <v>74</v>
      </c>
      <c r="BQ438" s="1" t="s">
        <v>74</v>
      </c>
      <c r="BR438" s="1" t="s">
        <v>74</v>
      </c>
      <c r="BS438" s="1" t="s">
        <v>4370</v>
      </c>
      <c r="BT438" s="1" t="str">
        <f>HYPERLINK("https%3A%2F%2Fwww.webofscience.com%2Fwos%2Fwoscc%2Ffull-record%2FWOS:A1993KQ76000028","View Full Record in Web of Science")</f>
        <v>View Full Record in Web of Science</v>
      </c>
    </row>
    <row r="439" ht="12.75" customHeight="1">
      <c r="A439" s="1" t="s">
        <v>72</v>
      </c>
      <c r="B439" s="1" t="s">
        <v>4371</v>
      </c>
      <c r="C439" s="1" t="s">
        <v>74</v>
      </c>
      <c r="D439" s="1" t="s">
        <v>74</v>
      </c>
      <c r="E439" s="1" t="s">
        <v>74</v>
      </c>
      <c r="F439" s="1" t="s">
        <v>4371</v>
      </c>
      <c r="G439" s="1" t="s">
        <v>74</v>
      </c>
      <c r="H439" s="1" t="s">
        <v>74</v>
      </c>
      <c r="I439" s="1" t="s">
        <v>4372</v>
      </c>
      <c r="J439" s="1" t="s">
        <v>413</v>
      </c>
      <c r="K439" s="1" t="s">
        <v>74</v>
      </c>
      <c r="L439" s="1" t="s">
        <v>74</v>
      </c>
      <c r="M439" s="1" t="s">
        <v>74</v>
      </c>
      <c r="N439" s="1" t="s">
        <v>74</v>
      </c>
      <c r="O439" s="1" t="s">
        <v>74</v>
      </c>
      <c r="P439" s="1" t="s">
        <v>74</v>
      </c>
      <c r="Q439" s="1" t="s">
        <v>74</v>
      </c>
      <c r="R439" s="1" t="s">
        <v>74</v>
      </c>
      <c r="S439" s="1" t="s">
        <v>74</v>
      </c>
      <c r="T439" s="1" t="s">
        <v>74</v>
      </c>
      <c r="U439" s="1" t="s">
        <v>74</v>
      </c>
      <c r="V439" s="1" t="s">
        <v>4373</v>
      </c>
      <c r="W439" s="1" t="s">
        <v>74</v>
      </c>
      <c r="X439" s="1" t="s">
        <v>74</v>
      </c>
      <c r="Y439" s="1" t="s">
        <v>74</v>
      </c>
      <c r="Z439" s="1" t="s">
        <v>74</v>
      </c>
      <c r="AA439" s="1" t="s">
        <v>4374</v>
      </c>
      <c r="AB439" s="1" t="s">
        <v>4375</v>
      </c>
      <c r="AC439" s="1" t="s">
        <v>74</v>
      </c>
      <c r="AD439" s="1" t="s">
        <v>74</v>
      </c>
      <c r="AE439" s="1" t="s">
        <v>74</v>
      </c>
      <c r="AF439" s="1" t="s">
        <v>74</v>
      </c>
      <c r="AG439" s="1" t="s">
        <v>74</v>
      </c>
      <c r="AH439" s="1" t="s">
        <v>74</v>
      </c>
      <c r="AI439" s="1" t="s">
        <v>74</v>
      </c>
      <c r="AJ439" s="1" t="s">
        <v>74</v>
      </c>
      <c r="AK439" s="1" t="s">
        <v>74</v>
      </c>
      <c r="AL439" s="1" t="s">
        <v>74</v>
      </c>
      <c r="AM439" s="1" t="s">
        <v>74</v>
      </c>
      <c r="AN439" s="1" t="s">
        <v>74</v>
      </c>
      <c r="AO439" s="1" t="s">
        <v>414</v>
      </c>
      <c r="AP439" s="1" t="s">
        <v>74</v>
      </c>
      <c r="AQ439" s="1" t="s">
        <v>74</v>
      </c>
      <c r="AR439" s="1" t="s">
        <v>74</v>
      </c>
      <c r="AS439" s="1" t="s">
        <v>74</v>
      </c>
      <c r="AT439" s="1" t="s">
        <v>289</v>
      </c>
      <c r="AU439" s="1">
        <v>1992.0</v>
      </c>
      <c r="AV439" s="1">
        <v>37.0</v>
      </c>
      <c r="AW439" s="1">
        <v>2.0</v>
      </c>
      <c r="AX439" s="1" t="s">
        <v>74</v>
      </c>
      <c r="AY439" s="1" t="s">
        <v>74</v>
      </c>
      <c r="AZ439" s="1" t="s">
        <v>74</v>
      </c>
      <c r="BA439" s="1" t="s">
        <v>74</v>
      </c>
      <c r="BB439" s="1">
        <v>89.0</v>
      </c>
      <c r="BC439" s="1">
        <v>95.0</v>
      </c>
      <c r="BD439" s="1" t="s">
        <v>74</v>
      </c>
      <c r="BE439" s="1" t="s">
        <v>74</v>
      </c>
      <c r="BF439" s="1" t="s">
        <v>74</v>
      </c>
      <c r="BG439" s="1" t="s">
        <v>74</v>
      </c>
      <c r="BH439" s="1" t="s">
        <v>74</v>
      </c>
      <c r="BI439" s="1" t="s">
        <v>74</v>
      </c>
      <c r="BJ439" s="1" t="s">
        <v>74</v>
      </c>
      <c r="BK439" s="1" t="s">
        <v>74</v>
      </c>
      <c r="BL439" s="1" t="s">
        <v>74</v>
      </c>
      <c r="BM439" s="1" t="s">
        <v>74</v>
      </c>
      <c r="BN439" s="1" t="s">
        <v>74</v>
      </c>
      <c r="BO439" s="1" t="s">
        <v>74</v>
      </c>
      <c r="BP439" s="1" t="s">
        <v>74</v>
      </c>
      <c r="BQ439" s="1" t="s">
        <v>74</v>
      </c>
      <c r="BR439" s="1" t="s">
        <v>74</v>
      </c>
      <c r="BS439" s="1" t="s">
        <v>4376</v>
      </c>
      <c r="BT439" s="1" t="str">
        <f>HYPERLINK("https%3A%2F%2Fwww.webofscience.com%2Fwos%2Fwoscc%2Ffull-record%2FWOS:A1992JD37000003","View Full Record in Web of Science")</f>
        <v>View Full Record in Web of Science</v>
      </c>
    </row>
    <row r="440" ht="12.75" customHeight="1">
      <c r="A440" s="1" t="s">
        <v>72</v>
      </c>
      <c r="B440" s="1" t="s">
        <v>4377</v>
      </c>
      <c r="C440" s="1" t="s">
        <v>74</v>
      </c>
      <c r="D440" s="1" t="s">
        <v>74</v>
      </c>
      <c r="E440" s="1" t="s">
        <v>74</v>
      </c>
      <c r="F440" s="1" t="s">
        <v>4377</v>
      </c>
      <c r="G440" s="1" t="s">
        <v>74</v>
      </c>
      <c r="H440" s="1" t="s">
        <v>74</v>
      </c>
      <c r="I440" s="1" t="s">
        <v>4378</v>
      </c>
      <c r="J440" s="1" t="s">
        <v>4379</v>
      </c>
      <c r="K440" s="1" t="s">
        <v>74</v>
      </c>
      <c r="L440" s="1" t="s">
        <v>74</v>
      </c>
      <c r="M440" s="1" t="s">
        <v>74</v>
      </c>
      <c r="N440" s="1" t="s">
        <v>74</v>
      </c>
      <c r="O440" s="1" t="s">
        <v>74</v>
      </c>
      <c r="P440" s="1" t="s">
        <v>74</v>
      </c>
      <c r="Q440" s="1" t="s">
        <v>74</v>
      </c>
      <c r="R440" s="1" t="s">
        <v>74</v>
      </c>
      <c r="S440" s="1" t="s">
        <v>74</v>
      </c>
      <c r="T440" s="1" t="s">
        <v>74</v>
      </c>
      <c r="U440" s="1" t="s">
        <v>74</v>
      </c>
      <c r="V440" s="1" t="s">
        <v>4380</v>
      </c>
      <c r="W440" s="1" t="s">
        <v>74</v>
      </c>
      <c r="X440" s="1" t="s">
        <v>74</v>
      </c>
      <c r="Y440" s="1" t="s">
        <v>74</v>
      </c>
      <c r="Z440" s="1" t="s">
        <v>74</v>
      </c>
      <c r="AA440" s="1" t="s">
        <v>74</v>
      </c>
      <c r="AB440" s="1" t="s">
        <v>74</v>
      </c>
      <c r="AC440" s="1" t="s">
        <v>74</v>
      </c>
      <c r="AD440" s="1" t="s">
        <v>74</v>
      </c>
      <c r="AE440" s="1" t="s">
        <v>74</v>
      </c>
      <c r="AF440" s="1" t="s">
        <v>74</v>
      </c>
      <c r="AG440" s="1" t="s">
        <v>74</v>
      </c>
      <c r="AH440" s="1" t="s">
        <v>74</v>
      </c>
      <c r="AI440" s="1" t="s">
        <v>74</v>
      </c>
      <c r="AJ440" s="1" t="s">
        <v>74</v>
      </c>
      <c r="AK440" s="1" t="s">
        <v>74</v>
      </c>
      <c r="AL440" s="1" t="s">
        <v>74</v>
      </c>
      <c r="AM440" s="1" t="s">
        <v>74</v>
      </c>
      <c r="AN440" s="1" t="s">
        <v>74</v>
      </c>
      <c r="AO440" s="1" t="s">
        <v>4381</v>
      </c>
      <c r="AP440" s="1" t="s">
        <v>4382</v>
      </c>
      <c r="AQ440" s="1" t="s">
        <v>74</v>
      </c>
      <c r="AR440" s="1" t="s">
        <v>74</v>
      </c>
      <c r="AS440" s="1" t="s">
        <v>74</v>
      </c>
      <c r="AT440" s="1" t="s">
        <v>74</v>
      </c>
      <c r="AU440" s="1">
        <v>1983.0</v>
      </c>
      <c r="AV440" s="1">
        <v>17.0</v>
      </c>
      <c r="AW440" s="1">
        <v>5.0</v>
      </c>
      <c r="AX440" s="1" t="s">
        <v>74</v>
      </c>
      <c r="AY440" s="1" t="s">
        <v>74</v>
      </c>
      <c r="AZ440" s="1" t="s">
        <v>74</v>
      </c>
      <c r="BA440" s="1" t="s">
        <v>74</v>
      </c>
      <c r="BB440" s="1">
        <v>1009.0</v>
      </c>
      <c r="BC440" s="1">
        <v>1013.0</v>
      </c>
      <c r="BD440" s="1" t="s">
        <v>74</v>
      </c>
      <c r="BE440" s="1" t="s">
        <v>4383</v>
      </c>
      <c r="BF440" s="2" t="str">
        <f>HYPERLINK("http://dx.doi.org/10.1016/0004-6981(83)90253-6","http://dx.doi.org/10.1016/0004-6981(83)90253-6")</f>
        <v>http://dx.doi.org/10.1016/0004-6981(83)90253-6</v>
      </c>
      <c r="BG440" s="1" t="s">
        <v>74</v>
      </c>
      <c r="BH440" s="1" t="s">
        <v>74</v>
      </c>
      <c r="BI440" s="1" t="s">
        <v>74</v>
      </c>
      <c r="BJ440" s="1" t="s">
        <v>74</v>
      </c>
      <c r="BK440" s="1" t="s">
        <v>74</v>
      </c>
      <c r="BL440" s="1" t="s">
        <v>74</v>
      </c>
      <c r="BM440" s="1" t="s">
        <v>74</v>
      </c>
      <c r="BN440" s="1" t="s">
        <v>74</v>
      </c>
      <c r="BO440" s="1" t="s">
        <v>74</v>
      </c>
      <c r="BP440" s="1" t="s">
        <v>74</v>
      </c>
      <c r="BQ440" s="1" t="s">
        <v>74</v>
      </c>
      <c r="BR440" s="1" t="s">
        <v>74</v>
      </c>
      <c r="BS440" s="1" t="s">
        <v>4384</v>
      </c>
      <c r="BT440" s="1" t="str">
        <f>HYPERLINK("https%3A%2F%2Fwww.webofscience.com%2Fwos%2Fwoscc%2Ffull-record%2FWOS:A1983RC12700010","View Full Record in Web of Science")</f>
        <v>View Full Record in Web of Science</v>
      </c>
    </row>
    <row r="441" ht="12.75" customHeight="1">
      <c r="A441" s="1" t="s">
        <v>72</v>
      </c>
      <c r="B441" s="1" t="s">
        <v>4385</v>
      </c>
      <c r="C441" s="1" t="s">
        <v>74</v>
      </c>
      <c r="D441" s="1" t="s">
        <v>74</v>
      </c>
      <c r="E441" s="1" t="s">
        <v>74</v>
      </c>
      <c r="F441" s="1" t="s">
        <v>4385</v>
      </c>
      <c r="G441" s="1" t="s">
        <v>74</v>
      </c>
      <c r="H441" s="1" t="s">
        <v>74</v>
      </c>
      <c r="I441" s="1" t="s">
        <v>4386</v>
      </c>
      <c r="J441" s="1" t="s">
        <v>4387</v>
      </c>
      <c r="K441" s="1" t="s">
        <v>74</v>
      </c>
      <c r="L441" s="1" t="s">
        <v>74</v>
      </c>
      <c r="M441" s="1" t="s">
        <v>74</v>
      </c>
      <c r="N441" s="1" t="s">
        <v>74</v>
      </c>
      <c r="O441" s="1" t="s">
        <v>74</v>
      </c>
      <c r="P441" s="1" t="s">
        <v>74</v>
      </c>
      <c r="Q441" s="1" t="s">
        <v>74</v>
      </c>
      <c r="R441" s="1" t="s">
        <v>74</v>
      </c>
      <c r="S441" s="1" t="s">
        <v>74</v>
      </c>
      <c r="T441" s="1" t="s">
        <v>74</v>
      </c>
      <c r="U441" s="1" t="s">
        <v>74</v>
      </c>
      <c r="V441" s="1" t="s">
        <v>74</v>
      </c>
      <c r="W441" s="1" t="s">
        <v>74</v>
      </c>
      <c r="X441" s="1" t="s">
        <v>74</v>
      </c>
      <c r="Y441" s="1" t="s">
        <v>74</v>
      </c>
      <c r="Z441" s="1" t="s">
        <v>74</v>
      </c>
      <c r="AA441" s="1" t="s">
        <v>74</v>
      </c>
      <c r="AB441" s="1" t="s">
        <v>74</v>
      </c>
      <c r="AC441" s="1" t="s">
        <v>74</v>
      </c>
      <c r="AD441" s="1" t="s">
        <v>74</v>
      </c>
      <c r="AE441" s="1" t="s">
        <v>74</v>
      </c>
      <c r="AF441" s="1" t="s">
        <v>74</v>
      </c>
      <c r="AG441" s="1" t="s">
        <v>74</v>
      </c>
      <c r="AH441" s="1" t="s">
        <v>74</v>
      </c>
      <c r="AI441" s="1" t="s">
        <v>74</v>
      </c>
      <c r="AJ441" s="1" t="s">
        <v>74</v>
      </c>
      <c r="AK441" s="1" t="s">
        <v>74</v>
      </c>
      <c r="AL441" s="1" t="s">
        <v>74</v>
      </c>
      <c r="AM441" s="1" t="s">
        <v>74</v>
      </c>
      <c r="AN441" s="1" t="s">
        <v>74</v>
      </c>
      <c r="AO441" s="1" t="s">
        <v>4388</v>
      </c>
      <c r="AP441" s="1" t="s">
        <v>74</v>
      </c>
      <c r="AQ441" s="1" t="s">
        <v>74</v>
      </c>
      <c r="AR441" s="1" t="s">
        <v>74</v>
      </c>
      <c r="AS441" s="1" t="s">
        <v>74</v>
      </c>
      <c r="AT441" s="1" t="s">
        <v>74</v>
      </c>
      <c r="AU441" s="1">
        <v>1983.0</v>
      </c>
      <c r="AV441" s="1">
        <v>83.0</v>
      </c>
      <c r="AW441" s="1">
        <v>1.0</v>
      </c>
      <c r="AX441" s="1" t="s">
        <v>74</v>
      </c>
      <c r="AY441" s="1" t="s">
        <v>74</v>
      </c>
      <c r="AZ441" s="1" t="s">
        <v>74</v>
      </c>
      <c r="BA441" s="1" t="s">
        <v>74</v>
      </c>
      <c r="BB441" s="1">
        <v>225.0</v>
      </c>
      <c r="BC441" s="1">
        <v>228.0</v>
      </c>
      <c r="BD441" s="1" t="s">
        <v>74</v>
      </c>
      <c r="BE441" s="1" t="s">
        <v>4389</v>
      </c>
      <c r="BF441" s="2" t="str">
        <f>HYPERLINK("http://dx.doi.org/10.1016/0021-9517(83)90044-1","http://dx.doi.org/10.1016/0021-9517(83)90044-1")</f>
        <v>http://dx.doi.org/10.1016/0021-9517(83)90044-1</v>
      </c>
      <c r="BG441" s="1" t="s">
        <v>74</v>
      </c>
      <c r="BH441" s="1" t="s">
        <v>74</v>
      </c>
      <c r="BI441" s="1" t="s">
        <v>74</v>
      </c>
      <c r="BJ441" s="1" t="s">
        <v>74</v>
      </c>
      <c r="BK441" s="1" t="s">
        <v>74</v>
      </c>
      <c r="BL441" s="1" t="s">
        <v>74</v>
      </c>
      <c r="BM441" s="1" t="s">
        <v>74</v>
      </c>
      <c r="BN441" s="1" t="s">
        <v>74</v>
      </c>
      <c r="BO441" s="1" t="s">
        <v>74</v>
      </c>
      <c r="BP441" s="1" t="s">
        <v>74</v>
      </c>
      <c r="BQ441" s="1" t="s">
        <v>74</v>
      </c>
      <c r="BR441" s="1" t="s">
        <v>74</v>
      </c>
      <c r="BS441" s="1" t="s">
        <v>4390</v>
      </c>
      <c r="BT441" s="1" t="str">
        <f>HYPERLINK("https%3A%2F%2Fwww.webofscience.com%2Fwos%2Fwoscc%2Ffull-record%2FWOS:A1983RF89000022","View Full Record in Web of Science")</f>
        <v>View Full Record in Web of Science</v>
      </c>
    </row>
    <row r="442" ht="12.75" customHeight="1">
      <c r="A442" s="1" t="s">
        <v>72</v>
      </c>
      <c r="B442" s="1" t="s">
        <v>4391</v>
      </c>
      <c r="C442" s="1" t="s">
        <v>74</v>
      </c>
      <c r="D442" s="1" t="s">
        <v>74</v>
      </c>
      <c r="E442" s="1" t="s">
        <v>74</v>
      </c>
      <c r="F442" s="1" t="s">
        <v>4391</v>
      </c>
      <c r="G442" s="1" t="s">
        <v>74</v>
      </c>
      <c r="H442" s="1" t="s">
        <v>74</v>
      </c>
      <c r="I442" s="1" t="s">
        <v>4392</v>
      </c>
      <c r="J442" s="1" t="s">
        <v>4393</v>
      </c>
      <c r="K442" s="1" t="s">
        <v>74</v>
      </c>
      <c r="L442" s="1" t="s">
        <v>74</v>
      </c>
      <c r="M442" s="1" t="s">
        <v>74</v>
      </c>
      <c r="N442" s="1" t="s">
        <v>74</v>
      </c>
      <c r="O442" s="1" t="s">
        <v>74</v>
      </c>
      <c r="P442" s="1" t="s">
        <v>74</v>
      </c>
      <c r="Q442" s="1" t="s">
        <v>74</v>
      </c>
      <c r="R442" s="1" t="s">
        <v>74</v>
      </c>
      <c r="S442" s="1" t="s">
        <v>74</v>
      </c>
      <c r="T442" s="1" t="s">
        <v>74</v>
      </c>
      <c r="U442" s="1" t="s">
        <v>74</v>
      </c>
      <c r="V442" s="1" t="s">
        <v>74</v>
      </c>
      <c r="W442" s="1" t="s">
        <v>74</v>
      </c>
      <c r="X442" s="1" t="s">
        <v>74</v>
      </c>
      <c r="Y442" s="1" t="s">
        <v>74</v>
      </c>
      <c r="Z442" s="1" t="s">
        <v>74</v>
      </c>
      <c r="AA442" s="1" t="s">
        <v>74</v>
      </c>
      <c r="AB442" s="1" t="s">
        <v>74</v>
      </c>
      <c r="AC442" s="1" t="s">
        <v>74</v>
      </c>
      <c r="AD442" s="1" t="s">
        <v>74</v>
      </c>
      <c r="AE442" s="1" t="s">
        <v>74</v>
      </c>
      <c r="AF442" s="1" t="s">
        <v>74</v>
      </c>
      <c r="AG442" s="1" t="s">
        <v>74</v>
      </c>
      <c r="AH442" s="1" t="s">
        <v>74</v>
      </c>
      <c r="AI442" s="1" t="s">
        <v>74</v>
      </c>
      <c r="AJ442" s="1" t="s">
        <v>74</v>
      </c>
      <c r="AK442" s="1" t="s">
        <v>74</v>
      </c>
      <c r="AL442" s="1" t="s">
        <v>74</v>
      </c>
      <c r="AM442" s="1" t="s">
        <v>74</v>
      </c>
      <c r="AN442" s="1" t="s">
        <v>74</v>
      </c>
      <c r="AO442" s="1" t="s">
        <v>4394</v>
      </c>
      <c r="AP442" s="1" t="s">
        <v>74</v>
      </c>
      <c r="AQ442" s="1" t="s">
        <v>74</v>
      </c>
      <c r="AR442" s="1" t="s">
        <v>74</v>
      </c>
      <c r="AS442" s="1" t="s">
        <v>74</v>
      </c>
      <c r="AT442" s="1" t="s">
        <v>74</v>
      </c>
      <c r="AU442" s="1">
        <v>1983.0</v>
      </c>
      <c r="AV442" s="1">
        <v>24.0</v>
      </c>
      <c r="AW442" s="1">
        <v>1.0</v>
      </c>
      <c r="AX442" s="1" t="s">
        <v>74</v>
      </c>
      <c r="AY442" s="1" t="s">
        <v>74</v>
      </c>
      <c r="AZ442" s="1" t="s">
        <v>74</v>
      </c>
      <c r="BA442" s="1" t="s">
        <v>74</v>
      </c>
      <c r="BB442" s="1">
        <v>125.0</v>
      </c>
      <c r="BC442" s="1">
        <v>128.0</v>
      </c>
      <c r="BD442" s="1" t="s">
        <v>74</v>
      </c>
      <c r="BE442" s="1" t="s">
        <v>4395</v>
      </c>
      <c r="BF442" s="2" t="str">
        <f>HYPERLINK("http://dx.doi.org/10.1063/1.525581","http://dx.doi.org/10.1063/1.525581")</f>
        <v>http://dx.doi.org/10.1063/1.525581</v>
      </c>
      <c r="BG442" s="1" t="s">
        <v>74</v>
      </c>
      <c r="BH442" s="1" t="s">
        <v>74</v>
      </c>
      <c r="BI442" s="1" t="s">
        <v>74</v>
      </c>
      <c r="BJ442" s="1" t="s">
        <v>74</v>
      </c>
      <c r="BK442" s="1" t="s">
        <v>74</v>
      </c>
      <c r="BL442" s="1" t="s">
        <v>74</v>
      </c>
      <c r="BM442" s="1" t="s">
        <v>74</v>
      </c>
      <c r="BN442" s="1" t="s">
        <v>74</v>
      </c>
      <c r="BO442" s="1" t="s">
        <v>74</v>
      </c>
      <c r="BP442" s="1" t="s">
        <v>74</v>
      </c>
      <c r="BQ442" s="1" t="s">
        <v>74</v>
      </c>
      <c r="BR442" s="1" t="s">
        <v>74</v>
      </c>
      <c r="BS442" s="1" t="s">
        <v>4396</v>
      </c>
      <c r="BT442" s="1" t="str">
        <f>HYPERLINK("https%3A%2F%2Fwww.webofscience.com%2Fwos%2Fwoscc%2Ffull-record%2FWOS:A1983PY85500019","View Full Record in Web of Science")</f>
        <v>View Full Record in Web of Science</v>
      </c>
    </row>
    <row r="443" ht="12.75" customHeight="1">
      <c r="A443" s="1" t="s">
        <v>72</v>
      </c>
      <c r="B443" s="1" t="s">
        <v>4397</v>
      </c>
      <c r="C443" s="1" t="s">
        <v>74</v>
      </c>
      <c r="D443" s="1" t="s">
        <v>74</v>
      </c>
      <c r="E443" s="1" t="s">
        <v>74</v>
      </c>
      <c r="F443" s="1" t="s">
        <v>4398</v>
      </c>
      <c r="G443" s="1" t="s">
        <v>74</v>
      </c>
      <c r="H443" s="1" t="s">
        <v>74</v>
      </c>
      <c r="I443" s="1" t="s">
        <v>4399</v>
      </c>
      <c r="J443" s="1" t="s">
        <v>4400</v>
      </c>
      <c r="K443" s="1" t="s">
        <v>74</v>
      </c>
      <c r="L443" s="1" t="s">
        <v>74</v>
      </c>
      <c r="M443" s="1" t="s">
        <v>74</v>
      </c>
      <c r="N443" s="1" t="s">
        <v>74</v>
      </c>
      <c r="O443" s="1" t="s">
        <v>74</v>
      </c>
      <c r="P443" s="1" t="s">
        <v>74</v>
      </c>
      <c r="Q443" s="1" t="s">
        <v>74</v>
      </c>
      <c r="R443" s="1" t="s">
        <v>74</v>
      </c>
      <c r="S443" s="1" t="s">
        <v>74</v>
      </c>
      <c r="T443" s="1" t="s">
        <v>74</v>
      </c>
      <c r="U443" s="1" t="s">
        <v>74</v>
      </c>
      <c r="V443" s="1" t="s">
        <v>4401</v>
      </c>
      <c r="W443" s="1" t="s">
        <v>74</v>
      </c>
      <c r="X443" s="1" t="s">
        <v>74</v>
      </c>
      <c r="Y443" s="1" t="s">
        <v>74</v>
      </c>
      <c r="Z443" s="1" t="s">
        <v>74</v>
      </c>
      <c r="AA443" s="1" t="s">
        <v>4402</v>
      </c>
      <c r="AB443" s="1" t="s">
        <v>4403</v>
      </c>
      <c r="AC443" s="1" t="s">
        <v>74</v>
      </c>
      <c r="AD443" s="1" t="s">
        <v>74</v>
      </c>
      <c r="AE443" s="1" t="s">
        <v>74</v>
      </c>
      <c r="AF443" s="1" t="s">
        <v>74</v>
      </c>
      <c r="AG443" s="1" t="s">
        <v>74</v>
      </c>
      <c r="AH443" s="1" t="s">
        <v>74</v>
      </c>
      <c r="AI443" s="1" t="s">
        <v>74</v>
      </c>
      <c r="AJ443" s="1" t="s">
        <v>74</v>
      </c>
      <c r="AK443" s="1" t="s">
        <v>74</v>
      </c>
      <c r="AL443" s="1" t="s">
        <v>74</v>
      </c>
      <c r="AM443" s="1" t="s">
        <v>74</v>
      </c>
      <c r="AN443" s="1" t="s">
        <v>74</v>
      </c>
      <c r="AO443" s="1" t="s">
        <v>4404</v>
      </c>
      <c r="AP443" s="1" t="s">
        <v>4405</v>
      </c>
      <c r="AQ443" s="1" t="s">
        <v>74</v>
      </c>
      <c r="AR443" s="1" t="s">
        <v>74</v>
      </c>
      <c r="AS443" s="1" t="s">
        <v>74</v>
      </c>
      <c r="AT443" s="1" t="s">
        <v>4406</v>
      </c>
      <c r="AU443" s="1">
        <v>2025.0</v>
      </c>
      <c r="AV443" s="1" t="s">
        <v>74</v>
      </c>
      <c r="AW443" s="1" t="s">
        <v>74</v>
      </c>
      <c r="AX443" s="1" t="s">
        <v>74</v>
      </c>
      <c r="AY443" s="1" t="s">
        <v>74</v>
      </c>
      <c r="AZ443" s="1" t="s">
        <v>74</v>
      </c>
      <c r="BA443" s="1" t="s">
        <v>74</v>
      </c>
      <c r="BB443" s="1" t="s">
        <v>74</v>
      </c>
      <c r="BC443" s="1" t="s">
        <v>74</v>
      </c>
      <c r="BD443" s="1" t="s">
        <v>74</v>
      </c>
      <c r="BE443" s="1" t="s">
        <v>4407</v>
      </c>
      <c r="BF443" s="2" t="str">
        <f>HYPERLINK("http://dx.doi.org/10.1002/asia.202500060","http://dx.doi.org/10.1002/asia.202500060")</f>
        <v>http://dx.doi.org/10.1002/asia.202500060</v>
      </c>
      <c r="BG443" s="1" t="s">
        <v>74</v>
      </c>
      <c r="BH443" s="1" t="s">
        <v>4408</v>
      </c>
      <c r="BI443" s="1" t="s">
        <v>74</v>
      </c>
      <c r="BJ443" s="1" t="s">
        <v>74</v>
      </c>
      <c r="BK443" s="1" t="s">
        <v>74</v>
      </c>
      <c r="BL443" s="1" t="s">
        <v>74</v>
      </c>
      <c r="BM443" s="1" t="s">
        <v>74</v>
      </c>
      <c r="BN443" s="1">
        <v>4.0191898E7</v>
      </c>
      <c r="BO443" s="1" t="s">
        <v>74</v>
      </c>
      <c r="BP443" s="1" t="s">
        <v>74</v>
      </c>
      <c r="BQ443" s="1" t="s">
        <v>74</v>
      </c>
      <c r="BR443" s="1" t="s">
        <v>74</v>
      </c>
      <c r="BS443" s="1" t="s">
        <v>4409</v>
      </c>
      <c r="BT443" s="1" t="str">
        <f>HYPERLINK("https%3A%2F%2Fwww.webofscience.com%2Fwos%2Fwoscc%2Ffull-record%2FWOS:001460257200001","View Full Record in Web of Science")</f>
        <v>View Full Record in Web of Science</v>
      </c>
    </row>
    <row r="444" ht="12.75" customHeight="1">
      <c r="A444" s="1" t="s">
        <v>72</v>
      </c>
      <c r="B444" s="1" t="s">
        <v>4410</v>
      </c>
      <c r="C444" s="1" t="s">
        <v>74</v>
      </c>
      <c r="D444" s="1" t="s">
        <v>74</v>
      </c>
      <c r="E444" s="1" t="s">
        <v>74</v>
      </c>
      <c r="F444" s="1" t="s">
        <v>4411</v>
      </c>
      <c r="G444" s="1" t="s">
        <v>74</v>
      </c>
      <c r="H444" s="1" t="s">
        <v>74</v>
      </c>
      <c r="I444" s="1" t="s">
        <v>4412</v>
      </c>
      <c r="J444" s="1" t="s">
        <v>2619</v>
      </c>
      <c r="K444" s="1" t="s">
        <v>74</v>
      </c>
      <c r="L444" s="1" t="s">
        <v>74</v>
      </c>
      <c r="M444" s="1" t="s">
        <v>74</v>
      </c>
      <c r="N444" s="1" t="s">
        <v>74</v>
      </c>
      <c r="O444" s="1" t="s">
        <v>74</v>
      </c>
      <c r="P444" s="1" t="s">
        <v>74</v>
      </c>
      <c r="Q444" s="1" t="s">
        <v>74</v>
      </c>
      <c r="R444" s="1" t="s">
        <v>74</v>
      </c>
      <c r="S444" s="1" t="s">
        <v>74</v>
      </c>
      <c r="T444" s="1" t="s">
        <v>74</v>
      </c>
      <c r="U444" s="1" t="s">
        <v>74</v>
      </c>
      <c r="V444" s="1" t="s">
        <v>4413</v>
      </c>
      <c r="W444" s="1" t="s">
        <v>74</v>
      </c>
      <c r="X444" s="1" t="s">
        <v>74</v>
      </c>
      <c r="Y444" s="1" t="s">
        <v>74</v>
      </c>
      <c r="Z444" s="1" t="s">
        <v>74</v>
      </c>
      <c r="AA444" s="1" t="s">
        <v>4414</v>
      </c>
      <c r="AB444" s="1" t="s">
        <v>4415</v>
      </c>
      <c r="AC444" s="1" t="s">
        <v>74</v>
      </c>
      <c r="AD444" s="1" t="s">
        <v>74</v>
      </c>
      <c r="AE444" s="1" t="s">
        <v>74</v>
      </c>
      <c r="AF444" s="1" t="s">
        <v>74</v>
      </c>
      <c r="AG444" s="1" t="s">
        <v>74</v>
      </c>
      <c r="AH444" s="1" t="s">
        <v>74</v>
      </c>
      <c r="AI444" s="1" t="s">
        <v>74</v>
      </c>
      <c r="AJ444" s="1" t="s">
        <v>74</v>
      </c>
      <c r="AK444" s="1" t="s">
        <v>74</v>
      </c>
      <c r="AL444" s="1" t="s">
        <v>74</v>
      </c>
      <c r="AM444" s="1" t="s">
        <v>74</v>
      </c>
      <c r="AN444" s="1" t="s">
        <v>74</v>
      </c>
      <c r="AO444" s="1" t="s">
        <v>2623</v>
      </c>
      <c r="AP444" s="1" t="s">
        <v>2624</v>
      </c>
      <c r="AQ444" s="1" t="s">
        <v>74</v>
      </c>
      <c r="AR444" s="1" t="s">
        <v>74</v>
      </c>
      <c r="AS444" s="1" t="s">
        <v>74</v>
      </c>
      <c r="AT444" s="1" t="s">
        <v>3962</v>
      </c>
      <c r="AU444" s="1">
        <v>2024.0</v>
      </c>
      <c r="AV444" s="1">
        <v>317.0</v>
      </c>
      <c r="AW444" s="1" t="s">
        <v>74</v>
      </c>
      <c r="AX444" s="1" t="s">
        <v>74</v>
      </c>
      <c r="AY444" s="1" t="s">
        <v>74</v>
      </c>
      <c r="AZ444" s="1" t="s">
        <v>74</v>
      </c>
      <c r="BA444" s="1" t="s">
        <v>74</v>
      </c>
      <c r="BB444" s="1" t="s">
        <v>74</v>
      </c>
      <c r="BC444" s="1" t="s">
        <v>74</v>
      </c>
      <c r="BD444" s="1">
        <v>129142.0</v>
      </c>
      <c r="BE444" s="1" t="s">
        <v>4416</v>
      </c>
      <c r="BF444" s="2" t="str">
        <f>HYPERLINK("http://dx.doi.org/10.1016/j.matchemphys.2024.129142","http://dx.doi.org/10.1016/j.matchemphys.2024.129142")</f>
        <v>http://dx.doi.org/10.1016/j.matchemphys.2024.129142</v>
      </c>
      <c r="BG444" s="1" t="s">
        <v>74</v>
      </c>
      <c r="BH444" s="1" t="s">
        <v>4417</v>
      </c>
      <c r="BI444" s="1" t="s">
        <v>74</v>
      </c>
      <c r="BJ444" s="1" t="s">
        <v>74</v>
      </c>
      <c r="BK444" s="1" t="s">
        <v>74</v>
      </c>
      <c r="BL444" s="1" t="s">
        <v>74</v>
      </c>
      <c r="BM444" s="1" t="s">
        <v>74</v>
      </c>
      <c r="BN444" s="1" t="s">
        <v>74</v>
      </c>
      <c r="BO444" s="1" t="s">
        <v>74</v>
      </c>
      <c r="BP444" s="1" t="s">
        <v>74</v>
      </c>
      <c r="BQ444" s="1" t="s">
        <v>74</v>
      </c>
      <c r="BR444" s="1" t="s">
        <v>74</v>
      </c>
      <c r="BS444" s="1" t="s">
        <v>4418</v>
      </c>
      <c r="BT444" s="1" t="str">
        <f>HYPERLINK("https%3A%2F%2Fwww.webofscience.com%2Fwos%2Fwoscc%2Ffull-record%2FWOS:001219100600001","View Full Record in Web of Science")</f>
        <v>View Full Record in Web of Science</v>
      </c>
    </row>
    <row r="445" ht="12.75" customHeight="1">
      <c r="A445" s="1" t="s">
        <v>72</v>
      </c>
      <c r="B445" s="1" t="s">
        <v>4419</v>
      </c>
      <c r="C445" s="1" t="s">
        <v>74</v>
      </c>
      <c r="D445" s="1" t="s">
        <v>74</v>
      </c>
      <c r="E445" s="1" t="s">
        <v>74</v>
      </c>
      <c r="F445" s="1" t="s">
        <v>4420</v>
      </c>
      <c r="G445" s="1" t="s">
        <v>74</v>
      </c>
      <c r="H445" s="1" t="s">
        <v>74</v>
      </c>
      <c r="I445" s="1" t="s">
        <v>4421</v>
      </c>
      <c r="J445" s="1" t="s">
        <v>4422</v>
      </c>
      <c r="K445" s="1" t="s">
        <v>74</v>
      </c>
      <c r="L445" s="1" t="s">
        <v>74</v>
      </c>
      <c r="M445" s="1" t="s">
        <v>74</v>
      </c>
      <c r="N445" s="1" t="s">
        <v>74</v>
      </c>
      <c r="O445" s="1" t="s">
        <v>74</v>
      </c>
      <c r="P445" s="1" t="s">
        <v>74</v>
      </c>
      <c r="Q445" s="1" t="s">
        <v>74</v>
      </c>
      <c r="R445" s="1" t="s">
        <v>74</v>
      </c>
      <c r="S445" s="1" t="s">
        <v>74</v>
      </c>
      <c r="T445" s="1" t="s">
        <v>74</v>
      </c>
      <c r="U445" s="1" t="s">
        <v>74</v>
      </c>
      <c r="V445" s="1" t="s">
        <v>74</v>
      </c>
      <c r="W445" s="1" t="s">
        <v>74</v>
      </c>
      <c r="X445" s="1" t="s">
        <v>74</v>
      </c>
      <c r="Y445" s="1" t="s">
        <v>74</v>
      </c>
      <c r="Z445" s="1" t="s">
        <v>74</v>
      </c>
      <c r="AA445" s="1" t="s">
        <v>4423</v>
      </c>
      <c r="AB445" s="1" t="s">
        <v>74</v>
      </c>
      <c r="AC445" s="1" t="s">
        <v>74</v>
      </c>
      <c r="AD445" s="1" t="s">
        <v>74</v>
      </c>
      <c r="AE445" s="1" t="s">
        <v>74</v>
      </c>
      <c r="AF445" s="1" t="s">
        <v>74</v>
      </c>
      <c r="AG445" s="1" t="s">
        <v>74</v>
      </c>
      <c r="AH445" s="1" t="s">
        <v>74</v>
      </c>
      <c r="AI445" s="1" t="s">
        <v>74</v>
      </c>
      <c r="AJ445" s="1" t="s">
        <v>74</v>
      </c>
      <c r="AK445" s="1" t="s">
        <v>74</v>
      </c>
      <c r="AL445" s="1" t="s">
        <v>74</v>
      </c>
      <c r="AM445" s="1" t="s">
        <v>74</v>
      </c>
      <c r="AN445" s="1" t="s">
        <v>74</v>
      </c>
      <c r="AO445" s="1" t="s">
        <v>4424</v>
      </c>
      <c r="AP445" s="1" t="s">
        <v>74</v>
      </c>
      <c r="AQ445" s="1" t="s">
        <v>74</v>
      </c>
      <c r="AR445" s="1" t="s">
        <v>74</v>
      </c>
      <c r="AS445" s="1" t="s">
        <v>74</v>
      </c>
      <c r="AT445" s="1" t="s">
        <v>144</v>
      </c>
      <c r="AU445" s="1">
        <v>2024.0</v>
      </c>
      <c r="AV445" s="1">
        <v>63.0</v>
      </c>
      <c r="AW445" s="1">
        <v>1.0</v>
      </c>
      <c r="AX445" s="1" t="s">
        <v>74</v>
      </c>
      <c r="AY445" s="1" t="s">
        <v>74</v>
      </c>
      <c r="AZ445" s="1" t="s">
        <v>74</v>
      </c>
      <c r="BA445" s="1" t="s">
        <v>74</v>
      </c>
      <c r="BB445" s="1">
        <v>1.0</v>
      </c>
      <c r="BC445" s="1">
        <v>4.0</v>
      </c>
      <c r="BD445" s="1" t="s">
        <v>74</v>
      </c>
      <c r="BE445" s="1" t="s">
        <v>74</v>
      </c>
      <c r="BF445" s="1" t="s">
        <v>74</v>
      </c>
      <c r="BG445" s="1" t="s">
        <v>74</v>
      </c>
      <c r="BH445" s="1" t="s">
        <v>74</v>
      </c>
      <c r="BI445" s="1" t="s">
        <v>74</v>
      </c>
      <c r="BJ445" s="1" t="s">
        <v>74</v>
      </c>
      <c r="BK445" s="1" t="s">
        <v>74</v>
      </c>
      <c r="BL445" s="1" t="s">
        <v>74</v>
      </c>
      <c r="BM445" s="1" t="s">
        <v>74</v>
      </c>
      <c r="BN445" s="1" t="s">
        <v>74</v>
      </c>
      <c r="BO445" s="1" t="s">
        <v>74</v>
      </c>
      <c r="BP445" s="1" t="s">
        <v>74</v>
      </c>
      <c r="BQ445" s="1" t="s">
        <v>74</v>
      </c>
      <c r="BR445" s="1" t="s">
        <v>74</v>
      </c>
      <c r="BS445" s="1" t="s">
        <v>4425</v>
      </c>
      <c r="BT445" s="1" t="str">
        <f>HYPERLINK("https%3A%2F%2Fwww.webofscience.com%2Fwos%2Fwoscc%2Ffull-record%2FWOS:001249338600001","View Full Record in Web of Science")</f>
        <v>View Full Record in Web of Science</v>
      </c>
    </row>
    <row r="446" ht="12.75" customHeight="1">
      <c r="A446" s="1" t="s">
        <v>72</v>
      </c>
      <c r="B446" s="1" t="s">
        <v>4426</v>
      </c>
      <c r="C446" s="1" t="s">
        <v>74</v>
      </c>
      <c r="D446" s="1" t="s">
        <v>74</v>
      </c>
      <c r="E446" s="1" t="s">
        <v>74</v>
      </c>
      <c r="F446" s="1" t="s">
        <v>4427</v>
      </c>
      <c r="G446" s="1" t="s">
        <v>74</v>
      </c>
      <c r="H446" s="1" t="s">
        <v>74</v>
      </c>
      <c r="I446" s="1" t="s">
        <v>4428</v>
      </c>
      <c r="J446" s="1" t="s">
        <v>4429</v>
      </c>
      <c r="K446" s="1" t="s">
        <v>74</v>
      </c>
      <c r="L446" s="1" t="s">
        <v>74</v>
      </c>
      <c r="M446" s="1" t="s">
        <v>74</v>
      </c>
      <c r="N446" s="1" t="s">
        <v>74</v>
      </c>
      <c r="O446" s="1" t="s">
        <v>74</v>
      </c>
      <c r="P446" s="1" t="s">
        <v>74</v>
      </c>
      <c r="Q446" s="1" t="s">
        <v>74</v>
      </c>
      <c r="R446" s="1" t="s">
        <v>74</v>
      </c>
      <c r="S446" s="1" t="s">
        <v>74</v>
      </c>
      <c r="T446" s="1" t="s">
        <v>74</v>
      </c>
      <c r="U446" s="1" t="s">
        <v>74</v>
      </c>
      <c r="V446" s="1" t="s">
        <v>4430</v>
      </c>
      <c r="W446" s="1" t="s">
        <v>74</v>
      </c>
      <c r="X446" s="1" t="s">
        <v>74</v>
      </c>
      <c r="Y446" s="1" t="s">
        <v>74</v>
      </c>
      <c r="Z446" s="1" t="s">
        <v>74</v>
      </c>
      <c r="AA446" s="1" t="s">
        <v>4431</v>
      </c>
      <c r="AB446" s="1" t="s">
        <v>74</v>
      </c>
      <c r="AC446" s="1" t="s">
        <v>74</v>
      </c>
      <c r="AD446" s="1" t="s">
        <v>74</v>
      </c>
      <c r="AE446" s="1" t="s">
        <v>74</v>
      </c>
      <c r="AF446" s="1" t="s">
        <v>74</v>
      </c>
      <c r="AG446" s="1" t="s">
        <v>74</v>
      </c>
      <c r="AH446" s="1" t="s">
        <v>74</v>
      </c>
      <c r="AI446" s="1" t="s">
        <v>74</v>
      </c>
      <c r="AJ446" s="1" t="s">
        <v>74</v>
      </c>
      <c r="AK446" s="1" t="s">
        <v>74</v>
      </c>
      <c r="AL446" s="1" t="s">
        <v>74</v>
      </c>
      <c r="AM446" s="1" t="s">
        <v>74</v>
      </c>
      <c r="AN446" s="1" t="s">
        <v>74</v>
      </c>
      <c r="AO446" s="1" t="s">
        <v>4432</v>
      </c>
      <c r="AP446" s="1" t="s">
        <v>74</v>
      </c>
      <c r="AQ446" s="1" t="s">
        <v>74</v>
      </c>
      <c r="AR446" s="1" t="s">
        <v>74</v>
      </c>
      <c r="AS446" s="1" t="s">
        <v>74</v>
      </c>
      <c r="AT446" s="1" t="s">
        <v>277</v>
      </c>
      <c r="AU446" s="1">
        <v>2024.0</v>
      </c>
      <c r="AV446" s="1">
        <v>22.0</v>
      </c>
      <c r="AW446" s="1">
        <v>1.0</v>
      </c>
      <c r="AX446" s="1" t="s">
        <v>74</v>
      </c>
      <c r="AY446" s="1" t="s">
        <v>74</v>
      </c>
      <c r="AZ446" s="1" t="s">
        <v>74</v>
      </c>
      <c r="BA446" s="1" t="s">
        <v>74</v>
      </c>
      <c r="BB446" s="1">
        <v>65.0</v>
      </c>
      <c r="BC446" s="1">
        <v>86.0</v>
      </c>
      <c r="BD446" s="1" t="s">
        <v>74</v>
      </c>
      <c r="BE446" s="1" t="s">
        <v>4433</v>
      </c>
      <c r="BF446" s="2" t="str">
        <f>HYPERLINK("http://dx.doi.org/10.15366/reice2024.22.1.004","http://dx.doi.org/10.15366/reice2024.22.1.004")</f>
        <v>http://dx.doi.org/10.15366/reice2024.22.1.004</v>
      </c>
      <c r="BG446" s="1" t="s">
        <v>74</v>
      </c>
      <c r="BH446" s="1" t="s">
        <v>74</v>
      </c>
      <c r="BI446" s="1" t="s">
        <v>74</v>
      </c>
      <c r="BJ446" s="1" t="s">
        <v>74</v>
      </c>
      <c r="BK446" s="1" t="s">
        <v>74</v>
      </c>
      <c r="BL446" s="1" t="s">
        <v>74</v>
      </c>
      <c r="BM446" s="1" t="s">
        <v>74</v>
      </c>
      <c r="BN446" s="1" t="s">
        <v>74</v>
      </c>
      <c r="BO446" s="1" t="s">
        <v>74</v>
      </c>
      <c r="BP446" s="1" t="s">
        <v>74</v>
      </c>
      <c r="BQ446" s="1" t="s">
        <v>74</v>
      </c>
      <c r="BR446" s="1" t="s">
        <v>74</v>
      </c>
      <c r="BS446" s="1" t="s">
        <v>4434</v>
      </c>
      <c r="BT446" s="1" t="str">
        <f>HYPERLINK("https%3A%2F%2Fwww.webofscience.com%2Fwos%2Fwoscc%2Ffull-record%2FWOS:001131887700001","View Full Record in Web of Science")</f>
        <v>View Full Record in Web of Science</v>
      </c>
    </row>
    <row r="447" ht="12.75" customHeight="1">
      <c r="A447" s="1" t="s">
        <v>147</v>
      </c>
      <c r="B447" s="1" t="s">
        <v>4435</v>
      </c>
      <c r="C447" s="1" t="s">
        <v>74</v>
      </c>
      <c r="D447" s="1" t="s">
        <v>4436</v>
      </c>
      <c r="E447" s="1" t="s">
        <v>74</v>
      </c>
      <c r="F447" s="1" t="s">
        <v>4437</v>
      </c>
      <c r="G447" s="1" t="s">
        <v>74</v>
      </c>
      <c r="H447" s="1" t="s">
        <v>74</v>
      </c>
      <c r="I447" s="1" t="s">
        <v>4438</v>
      </c>
      <c r="J447" s="1" t="s">
        <v>4439</v>
      </c>
      <c r="K447" s="1" t="s">
        <v>4440</v>
      </c>
      <c r="L447" s="1" t="s">
        <v>74</v>
      </c>
      <c r="M447" s="1" t="s">
        <v>74</v>
      </c>
      <c r="N447" s="1" t="s">
        <v>74</v>
      </c>
      <c r="O447" s="1" t="s">
        <v>4441</v>
      </c>
      <c r="P447" s="1" t="s">
        <v>4442</v>
      </c>
      <c r="Q447" s="1" t="s">
        <v>2522</v>
      </c>
      <c r="R447" s="1" t="s">
        <v>4443</v>
      </c>
      <c r="S447" s="1" t="s">
        <v>74</v>
      </c>
      <c r="T447" s="1" t="s">
        <v>74</v>
      </c>
      <c r="U447" s="1" t="s">
        <v>74</v>
      </c>
      <c r="V447" s="1" t="s">
        <v>4444</v>
      </c>
      <c r="W447" s="1" t="s">
        <v>74</v>
      </c>
      <c r="X447" s="1" t="s">
        <v>74</v>
      </c>
      <c r="Y447" s="1" t="s">
        <v>74</v>
      </c>
      <c r="Z447" s="1" t="s">
        <v>74</v>
      </c>
      <c r="AA447" s="1" t="s">
        <v>4445</v>
      </c>
      <c r="AB447" s="1" t="s">
        <v>4446</v>
      </c>
      <c r="AC447" s="1" t="s">
        <v>74</v>
      </c>
      <c r="AD447" s="1" t="s">
        <v>74</v>
      </c>
      <c r="AE447" s="1" t="s">
        <v>74</v>
      </c>
      <c r="AF447" s="1" t="s">
        <v>74</v>
      </c>
      <c r="AG447" s="1" t="s">
        <v>74</v>
      </c>
      <c r="AH447" s="1" t="s">
        <v>74</v>
      </c>
      <c r="AI447" s="1" t="s">
        <v>74</v>
      </c>
      <c r="AJ447" s="1" t="s">
        <v>74</v>
      </c>
      <c r="AK447" s="1" t="s">
        <v>74</v>
      </c>
      <c r="AL447" s="1" t="s">
        <v>74</v>
      </c>
      <c r="AM447" s="1" t="s">
        <v>74</v>
      </c>
      <c r="AN447" s="1" t="s">
        <v>74</v>
      </c>
      <c r="AO447" s="1" t="s">
        <v>4447</v>
      </c>
      <c r="AP447" s="1" t="s">
        <v>4448</v>
      </c>
      <c r="AQ447" s="1" t="s">
        <v>4449</v>
      </c>
      <c r="AR447" s="1" t="s">
        <v>74</v>
      </c>
      <c r="AS447" s="1" t="s">
        <v>74</v>
      </c>
      <c r="AT447" s="1" t="s">
        <v>74</v>
      </c>
      <c r="AU447" s="1">
        <v>2024.0</v>
      </c>
      <c r="AV447" s="1">
        <v>462.0</v>
      </c>
      <c r="AW447" s="1" t="s">
        <v>74</v>
      </c>
      <c r="AX447" s="1" t="s">
        <v>74</v>
      </c>
      <c r="AY447" s="1" t="s">
        <v>74</v>
      </c>
      <c r="AZ447" s="1" t="s">
        <v>74</v>
      </c>
      <c r="BA447" s="1" t="s">
        <v>74</v>
      </c>
      <c r="BB447" s="1">
        <v>3.0</v>
      </c>
      <c r="BC447" s="1">
        <v>21.0</v>
      </c>
      <c r="BD447" s="1" t="s">
        <v>74</v>
      </c>
      <c r="BE447" s="1" t="s">
        <v>4450</v>
      </c>
      <c r="BF447" s="2" t="str">
        <f>HYPERLINK("http://dx.doi.org/10.1007/978-3-031-53375-4_1","http://dx.doi.org/10.1007/978-3-031-53375-4_1")</f>
        <v>http://dx.doi.org/10.1007/978-3-031-53375-4_1</v>
      </c>
      <c r="BG447" s="1" t="s">
        <v>74</v>
      </c>
      <c r="BH447" s="1" t="s">
        <v>74</v>
      </c>
      <c r="BI447" s="1" t="s">
        <v>74</v>
      </c>
      <c r="BJ447" s="1" t="s">
        <v>74</v>
      </c>
      <c r="BK447" s="1" t="s">
        <v>74</v>
      </c>
      <c r="BL447" s="1" t="s">
        <v>74</v>
      </c>
      <c r="BM447" s="1" t="s">
        <v>74</v>
      </c>
      <c r="BN447" s="1" t="s">
        <v>74</v>
      </c>
      <c r="BO447" s="1" t="s">
        <v>74</v>
      </c>
      <c r="BP447" s="1" t="s">
        <v>74</v>
      </c>
      <c r="BQ447" s="1" t="s">
        <v>74</v>
      </c>
      <c r="BR447" s="1" t="s">
        <v>74</v>
      </c>
      <c r="BS447" s="1" t="s">
        <v>4451</v>
      </c>
      <c r="BT447" s="1" t="str">
        <f>HYPERLINK("https%3A%2F%2Fwww.webofscience.com%2Fwos%2Fwoscc%2Ffull-record%2FWOS:001298122200001","View Full Record in Web of Science")</f>
        <v>View Full Record in Web of Science</v>
      </c>
    </row>
    <row r="448" ht="12.75" customHeight="1">
      <c r="A448" s="1" t="s">
        <v>72</v>
      </c>
      <c r="B448" s="1" t="s">
        <v>4452</v>
      </c>
      <c r="C448" s="1" t="s">
        <v>74</v>
      </c>
      <c r="D448" s="1" t="s">
        <v>74</v>
      </c>
      <c r="E448" s="1" t="s">
        <v>74</v>
      </c>
      <c r="F448" s="1" t="s">
        <v>4453</v>
      </c>
      <c r="G448" s="1" t="s">
        <v>74</v>
      </c>
      <c r="H448" s="1" t="s">
        <v>74</v>
      </c>
      <c r="I448" s="1" t="s">
        <v>4454</v>
      </c>
      <c r="J448" s="1" t="s">
        <v>4455</v>
      </c>
      <c r="K448" s="1" t="s">
        <v>74</v>
      </c>
      <c r="L448" s="1" t="s">
        <v>74</v>
      </c>
      <c r="M448" s="1" t="s">
        <v>74</v>
      </c>
      <c r="N448" s="1" t="s">
        <v>74</v>
      </c>
      <c r="O448" s="1" t="s">
        <v>74</v>
      </c>
      <c r="P448" s="1" t="s">
        <v>74</v>
      </c>
      <c r="Q448" s="1" t="s">
        <v>74</v>
      </c>
      <c r="R448" s="1" t="s">
        <v>74</v>
      </c>
      <c r="S448" s="1" t="s">
        <v>74</v>
      </c>
      <c r="T448" s="1" t="s">
        <v>74</v>
      </c>
      <c r="U448" s="1" t="s">
        <v>74</v>
      </c>
      <c r="V448" s="1" t="s">
        <v>4456</v>
      </c>
      <c r="W448" s="1" t="s">
        <v>74</v>
      </c>
      <c r="X448" s="1" t="s">
        <v>74</v>
      </c>
      <c r="Y448" s="1" t="s">
        <v>74</v>
      </c>
      <c r="Z448" s="1" t="s">
        <v>74</v>
      </c>
      <c r="AA448" s="1" t="s">
        <v>4457</v>
      </c>
      <c r="AB448" s="1" t="s">
        <v>74</v>
      </c>
      <c r="AC448" s="1" t="s">
        <v>74</v>
      </c>
      <c r="AD448" s="1" t="s">
        <v>74</v>
      </c>
      <c r="AE448" s="1" t="s">
        <v>74</v>
      </c>
      <c r="AF448" s="1" t="s">
        <v>74</v>
      </c>
      <c r="AG448" s="1" t="s">
        <v>74</v>
      </c>
      <c r="AH448" s="1" t="s">
        <v>74</v>
      </c>
      <c r="AI448" s="1" t="s">
        <v>74</v>
      </c>
      <c r="AJ448" s="1" t="s">
        <v>74</v>
      </c>
      <c r="AK448" s="1" t="s">
        <v>74</v>
      </c>
      <c r="AL448" s="1" t="s">
        <v>74</v>
      </c>
      <c r="AM448" s="1" t="s">
        <v>74</v>
      </c>
      <c r="AN448" s="1" t="s">
        <v>74</v>
      </c>
      <c r="AO448" s="1" t="s">
        <v>4458</v>
      </c>
      <c r="AP448" s="1" t="s">
        <v>4459</v>
      </c>
      <c r="AQ448" s="1" t="s">
        <v>74</v>
      </c>
      <c r="AR448" s="1" t="s">
        <v>74</v>
      </c>
      <c r="AS448" s="1" t="s">
        <v>74</v>
      </c>
      <c r="AT448" s="1" t="s">
        <v>144</v>
      </c>
      <c r="AU448" s="1">
        <v>2024.0</v>
      </c>
      <c r="AV448" s="1">
        <v>347.0</v>
      </c>
      <c r="AW448" s="1">
        <v>3.0</v>
      </c>
      <c r="AX448" s="1" t="s">
        <v>74</v>
      </c>
      <c r="AY448" s="1" t="s">
        <v>74</v>
      </c>
      <c r="AZ448" s="1" t="s">
        <v>74</v>
      </c>
      <c r="BA448" s="1" t="s">
        <v>74</v>
      </c>
      <c r="BB448" s="1" t="s">
        <v>74</v>
      </c>
      <c r="BC448" s="1" t="s">
        <v>74</v>
      </c>
      <c r="BD448" s="1">
        <v>113822.0</v>
      </c>
      <c r="BE448" s="1" t="s">
        <v>4460</v>
      </c>
      <c r="BF448" s="2" t="str">
        <f>HYPERLINK("http://dx.doi.org/10.1016/j.disc.2023.113822","http://dx.doi.org/10.1016/j.disc.2023.113822")</f>
        <v>http://dx.doi.org/10.1016/j.disc.2023.113822</v>
      </c>
      <c r="BG448" s="1" t="s">
        <v>74</v>
      </c>
      <c r="BH448" s="1" t="s">
        <v>2839</v>
      </c>
      <c r="BI448" s="1" t="s">
        <v>74</v>
      </c>
      <c r="BJ448" s="1" t="s">
        <v>74</v>
      </c>
      <c r="BK448" s="1" t="s">
        <v>74</v>
      </c>
      <c r="BL448" s="1" t="s">
        <v>74</v>
      </c>
      <c r="BM448" s="1" t="s">
        <v>74</v>
      </c>
      <c r="BN448" s="1" t="s">
        <v>74</v>
      </c>
      <c r="BO448" s="1" t="s">
        <v>74</v>
      </c>
      <c r="BP448" s="1" t="s">
        <v>74</v>
      </c>
      <c r="BQ448" s="1" t="s">
        <v>74</v>
      </c>
      <c r="BR448" s="1" t="s">
        <v>74</v>
      </c>
      <c r="BS448" s="1" t="s">
        <v>4461</v>
      </c>
      <c r="BT448" s="1" t="str">
        <f>HYPERLINK("https%3A%2F%2Fwww.webofscience.com%2Fwos%2Fwoscc%2Ffull-record%2FWOS:001133396600001","View Full Record in Web of Science")</f>
        <v>View Full Record in Web of Science</v>
      </c>
    </row>
    <row r="449" ht="12.75" customHeight="1">
      <c r="A449" s="1" t="s">
        <v>72</v>
      </c>
      <c r="B449" s="1" t="s">
        <v>4462</v>
      </c>
      <c r="C449" s="1" t="s">
        <v>74</v>
      </c>
      <c r="D449" s="1" t="s">
        <v>74</v>
      </c>
      <c r="E449" s="1" t="s">
        <v>74</v>
      </c>
      <c r="F449" s="1" t="s">
        <v>4463</v>
      </c>
      <c r="G449" s="1" t="s">
        <v>74</v>
      </c>
      <c r="H449" s="1" t="s">
        <v>74</v>
      </c>
      <c r="I449" s="1" t="s">
        <v>4464</v>
      </c>
      <c r="J449" s="1" t="s">
        <v>2714</v>
      </c>
      <c r="K449" s="1" t="s">
        <v>74</v>
      </c>
      <c r="L449" s="1" t="s">
        <v>74</v>
      </c>
      <c r="M449" s="1" t="s">
        <v>74</v>
      </c>
      <c r="N449" s="1" t="s">
        <v>74</v>
      </c>
      <c r="O449" s="1" t="s">
        <v>74</v>
      </c>
      <c r="P449" s="1" t="s">
        <v>74</v>
      </c>
      <c r="Q449" s="1" t="s">
        <v>74</v>
      </c>
      <c r="R449" s="1" t="s">
        <v>74</v>
      </c>
      <c r="S449" s="1" t="s">
        <v>74</v>
      </c>
      <c r="T449" s="1" t="s">
        <v>74</v>
      </c>
      <c r="U449" s="1" t="s">
        <v>74</v>
      </c>
      <c r="V449" s="1" t="s">
        <v>4465</v>
      </c>
      <c r="W449" s="1" t="s">
        <v>74</v>
      </c>
      <c r="X449" s="1" t="s">
        <v>74</v>
      </c>
      <c r="Y449" s="1" t="s">
        <v>74</v>
      </c>
      <c r="Z449" s="1" t="s">
        <v>74</v>
      </c>
      <c r="AA449" s="1" t="s">
        <v>1403</v>
      </c>
      <c r="AB449" s="1" t="s">
        <v>74</v>
      </c>
      <c r="AC449" s="1" t="s">
        <v>74</v>
      </c>
      <c r="AD449" s="1" t="s">
        <v>74</v>
      </c>
      <c r="AE449" s="1" t="s">
        <v>74</v>
      </c>
      <c r="AF449" s="1" t="s">
        <v>74</v>
      </c>
      <c r="AG449" s="1" t="s">
        <v>74</v>
      </c>
      <c r="AH449" s="1" t="s">
        <v>74</v>
      </c>
      <c r="AI449" s="1" t="s">
        <v>74</v>
      </c>
      <c r="AJ449" s="1" t="s">
        <v>74</v>
      </c>
      <c r="AK449" s="1" t="s">
        <v>74</v>
      </c>
      <c r="AL449" s="1" t="s">
        <v>74</v>
      </c>
      <c r="AM449" s="1" t="s">
        <v>74</v>
      </c>
      <c r="AN449" s="1" t="s">
        <v>74</v>
      </c>
      <c r="AO449" s="1" t="s">
        <v>2716</v>
      </c>
      <c r="AP449" s="1" t="s">
        <v>4466</v>
      </c>
      <c r="AQ449" s="1" t="s">
        <v>74</v>
      </c>
      <c r="AR449" s="1" t="s">
        <v>74</v>
      </c>
      <c r="AS449" s="1" t="s">
        <v>74</v>
      </c>
      <c r="AT449" s="1" t="s">
        <v>621</v>
      </c>
      <c r="AU449" s="1">
        <v>2023.0</v>
      </c>
      <c r="AV449" s="1">
        <v>232.0</v>
      </c>
      <c r="AW449" s="1" t="s">
        <v>74</v>
      </c>
      <c r="AX449" s="1" t="s">
        <v>74</v>
      </c>
      <c r="AY449" s="1" t="s">
        <v>74</v>
      </c>
      <c r="AZ449" s="1" t="s">
        <v>74</v>
      </c>
      <c r="BA449" s="1" t="s">
        <v>74</v>
      </c>
      <c r="BB449" s="1" t="s">
        <v>74</v>
      </c>
      <c r="BC449" s="1" t="s">
        <v>74</v>
      </c>
      <c r="BD449" s="1">
        <v>113277.0</v>
      </c>
      <c r="BE449" s="1" t="s">
        <v>4467</v>
      </c>
      <c r="BF449" s="2" t="str">
        <f>HYPERLINK("http://dx.doi.org/10.1016/j.na.2023.113277","http://dx.doi.org/10.1016/j.na.2023.113277")</f>
        <v>http://dx.doi.org/10.1016/j.na.2023.113277</v>
      </c>
      <c r="BG449" s="1" t="s">
        <v>74</v>
      </c>
      <c r="BH449" s="1" t="s">
        <v>2880</v>
      </c>
      <c r="BI449" s="1" t="s">
        <v>74</v>
      </c>
      <c r="BJ449" s="1" t="s">
        <v>74</v>
      </c>
      <c r="BK449" s="1" t="s">
        <v>74</v>
      </c>
      <c r="BL449" s="1" t="s">
        <v>74</v>
      </c>
      <c r="BM449" s="1" t="s">
        <v>74</v>
      </c>
      <c r="BN449" s="1" t="s">
        <v>74</v>
      </c>
      <c r="BO449" s="1" t="s">
        <v>74</v>
      </c>
      <c r="BP449" s="1" t="s">
        <v>74</v>
      </c>
      <c r="BQ449" s="1" t="s">
        <v>74</v>
      </c>
      <c r="BR449" s="1" t="s">
        <v>74</v>
      </c>
      <c r="BS449" s="1" t="s">
        <v>4468</v>
      </c>
      <c r="BT449" s="1" t="str">
        <f>HYPERLINK("https%3A%2F%2Fwww.webofscience.com%2Fwos%2Fwoscc%2Ffull-record%2FWOS:001058370900001","View Full Record in Web of Science")</f>
        <v>View Full Record in Web of Science</v>
      </c>
    </row>
    <row r="450" ht="12.75" customHeight="1">
      <c r="A450" s="1" t="s">
        <v>72</v>
      </c>
      <c r="B450" s="1" t="s">
        <v>4469</v>
      </c>
      <c r="C450" s="1" t="s">
        <v>74</v>
      </c>
      <c r="D450" s="1" t="s">
        <v>74</v>
      </c>
      <c r="E450" s="1" t="s">
        <v>74</v>
      </c>
      <c r="F450" s="1" t="s">
        <v>4470</v>
      </c>
      <c r="G450" s="1" t="s">
        <v>74</v>
      </c>
      <c r="H450" s="1" t="s">
        <v>74</v>
      </c>
      <c r="I450" s="1" t="s">
        <v>4471</v>
      </c>
      <c r="J450" s="1" t="s">
        <v>4472</v>
      </c>
      <c r="K450" s="1" t="s">
        <v>74</v>
      </c>
      <c r="L450" s="1" t="s">
        <v>74</v>
      </c>
      <c r="M450" s="1" t="s">
        <v>74</v>
      </c>
      <c r="N450" s="1" t="s">
        <v>74</v>
      </c>
      <c r="O450" s="1" t="s">
        <v>74</v>
      </c>
      <c r="P450" s="1" t="s">
        <v>74</v>
      </c>
      <c r="Q450" s="1" t="s">
        <v>74</v>
      </c>
      <c r="R450" s="1" t="s">
        <v>74</v>
      </c>
      <c r="S450" s="1" t="s">
        <v>74</v>
      </c>
      <c r="T450" s="1" t="s">
        <v>74</v>
      </c>
      <c r="U450" s="1" t="s">
        <v>74</v>
      </c>
      <c r="V450" s="1" t="s">
        <v>4473</v>
      </c>
      <c r="W450" s="1" t="s">
        <v>74</v>
      </c>
      <c r="X450" s="1" t="s">
        <v>74</v>
      </c>
      <c r="Y450" s="1" t="s">
        <v>74</v>
      </c>
      <c r="Z450" s="1" t="s">
        <v>74</v>
      </c>
      <c r="AA450" s="1" t="s">
        <v>4474</v>
      </c>
      <c r="AB450" s="1" t="s">
        <v>4475</v>
      </c>
      <c r="AC450" s="1" t="s">
        <v>74</v>
      </c>
      <c r="AD450" s="1" t="s">
        <v>74</v>
      </c>
      <c r="AE450" s="1" t="s">
        <v>74</v>
      </c>
      <c r="AF450" s="1" t="s">
        <v>74</v>
      </c>
      <c r="AG450" s="1" t="s">
        <v>74</v>
      </c>
      <c r="AH450" s="1" t="s">
        <v>74</v>
      </c>
      <c r="AI450" s="1" t="s">
        <v>74</v>
      </c>
      <c r="AJ450" s="1" t="s">
        <v>74</v>
      </c>
      <c r="AK450" s="1" t="s">
        <v>74</v>
      </c>
      <c r="AL450" s="1" t="s">
        <v>74</v>
      </c>
      <c r="AM450" s="1" t="s">
        <v>74</v>
      </c>
      <c r="AN450" s="1" t="s">
        <v>74</v>
      </c>
      <c r="AO450" s="1" t="s">
        <v>4476</v>
      </c>
      <c r="AP450" s="1" t="s">
        <v>4477</v>
      </c>
      <c r="AQ450" s="1" t="s">
        <v>74</v>
      </c>
      <c r="AR450" s="1" t="s">
        <v>74</v>
      </c>
      <c r="AS450" s="1" t="s">
        <v>74</v>
      </c>
      <c r="AT450" s="1" t="s">
        <v>841</v>
      </c>
      <c r="AU450" s="1">
        <v>2023.0</v>
      </c>
      <c r="AV450" s="1">
        <v>112.0</v>
      </c>
      <c r="AW450" s="1" t="s">
        <v>74</v>
      </c>
      <c r="AX450" s="1" t="s">
        <v>74</v>
      </c>
      <c r="AY450" s="1" t="s">
        <v>74</v>
      </c>
      <c r="AZ450" s="1" t="s">
        <v>74</v>
      </c>
      <c r="BA450" s="1" t="s">
        <v>74</v>
      </c>
      <c r="BB450" s="1" t="s">
        <v>74</v>
      </c>
      <c r="BC450" s="1" t="s">
        <v>74</v>
      </c>
      <c r="BD450" s="1">
        <v>154686.0</v>
      </c>
      <c r="BE450" s="1" t="s">
        <v>4478</v>
      </c>
      <c r="BF450" s="2" t="str">
        <f>HYPERLINK("http://dx.doi.org/10.1016/j.phymed.2023.154686","http://dx.doi.org/10.1016/j.phymed.2023.154686")</f>
        <v>http://dx.doi.org/10.1016/j.phymed.2023.154686</v>
      </c>
      <c r="BG450" s="1" t="s">
        <v>74</v>
      </c>
      <c r="BH450" s="1" t="s">
        <v>4479</v>
      </c>
      <c r="BI450" s="1" t="s">
        <v>74</v>
      </c>
      <c r="BJ450" s="1" t="s">
        <v>74</v>
      </c>
      <c r="BK450" s="1" t="s">
        <v>74</v>
      </c>
      <c r="BL450" s="1" t="s">
        <v>74</v>
      </c>
      <c r="BM450" s="1" t="s">
        <v>74</v>
      </c>
      <c r="BN450" s="1">
        <v>3.6804755E7</v>
      </c>
      <c r="BO450" s="1" t="s">
        <v>74</v>
      </c>
      <c r="BP450" s="1" t="s">
        <v>74</v>
      </c>
      <c r="BQ450" s="1" t="s">
        <v>74</v>
      </c>
      <c r="BR450" s="1" t="s">
        <v>74</v>
      </c>
      <c r="BS450" s="1" t="s">
        <v>4480</v>
      </c>
      <c r="BT450" s="1" t="str">
        <f>HYPERLINK("https%3A%2F%2Fwww.webofscience.com%2Fwos%2Fwoscc%2Ffull-record%2FWOS:000965177700001","View Full Record in Web of Science")</f>
        <v>View Full Record in Web of Science</v>
      </c>
    </row>
    <row r="451" ht="12.75" customHeight="1">
      <c r="A451" s="1" t="s">
        <v>72</v>
      </c>
      <c r="B451" s="1" t="s">
        <v>4481</v>
      </c>
      <c r="C451" s="1" t="s">
        <v>74</v>
      </c>
      <c r="D451" s="1" t="s">
        <v>74</v>
      </c>
      <c r="E451" s="1" t="s">
        <v>74</v>
      </c>
      <c r="F451" s="1" t="s">
        <v>4482</v>
      </c>
      <c r="G451" s="1" t="s">
        <v>74</v>
      </c>
      <c r="H451" s="1" t="s">
        <v>74</v>
      </c>
      <c r="I451" s="1" t="s">
        <v>4483</v>
      </c>
      <c r="J451" s="1" t="s">
        <v>4484</v>
      </c>
      <c r="K451" s="1" t="s">
        <v>74</v>
      </c>
      <c r="L451" s="1" t="s">
        <v>74</v>
      </c>
      <c r="M451" s="1" t="s">
        <v>74</v>
      </c>
      <c r="N451" s="1" t="s">
        <v>74</v>
      </c>
      <c r="O451" s="1" t="s">
        <v>74</v>
      </c>
      <c r="P451" s="1" t="s">
        <v>74</v>
      </c>
      <c r="Q451" s="1" t="s">
        <v>74</v>
      </c>
      <c r="R451" s="1" t="s">
        <v>74</v>
      </c>
      <c r="S451" s="1" t="s">
        <v>74</v>
      </c>
      <c r="T451" s="1" t="s">
        <v>74</v>
      </c>
      <c r="U451" s="1" t="s">
        <v>74</v>
      </c>
      <c r="V451" s="1" t="s">
        <v>4485</v>
      </c>
      <c r="W451" s="1" t="s">
        <v>74</v>
      </c>
      <c r="X451" s="1" t="s">
        <v>74</v>
      </c>
      <c r="Y451" s="1" t="s">
        <v>74</v>
      </c>
      <c r="Z451" s="1" t="s">
        <v>74</v>
      </c>
      <c r="AA451" s="1" t="s">
        <v>4486</v>
      </c>
      <c r="AB451" s="1" t="s">
        <v>4487</v>
      </c>
      <c r="AC451" s="1" t="s">
        <v>74</v>
      </c>
      <c r="AD451" s="1" t="s">
        <v>74</v>
      </c>
      <c r="AE451" s="1" t="s">
        <v>74</v>
      </c>
      <c r="AF451" s="1" t="s">
        <v>74</v>
      </c>
      <c r="AG451" s="1" t="s">
        <v>74</v>
      </c>
      <c r="AH451" s="1" t="s">
        <v>74</v>
      </c>
      <c r="AI451" s="1" t="s">
        <v>74</v>
      </c>
      <c r="AJ451" s="1" t="s">
        <v>74</v>
      </c>
      <c r="AK451" s="1" t="s">
        <v>74</v>
      </c>
      <c r="AL451" s="1" t="s">
        <v>74</v>
      </c>
      <c r="AM451" s="1" t="s">
        <v>74</v>
      </c>
      <c r="AN451" s="1" t="s">
        <v>74</v>
      </c>
      <c r="AO451" s="1" t="s">
        <v>4488</v>
      </c>
      <c r="AP451" s="1" t="s">
        <v>4489</v>
      </c>
      <c r="AQ451" s="1" t="s">
        <v>74</v>
      </c>
      <c r="AR451" s="1" t="s">
        <v>74</v>
      </c>
      <c r="AS451" s="1" t="s">
        <v>74</v>
      </c>
      <c r="AT451" s="1" t="s">
        <v>389</v>
      </c>
      <c r="AU451" s="1">
        <v>2023.0</v>
      </c>
      <c r="AV451" s="1">
        <v>12.0</v>
      </c>
      <c r="AW451" s="1">
        <v>1.0</v>
      </c>
      <c r="AX451" s="1" t="s">
        <v>74</v>
      </c>
      <c r="AY451" s="1" t="s">
        <v>74</v>
      </c>
      <c r="AZ451" s="1" t="s">
        <v>74</v>
      </c>
      <c r="BA451" s="1" t="s">
        <v>74</v>
      </c>
      <c r="BB451" s="1">
        <v>65.0</v>
      </c>
      <c r="BC451" s="1">
        <v>77.0</v>
      </c>
      <c r="BD451" s="1" t="s">
        <v>74</v>
      </c>
      <c r="BE451" s="1" t="s">
        <v>4490</v>
      </c>
      <c r="BF451" s="2" t="str">
        <f>HYPERLINK("http://dx.doi.org/10.1166/jon.2023.1911","http://dx.doi.org/10.1166/jon.2023.1911")</f>
        <v>http://dx.doi.org/10.1166/jon.2023.1911</v>
      </c>
      <c r="BG451" s="1" t="s">
        <v>74</v>
      </c>
      <c r="BH451" s="1" t="s">
        <v>74</v>
      </c>
      <c r="BI451" s="1" t="s">
        <v>74</v>
      </c>
      <c r="BJ451" s="1" t="s">
        <v>74</v>
      </c>
      <c r="BK451" s="1" t="s">
        <v>74</v>
      </c>
      <c r="BL451" s="1" t="s">
        <v>74</v>
      </c>
      <c r="BM451" s="1" t="s">
        <v>74</v>
      </c>
      <c r="BN451" s="1" t="s">
        <v>74</v>
      </c>
      <c r="BO451" s="1" t="s">
        <v>74</v>
      </c>
      <c r="BP451" s="1" t="s">
        <v>74</v>
      </c>
      <c r="BQ451" s="1" t="s">
        <v>74</v>
      </c>
      <c r="BR451" s="1" t="s">
        <v>74</v>
      </c>
      <c r="BS451" s="1" t="s">
        <v>4491</v>
      </c>
      <c r="BT451" s="1" t="str">
        <f>HYPERLINK("https%3A%2F%2Fwww.webofscience.com%2Fwos%2Fwoscc%2Ffull-record%2FWOS:000980092000007","View Full Record in Web of Science")</f>
        <v>View Full Record in Web of Science</v>
      </c>
    </row>
    <row r="452" ht="12.75" customHeight="1">
      <c r="A452" s="1" t="s">
        <v>72</v>
      </c>
      <c r="B452" s="1" t="s">
        <v>4492</v>
      </c>
      <c r="C452" s="1" t="s">
        <v>74</v>
      </c>
      <c r="D452" s="1" t="s">
        <v>74</v>
      </c>
      <c r="E452" s="1" t="s">
        <v>74</v>
      </c>
      <c r="F452" s="1" t="s">
        <v>4493</v>
      </c>
      <c r="G452" s="1" t="s">
        <v>74</v>
      </c>
      <c r="H452" s="1" t="s">
        <v>74</v>
      </c>
      <c r="I452" s="1" t="s">
        <v>4494</v>
      </c>
      <c r="J452" s="1" t="s">
        <v>3845</v>
      </c>
      <c r="K452" s="1" t="s">
        <v>74</v>
      </c>
      <c r="L452" s="1" t="s">
        <v>74</v>
      </c>
      <c r="M452" s="1" t="s">
        <v>74</v>
      </c>
      <c r="N452" s="1" t="s">
        <v>74</v>
      </c>
      <c r="O452" s="1" t="s">
        <v>74</v>
      </c>
      <c r="P452" s="1" t="s">
        <v>74</v>
      </c>
      <c r="Q452" s="1" t="s">
        <v>74</v>
      </c>
      <c r="R452" s="1" t="s">
        <v>74</v>
      </c>
      <c r="S452" s="1" t="s">
        <v>74</v>
      </c>
      <c r="T452" s="1" t="s">
        <v>74</v>
      </c>
      <c r="U452" s="1" t="s">
        <v>74</v>
      </c>
      <c r="V452" s="1" t="s">
        <v>4495</v>
      </c>
      <c r="W452" s="1" t="s">
        <v>74</v>
      </c>
      <c r="X452" s="1" t="s">
        <v>74</v>
      </c>
      <c r="Y452" s="1" t="s">
        <v>74</v>
      </c>
      <c r="Z452" s="1" t="s">
        <v>74</v>
      </c>
      <c r="AA452" s="1" t="s">
        <v>74</v>
      </c>
      <c r="AB452" s="1" t="s">
        <v>74</v>
      </c>
      <c r="AC452" s="1" t="s">
        <v>74</v>
      </c>
      <c r="AD452" s="1" t="s">
        <v>74</v>
      </c>
      <c r="AE452" s="1" t="s">
        <v>74</v>
      </c>
      <c r="AF452" s="1" t="s">
        <v>74</v>
      </c>
      <c r="AG452" s="1" t="s">
        <v>74</v>
      </c>
      <c r="AH452" s="1" t="s">
        <v>74</v>
      </c>
      <c r="AI452" s="1" t="s">
        <v>74</v>
      </c>
      <c r="AJ452" s="1" t="s">
        <v>74</v>
      </c>
      <c r="AK452" s="1" t="s">
        <v>74</v>
      </c>
      <c r="AL452" s="1" t="s">
        <v>74</v>
      </c>
      <c r="AM452" s="1" t="s">
        <v>74</v>
      </c>
      <c r="AN452" s="1" t="s">
        <v>74</v>
      </c>
      <c r="AO452" s="1" t="s">
        <v>3848</v>
      </c>
      <c r="AP452" s="1" t="s">
        <v>3849</v>
      </c>
      <c r="AQ452" s="1" t="s">
        <v>74</v>
      </c>
      <c r="AR452" s="1" t="s">
        <v>74</v>
      </c>
      <c r="AS452" s="1" t="s">
        <v>74</v>
      </c>
      <c r="AT452" s="1" t="s">
        <v>74</v>
      </c>
      <c r="AU452" s="1">
        <v>2023.0</v>
      </c>
      <c r="AV452" s="1">
        <v>18.0</v>
      </c>
      <c r="AW452" s="1" t="s">
        <v>74</v>
      </c>
      <c r="AX452" s="1" t="s">
        <v>74</v>
      </c>
      <c r="AY452" s="1" t="s">
        <v>74</v>
      </c>
      <c r="AZ452" s="1" t="s">
        <v>74</v>
      </c>
      <c r="BA452" s="1" t="s">
        <v>74</v>
      </c>
      <c r="BB452" s="1" t="s">
        <v>74</v>
      </c>
      <c r="BC452" s="1" t="s">
        <v>74</v>
      </c>
      <c r="BD452" s="1" t="s">
        <v>74</v>
      </c>
      <c r="BE452" s="1" t="s">
        <v>74</v>
      </c>
      <c r="BF452" s="1" t="s">
        <v>74</v>
      </c>
      <c r="BG452" s="1" t="s">
        <v>74</v>
      </c>
      <c r="BH452" s="1" t="s">
        <v>74</v>
      </c>
      <c r="BI452" s="1" t="s">
        <v>74</v>
      </c>
      <c r="BJ452" s="1" t="s">
        <v>74</v>
      </c>
      <c r="BK452" s="1" t="s">
        <v>74</v>
      </c>
      <c r="BL452" s="1" t="s">
        <v>74</v>
      </c>
      <c r="BM452" s="1" t="s">
        <v>74</v>
      </c>
      <c r="BN452" s="1" t="s">
        <v>74</v>
      </c>
      <c r="BO452" s="1" t="s">
        <v>74</v>
      </c>
      <c r="BP452" s="1" t="s">
        <v>74</v>
      </c>
      <c r="BQ452" s="1" t="s">
        <v>74</v>
      </c>
      <c r="BR452" s="1" t="s">
        <v>74</v>
      </c>
      <c r="BS452" s="1" t="s">
        <v>4496</v>
      </c>
      <c r="BT452" s="1" t="str">
        <f>HYPERLINK("https%3A%2F%2Fwww.webofscience.com%2Fwos%2Fwoscc%2Ffull-record%2FWOS:001057514100005","View Full Record in Web of Science")</f>
        <v>View Full Record in Web of Science</v>
      </c>
    </row>
    <row r="453" ht="12.75" customHeight="1">
      <c r="A453" s="1" t="s">
        <v>72</v>
      </c>
      <c r="B453" s="1" t="s">
        <v>4497</v>
      </c>
      <c r="C453" s="1" t="s">
        <v>74</v>
      </c>
      <c r="D453" s="1" t="s">
        <v>74</v>
      </c>
      <c r="E453" s="1" t="s">
        <v>74</v>
      </c>
      <c r="F453" s="1" t="s">
        <v>4498</v>
      </c>
      <c r="G453" s="1" t="s">
        <v>74</v>
      </c>
      <c r="H453" s="1" t="s">
        <v>74</v>
      </c>
      <c r="I453" s="1" t="s">
        <v>4499</v>
      </c>
      <c r="J453" s="1" t="s">
        <v>4500</v>
      </c>
      <c r="K453" s="1" t="s">
        <v>74</v>
      </c>
      <c r="L453" s="1" t="s">
        <v>74</v>
      </c>
      <c r="M453" s="1" t="s">
        <v>74</v>
      </c>
      <c r="N453" s="1" t="s">
        <v>74</v>
      </c>
      <c r="O453" s="1" t="s">
        <v>74</v>
      </c>
      <c r="P453" s="1" t="s">
        <v>74</v>
      </c>
      <c r="Q453" s="1" t="s">
        <v>74</v>
      </c>
      <c r="R453" s="1" t="s">
        <v>74</v>
      </c>
      <c r="S453" s="1" t="s">
        <v>74</v>
      </c>
      <c r="T453" s="1" t="s">
        <v>74</v>
      </c>
      <c r="U453" s="1" t="s">
        <v>74</v>
      </c>
      <c r="V453" s="1" t="s">
        <v>74</v>
      </c>
      <c r="W453" s="1" t="s">
        <v>74</v>
      </c>
      <c r="X453" s="1" t="s">
        <v>74</v>
      </c>
      <c r="Y453" s="1" t="s">
        <v>74</v>
      </c>
      <c r="Z453" s="1" t="s">
        <v>74</v>
      </c>
      <c r="AA453" s="1" t="s">
        <v>2844</v>
      </c>
      <c r="AB453" s="1" t="s">
        <v>546</v>
      </c>
      <c r="AC453" s="1" t="s">
        <v>74</v>
      </c>
      <c r="AD453" s="1" t="s">
        <v>74</v>
      </c>
      <c r="AE453" s="1" t="s">
        <v>74</v>
      </c>
      <c r="AF453" s="1" t="s">
        <v>74</v>
      </c>
      <c r="AG453" s="1" t="s">
        <v>74</v>
      </c>
      <c r="AH453" s="1" t="s">
        <v>74</v>
      </c>
      <c r="AI453" s="1" t="s">
        <v>74</v>
      </c>
      <c r="AJ453" s="1" t="s">
        <v>74</v>
      </c>
      <c r="AK453" s="1" t="s">
        <v>74</v>
      </c>
      <c r="AL453" s="1" t="s">
        <v>74</v>
      </c>
      <c r="AM453" s="1" t="s">
        <v>74</v>
      </c>
      <c r="AN453" s="1" t="s">
        <v>74</v>
      </c>
      <c r="AO453" s="1" t="s">
        <v>4501</v>
      </c>
      <c r="AP453" s="1" t="s">
        <v>4502</v>
      </c>
      <c r="AQ453" s="1" t="s">
        <v>74</v>
      </c>
      <c r="AR453" s="1" t="s">
        <v>74</v>
      </c>
      <c r="AS453" s="1" t="s">
        <v>74</v>
      </c>
      <c r="AT453" s="1" t="s">
        <v>415</v>
      </c>
      <c r="AU453" s="1">
        <v>2022.0</v>
      </c>
      <c r="AV453" s="1">
        <v>131.0</v>
      </c>
      <c r="AW453" s="1" t="s">
        <v>74</v>
      </c>
      <c r="AX453" s="1" t="s">
        <v>74</v>
      </c>
      <c r="AY453" s="1" t="s">
        <v>74</v>
      </c>
      <c r="AZ453" s="1" t="s">
        <v>74</v>
      </c>
      <c r="BA453" s="1" t="s">
        <v>4503</v>
      </c>
      <c r="BB453" s="1">
        <v>1318.0</v>
      </c>
      <c r="BC453" s="1">
        <v>1318.0</v>
      </c>
      <c r="BD453" s="1" t="s">
        <v>74</v>
      </c>
      <c r="BE453" s="1" t="s">
        <v>74</v>
      </c>
      <c r="BF453" s="1" t="s">
        <v>74</v>
      </c>
      <c r="BG453" s="1" t="s">
        <v>74</v>
      </c>
      <c r="BH453" s="1" t="s">
        <v>74</v>
      </c>
      <c r="BI453" s="1" t="s">
        <v>74</v>
      </c>
      <c r="BJ453" s="1" t="s">
        <v>74</v>
      </c>
      <c r="BK453" s="1" t="s">
        <v>74</v>
      </c>
      <c r="BL453" s="1" t="s">
        <v>74</v>
      </c>
      <c r="BM453" s="1" t="s">
        <v>74</v>
      </c>
      <c r="BN453" s="1" t="s">
        <v>74</v>
      </c>
      <c r="BO453" s="1" t="s">
        <v>74</v>
      </c>
      <c r="BP453" s="1" t="s">
        <v>74</v>
      </c>
      <c r="BQ453" s="1" t="s">
        <v>74</v>
      </c>
      <c r="BR453" s="1" t="s">
        <v>74</v>
      </c>
      <c r="BS453" s="1" t="s">
        <v>4504</v>
      </c>
      <c r="BT453" s="1" t="str">
        <f>HYPERLINK("https%3A%2F%2Fwww.webofscience.com%2Fwos%2Fwoscc%2Ffull-record%2FWOS:001050952100020","View Full Record in Web of Science")</f>
        <v>View Full Record in Web of Science</v>
      </c>
    </row>
    <row r="454" ht="12.75" customHeight="1">
      <c r="A454" s="1" t="s">
        <v>72</v>
      </c>
      <c r="B454" s="1" t="s">
        <v>4505</v>
      </c>
      <c r="C454" s="1" t="s">
        <v>74</v>
      </c>
      <c r="D454" s="1" t="s">
        <v>74</v>
      </c>
      <c r="E454" s="1" t="s">
        <v>74</v>
      </c>
      <c r="F454" s="1" t="s">
        <v>4506</v>
      </c>
      <c r="G454" s="1" t="s">
        <v>74</v>
      </c>
      <c r="H454" s="1" t="s">
        <v>74</v>
      </c>
      <c r="I454" s="1" t="s">
        <v>4507</v>
      </c>
      <c r="J454" s="1" t="s">
        <v>4508</v>
      </c>
      <c r="K454" s="1" t="s">
        <v>74</v>
      </c>
      <c r="L454" s="1" t="s">
        <v>74</v>
      </c>
      <c r="M454" s="1" t="s">
        <v>74</v>
      </c>
      <c r="N454" s="1" t="s">
        <v>74</v>
      </c>
      <c r="O454" s="1" t="s">
        <v>74</v>
      </c>
      <c r="P454" s="1" t="s">
        <v>74</v>
      </c>
      <c r="Q454" s="1" t="s">
        <v>74</v>
      </c>
      <c r="R454" s="1" t="s">
        <v>74</v>
      </c>
      <c r="S454" s="1" t="s">
        <v>74</v>
      </c>
      <c r="T454" s="1" t="s">
        <v>74</v>
      </c>
      <c r="U454" s="1" t="s">
        <v>74</v>
      </c>
      <c r="V454" s="1" t="s">
        <v>4509</v>
      </c>
      <c r="W454" s="1" t="s">
        <v>74</v>
      </c>
      <c r="X454" s="1" t="s">
        <v>74</v>
      </c>
      <c r="Y454" s="1" t="s">
        <v>74</v>
      </c>
      <c r="Z454" s="1" t="s">
        <v>74</v>
      </c>
      <c r="AA454" s="1" t="s">
        <v>4510</v>
      </c>
      <c r="AB454" s="1" t="s">
        <v>74</v>
      </c>
      <c r="AC454" s="1" t="s">
        <v>74</v>
      </c>
      <c r="AD454" s="1" t="s">
        <v>74</v>
      </c>
      <c r="AE454" s="1" t="s">
        <v>74</v>
      </c>
      <c r="AF454" s="1" t="s">
        <v>74</v>
      </c>
      <c r="AG454" s="1" t="s">
        <v>74</v>
      </c>
      <c r="AH454" s="1" t="s">
        <v>74</v>
      </c>
      <c r="AI454" s="1" t="s">
        <v>74</v>
      </c>
      <c r="AJ454" s="1" t="s">
        <v>74</v>
      </c>
      <c r="AK454" s="1" t="s">
        <v>74</v>
      </c>
      <c r="AL454" s="1" t="s">
        <v>74</v>
      </c>
      <c r="AM454" s="1" t="s">
        <v>74</v>
      </c>
      <c r="AN454" s="1" t="s">
        <v>74</v>
      </c>
      <c r="AO454" s="1" t="s">
        <v>4511</v>
      </c>
      <c r="AP454" s="1" t="s">
        <v>4512</v>
      </c>
      <c r="AQ454" s="1" t="s">
        <v>74</v>
      </c>
      <c r="AR454" s="1" t="s">
        <v>74</v>
      </c>
      <c r="AS454" s="1" t="s">
        <v>74</v>
      </c>
      <c r="AT454" s="1" t="s">
        <v>3482</v>
      </c>
      <c r="AU454" s="1">
        <v>2022.0</v>
      </c>
      <c r="AV454" s="1">
        <v>368.0</v>
      </c>
      <c r="AW454" s="1" t="s">
        <v>74</v>
      </c>
      <c r="AX454" s="1" t="s">
        <v>86</v>
      </c>
      <c r="AY454" s="1" t="s">
        <v>74</v>
      </c>
      <c r="AZ454" s="1" t="s">
        <v>74</v>
      </c>
      <c r="BA454" s="1" t="s">
        <v>74</v>
      </c>
      <c r="BB454" s="1" t="s">
        <v>74</v>
      </c>
      <c r="BC454" s="1" t="s">
        <v>74</v>
      </c>
      <c r="BD454" s="1">
        <v>120784.0</v>
      </c>
      <c r="BE454" s="1" t="s">
        <v>4513</v>
      </c>
      <c r="BF454" s="2" t="str">
        <f>HYPERLINK("http://dx.doi.org/10.1016/j.molliq.2022.120784","http://dx.doi.org/10.1016/j.molliq.2022.120784")</f>
        <v>http://dx.doi.org/10.1016/j.molliq.2022.120784</v>
      </c>
      <c r="BG454" s="1" t="s">
        <v>74</v>
      </c>
      <c r="BH454" s="1" t="s">
        <v>1374</v>
      </c>
      <c r="BI454" s="1" t="s">
        <v>74</v>
      </c>
      <c r="BJ454" s="1" t="s">
        <v>74</v>
      </c>
      <c r="BK454" s="1" t="s">
        <v>74</v>
      </c>
      <c r="BL454" s="1" t="s">
        <v>74</v>
      </c>
      <c r="BM454" s="1" t="s">
        <v>74</v>
      </c>
      <c r="BN454" s="1" t="s">
        <v>74</v>
      </c>
      <c r="BO454" s="1" t="s">
        <v>74</v>
      </c>
      <c r="BP454" s="1" t="s">
        <v>74</v>
      </c>
      <c r="BQ454" s="1" t="s">
        <v>74</v>
      </c>
      <c r="BR454" s="1" t="s">
        <v>74</v>
      </c>
      <c r="BS454" s="1" t="s">
        <v>4514</v>
      </c>
      <c r="BT454" s="1" t="str">
        <f>HYPERLINK("https%3A%2F%2Fwww.webofscience.com%2Fwos%2Fwoscc%2Ffull-record%2FWOS:000929732700003","View Full Record in Web of Science")</f>
        <v>View Full Record in Web of Science</v>
      </c>
    </row>
    <row r="455" ht="12.75" customHeight="1">
      <c r="A455" s="1" t="s">
        <v>72</v>
      </c>
      <c r="B455" s="1" t="s">
        <v>493</v>
      </c>
      <c r="C455" s="1" t="s">
        <v>74</v>
      </c>
      <c r="D455" s="1" t="s">
        <v>74</v>
      </c>
      <c r="E455" s="1" t="s">
        <v>74</v>
      </c>
      <c r="F455" s="1" t="s">
        <v>494</v>
      </c>
      <c r="G455" s="1" t="s">
        <v>74</v>
      </c>
      <c r="H455" s="1" t="s">
        <v>74</v>
      </c>
      <c r="I455" s="1" t="s">
        <v>4515</v>
      </c>
      <c r="J455" s="1" t="s">
        <v>810</v>
      </c>
      <c r="K455" s="1" t="s">
        <v>74</v>
      </c>
      <c r="L455" s="1" t="s">
        <v>74</v>
      </c>
      <c r="M455" s="1" t="s">
        <v>74</v>
      </c>
      <c r="N455" s="1" t="s">
        <v>74</v>
      </c>
      <c r="O455" s="1" t="s">
        <v>74</v>
      </c>
      <c r="P455" s="1" t="s">
        <v>74</v>
      </c>
      <c r="Q455" s="1" t="s">
        <v>74</v>
      </c>
      <c r="R455" s="1" t="s">
        <v>74</v>
      </c>
      <c r="S455" s="1" t="s">
        <v>74</v>
      </c>
      <c r="T455" s="1" t="s">
        <v>74</v>
      </c>
      <c r="U455" s="1" t="s">
        <v>74</v>
      </c>
      <c r="V455" s="1" t="s">
        <v>4516</v>
      </c>
      <c r="W455" s="1" t="s">
        <v>74</v>
      </c>
      <c r="X455" s="1" t="s">
        <v>74</v>
      </c>
      <c r="Y455" s="1" t="s">
        <v>74</v>
      </c>
      <c r="Z455" s="1" t="s">
        <v>74</v>
      </c>
      <c r="AA455" s="1" t="s">
        <v>498</v>
      </c>
      <c r="AB455" s="1" t="s">
        <v>197</v>
      </c>
      <c r="AC455" s="1" t="s">
        <v>74</v>
      </c>
      <c r="AD455" s="1" t="s">
        <v>74</v>
      </c>
      <c r="AE455" s="1" t="s">
        <v>74</v>
      </c>
      <c r="AF455" s="1" t="s">
        <v>74</v>
      </c>
      <c r="AG455" s="1" t="s">
        <v>74</v>
      </c>
      <c r="AH455" s="1" t="s">
        <v>74</v>
      </c>
      <c r="AI455" s="1" t="s">
        <v>74</v>
      </c>
      <c r="AJ455" s="1" t="s">
        <v>74</v>
      </c>
      <c r="AK455" s="1" t="s">
        <v>74</v>
      </c>
      <c r="AL455" s="1" t="s">
        <v>74</v>
      </c>
      <c r="AM455" s="1" t="s">
        <v>74</v>
      </c>
      <c r="AN455" s="1" t="s">
        <v>74</v>
      </c>
      <c r="AO455" s="1" t="s">
        <v>814</v>
      </c>
      <c r="AP455" s="1" t="s">
        <v>815</v>
      </c>
      <c r="AQ455" s="1" t="s">
        <v>74</v>
      </c>
      <c r="AR455" s="1" t="s">
        <v>74</v>
      </c>
      <c r="AS455" s="1" t="s">
        <v>74</v>
      </c>
      <c r="AT455" s="1" t="s">
        <v>2571</v>
      </c>
      <c r="AU455" s="1">
        <v>2022.0</v>
      </c>
      <c r="AV455" s="1">
        <v>516.0</v>
      </c>
      <c r="AW455" s="1">
        <v>1.0</v>
      </c>
      <c r="AX455" s="1" t="s">
        <v>74</v>
      </c>
      <c r="AY455" s="1" t="s">
        <v>74</v>
      </c>
      <c r="AZ455" s="1" t="s">
        <v>74</v>
      </c>
      <c r="BA455" s="1" t="s">
        <v>74</v>
      </c>
      <c r="BB455" s="1" t="s">
        <v>74</v>
      </c>
      <c r="BC455" s="1" t="s">
        <v>74</v>
      </c>
      <c r="BD455" s="1">
        <v>126507.0</v>
      </c>
      <c r="BE455" s="1" t="s">
        <v>4517</v>
      </c>
      <c r="BF455" s="2" t="str">
        <f>HYPERLINK("http://dx.doi.org/10.1016/j.jmaa.2022.126507","http://dx.doi.org/10.1016/j.jmaa.2022.126507")</f>
        <v>http://dx.doi.org/10.1016/j.jmaa.2022.126507</v>
      </c>
      <c r="BG455" s="1" t="s">
        <v>74</v>
      </c>
      <c r="BH455" s="1" t="s">
        <v>4518</v>
      </c>
      <c r="BI455" s="1" t="s">
        <v>74</v>
      </c>
      <c r="BJ455" s="1" t="s">
        <v>74</v>
      </c>
      <c r="BK455" s="1" t="s">
        <v>74</v>
      </c>
      <c r="BL455" s="1" t="s">
        <v>74</v>
      </c>
      <c r="BM455" s="1" t="s">
        <v>74</v>
      </c>
      <c r="BN455" s="1" t="s">
        <v>74</v>
      </c>
      <c r="BO455" s="1" t="s">
        <v>74</v>
      </c>
      <c r="BP455" s="1" t="s">
        <v>74</v>
      </c>
      <c r="BQ455" s="1" t="s">
        <v>74</v>
      </c>
      <c r="BR455" s="1" t="s">
        <v>74</v>
      </c>
      <c r="BS455" s="1" t="s">
        <v>4519</v>
      </c>
      <c r="BT455" s="1" t="str">
        <f>HYPERLINK("https%3A%2F%2Fwww.webofscience.com%2Fwos%2Fwoscc%2Ffull-record%2FWOS:000854015600016","View Full Record in Web of Science")</f>
        <v>View Full Record in Web of Science</v>
      </c>
    </row>
    <row r="456" ht="12.75" customHeight="1">
      <c r="A456" s="1" t="s">
        <v>72</v>
      </c>
      <c r="B456" s="1" t="s">
        <v>1419</v>
      </c>
      <c r="C456" s="1" t="s">
        <v>74</v>
      </c>
      <c r="D456" s="1" t="s">
        <v>74</v>
      </c>
      <c r="E456" s="1" t="s">
        <v>74</v>
      </c>
      <c r="F456" s="1" t="s">
        <v>1420</v>
      </c>
      <c r="G456" s="1" t="s">
        <v>74</v>
      </c>
      <c r="H456" s="1" t="s">
        <v>74</v>
      </c>
      <c r="I456" s="1" t="s">
        <v>4520</v>
      </c>
      <c r="J456" s="1" t="s">
        <v>4521</v>
      </c>
      <c r="K456" s="1" t="s">
        <v>74</v>
      </c>
      <c r="L456" s="1" t="s">
        <v>74</v>
      </c>
      <c r="M456" s="1" t="s">
        <v>74</v>
      </c>
      <c r="N456" s="1" t="s">
        <v>74</v>
      </c>
      <c r="O456" s="1" t="s">
        <v>74</v>
      </c>
      <c r="P456" s="1" t="s">
        <v>74</v>
      </c>
      <c r="Q456" s="1" t="s">
        <v>74</v>
      </c>
      <c r="R456" s="1" t="s">
        <v>74</v>
      </c>
      <c r="S456" s="1" t="s">
        <v>74</v>
      </c>
      <c r="T456" s="1" t="s">
        <v>74</v>
      </c>
      <c r="U456" s="1" t="s">
        <v>74</v>
      </c>
      <c r="V456" s="1" t="s">
        <v>4522</v>
      </c>
      <c r="W456" s="1" t="s">
        <v>74</v>
      </c>
      <c r="X456" s="1" t="s">
        <v>74</v>
      </c>
      <c r="Y456" s="1" t="s">
        <v>74</v>
      </c>
      <c r="Z456" s="1" t="s">
        <v>74</v>
      </c>
      <c r="AA456" s="1" t="s">
        <v>4523</v>
      </c>
      <c r="AB456" s="1" t="s">
        <v>74</v>
      </c>
      <c r="AC456" s="1" t="s">
        <v>74</v>
      </c>
      <c r="AD456" s="1" t="s">
        <v>74</v>
      </c>
      <c r="AE456" s="1" t="s">
        <v>74</v>
      </c>
      <c r="AF456" s="1" t="s">
        <v>74</v>
      </c>
      <c r="AG456" s="1" t="s">
        <v>74</v>
      </c>
      <c r="AH456" s="1" t="s">
        <v>74</v>
      </c>
      <c r="AI456" s="1" t="s">
        <v>74</v>
      </c>
      <c r="AJ456" s="1" t="s">
        <v>74</v>
      </c>
      <c r="AK456" s="1" t="s">
        <v>74</v>
      </c>
      <c r="AL456" s="1" t="s">
        <v>74</v>
      </c>
      <c r="AM456" s="1" t="s">
        <v>74</v>
      </c>
      <c r="AN456" s="1" t="s">
        <v>74</v>
      </c>
      <c r="AO456" s="1" t="s">
        <v>4524</v>
      </c>
      <c r="AP456" s="1" t="s">
        <v>4525</v>
      </c>
      <c r="AQ456" s="1" t="s">
        <v>74</v>
      </c>
      <c r="AR456" s="1" t="s">
        <v>74</v>
      </c>
      <c r="AS456" s="1" t="s">
        <v>74</v>
      </c>
      <c r="AT456" s="1" t="s">
        <v>621</v>
      </c>
      <c r="AU456" s="1">
        <v>2022.0</v>
      </c>
      <c r="AV456" s="1">
        <v>25.0</v>
      </c>
      <c r="AW456" s="1">
        <v>2.0</v>
      </c>
      <c r="AX456" s="1" t="s">
        <v>74</v>
      </c>
      <c r="AY456" s="1" t="s">
        <v>74</v>
      </c>
      <c r="AZ456" s="1" t="s">
        <v>74</v>
      </c>
      <c r="BA456" s="1" t="s">
        <v>74</v>
      </c>
      <c r="BB456" s="1">
        <v>327.0</v>
      </c>
      <c r="BC456" s="1">
        <v>346.0</v>
      </c>
      <c r="BD456" s="1" t="s">
        <v>74</v>
      </c>
      <c r="BE456" s="1" t="s">
        <v>4526</v>
      </c>
      <c r="BF456" s="2" t="str">
        <f>HYPERLINK("http://dx.doi.org/10.5944/ried.25.2.32128","http://dx.doi.org/10.5944/ried.25.2.32128")</f>
        <v>http://dx.doi.org/10.5944/ried.25.2.32128</v>
      </c>
      <c r="BG456" s="1" t="s">
        <v>74</v>
      </c>
      <c r="BH456" s="1" t="s">
        <v>74</v>
      </c>
      <c r="BI456" s="1" t="s">
        <v>74</v>
      </c>
      <c r="BJ456" s="1" t="s">
        <v>74</v>
      </c>
      <c r="BK456" s="1" t="s">
        <v>74</v>
      </c>
      <c r="BL456" s="1" t="s">
        <v>74</v>
      </c>
      <c r="BM456" s="1" t="s">
        <v>74</v>
      </c>
      <c r="BN456" s="1" t="s">
        <v>74</v>
      </c>
      <c r="BO456" s="1" t="s">
        <v>74</v>
      </c>
      <c r="BP456" s="1" t="s">
        <v>74</v>
      </c>
      <c r="BQ456" s="1" t="s">
        <v>74</v>
      </c>
      <c r="BR456" s="1" t="s">
        <v>74</v>
      </c>
      <c r="BS456" s="1" t="s">
        <v>4527</v>
      </c>
      <c r="BT456" s="1" t="str">
        <f>HYPERLINK("https%3A%2F%2Fwww.webofscience.com%2Fwos%2Fwoscc%2Ffull-record%2FWOS:000824538600033","View Full Record in Web of Science")</f>
        <v>View Full Record in Web of Science</v>
      </c>
    </row>
    <row r="457" ht="12.75" customHeight="1">
      <c r="A457" s="1" t="s">
        <v>72</v>
      </c>
      <c r="B457" s="1" t="s">
        <v>4528</v>
      </c>
      <c r="C457" s="1" t="s">
        <v>74</v>
      </c>
      <c r="D457" s="1" t="s">
        <v>74</v>
      </c>
      <c r="E457" s="1" t="s">
        <v>74</v>
      </c>
      <c r="F457" s="1" t="s">
        <v>4529</v>
      </c>
      <c r="G457" s="1" t="s">
        <v>74</v>
      </c>
      <c r="H457" s="1" t="s">
        <v>74</v>
      </c>
      <c r="I457" s="1" t="s">
        <v>4530</v>
      </c>
      <c r="J457" s="1" t="s">
        <v>4531</v>
      </c>
      <c r="K457" s="1" t="s">
        <v>74</v>
      </c>
      <c r="L457" s="1" t="s">
        <v>74</v>
      </c>
      <c r="M457" s="1" t="s">
        <v>74</v>
      </c>
      <c r="N457" s="1" t="s">
        <v>74</v>
      </c>
      <c r="O457" s="1" t="s">
        <v>74</v>
      </c>
      <c r="P457" s="1" t="s">
        <v>74</v>
      </c>
      <c r="Q457" s="1" t="s">
        <v>74</v>
      </c>
      <c r="R457" s="1" t="s">
        <v>74</v>
      </c>
      <c r="S457" s="1" t="s">
        <v>74</v>
      </c>
      <c r="T457" s="1" t="s">
        <v>74</v>
      </c>
      <c r="U457" s="1" t="s">
        <v>74</v>
      </c>
      <c r="V457" s="1" t="s">
        <v>4532</v>
      </c>
      <c r="W457" s="1" t="s">
        <v>74</v>
      </c>
      <c r="X457" s="1" t="s">
        <v>74</v>
      </c>
      <c r="Y457" s="1" t="s">
        <v>74</v>
      </c>
      <c r="Z457" s="1" t="s">
        <v>74</v>
      </c>
      <c r="AA457" s="1" t="s">
        <v>4533</v>
      </c>
      <c r="AB457" s="1" t="s">
        <v>4534</v>
      </c>
      <c r="AC457" s="1" t="s">
        <v>74</v>
      </c>
      <c r="AD457" s="1" t="s">
        <v>74</v>
      </c>
      <c r="AE457" s="1" t="s">
        <v>74</v>
      </c>
      <c r="AF457" s="1" t="s">
        <v>74</v>
      </c>
      <c r="AG457" s="1" t="s">
        <v>74</v>
      </c>
      <c r="AH457" s="1" t="s">
        <v>74</v>
      </c>
      <c r="AI457" s="1" t="s">
        <v>74</v>
      </c>
      <c r="AJ457" s="1" t="s">
        <v>74</v>
      </c>
      <c r="AK457" s="1" t="s">
        <v>74</v>
      </c>
      <c r="AL457" s="1" t="s">
        <v>74</v>
      </c>
      <c r="AM457" s="1" t="s">
        <v>74</v>
      </c>
      <c r="AN457" s="1" t="s">
        <v>74</v>
      </c>
      <c r="AO457" s="1" t="s">
        <v>4535</v>
      </c>
      <c r="AP457" s="1" t="s">
        <v>4536</v>
      </c>
      <c r="AQ457" s="1" t="s">
        <v>74</v>
      </c>
      <c r="AR457" s="1" t="s">
        <v>74</v>
      </c>
      <c r="AS457" s="1" t="s">
        <v>74</v>
      </c>
      <c r="AT457" s="1" t="s">
        <v>841</v>
      </c>
      <c r="AU457" s="1">
        <v>2022.0</v>
      </c>
      <c r="AV457" s="1">
        <v>177.0</v>
      </c>
      <c r="AW457" s="1" t="s">
        <v>74</v>
      </c>
      <c r="AX457" s="1" t="s">
        <v>74</v>
      </c>
      <c r="AY457" s="1" t="s">
        <v>74</v>
      </c>
      <c r="AZ457" s="1" t="s">
        <v>74</v>
      </c>
      <c r="BA457" s="1" t="s">
        <v>74</v>
      </c>
      <c r="BB457" s="1" t="s">
        <v>74</v>
      </c>
      <c r="BC457" s="1" t="s">
        <v>74</v>
      </c>
      <c r="BD457" s="1">
        <v>121489.0</v>
      </c>
      <c r="BE457" s="1" t="s">
        <v>4537</v>
      </c>
      <c r="BF457" s="2" t="str">
        <f>HYPERLINK("http://dx.doi.org/10.1016/j.techfore.2022.121489","http://dx.doi.org/10.1016/j.techfore.2022.121489")</f>
        <v>http://dx.doi.org/10.1016/j.techfore.2022.121489</v>
      </c>
      <c r="BG457" s="1" t="s">
        <v>74</v>
      </c>
      <c r="BH457" s="1" t="s">
        <v>4538</v>
      </c>
      <c r="BI457" s="1" t="s">
        <v>74</v>
      </c>
      <c r="BJ457" s="1" t="s">
        <v>74</v>
      </c>
      <c r="BK457" s="1" t="s">
        <v>74</v>
      </c>
      <c r="BL457" s="1" t="s">
        <v>74</v>
      </c>
      <c r="BM457" s="1" t="s">
        <v>74</v>
      </c>
      <c r="BN457" s="1" t="s">
        <v>74</v>
      </c>
      <c r="BO457" s="1" t="s">
        <v>74</v>
      </c>
      <c r="BP457" s="1" t="s">
        <v>74</v>
      </c>
      <c r="BQ457" s="1" t="s">
        <v>74</v>
      </c>
      <c r="BR457" s="1" t="s">
        <v>74</v>
      </c>
      <c r="BS457" s="1" t="s">
        <v>4539</v>
      </c>
      <c r="BT457" s="1" t="str">
        <f>HYPERLINK("https%3A%2F%2Fwww.webofscience.com%2Fwos%2Fwoscc%2Ffull-record%2FWOS:000783040300014","View Full Record in Web of Science")</f>
        <v>View Full Record in Web of Science</v>
      </c>
    </row>
    <row r="458" ht="12.75" customHeight="1">
      <c r="A458" s="1" t="s">
        <v>147</v>
      </c>
      <c r="B458" s="1" t="s">
        <v>4540</v>
      </c>
      <c r="C458" s="1" t="s">
        <v>74</v>
      </c>
      <c r="D458" s="1" t="s">
        <v>4541</v>
      </c>
      <c r="E458" s="1" t="s">
        <v>74</v>
      </c>
      <c r="F458" s="1" t="s">
        <v>4542</v>
      </c>
      <c r="G458" s="1" t="s">
        <v>74</v>
      </c>
      <c r="H458" s="1" t="s">
        <v>74</v>
      </c>
      <c r="I458" s="1" t="s">
        <v>4543</v>
      </c>
      <c r="J458" s="1" t="s">
        <v>4544</v>
      </c>
      <c r="K458" s="1" t="s">
        <v>3189</v>
      </c>
      <c r="L458" s="1" t="s">
        <v>74</v>
      </c>
      <c r="M458" s="1" t="s">
        <v>74</v>
      </c>
      <c r="N458" s="1" t="s">
        <v>74</v>
      </c>
      <c r="O458" s="1" t="s">
        <v>4545</v>
      </c>
      <c r="P458" s="1" t="s">
        <v>4546</v>
      </c>
      <c r="Q458" s="1" t="s">
        <v>800</v>
      </c>
      <c r="R458" s="1" t="s">
        <v>74</v>
      </c>
      <c r="S458" s="1" t="s">
        <v>74</v>
      </c>
      <c r="T458" s="1" t="s">
        <v>74</v>
      </c>
      <c r="U458" s="1" t="s">
        <v>74</v>
      </c>
      <c r="V458" s="1" t="s">
        <v>4547</v>
      </c>
      <c r="W458" s="1" t="s">
        <v>74</v>
      </c>
      <c r="X458" s="1" t="s">
        <v>74</v>
      </c>
      <c r="Y458" s="1" t="s">
        <v>74</v>
      </c>
      <c r="Z458" s="1" t="s">
        <v>74</v>
      </c>
      <c r="AA458" s="1" t="s">
        <v>1394</v>
      </c>
      <c r="AB458" s="1" t="s">
        <v>3565</v>
      </c>
      <c r="AC458" s="1" t="s">
        <v>74</v>
      </c>
      <c r="AD458" s="1" t="s">
        <v>74</v>
      </c>
      <c r="AE458" s="1" t="s">
        <v>74</v>
      </c>
      <c r="AF458" s="1" t="s">
        <v>74</v>
      </c>
      <c r="AG458" s="1" t="s">
        <v>74</v>
      </c>
      <c r="AH458" s="1" t="s">
        <v>74</v>
      </c>
      <c r="AI458" s="1" t="s">
        <v>74</v>
      </c>
      <c r="AJ458" s="1" t="s">
        <v>74</v>
      </c>
      <c r="AK458" s="1" t="s">
        <v>74</v>
      </c>
      <c r="AL458" s="1" t="s">
        <v>74</v>
      </c>
      <c r="AM458" s="1" t="s">
        <v>74</v>
      </c>
      <c r="AN458" s="1" t="s">
        <v>74</v>
      </c>
      <c r="AO458" s="1" t="s">
        <v>3197</v>
      </c>
      <c r="AP458" s="1" t="s">
        <v>3198</v>
      </c>
      <c r="AQ458" s="1" t="s">
        <v>4548</v>
      </c>
      <c r="AR458" s="1" t="s">
        <v>74</v>
      </c>
      <c r="AS458" s="1" t="s">
        <v>74</v>
      </c>
      <c r="AT458" s="1" t="s">
        <v>74</v>
      </c>
      <c r="AU458" s="1">
        <v>2022.0</v>
      </c>
      <c r="AV458" s="1">
        <v>13475.0</v>
      </c>
      <c r="AW458" s="1" t="s">
        <v>74</v>
      </c>
      <c r="AX458" s="1" t="s">
        <v>74</v>
      </c>
      <c r="AY458" s="1" t="s">
        <v>74</v>
      </c>
      <c r="AZ458" s="1" t="s">
        <v>74</v>
      </c>
      <c r="BA458" s="1" t="s">
        <v>74</v>
      </c>
      <c r="BB458" s="1">
        <v>131.0</v>
      </c>
      <c r="BC458" s="1">
        <v>142.0</v>
      </c>
      <c r="BD458" s="1" t="s">
        <v>74</v>
      </c>
      <c r="BE458" s="1" t="s">
        <v>4549</v>
      </c>
      <c r="BF458" s="2" t="str">
        <f>HYPERLINK("http://dx.doi.org/10.1007/978-3-031-14391-5_10","http://dx.doi.org/10.1007/978-3-031-14391-5_10")</f>
        <v>http://dx.doi.org/10.1007/978-3-031-14391-5_10</v>
      </c>
      <c r="BG458" s="1" t="s">
        <v>74</v>
      </c>
      <c r="BH458" s="1" t="s">
        <v>74</v>
      </c>
      <c r="BI458" s="1" t="s">
        <v>74</v>
      </c>
      <c r="BJ458" s="1" t="s">
        <v>74</v>
      </c>
      <c r="BK458" s="1" t="s">
        <v>74</v>
      </c>
      <c r="BL458" s="1" t="s">
        <v>74</v>
      </c>
      <c r="BM458" s="1" t="s">
        <v>74</v>
      </c>
      <c r="BN458" s="1" t="s">
        <v>74</v>
      </c>
      <c r="BO458" s="1" t="s">
        <v>74</v>
      </c>
      <c r="BP458" s="1" t="s">
        <v>74</v>
      </c>
      <c r="BQ458" s="1" t="s">
        <v>74</v>
      </c>
      <c r="BR458" s="1" t="s">
        <v>74</v>
      </c>
      <c r="BS458" s="1" t="s">
        <v>4550</v>
      </c>
      <c r="BT458" s="1" t="str">
        <f>HYPERLINK("https%3A%2F%2Fwww.webofscience.com%2Fwos%2Fwoscc%2Ffull-record%2FWOS:000870672500010","View Full Record in Web of Science")</f>
        <v>View Full Record in Web of Science</v>
      </c>
    </row>
    <row r="459" ht="12.75" customHeight="1">
      <c r="A459" s="1" t="s">
        <v>72</v>
      </c>
      <c r="B459" s="1" t="s">
        <v>4551</v>
      </c>
      <c r="C459" s="1" t="s">
        <v>74</v>
      </c>
      <c r="D459" s="1" t="s">
        <v>74</v>
      </c>
      <c r="E459" s="1" t="s">
        <v>74</v>
      </c>
      <c r="F459" s="1" t="s">
        <v>4552</v>
      </c>
      <c r="G459" s="1" t="s">
        <v>74</v>
      </c>
      <c r="H459" s="1" t="s">
        <v>74</v>
      </c>
      <c r="I459" s="1" t="s">
        <v>4553</v>
      </c>
      <c r="J459" s="1" t="s">
        <v>4554</v>
      </c>
      <c r="K459" s="1" t="s">
        <v>74</v>
      </c>
      <c r="L459" s="1" t="s">
        <v>74</v>
      </c>
      <c r="M459" s="1" t="s">
        <v>74</v>
      </c>
      <c r="N459" s="1" t="s">
        <v>74</v>
      </c>
      <c r="O459" s="1" t="s">
        <v>74</v>
      </c>
      <c r="P459" s="1" t="s">
        <v>74</v>
      </c>
      <c r="Q459" s="1" t="s">
        <v>74</v>
      </c>
      <c r="R459" s="1" t="s">
        <v>74</v>
      </c>
      <c r="S459" s="1" t="s">
        <v>74</v>
      </c>
      <c r="T459" s="1" t="s">
        <v>74</v>
      </c>
      <c r="U459" s="1" t="s">
        <v>74</v>
      </c>
      <c r="V459" s="1" t="s">
        <v>4555</v>
      </c>
      <c r="W459" s="1" t="s">
        <v>74</v>
      </c>
      <c r="X459" s="1" t="s">
        <v>74</v>
      </c>
      <c r="Y459" s="1" t="s">
        <v>74</v>
      </c>
      <c r="Z459" s="1" t="s">
        <v>74</v>
      </c>
      <c r="AA459" s="1" t="s">
        <v>74</v>
      </c>
      <c r="AB459" s="1" t="s">
        <v>74</v>
      </c>
      <c r="AC459" s="1" t="s">
        <v>74</v>
      </c>
      <c r="AD459" s="1" t="s">
        <v>74</v>
      </c>
      <c r="AE459" s="1" t="s">
        <v>74</v>
      </c>
      <c r="AF459" s="1" t="s">
        <v>74</v>
      </c>
      <c r="AG459" s="1" t="s">
        <v>74</v>
      </c>
      <c r="AH459" s="1" t="s">
        <v>74</v>
      </c>
      <c r="AI459" s="1" t="s">
        <v>74</v>
      </c>
      <c r="AJ459" s="1" t="s">
        <v>74</v>
      </c>
      <c r="AK459" s="1" t="s">
        <v>74</v>
      </c>
      <c r="AL459" s="1" t="s">
        <v>74</v>
      </c>
      <c r="AM459" s="1" t="s">
        <v>74</v>
      </c>
      <c r="AN459" s="1" t="s">
        <v>74</v>
      </c>
      <c r="AO459" s="1" t="s">
        <v>4556</v>
      </c>
      <c r="AP459" s="1" t="s">
        <v>74</v>
      </c>
      <c r="AQ459" s="1" t="s">
        <v>74</v>
      </c>
      <c r="AR459" s="1" t="s">
        <v>74</v>
      </c>
      <c r="AS459" s="1" t="s">
        <v>74</v>
      </c>
      <c r="AT459" s="1" t="s">
        <v>240</v>
      </c>
      <c r="AU459" s="1">
        <v>2022.0</v>
      </c>
      <c r="AV459" s="1">
        <v>13.0</v>
      </c>
      <c r="AW459" s="1">
        <v>1.0</v>
      </c>
      <c r="AX459" s="1" t="s">
        <v>74</v>
      </c>
      <c r="AY459" s="1" t="s">
        <v>74</v>
      </c>
      <c r="AZ459" s="1" t="s">
        <v>74</v>
      </c>
      <c r="BA459" s="1" t="s">
        <v>74</v>
      </c>
      <c r="BB459" s="1">
        <v>1.0</v>
      </c>
      <c r="BC459" s="1">
        <v>21.0</v>
      </c>
      <c r="BD459" s="1" t="s">
        <v>74</v>
      </c>
      <c r="BE459" s="1" t="s">
        <v>74</v>
      </c>
      <c r="BF459" s="1" t="s">
        <v>74</v>
      </c>
      <c r="BG459" s="1" t="s">
        <v>74</v>
      </c>
      <c r="BH459" s="1" t="s">
        <v>74</v>
      </c>
      <c r="BI459" s="1" t="s">
        <v>74</v>
      </c>
      <c r="BJ459" s="1" t="s">
        <v>74</v>
      </c>
      <c r="BK459" s="1" t="s">
        <v>74</v>
      </c>
      <c r="BL459" s="1" t="s">
        <v>74</v>
      </c>
      <c r="BM459" s="1" t="s">
        <v>74</v>
      </c>
      <c r="BN459" s="1" t="s">
        <v>74</v>
      </c>
      <c r="BO459" s="1" t="s">
        <v>74</v>
      </c>
      <c r="BP459" s="1" t="s">
        <v>74</v>
      </c>
      <c r="BQ459" s="1" t="s">
        <v>74</v>
      </c>
      <c r="BR459" s="1" t="s">
        <v>74</v>
      </c>
      <c r="BS459" s="1" t="s">
        <v>4557</v>
      </c>
      <c r="BT459" s="1" t="str">
        <f>HYPERLINK("https%3A%2F%2Fwww.webofscience.com%2Fwos%2Fwoscc%2Ffull-record%2FWOS:000807819400001","View Full Record in Web of Science")</f>
        <v>View Full Record in Web of Science</v>
      </c>
    </row>
    <row r="460" ht="12.75" customHeight="1">
      <c r="A460" s="1" t="s">
        <v>72</v>
      </c>
      <c r="B460" s="1" t="s">
        <v>4558</v>
      </c>
      <c r="C460" s="1" t="s">
        <v>74</v>
      </c>
      <c r="D460" s="1" t="s">
        <v>74</v>
      </c>
      <c r="E460" s="1" t="s">
        <v>74</v>
      </c>
      <c r="F460" s="1" t="s">
        <v>4559</v>
      </c>
      <c r="G460" s="1" t="s">
        <v>74</v>
      </c>
      <c r="H460" s="1" t="s">
        <v>74</v>
      </c>
      <c r="I460" s="1" t="s">
        <v>4560</v>
      </c>
      <c r="J460" s="1" t="s">
        <v>2925</v>
      </c>
      <c r="K460" s="1" t="s">
        <v>74</v>
      </c>
      <c r="L460" s="1" t="s">
        <v>74</v>
      </c>
      <c r="M460" s="1" t="s">
        <v>74</v>
      </c>
      <c r="N460" s="1" t="s">
        <v>74</v>
      </c>
      <c r="O460" s="1" t="s">
        <v>74</v>
      </c>
      <c r="P460" s="1" t="s">
        <v>74</v>
      </c>
      <c r="Q460" s="1" t="s">
        <v>74</v>
      </c>
      <c r="R460" s="1" t="s">
        <v>74</v>
      </c>
      <c r="S460" s="1" t="s">
        <v>74</v>
      </c>
      <c r="T460" s="1" t="s">
        <v>74</v>
      </c>
      <c r="U460" s="1" t="s">
        <v>74</v>
      </c>
      <c r="V460" s="1" t="s">
        <v>4561</v>
      </c>
      <c r="W460" s="1" t="s">
        <v>74</v>
      </c>
      <c r="X460" s="1" t="s">
        <v>74</v>
      </c>
      <c r="Y460" s="1" t="s">
        <v>74</v>
      </c>
      <c r="Z460" s="1" t="s">
        <v>74</v>
      </c>
      <c r="AA460" s="1" t="s">
        <v>4562</v>
      </c>
      <c r="AB460" s="1" t="s">
        <v>4563</v>
      </c>
      <c r="AC460" s="1" t="s">
        <v>74</v>
      </c>
      <c r="AD460" s="1" t="s">
        <v>74</v>
      </c>
      <c r="AE460" s="1" t="s">
        <v>74</v>
      </c>
      <c r="AF460" s="1" t="s">
        <v>74</v>
      </c>
      <c r="AG460" s="1" t="s">
        <v>74</v>
      </c>
      <c r="AH460" s="1" t="s">
        <v>74</v>
      </c>
      <c r="AI460" s="1" t="s">
        <v>74</v>
      </c>
      <c r="AJ460" s="1" t="s">
        <v>74</v>
      </c>
      <c r="AK460" s="1" t="s">
        <v>74</v>
      </c>
      <c r="AL460" s="1" t="s">
        <v>74</v>
      </c>
      <c r="AM460" s="1" t="s">
        <v>74</v>
      </c>
      <c r="AN460" s="1" t="s">
        <v>74</v>
      </c>
      <c r="AO460" s="1" t="s">
        <v>74</v>
      </c>
      <c r="AP460" s="1" t="s">
        <v>2928</v>
      </c>
      <c r="AQ460" s="1" t="s">
        <v>74</v>
      </c>
      <c r="AR460" s="1" t="s">
        <v>74</v>
      </c>
      <c r="AS460" s="1" t="s">
        <v>74</v>
      </c>
      <c r="AT460" s="1" t="s">
        <v>4564</v>
      </c>
      <c r="AU460" s="1">
        <v>2021.0</v>
      </c>
      <c r="AV460" s="1">
        <v>12.0</v>
      </c>
      <c r="AW460" s="1" t="s">
        <v>74</v>
      </c>
      <c r="AX460" s="1" t="s">
        <v>74</v>
      </c>
      <c r="AY460" s="1" t="s">
        <v>74</v>
      </c>
      <c r="AZ460" s="1" t="s">
        <v>74</v>
      </c>
      <c r="BA460" s="1" t="s">
        <v>74</v>
      </c>
      <c r="BB460" s="1" t="s">
        <v>74</v>
      </c>
      <c r="BC460" s="1" t="s">
        <v>74</v>
      </c>
      <c r="BD460" s="1">
        <v>747868.0</v>
      </c>
      <c r="BE460" s="1" t="s">
        <v>4565</v>
      </c>
      <c r="BF460" s="2" t="str">
        <f>HYPERLINK("http://dx.doi.org/10.3389/fmicb.2021.747868","http://dx.doi.org/10.3389/fmicb.2021.747868")</f>
        <v>http://dx.doi.org/10.3389/fmicb.2021.747868</v>
      </c>
      <c r="BG460" s="1" t="s">
        <v>74</v>
      </c>
      <c r="BH460" s="1" t="s">
        <v>74</v>
      </c>
      <c r="BI460" s="1" t="s">
        <v>74</v>
      </c>
      <c r="BJ460" s="1" t="s">
        <v>74</v>
      </c>
      <c r="BK460" s="1" t="s">
        <v>74</v>
      </c>
      <c r="BL460" s="1" t="s">
        <v>74</v>
      </c>
      <c r="BM460" s="1" t="s">
        <v>74</v>
      </c>
      <c r="BN460" s="1">
        <v>3.4899635E7</v>
      </c>
      <c r="BO460" s="1" t="s">
        <v>74</v>
      </c>
      <c r="BP460" s="1" t="s">
        <v>74</v>
      </c>
      <c r="BQ460" s="1" t="s">
        <v>74</v>
      </c>
      <c r="BR460" s="1" t="s">
        <v>74</v>
      </c>
      <c r="BS460" s="1" t="s">
        <v>4566</v>
      </c>
      <c r="BT460" s="1" t="str">
        <f>HYPERLINK("https%3A%2F%2Fwww.webofscience.com%2Fwos%2Fwoscc%2Ffull-record%2FWOS:000886359200001","View Full Record in Web of Science")</f>
        <v>View Full Record in Web of Science</v>
      </c>
    </row>
    <row r="461" ht="12.75" customHeight="1">
      <c r="A461" s="1" t="s">
        <v>72</v>
      </c>
      <c r="B461" s="1" t="s">
        <v>4567</v>
      </c>
      <c r="C461" s="1" t="s">
        <v>74</v>
      </c>
      <c r="D461" s="1" t="s">
        <v>74</v>
      </c>
      <c r="E461" s="1" t="s">
        <v>74</v>
      </c>
      <c r="F461" s="1" t="s">
        <v>4568</v>
      </c>
      <c r="G461" s="1" t="s">
        <v>74</v>
      </c>
      <c r="H461" s="1" t="s">
        <v>74</v>
      </c>
      <c r="I461" s="1" t="s">
        <v>4569</v>
      </c>
      <c r="J461" s="1" t="s">
        <v>4570</v>
      </c>
      <c r="K461" s="1" t="s">
        <v>74</v>
      </c>
      <c r="L461" s="1" t="s">
        <v>74</v>
      </c>
      <c r="M461" s="1" t="s">
        <v>74</v>
      </c>
      <c r="N461" s="1" t="s">
        <v>74</v>
      </c>
      <c r="O461" s="1" t="s">
        <v>74</v>
      </c>
      <c r="P461" s="1" t="s">
        <v>74</v>
      </c>
      <c r="Q461" s="1" t="s">
        <v>74</v>
      </c>
      <c r="R461" s="1" t="s">
        <v>74</v>
      </c>
      <c r="S461" s="1" t="s">
        <v>74</v>
      </c>
      <c r="T461" s="1" t="s">
        <v>74</v>
      </c>
      <c r="U461" s="1" t="s">
        <v>74</v>
      </c>
      <c r="V461" s="1" t="s">
        <v>4571</v>
      </c>
      <c r="W461" s="1" t="s">
        <v>74</v>
      </c>
      <c r="X461" s="1" t="s">
        <v>74</v>
      </c>
      <c r="Y461" s="1" t="s">
        <v>74</v>
      </c>
      <c r="Z461" s="1" t="s">
        <v>74</v>
      </c>
      <c r="AA461" s="1" t="s">
        <v>4572</v>
      </c>
      <c r="AB461" s="1" t="s">
        <v>4573</v>
      </c>
      <c r="AC461" s="1" t="s">
        <v>74</v>
      </c>
      <c r="AD461" s="1" t="s">
        <v>74</v>
      </c>
      <c r="AE461" s="1" t="s">
        <v>74</v>
      </c>
      <c r="AF461" s="1" t="s">
        <v>74</v>
      </c>
      <c r="AG461" s="1" t="s">
        <v>74</v>
      </c>
      <c r="AH461" s="1" t="s">
        <v>74</v>
      </c>
      <c r="AI461" s="1" t="s">
        <v>74</v>
      </c>
      <c r="AJ461" s="1" t="s">
        <v>74</v>
      </c>
      <c r="AK461" s="1" t="s">
        <v>74</v>
      </c>
      <c r="AL461" s="1" t="s">
        <v>74</v>
      </c>
      <c r="AM461" s="1" t="s">
        <v>74</v>
      </c>
      <c r="AN461" s="1" t="s">
        <v>74</v>
      </c>
      <c r="AO461" s="1" t="s">
        <v>4574</v>
      </c>
      <c r="AP461" s="1" t="s">
        <v>4575</v>
      </c>
      <c r="AQ461" s="1" t="s">
        <v>74</v>
      </c>
      <c r="AR461" s="1" t="s">
        <v>74</v>
      </c>
      <c r="AS461" s="1" t="s">
        <v>74</v>
      </c>
      <c r="AT461" s="1" t="s">
        <v>4576</v>
      </c>
      <c r="AU461" s="1">
        <v>2021.0</v>
      </c>
      <c r="AV461" s="1">
        <v>130.0</v>
      </c>
      <c r="AW461" s="1">
        <v>3.0</v>
      </c>
      <c r="AX461" s="1" t="s">
        <v>74</v>
      </c>
      <c r="AY461" s="1" t="s">
        <v>74</v>
      </c>
      <c r="AZ461" s="1" t="s">
        <v>74</v>
      </c>
      <c r="BA461" s="1" t="s">
        <v>74</v>
      </c>
      <c r="BB461" s="1">
        <v>209.0</v>
      </c>
      <c r="BC461" s="1">
        <v>217.0</v>
      </c>
      <c r="BD461" s="1" t="s">
        <v>74</v>
      </c>
      <c r="BE461" s="1" t="s">
        <v>4577</v>
      </c>
      <c r="BF461" s="2" t="str">
        <f>HYPERLINK("http://dx.doi.org/10.1080/25726641.2019.1591067","http://dx.doi.org/10.1080/25726641.2019.1591067")</f>
        <v>http://dx.doi.org/10.1080/25726641.2019.1591067</v>
      </c>
      <c r="BG461" s="1" t="s">
        <v>74</v>
      </c>
      <c r="BH461" s="1" t="s">
        <v>74</v>
      </c>
      <c r="BI461" s="1" t="s">
        <v>74</v>
      </c>
      <c r="BJ461" s="1" t="s">
        <v>74</v>
      </c>
      <c r="BK461" s="1" t="s">
        <v>74</v>
      </c>
      <c r="BL461" s="1" t="s">
        <v>74</v>
      </c>
      <c r="BM461" s="1" t="s">
        <v>74</v>
      </c>
      <c r="BN461" s="1" t="s">
        <v>74</v>
      </c>
      <c r="BO461" s="1" t="s">
        <v>74</v>
      </c>
      <c r="BP461" s="1" t="s">
        <v>74</v>
      </c>
      <c r="BQ461" s="1" t="s">
        <v>74</v>
      </c>
      <c r="BR461" s="1" t="s">
        <v>74</v>
      </c>
      <c r="BS461" s="1" t="s">
        <v>4578</v>
      </c>
      <c r="BT461" s="1" t="str">
        <f>HYPERLINK("https%3A%2F%2Fwww.webofscience.com%2Fwos%2Fwoscc%2Ffull-record%2FWOS:000686351700004","View Full Record in Web of Science")</f>
        <v>View Full Record in Web of Science</v>
      </c>
    </row>
    <row r="462" ht="12.75" customHeight="1">
      <c r="A462" s="1" t="s">
        <v>72</v>
      </c>
      <c r="B462" s="1" t="s">
        <v>4579</v>
      </c>
      <c r="C462" s="1" t="s">
        <v>74</v>
      </c>
      <c r="D462" s="1" t="s">
        <v>74</v>
      </c>
      <c r="E462" s="1" t="s">
        <v>74</v>
      </c>
      <c r="F462" s="1" t="s">
        <v>4580</v>
      </c>
      <c r="G462" s="1" t="s">
        <v>74</v>
      </c>
      <c r="H462" s="1" t="s">
        <v>74</v>
      </c>
      <c r="I462" s="1" t="s">
        <v>4581</v>
      </c>
      <c r="J462" s="1" t="s">
        <v>4582</v>
      </c>
      <c r="K462" s="1" t="s">
        <v>74</v>
      </c>
      <c r="L462" s="1" t="s">
        <v>74</v>
      </c>
      <c r="M462" s="1" t="s">
        <v>74</v>
      </c>
      <c r="N462" s="1" t="s">
        <v>74</v>
      </c>
      <c r="O462" s="1" t="s">
        <v>74</v>
      </c>
      <c r="P462" s="1" t="s">
        <v>74</v>
      </c>
      <c r="Q462" s="1" t="s">
        <v>74</v>
      </c>
      <c r="R462" s="1" t="s">
        <v>74</v>
      </c>
      <c r="S462" s="1" t="s">
        <v>74</v>
      </c>
      <c r="T462" s="1" t="s">
        <v>74</v>
      </c>
      <c r="U462" s="1" t="s">
        <v>74</v>
      </c>
      <c r="V462" s="1" t="s">
        <v>4583</v>
      </c>
      <c r="W462" s="1" t="s">
        <v>74</v>
      </c>
      <c r="X462" s="1" t="s">
        <v>74</v>
      </c>
      <c r="Y462" s="1" t="s">
        <v>74</v>
      </c>
      <c r="Z462" s="1" t="s">
        <v>74</v>
      </c>
      <c r="AA462" s="1" t="s">
        <v>4584</v>
      </c>
      <c r="AB462" s="1" t="s">
        <v>4585</v>
      </c>
      <c r="AC462" s="1" t="s">
        <v>74</v>
      </c>
      <c r="AD462" s="1" t="s">
        <v>74</v>
      </c>
      <c r="AE462" s="1" t="s">
        <v>74</v>
      </c>
      <c r="AF462" s="1" t="s">
        <v>74</v>
      </c>
      <c r="AG462" s="1" t="s">
        <v>74</v>
      </c>
      <c r="AH462" s="1" t="s">
        <v>74</v>
      </c>
      <c r="AI462" s="1" t="s">
        <v>74</v>
      </c>
      <c r="AJ462" s="1" t="s">
        <v>74</v>
      </c>
      <c r="AK462" s="1" t="s">
        <v>74</v>
      </c>
      <c r="AL462" s="1" t="s">
        <v>74</v>
      </c>
      <c r="AM462" s="1" t="s">
        <v>74</v>
      </c>
      <c r="AN462" s="1" t="s">
        <v>74</v>
      </c>
      <c r="AO462" s="1" t="s">
        <v>4586</v>
      </c>
      <c r="AP462" s="1" t="s">
        <v>74</v>
      </c>
      <c r="AQ462" s="1" t="s">
        <v>74</v>
      </c>
      <c r="AR462" s="1" t="s">
        <v>74</v>
      </c>
      <c r="AS462" s="1" t="s">
        <v>74</v>
      </c>
      <c r="AT462" s="1" t="s">
        <v>74</v>
      </c>
      <c r="AU462" s="1">
        <v>2021.0</v>
      </c>
      <c r="AV462" s="1">
        <v>16.0</v>
      </c>
      <c r="AW462" s="1" t="s">
        <v>74</v>
      </c>
      <c r="AX462" s="1" t="s">
        <v>74</v>
      </c>
      <c r="AY462" s="1">
        <v>1.0</v>
      </c>
      <c r="AZ462" s="1" t="s">
        <v>74</v>
      </c>
      <c r="BA462" s="1" t="s">
        <v>74</v>
      </c>
      <c r="BB462" s="1">
        <v>192.0</v>
      </c>
      <c r="BC462" s="1">
        <v>203.0</v>
      </c>
      <c r="BD462" s="1" t="s">
        <v>74</v>
      </c>
      <c r="BE462" s="1" t="s">
        <v>4587</v>
      </c>
      <c r="BF462" s="2" t="str">
        <f>HYPERLINK("http://dx.doi.org/10.18002/rama.v16i1s.7005","http://dx.doi.org/10.18002/rama.v16i1s.7005")</f>
        <v>http://dx.doi.org/10.18002/rama.v16i1s.7005</v>
      </c>
      <c r="BG462" s="1" t="s">
        <v>74</v>
      </c>
      <c r="BH462" s="1" t="s">
        <v>74</v>
      </c>
      <c r="BI462" s="1" t="s">
        <v>74</v>
      </c>
      <c r="BJ462" s="1" t="s">
        <v>74</v>
      </c>
      <c r="BK462" s="1" t="s">
        <v>74</v>
      </c>
      <c r="BL462" s="1" t="s">
        <v>74</v>
      </c>
      <c r="BM462" s="1" t="s">
        <v>74</v>
      </c>
      <c r="BN462" s="1" t="s">
        <v>74</v>
      </c>
      <c r="BO462" s="1" t="s">
        <v>74</v>
      </c>
      <c r="BP462" s="1" t="s">
        <v>74</v>
      </c>
      <c r="BQ462" s="1" t="s">
        <v>74</v>
      </c>
      <c r="BR462" s="1" t="s">
        <v>74</v>
      </c>
      <c r="BS462" s="1" t="s">
        <v>4588</v>
      </c>
      <c r="BT462" s="1" t="str">
        <f>HYPERLINK("https%3A%2F%2Fwww.webofscience.com%2Fwos%2Fwoscc%2Ffull-record%2FWOS:000632219600009","View Full Record in Web of Science")</f>
        <v>View Full Record in Web of Science</v>
      </c>
    </row>
    <row r="463" ht="12.75" customHeight="1">
      <c r="A463" s="1" t="s">
        <v>72</v>
      </c>
      <c r="B463" s="1" t="s">
        <v>4589</v>
      </c>
      <c r="C463" s="1" t="s">
        <v>74</v>
      </c>
      <c r="D463" s="1" t="s">
        <v>74</v>
      </c>
      <c r="E463" s="1" t="s">
        <v>74</v>
      </c>
      <c r="F463" s="1" t="s">
        <v>4590</v>
      </c>
      <c r="G463" s="1" t="s">
        <v>74</v>
      </c>
      <c r="H463" s="1" t="s">
        <v>74</v>
      </c>
      <c r="I463" s="1" t="s">
        <v>4591</v>
      </c>
      <c r="J463" s="1" t="s">
        <v>4592</v>
      </c>
      <c r="K463" s="1" t="s">
        <v>74</v>
      </c>
      <c r="L463" s="1" t="s">
        <v>74</v>
      </c>
      <c r="M463" s="1" t="s">
        <v>74</v>
      </c>
      <c r="N463" s="1" t="s">
        <v>74</v>
      </c>
      <c r="O463" s="1" t="s">
        <v>74</v>
      </c>
      <c r="P463" s="1" t="s">
        <v>74</v>
      </c>
      <c r="Q463" s="1" t="s">
        <v>74</v>
      </c>
      <c r="R463" s="1" t="s">
        <v>74</v>
      </c>
      <c r="S463" s="1" t="s">
        <v>74</v>
      </c>
      <c r="T463" s="1" t="s">
        <v>74</v>
      </c>
      <c r="U463" s="1" t="s">
        <v>74</v>
      </c>
      <c r="V463" s="1" t="s">
        <v>74</v>
      </c>
      <c r="W463" s="1" t="s">
        <v>74</v>
      </c>
      <c r="X463" s="1" t="s">
        <v>74</v>
      </c>
      <c r="Y463" s="1" t="s">
        <v>74</v>
      </c>
      <c r="Z463" s="1" t="s">
        <v>74</v>
      </c>
      <c r="AA463" s="1" t="s">
        <v>74</v>
      </c>
      <c r="AB463" s="1" t="s">
        <v>4593</v>
      </c>
      <c r="AC463" s="1" t="s">
        <v>74</v>
      </c>
      <c r="AD463" s="1" t="s">
        <v>74</v>
      </c>
      <c r="AE463" s="1" t="s">
        <v>74</v>
      </c>
      <c r="AF463" s="1" t="s">
        <v>74</v>
      </c>
      <c r="AG463" s="1" t="s">
        <v>74</v>
      </c>
      <c r="AH463" s="1" t="s">
        <v>74</v>
      </c>
      <c r="AI463" s="1" t="s">
        <v>74</v>
      </c>
      <c r="AJ463" s="1" t="s">
        <v>74</v>
      </c>
      <c r="AK463" s="1" t="s">
        <v>74</v>
      </c>
      <c r="AL463" s="1" t="s">
        <v>74</v>
      </c>
      <c r="AM463" s="1" t="s">
        <v>74</v>
      </c>
      <c r="AN463" s="1" t="s">
        <v>74</v>
      </c>
      <c r="AO463" s="1" t="s">
        <v>4594</v>
      </c>
      <c r="AP463" s="1" t="s">
        <v>74</v>
      </c>
      <c r="AQ463" s="1" t="s">
        <v>74</v>
      </c>
      <c r="AR463" s="1" t="s">
        <v>74</v>
      </c>
      <c r="AS463" s="1" t="s">
        <v>74</v>
      </c>
      <c r="AT463" s="1" t="s">
        <v>415</v>
      </c>
      <c r="AU463" s="1">
        <v>2020.0</v>
      </c>
      <c r="AV463" s="1" t="s">
        <v>74</v>
      </c>
      <c r="AW463" s="1">
        <v>106.0</v>
      </c>
      <c r="AX463" s="1" t="s">
        <v>74</v>
      </c>
      <c r="AY463" s="1" t="s">
        <v>74</v>
      </c>
      <c r="AZ463" s="1" t="s">
        <v>74</v>
      </c>
      <c r="BA463" s="1" t="s">
        <v>74</v>
      </c>
      <c r="BB463" s="1">
        <v>152.0</v>
      </c>
      <c r="BC463" s="1">
        <v>154.0</v>
      </c>
      <c r="BD463" s="1" t="s">
        <v>74</v>
      </c>
      <c r="BE463" s="1" t="s">
        <v>74</v>
      </c>
      <c r="BF463" s="1" t="s">
        <v>74</v>
      </c>
      <c r="BG463" s="1" t="s">
        <v>74</v>
      </c>
      <c r="BH463" s="1" t="s">
        <v>74</v>
      </c>
      <c r="BI463" s="1" t="s">
        <v>74</v>
      </c>
      <c r="BJ463" s="1" t="s">
        <v>74</v>
      </c>
      <c r="BK463" s="1" t="s">
        <v>74</v>
      </c>
      <c r="BL463" s="1" t="s">
        <v>74</v>
      </c>
      <c r="BM463" s="1" t="s">
        <v>74</v>
      </c>
      <c r="BN463" s="1" t="s">
        <v>74</v>
      </c>
      <c r="BO463" s="1" t="s">
        <v>74</v>
      </c>
      <c r="BP463" s="1" t="s">
        <v>74</v>
      </c>
      <c r="BQ463" s="1" t="s">
        <v>74</v>
      </c>
      <c r="BR463" s="1" t="s">
        <v>74</v>
      </c>
      <c r="BS463" s="1" t="s">
        <v>4595</v>
      </c>
      <c r="BT463" s="1" t="str">
        <f>HYPERLINK("https%3A%2F%2Fwww.webofscience.com%2Fwos%2Fwoscc%2Ffull-record%2FWOS:000611784600015","View Full Record in Web of Science")</f>
        <v>View Full Record in Web of Science</v>
      </c>
    </row>
    <row r="464" ht="12.75" customHeight="1">
      <c r="A464" s="1" t="s">
        <v>72</v>
      </c>
      <c r="B464" s="1" t="s">
        <v>4596</v>
      </c>
      <c r="C464" s="1" t="s">
        <v>74</v>
      </c>
      <c r="D464" s="1" t="s">
        <v>74</v>
      </c>
      <c r="E464" s="1" t="s">
        <v>74</v>
      </c>
      <c r="F464" s="1" t="s">
        <v>4597</v>
      </c>
      <c r="G464" s="1" t="s">
        <v>74</v>
      </c>
      <c r="H464" s="1" t="s">
        <v>74</v>
      </c>
      <c r="I464" s="1" t="s">
        <v>4598</v>
      </c>
      <c r="J464" s="1" t="s">
        <v>1411</v>
      </c>
      <c r="K464" s="1" t="s">
        <v>74</v>
      </c>
      <c r="L464" s="1" t="s">
        <v>74</v>
      </c>
      <c r="M464" s="1" t="s">
        <v>74</v>
      </c>
      <c r="N464" s="1" t="s">
        <v>74</v>
      </c>
      <c r="O464" s="1" t="s">
        <v>74</v>
      </c>
      <c r="P464" s="1" t="s">
        <v>74</v>
      </c>
      <c r="Q464" s="1" t="s">
        <v>74</v>
      </c>
      <c r="R464" s="1" t="s">
        <v>74</v>
      </c>
      <c r="S464" s="1" t="s">
        <v>74</v>
      </c>
      <c r="T464" s="1" t="s">
        <v>74</v>
      </c>
      <c r="U464" s="1" t="s">
        <v>74</v>
      </c>
      <c r="V464" s="1" t="s">
        <v>4599</v>
      </c>
      <c r="W464" s="1" t="s">
        <v>74</v>
      </c>
      <c r="X464" s="1" t="s">
        <v>74</v>
      </c>
      <c r="Y464" s="1" t="s">
        <v>74</v>
      </c>
      <c r="Z464" s="1" t="s">
        <v>74</v>
      </c>
      <c r="AA464" s="1" t="s">
        <v>2437</v>
      </c>
      <c r="AB464" s="1" t="s">
        <v>3716</v>
      </c>
      <c r="AC464" s="1" t="s">
        <v>74</v>
      </c>
      <c r="AD464" s="1" t="s">
        <v>74</v>
      </c>
      <c r="AE464" s="1" t="s">
        <v>74</v>
      </c>
      <c r="AF464" s="1" t="s">
        <v>74</v>
      </c>
      <c r="AG464" s="1" t="s">
        <v>74</v>
      </c>
      <c r="AH464" s="1" t="s">
        <v>74</v>
      </c>
      <c r="AI464" s="1" t="s">
        <v>74</v>
      </c>
      <c r="AJ464" s="1" t="s">
        <v>74</v>
      </c>
      <c r="AK464" s="1" t="s">
        <v>74</v>
      </c>
      <c r="AL464" s="1" t="s">
        <v>74</v>
      </c>
      <c r="AM464" s="1" t="s">
        <v>74</v>
      </c>
      <c r="AN464" s="1" t="s">
        <v>74</v>
      </c>
      <c r="AO464" s="1" t="s">
        <v>1415</v>
      </c>
      <c r="AP464" s="1" t="s">
        <v>74</v>
      </c>
      <c r="AQ464" s="1" t="s">
        <v>74</v>
      </c>
      <c r="AR464" s="1" t="s">
        <v>74</v>
      </c>
      <c r="AS464" s="1" t="s">
        <v>74</v>
      </c>
      <c r="AT464" s="1" t="s">
        <v>4600</v>
      </c>
      <c r="AU464" s="1">
        <v>2020.0</v>
      </c>
      <c r="AV464" s="1">
        <v>8.0</v>
      </c>
      <c r="AW464" s="1" t="s">
        <v>74</v>
      </c>
      <c r="AX464" s="1" t="s">
        <v>74</v>
      </c>
      <c r="AY464" s="1" t="s">
        <v>74</v>
      </c>
      <c r="AZ464" s="1" t="s">
        <v>74</v>
      </c>
      <c r="BA464" s="1" t="s">
        <v>74</v>
      </c>
      <c r="BB464" s="1" t="s">
        <v>74</v>
      </c>
      <c r="BC464" s="1" t="s">
        <v>74</v>
      </c>
      <c r="BD464" s="1">
        <v>859.0</v>
      </c>
      <c r="BE464" s="1" t="s">
        <v>4601</v>
      </c>
      <c r="BF464" s="2" t="str">
        <f>HYPERLINK("http://dx.doi.org/10.3389/fbioe.2020.00859","http://dx.doi.org/10.3389/fbioe.2020.00859")</f>
        <v>http://dx.doi.org/10.3389/fbioe.2020.00859</v>
      </c>
      <c r="BG464" s="1" t="s">
        <v>74</v>
      </c>
      <c r="BH464" s="1" t="s">
        <v>74</v>
      </c>
      <c r="BI464" s="1" t="s">
        <v>74</v>
      </c>
      <c r="BJ464" s="1" t="s">
        <v>74</v>
      </c>
      <c r="BK464" s="1" t="s">
        <v>74</v>
      </c>
      <c r="BL464" s="1" t="s">
        <v>74</v>
      </c>
      <c r="BM464" s="1" t="s">
        <v>74</v>
      </c>
      <c r="BN464" s="1">
        <v>3.2793582E7</v>
      </c>
      <c r="BO464" s="1" t="s">
        <v>74</v>
      </c>
      <c r="BP464" s="1" t="s">
        <v>74</v>
      </c>
      <c r="BQ464" s="1" t="s">
        <v>74</v>
      </c>
      <c r="BR464" s="1" t="s">
        <v>74</v>
      </c>
      <c r="BS464" s="1" t="s">
        <v>4602</v>
      </c>
      <c r="BT464" s="1" t="str">
        <f>HYPERLINK("https%3A%2F%2Fwww.webofscience.com%2Fwos%2Fwoscc%2Ffull-record%2FWOS:000560292300001","View Full Record in Web of Science")</f>
        <v>View Full Record in Web of Science</v>
      </c>
    </row>
    <row r="465" ht="12.75" customHeight="1">
      <c r="A465" s="1" t="s">
        <v>72</v>
      </c>
      <c r="B465" s="1" t="s">
        <v>4603</v>
      </c>
      <c r="C465" s="1" t="s">
        <v>74</v>
      </c>
      <c r="D465" s="1" t="s">
        <v>74</v>
      </c>
      <c r="E465" s="1" t="s">
        <v>74</v>
      </c>
      <c r="F465" s="1" t="s">
        <v>4604</v>
      </c>
      <c r="G465" s="1" t="s">
        <v>74</v>
      </c>
      <c r="H465" s="1" t="s">
        <v>74</v>
      </c>
      <c r="I465" s="1" t="s">
        <v>4605</v>
      </c>
      <c r="J465" s="1" t="s">
        <v>4606</v>
      </c>
      <c r="K465" s="1" t="s">
        <v>74</v>
      </c>
      <c r="L465" s="1" t="s">
        <v>74</v>
      </c>
      <c r="M465" s="1" t="s">
        <v>74</v>
      </c>
      <c r="N465" s="1" t="s">
        <v>74</v>
      </c>
      <c r="O465" s="1" t="s">
        <v>74</v>
      </c>
      <c r="P465" s="1" t="s">
        <v>74</v>
      </c>
      <c r="Q465" s="1" t="s">
        <v>74</v>
      </c>
      <c r="R465" s="1" t="s">
        <v>74</v>
      </c>
      <c r="S465" s="1" t="s">
        <v>74</v>
      </c>
      <c r="T465" s="1" t="s">
        <v>74</v>
      </c>
      <c r="U465" s="1" t="s">
        <v>74</v>
      </c>
      <c r="V465" s="1" t="s">
        <v>4607</v>
      </c>
      <c r="W465" s="1" t="s">
        <v>74</v>
      </c>
      <c r="X465" s="1" t="s">
        <v>74</v>
      </c>
      <c r="Y465" s="1" t="s">
        <v>74</v>
      </c>
      <c r="Z465" s="1" t="s">
        <v>74</v>
      </c>
      <c r="AA465" s="1" t="s">
        <v>4608</v>
      </c>
      <c r="AB465" s="1" t="s">
        <v>4609</v>
      </c>
      <c r="AC465" s="1" t="s">
        <v>74</v>
      </c>
      <c r="AD465" s="1" t="s">
        <v>74</v>
      </c>
      <c r="AE465" s="1" t="s">
        <v>74</v>
      </c>
      <c r="AF465" s="1" t="s">
        <v>74</v>
      </c>
      <c r="AG465" s="1" t="s">
        <v>74</v>
      </c>
      <c r="AH465" s="1" t="s">
        <v>74</v>
      </c>
      <c r="AI465" s="1" t="s">
        <v>74</v>
      </c>
      <c r="AJ465" s="1" t="s">
        <v>74</v>
      </c>
      <c r="AK465" s="1" t="s">
        <v>74</v>
      </c>
      <c r="AL465" s="1" t="s">
        <v>74</v>
      </c>
      <c r="AM465" s="1" t="s">
        <v>74</v>
      </c>
      <c r="AN465" s="1" t="s">
        <v>74</v>
      </c>
      <c r="AO465" s="1" t="s">
        <v>4610</v>
      </c>
      <c r="AP465" s="1" t="s">
        <v>74</v>
      </c>
      <c r="AQ465" s="1" t="s">
        <v>74</v>
      </c>
      <c r="AR465" s="1" t="s">
        <v>74</v>
      </c>
      <c r="AS465" s="1" t="s">
        <v>74</v>
      </c>
      <c r="AT465" s="1" t="s">
        <v>74</v>
      </c>
      <c r="AU465" s="1">
        <v>2020.0</v>
      </c>
      <c r="AV465" s="1">
        <v>29.0</v>
      </c>
      <c r="AW465" s="1">
        <v>4.0</v>
      </c>
      <c r="AX465" s="1" t="s">
        <v>74</v>
      </c>
      <c r="AY465" s="1" t="s">
        <v>74</v>
      </c>
      <c r="AZ465" s="1" t="s">
        <v>74</v>
      </c>
      <c r="BA465" s="1" t="s">
        <v>74</v>
      </c>
      <c r="BB465" s="1" t="s">
        <v>74</v>
      </c>
      <c r="BC465" s="1" t="s">
        <v>74</v>
      </c>
      <c r="BD465" s="1" t="s">
        <v>74</v>
      </c>
      <c r="BE465" s="1" t="s">
        <v>4611</v>
      </c>
      <c r="BF465" s="2" t="str">
        <f>HYPERLINK("http://dx.doi.org/10.1590/s0104-12902020190991","http://dx.doi.org/10.1590/s0104-12902020190991")</f>
        <v>http://dx.doi.org/10.1590/s0104-12902020190991</v>
      </c>
      <c r="BG465" s="1" t="s">
        <v>74</v>
      </c>
      <c r="BH465" s="1" t="s">
        <v>74</v>
      </c>
      <c r="BI465" s="1" t="s">
        <v>74</v>
      </c>
      <c r="BJ465" s="1" t="s">
        <v>74</v>
      </c>
      <c r="BK465" s="1" t="s">
        <v>74</v>
      </c>
      <c r="BL465" s="1" t="s">
        <v>74</v>
      </c>
      <c r="BM465" s="1" t="s">
        <v>74</v>
      </c>
      <c r="BN465" s="1" t="s">
        <v>74</v>
      </c>
      <c r="BO465" s="1" t="s">
        <v>74</v>
      </c>
      <c r="BP465" s="1" t="s">
        <v>74</v>
      </c>
      <c r="BQ465" s="1" t="s">
        <v>74</v>
      </c>
      <c r="BR465" s="1" t="s">
        <v>74</v>
      </c>
      <c r="BS465" s="1" t="s">
        <v>4612</v>
      </c>
      <c r="BT465" s="1" t="str">
        <f>HYPERLINK("https%3A%2F%2Fwww.webofscience.com%2Fwos%2Fwoscc%2Ffull-record%2FWOS:000595542100001","View Full Record in Web of Science")</f>
        <v>View Full Record in Web of Science</v>
      </c>
    </row>
    <row r="466" ht="12.75" customHeight="1">
      <c r="A466" s="1" t="s">
        <v>72</v>
      </c>
      <c r="B466" s="1" t="s">
        <v>4613</v>
      </c>
      <c r="C466" s="1" t="s">
        <v>74</v>
      </c>
      <c r="D466" s="1" t="s">
        <v>74</v>
      </c>
      <c r="E466" s="1" t="s">
        <v>74</v>
      </c>
      <c r="F466" s="1" t="s">
        <v>4614</v>
      </c>
      <c r="G466" s="1" t="s">
        <v>74</v>
      </c>
      <c r="H466" s="1" t="s">
        <v>74</v>
      </c>
      <c r="I466" s="1" t="s">
        <v>4615</v>
      </c>
      <c r="J466" s="1" t="s">
        <v>4616</v>
      </c>
      <c r="K466" s="1" t="s">
        <v>74</v>
      </c>
      <c r="L466" s="1" t="s">
        <v>74</v>
      </c>
      <c r="M466" s="1" t="s">
        <v>74</v>
      </c>
      <c r="N466" s="1" t="s">
        <v>74</v>
      </c>
      <c r="O466" s="1" t="s">
        <v>74</v>
      </c>
      <c r="P466" s="1" t="s">
        <v>74</v>
      </c>
      <c r="Q466" s="1" t="s">
        <v>74</v>
      </c>
      <c r="R466" s="1" t="s">
        <v>74</v>
      </c>
      <c r="S466" s="1" t="s">
        <v>74</v>
      </c>
      <c r="T466" s="1" t="s">
        <v>74</v>
      </c>
      <c r="U466" s="1" t="s">
        <v>74</v>
      </c>
      <c r="V466" s="1" t="s">
        <v>74</v>
      </c>
      <c r="W466" s="1" t="s">
        <v>74</v>
      </c>
      <c r="X466" s="1" t="s">
        <v>74</v>
      </c>
      <c r="Y466" s="1" t="s">
        <v>74</v>
      </c>
      <c r="Z466" s="1" t="s">
        <v>74</v>
      </c>
      <c r="AA466" s="1" t="s">
        <v>4617</v>
      </c>
      <c r="AB466" s="1" t="s">
        <v>4618</v>
      </c>
      <c r="AC466" s="1" t="s">
        <v>74</v>
      </c>
      <c r="AD466" s="1" t="s">
        <v>74</v>
      </c>
      <c r="AE466" s="1" t="s">
        <v>74</v>
      </c>
      <c r="AF466" s="1" t="s">
        <v>74</v>
      </c>
      <c r="AG466" s="1" t="s">
        <v>74</v>
      </c>
      <c r="AH466" s="1" t="s">
        <v>74</v>
      </c>
      <c r="AI466" s="1" t="s">
        <v>74</v>
      </c>
      <c r="AJ466" s="1" t="s">
        <v>74</v>
      </c>
      <c r="AK466" s="1" t="s">
        <v>74</v>
      </c>
      <c r="AL466" s="1" t="s">
        <v>74</v>
      </c>
      <c r="AM466" s="1" t="s">
        <v>74</v>
      </c>
      <c r="AN466" s="1" t="s">
        <v>74</v>
      </c>
      <c r="AO466" s="1" t="s">
        <v>4619</v>
      </c>
      <c r="AP466" s="1" t="s">
        <v>4620</v>
      </c>
      <c r="AQ466" s="1" t="s">
        <v>74</v>
      </c>
      <c r="AR466" s="1" t="s">
        <v>74</v>
      </c>
      <c r="AS466" s="1" t="s">
        <v>74</v>
      </c>
      <c r="AT466" s="1" t="s">
        <v>74</v>
      </c>
      <c r="AU466" s="1">
        <v>2020.0</v>
      </c>
      <c r="AV466" s="1">
        <v>36.0</v>
      </c>
      <c r="AW466" s="1">
        <v>3.0</v>
      </c>
      <c r="AX466" s="1" t="s">
        <v>74</v>
      </c>
      <c r="AY466" s="1" t="s">
        <v>74</v>
      </c>
      <c r="AZ466" s="1" t="s">
        <v>74</v>
      </c>
      <c r="BA466" s="1" t="s">
        <v>74</v>
      </c>
      <c r="BB466" s="1">
        <v>339.0</v>
      </c>
      <c r="BC466" s="1">
        <v>343.0</v>
      </c>
      <c r="BD466" s="1" t="s">
        <v>74</v>
      </c>
      <c r="BE466" s="1" t="s">
        <v>4621</v>
      </c>
      <c r="BF466" s="2" t="str">
        <f>HYPERLINK("http://dx.doi.org/10.3233/EFI-200007","http://dx.doi.org/10.3233/EFI-200007")</f>
        <v>http://dx.doi.org/10.3233/EFI-200007</v>
      </c>
      <c r="BG466" s="1" t="s">
        <v>74</v>
      </c>
      <c r="BH466" s="1" t="s">
        <v>74</v>
      </c>
      <c r="BI466" s="1" t="s">
        <v>74</v>
      </c>
      <c r="BJ466" s="1" t="s">
        <v>74</v>
      </c>
      <c r="BK466" s="1" t="s">
        <v>74</v>
      </c>
      <c r="BL466" s="1" t="s">
        <v>74</v>
      </c>
      <c r="BM466" s="1" t="s">
        <v>74</v>
      </c>
      <c r="BN466" s="1" t="s">
        <v>74</v>
      </c>
      <c r="BO466" s="1" t="s">
        <v>74</v>
      </c>
      <c r="BP466" s="1" t="s">
        <v>74</v>
      </c>
      <c r="BQ466" s="1" t="s">
        <v>74</v>
      </c>
      <c r="BR466" s="1" t="s">
        <v>74</v>
      </c>
      <c r="BS466" s="1" t="s">
        <v>4622</v>
      </c>
      <c r="BT466" s="1" t="str">
        <f>HYPERLINK("https%3A%2F%2Fwww.webofscience.com%2Fwos%2Fwoscc%2Ffull-record%2FWOS:000574867700009","View Full Record in Web of Science")</f>
        <v>View Full Record in Web of Science</v>
      </c>
    </row>
    <row r="467" ht="12.75" customHeight="1">
      <c r="A467" s="1" t="s">
        <v>72</v>
      </c>
      <c r="B467" s="1" t="s">
        <v>4623</v>
      </c>
      <c r="C467" s="1" t="s">
        <v>74</v>
      </c>
      <c r="D467" s="1" t="s">
        <v>74</v>
      </c>
      <c r="E467" s="1" t="s">
        <v>74</v>
      </c>
      <c r="F467" s="1" t="s">
        <v>4624</v>
      </c>
      <c r="G467" s="1" t="s">
        <v>74</v>
      </c>
      <c r="H467" s="1" t="s">
        <v>74</v>
      </c>
      <c r="I467" s="1" t="s">
        <v>4625</v>
      </c>
      <c r="J467" s="1" t="s">
        <v>4626</v>
      </c>
      <c r="K467" s="1" t="s">
        <v>74</v>
      </c>
      <c r="L467" s="1" t="s">
        <v>74</v>
      </c>
      <c r="M467" s="1" t="s">
        <v>74</v>
      </c>
      <c r="N467" s="1" t="s">
        <v>74</v>
      </c>
      <c r="O467" s="1" t="s">
        <v>74</v>
      </c>
      <c r="P467" s="1" t="s">
        <v>74</v>
      </c>
      <c r="Q467" s="1" t="s">
        <v>74</v>
      </c>
      <c r="R467" s="1" t="s">
        <v>74</v>
      </c>
      <c r="S467" s="1" t="s">
        <v>74</v>
      </c>
      <c r="T467" s="1" t="s">
        <v>74</v>
      </c>
      <c r="U467" s="1" t="s">
        <v>74</v>
      </c>
      <c r="V467" s="1" t="s">
        <v>4627</v>
      </c>
      <c r="W467" s="1" t="s">
        <v>74</v>
      </c>
      <c r="X467" s="1" t="s">
        <v>74</v>
      </c>
      <c r="Y467" s="1" t="s">
        <v>74</v>
      </c>
      <c r="Z467" s="1" t="s">
        <v>74</v>
      </c>
      <c r="AA467" s="1" t="s">
        <v>4628</v>
      </c>
      <c r="AB467" s="1" t="s">
        <v>4629</v>
      </c>
      <c r="AC467" s="1" t="s">
        <v>74</v>
      </c>
      <c r="AD467" s="1" t="s">
        <v>74</v>
      </c>
      <c r="AE467" s="1" t="s">
        <v>74</v>
      </c>
      <c r="AF467" s="1" t="s">
        <v>74</v>
      </c>
      <c r="AG467" s="1" t="s">
        <v>74</v>
      </c>
      <c r="AH467" s="1" t="s">
        <v>74</v>
      </c>
      <c r="AI467" s="1" t="s">
        <v>74</v>
      </c>
      <c r="AJ467" s="1" t="s">
        <v>74</v>
      </c>
      <c r="AK467" s="1" t="s">
        <v>74</v>
      </c>
      <c r="AL467" s="1" t="s">
        <v>74</v>
      </c>
      <c r="AM467" s="1" t="s">
        <v>74</v>
      </c>
      <c r="AN467" s="1" t="s">
        <v>74</v>
      </c>
      <c r="AO467" s="1" t="s">
        <v>4630</v>
      </c>
      <c r="AP467" s="1" t="s">
        <v>4631</v>
      </c>
      <c r="AQ467" s="1" t="s">
        <v>74</v>
      </c>
      <c r="AR467" s="1" t="s">
        <v>74</v>
      </c>
      <c r="AS467" s="1" t="s">
        <v>74</v>
      </c>
      <c r="AT467" s="1" t="s">
        <v>4632</v>
      </c>
      <c r="AU467" s="1">
        <v>2019.0</v>
      </c>
      <c r="AV467" s="1">
        <v>33.0</v>
      </c>
      <c r="AW467" s="1">
        <v>16.0</v>
      </c>
      <c r="AX467" s="1" t="s">
        <v>74</v>
      </c>
      <c r="AY467" s="1" t="s">
        <v>74</v>
      </c>
      <c r="AZ467" s="1" t="s">
        <v>74</v>
      </c>
      <c r="BA467" s="1" t="s">
        <v>74</v>
      </c>
      <c r="BB467" s="1">
        <v>2408.0</v>
      </c>
      <c r="BC467" s="1">
        <v>2412.0</v>
      </c>
      <c r="BD467" s="1" t="s">
        <v>74</v>
      </c>
      <c r="BE467" s="1" t="s">
        <v>4633</v>
      </c>
      <c r="BF467" s="2" t="str">
        <f>HYPERLINK("http://dx.doi.org/10.1080/14786419.2018.1443093","http://dx.doi.org/10.1080/14786419.2018.1443093")</f>
        <v>http://dx.doi.org/10.1080/14786419.2018.1443093</v>
      </c>
      <c r="BG467" s="1" t="s">
        <v>74</v>
      </c>
      <c r="BH467" s="1" t="s">
        <v>74</v>
      </c>
      <c r="BI467" s="1" t="s">
        <v>74</v>
      </c>
      <c r="BJ467" s="1" t="s">
        <v>74</v>
      </c>
      <c r="BK467" s="1" t="s">
        <v>74</v>
      </c>
      <c r="BL467" s="1" t="s">
        <v>74</v>
      </c>
      <c r="BM467" s="1" t="s">
        <v>74</v>
      </c>
      <c r="BN467" s="1">
        <v>2.9480018E7</v>
      </c>
      <c r="BO467" s="1" t="s">
        <v>74</v>
      </c>
      <c r="BP467" s="1" t="s">
        <v>74</v>
      </c>
      <c r="BQ467" s="1" t="s">
        <v>74</v>
      </c>
      <c r="BR467" s="1" t="s">
        <v>74</v>
      </c>
      <c r="BS467" s="1" t="s">
        <v>4634</v>
      </c>
      <c r="BT467" s="1" t="str">
        <f>HYPERLINK("https%3A%2F%2Fwww.webofscience.com%2Fwos%2Fwoscc%2Ffull-record%2FWOS:000472075600021","View Full Record in Web of Science")</f>
        <v>View Full Record in Web of Science</v>
      </c>
    </row>
    <row r="468" ht="12.75" customHeight="1">
      <c r="A468" s="1" t="s">
        <v>72</v>
      </c>
      <c r="B468" s="1" t="s">
        <v>4635</v>
      </c>
      <c r="C468" s="1" t="s">
        <v>74</v>
      </c>
      <c r="D468" s="1" t="s">
        <v>74</v>
      </c>
      <c r="E468" s="1" t="s">
        <v>74</v>
      </c>
      <c r="F468" s="1" t="s">
        <v>4636</v>
      </c>
      <c r="G468" s="1" t="s">
        <v>74</v>
      </c>
      <c r="H468" s="1" t="s">
        <v>74</v>
      </c>
      <c r="I468" s="1" t="s">
        <v>4637</v>
      </c>
      <c r="J468" s="1" t="s">
        <v>4638</v>
      </c>
      <c r="K468" s="1" t="s">
        <v>74</v>
      </c>
      <c r="L468" s="1" t="s">
        <v>74</v>
      </c>
      <c r="M468" s="1" t="s">
        <v>74</v>
      </c>
      <c r="N468" s="1" t="s">
        <v>74</v>
      </c>
      <c r="O468" s="1" t="s">
        <v>74</v>
      </c>
      <c r="P468" s="1" t="s">
        <v>74</v>
      </c>
      <c r="Q468" s="1" t="s">
        <v>74</v>
      </c>
      <c r="R468" s="1" t="s">
        <v>74</v>
      </c>
      <c r="S468" s="1" t="s">
        <v>74</v>
      </c>
      <c r="T468" s="1" t="s">
        <v>74</v>
      </c>
      <c r="U468" s="1" t="s">
        <v>74</v>
      </c>
      <c r="V468" s="1" t="s">
        <v>4639</v>
      </c>
      <c r="W468" s="1" t="s">
        <v>74</v>
      </c>
      <c r="X468" s="1" t="s">
        <v>74</v>
      </c>
      <c r="Y468" s="1" t="s">
        <v>74</v>
      </c>
      <c r="Z468" s="1" t="s">
        <v>74</v>
      </c>
      <c r="AA468" s="1" t="s">
        <v>4640</v>
      </c>
      <c r="AB468" s="1" t="s">
        <v>4641</v>
      </c>
      <c r="AC468" s="1" t="s">
        <v>74</v>
      </c>
      <c r="AD468" s="1" t="s">
        <v>74</v>
      </c>
      <c r="AE468" s="1" t="s">
        <v>74</v>
      </c>
      <c r="AF468" s="1" t="s">
        <v>74</v>
      </c>
      <c r="AG468" s="1" t="s">
        <v>74</v>
      </c>
      <c r="AH468" s="1" t="s">
        <v>74</v>
      </c>
      <c r="AI468" s="1" t="s">
        <v>74</v>
      </c>
      <c r="AJ468" s="1" t="s">
        <v>74</v>
      </c>
      <c r="AK468" s="1" t="s">
        <v>74</v>
      </c>
      <c r="AL468" s="1" t="s">
        <v>74</v>
      </c>
      <c r="AM468" s="1" t="s">
        <v>74</v>
      </c>
      <c r="AN468" s="1" t="s">
        <v>74</v>
      </c>
      <c r="AO468" s="1" t="s">
        <v>4642</v>
      </c>
      <c r="AP468" s="1" t="s">
        <v>4643</v>
      </c>
      <c r="AQ468" s="1" t="s">
        <v>74</v>
      </c>
      <c r="AR468" s="1" t="s">
        <v>74</v>
      </c>
      <c r="AS468" s="1" t="s">
        <v>74</v>
      </c>
      <c r="AT468" s="1" t="s">
        <v>1115</v>
      </c>
      <c r="AU468" s="1">
        <v>2019.0</v>
      </c>
      <c r="AV468" s="1">
        <v>4608.0</v>
      </c>
      <c r="AW468" s="1">
        <v>1.0</v>
      </c>
      <c r="AX468" s="1" t="s">
        <v>74</v>
      </c>
      <c r="AY468" s="1" t="s">
        <v>74</v>
      </c>
      <c r="AZ468" s="1" t="s">
        <v>74</v>
      </c>
      <c r="BA468" s="1" t="s">
        <v>74</v>
      </c>
      <c r="BB468" s="1">
        <v>187.0</v>
      </c>
      <c r="BC468" s="1">
        <v>190.0</v>
      </c>
      <c r="BD468" s="1" t="s">
        <v>74</v>
      </c>
      <c r="BE468" s="1" t="s">
        <v>4644</v>
      </c>
      <c r="BF468" s="2" t="str">
        <f>HYPERLINK("http://dx.doi.org/10.11646/zootaxa.4608.1.12","http://dx.doi.org/10.11646/zootaxa.4608.1.12")</f>
        <v>http://dx.doi.org/10.11646/zootaxa.4608.1.12</v>
      </c>
      <c r="BG468" s="1" t="s">
        <v>74</v>
      </c>
      <c r="BH468" s="1" t="s">
        <v>74</v>
      </c>
      <c r="BI468" s="1" t="s">
        <v>74</v>
      </c>
      <c r="BJ468" s="1" t="s">
        <v>74</v>
      </c>
      <c r="BK468" s="1" t="s">
        <v>74</v>
      </c>
      <c r="BL468" s="1" t="s">
        <v>74</v>
      </c>
      <c r="BM468" s="1" t="s">
        <v>74</v>
      </c>
      <c r="BN468" s="1">
        <v>3.1717169E7</v>
      </c>
      <c r="BO468" s="1" t="s">
        <v>74</v>
      </c>
      <c r="BP468" s="1" t="s">
        <v>74</v>
      </c>
      <c r="BQ468" s="1" t="s">
        <v>74</v>
      </c>
      <c r="BR468" s="1" t="s">
        <v>74</v>
      </c>
      <c r="BS468" s="1" t="s">
        <v>4645</v>
      </c>
      <c r="BT468" s="1" t="str">
        <f>HYPERLINK("https%3A%2F%2Fwww.webofscience.com%2Fwos%2Fwoscc%2Ffull-record%2FWOS:000468436100012","View Full Record in Web of Science")</f>
        <v>View Full Record in Web of Science</v>
      </c>
    </row>
    <row r="469" ht="12.75" customHeight="1">
      <c r="A469" s="1" t="s">
        <v>72</v>
      </c>
      <c r="B469" s="1" t="s">
        <v>4646</v>
      </c>
      <c r="C469" s="1" t="s">
        <v>74</v>
      </c>
      <c r="D469" s="1" t="s">
        <v>74</v>
      </c>
      <c r="E469" s="1" t="s">
        <v>74</v>
      </c>
      <c r="F469" s="1" t="s">
        <v>4647</v>
      </c>
      <c r="G469" s="1" t="s">
        <v>74</v>
      </c>
      <c r="H469" s="1" t="s">
        <v>74</v>
      </c>
      <c r="I469" s="1" t="s">
        <v>4648</v>
      </c>
      <c r="J469" s="1" t="s">
        <v>1859</v>
      </c>
      <c r="K469" s="1" t="s">
        <v>74</v>
      </c>
      <c r="L469" s="1" t="s">
        <v>74</v>
      </c>
      <c r="M469" s="1" t="s">
        <v>74</v>
      </c>
      <c r="N469" s="1" t="s">
        <v>74</v>
      </c>
      <c r="O469" s="1" t="s">
        <v>74</v>
      </c>
      <c r="P469" s="1" t="s">
        <v>74</v>
      </c>
      <c r="Q469" s="1" t="s">
        <v>74</v>
      </c>
      <c r="R469" s="1" t="s">
        <v>74</v>
      </c>
      <c r="S469" s="1" t="s">
        <v>74</v>
      </c>
      <c r="T469" s="1" t="s">
        <v>74</v>
      </c>
      <c r="U469" s="1" t="s">
        <v>74</v>
      </c>
      <c r="V469" s="1" t="s">
        <v>4649</v>
      </c>
      <c r="W469" s="1" t="s">
        <v>74</v>
      </c>
      <c r="X469" s="1" t="s">
        <v>74</v>
      </c>
      <c r="Y469" s="1" t="s">
        <v>74</v>
      </c>
      <c r="Z469" s="1" t="s">
        <v>74</v>
      </c>
      <c r="AA469" s="1" t="s">
        <v>2543</v>
      </c>
      <c r="AB469" s="1" t="s">
        <v>1770</v>
      </c>
      <c r="AC469" s="1" t="s">
        <v>74</v>
      </c>
      <c r="AD469" s="1" t="s">
        <v>74</v>
      </c>
      <c r="AE469" s="1" t="s">
        <v>74</v>
      </c>
      <c r="AF469" s="1" t="s">
        <v>74</v>
      </c>
      <c r="AG469" s="1" t="s">
        <v>74</v>
      </c>
      <c r="AH469" s="1" t="s">
        <v>74</v>
      </c>
      <c r="AI469" s="1" t="s">
        <v>74</v>
      </c>
      <c r="AJ469" s="1" t="s">
        <v>74</v>
      </c>
      <c r="AK469" s="1" t="s">
        <v>74</v>
      </c>
      <c r="AL469" s="1" t="s">
        <v>74</v>
      </c>
      <c r="AM469" s="1" t="s">
        <v>74</v>
      </c>
      <c r="AN469" s="1" t="s">
        <v>74</v>
      </c>
      <c r="AO469" s="1" t="s">
        <v>1862</v>
      </c>
      <c r="AP469" s="1" t="s">
        <v>2993</v>
      </c>
      <c r="AQ469" s="1" t="s">
        <v>74</v>
      </c>
      <c r="AR469" s="1" t="s">
        <v>74</v>
      </c>
      <c r="AS469" s="1" t="s">
        <v>74</v>
      </c>
      <c r="AT469" s="1" t="s">
        <v>421</v>
      </c>
      <c r="AU469" s="1">
        <v>2019.0</v>
      </c>
      <c r="AV469" s="1">
        <v>231.0</v>
      </c>
      <c r="AW469" s="1">
        <v>1.0</v>
      </c>
      <c r="AX469" s="1" t="s">
        <v>74</v>
      </c>
      <c r="AY469" s="1" t="s">
        <v>74</v>
      </c>
      <c r="AZ469" s="1" t="s">
        <v>74</v>
      </c>
      <c r="BA469" s="1" t="s">
        <v>74</v>
      </c>
      <c r="BB469" s="1">
        <v>269.0</v>
      </c>
      <c r="BC469" s="1">
        <v>301.0</v>
      </c>
      <c r="BD469" s="1" t="s">
        <v>74</v>
      </c>
      <c r="BE469" s="1" t="s">
        <v>4650</v>
      </c>
      <c r="BF469" s="2" t="str">
        <f>HYPERLINK("http://dx.doi.org/10.1007/s11856-019-1854-x","http://dx.doi.org/10.1007/s11856-019-1854-x")</f>
        <v>http://dx.doi.org/10.1007/s11856-019-1854-x</v>
      </c>
      <c r="BG469" s="1" t="s">
        <v>74</v>
      </c>
      <c r="BH469" s="1" t="s">
        <v>74</v>
      </c>
      <c r="BI469" s="1" t="s">
        <v>74</v>
      </c>
      <c r="BJ469" s="1" t="s">
        <v>74</v>
      </c>
      <c r="BK469" s="1" t="s">
        <v>74</v>
      </c>
      <c r="BL469" s="1" t="s">
        <v>74</v>
      </c>
      <c r="BM469" s="1" t="s">
        <v>74</v>
      </c>
      <c r="BN469" s="1" t="s">
        <v>74</v>
      </c>
      <c r="BO469" s="1" t="s">
        <v>74</v>
      </c>
      <c r="BP469" s="1" t="s">
        <v>74</v>
      </c>
      <c r="BQ469" s="1" t="s">
        <v>74</v>
      </c>
      <c r="BR469" s="1" t="s">
        <v>74</v>
      </c>
      <c r="BS469" s="1" t="s">
        <v>4651</v>
      </c>
      <c r="BT469" s="1" t="str">
        <f>HYPERLINK("https%3A%2F%2Fwww.webofscience.com%2Fwos%2Fwoscc%2Ffull-record%2FWOS:000470717200009","View Full Record in Web of Science")</f>
        <v>View Full Record in Web of Science</v>
      </c>
    </row>
    <row r="470" ht="12.75" customHeight="1">
      <c r="A470" s="1" t="s">
        <v>72</v>
      </c>
      <c r="B470" s="1" t="s">
        <v>2882</v>
      </c>
      <c r="C470" s="1" t="s">
        <v>74</v>
      </c>
      <c r="D470" s="1" t="s">
        <v>74</v>
      </c>
      <c r="E470" s="1" t="s">
        <v>74</v>
      </c>
      <c r="F470" s="1" t="s">
        <v>2883</v>
      </c>
      <c r="G470" s="1" t="s">
        <v>74</v>
      </c>
      <c r="H470" s="1" t="s">
        <v>74</v>
      </c>
      <c r="I470" s="1" t="s">
        <v>4652</v>
      </c>
      <c r="J470" s="1" t="s">
        <v>2676</v>
      </c>
      <c r="K470" s="1" t="s">
        <v>74</v>
      </c>
      <c r="L470" s="1" t="s">
        <v>74</v>
      </c>
      <c r="M470" s="1" t="s">
        <v>74</v>
      </c>
      <c r="N470" s="1" t="s">
        <v>74</v>
      </c>
      <c r="O470" s="1" t="s">
        <v>74</v>
      </c>
      <c r="P470" s="1" t="s">
        <v>74</v>
      </c>
      <c r="Q470" s="1" t="s">
        <v>74</v>
      </c>
      <c r="R470" s="1" t="s">
        <v>74</v>
      </c>
      <c r="S470" s="1" t="s">
        <v>74</v>
      </c>
      <c r="T470" s="1" t="s">
        <v>74</v>
      </c>
      <c r="U470" s="1" t="s">
        <v>74</v>
      </c>
      <c r="V470" s="1" t="s">
        <v>4653</v>
      </c>
      <c r="W470" s="1" t="s">
        <v>74</v>
      </c>
      <c r="X470" s="1" t="s">
        <v>74</v>
      </c>
      <c r="Y470" s="1" t="s">
        <v>74</v>
      </c>
      <c r="Z470" s="1" t="s">
        <v>74</v>
      </c>
      <c r="AA470" s="1" t="s">
        <v>4654</v>
      </c>
      <c r="AB470" s="1" t="s">
        <v>4655</v>
      </c>
      <c r="AC470" s="1" t="s">
        <v>74</v>
      </c>
      <c r="AD470" s="1" t="s">
        <v>74</v>
      </c>
      <c r="AE470" s="1" t="s">
        <v>74</v>
      </c>
      <c r="AF470" s="1" t="s">
        <v>74</v>
      </c>
      <c r="AG470" s="1" t="s">
        <v>74</v>
      </c>
      <c r="AH470" s="1" t="s">
        <v>74</v>
      </c>
      <c r="AI470" s="1" t="s">
        <v>74</v>
      </c>
      <c r="AJ470" s="1" t="s">
        <v>74</v>
      </c>
      <c r="AK470" s="1" t="s">
        <v>74</v>
      </c>
      <c r="AL470" s="1" t="s">
        <v>74</v>
      </c>
      <c r="AM470" s="1" t="s">
        <v>74</v>
      </c>
      <c r="AN470" s="1" t="s">
        <v>74</v>
      </c>
      <c r="AO470" s="1" t="s">
        <v>2680</v>
      </c>
      <c r="AP470" s="1" t="s">
        <v>4656</v>
      </c>
      <c r="AQ470" s="1" t="s">
        <v>74</v>
      </c>
      <c r="AR470" s="1" t="s">
        <v>74</v>
      </c>
      <c r="AS470" s="1" t="s">
        <v>74</v>
      </c>
      <c r="AT470" s="1" t="s">
        <v>389</v>
      </c>
      <c r="AU470" s="1">
        <v>2019.0</v>
      </c>
      <c r="AV470" s="1">
        <v>291.0</v>
      </c>
      <c r="AW470" s="1" t="s">
        <v>308</v>
      </c>
      <c r="AX470" s="1" t="s">
        <v>74</v>
      </c>
      <c r="AY470" s="1" t="s">
        <v>74</v>
      </c>
      <c r="AZ470" s="1" t="s">
        <v>74</v>
      </c>
      <c r="BA470" s="1" t="s">
        <v>74</v>
      </c>
      <c r="BB470" s="1">
        <v>85.0</v>
      </c>
      <c r="BC470" s="1">
        <v>111.0</v>
      </c>
      <c r="BD470" s="1" t="s">
        <v>74</v>
      </c>
      <c r="BE470" s="1" t="s">
        <v>4657</v>
      </c>
      <c r="BF470" s="2" t="str">
        <f>HYPERLINK("http://dx.doi.org/10.1007/s00209-018-2074-5","http://dx.doi.org/10.1007/s00209-018-2074-5")</f>
        <v>http://dx.doi.org/10.1007/s00209-018-2074-5</v>
      </c>
      <c r="BG470" s="1" t="s">
        <v>74</v>
      </c>
      <c r="BH470" s="1" t="s">
        <v>74</v>
      </c>
      <c r="BI470" s="1" t="s">
        <v>74</v>
      </c>
      <c r="BJ470" s="1" t="s">
        <v>74</v>
      </c>
      <c r="BK470" s="1" t="s">
        <v>74</v>
      </c>
      <c r="BL470" s="1" t="s">
        <v>74</v>
      </c>
      <c r="BM470" s="1" t="s">
        <v>74</v>
      </c>
      <c r="BN470" s="1" t="s">
        <v>74</v>
      </c>
      <c r="BO470" s="1" t="s">
        <v>74</v>
      </c>
      <c r="BP470" s="1" t="s">
        <v>74</v>
      </c>
      <c r="BQ470" s="1" t="s">
        <v>74</v>
      </c>
      <c r="BR470" s="1" t="s">
        <v>74</v>
      </c>
      <c r="BS470" s="1" t="s">
        <v>4658</v>
      </c>
      <c r="BT470" s="1" t="str">
        <f>HYPERLINK("https%3A%2F%2Fwww.webofscience.com%2Fwos%2Fwoscc%2Ffull-record%2FWOS:000463716800005","View Full Record in Web of Science")</f>
        <v>View Full Record in Web of Science</v>
      </c>
    </row>
    <row r="471" ht="12.75" customHeight="1">
      <c r="A471" s="1" t="s">
        <v>72</v>
      </c>
      <c r="B471" s="1" t="s">
        <v>4659</v>
      </c>
      <c r="C471" s="1" t="s">
        <v>74</v>
      </c>
      <c r="D471" s="1" t="s">
        <v>74</v>
      </c>
      <c r="E471" s="1" t="s">
        <v>74</v>
      </c>
      <c r="F471" s="1" t="s">
        <v>4660</v>
      </c>
      <c r="G471" s="1" t="s">
        <v>74</v>
      </c>
      <c r="H471" s="1" t="s">
        <v>74</v>
      </c>
      <c r="I471" s="1" t="s">
        <v>4661</v>
      </c>
      <c r="J471" s="1" t="s">
        <v>4662</v>
      </c>
      <c r="K471" s="1" t="s">
        <v>74</v>
      </c>
      <c r="L471" s="1" t="s">
        <v>74</v>
      </c>
      <c r="M471" s="1" t="s">
        <v>74</v>
      </c>
      <c r="N471" s="1" t="s">
        <v>74</v>
      </c>
      <c r="O471" s="1" t="s">
        <v>74</v>
      </c>
      <c r="P471" s="1" t="s">
        <v>74</v>
      </c>
      <c r="Q471" s="1" t="s">
        <v>74</v>
      </c>
      <c r="R471" s="1" t="s">
        <v>74</v>
      </c>
      <c r="S471" s="1" t="s">
        <v>74</v>
      </c>
      <c r="T471" s="1" t="s">
        <v>74</v>
      </c>
      <c r="U471" s="1" t="s">
        <v>74</v>
      </c>
      <c r="V471" s="1" t="s">
        <v>4663</v>
      </c>
      <c r="W471" s="1" t="s">
        <v>74</v>
      </c>
      <c r="X471" s="1" t="s">
        <v>74</v>
      </c>
      <c r="Y471" s="1" t="s">
        <v>74</v>
      </c>
      <c r="Z471" s="1" t="s">
        <v>74</v>
      </c>
      <c r="AA471" s="1" t="s">
        <v>74</v>
      </c>
      <c r="AB471" s="1" t="s">
        <v>74</v>
      </c>
      <c r="AC471" s="1" t="s">
        <v>74</v>
      </c>
      <c r="AD471" s="1" t="s">
        <v>74</v>
      </c>
      <c r="AE471" s="1" t="s">
        <v>74</v>
      </c>
      <c r="AF471" s="1" t="s">
        <v>74</v>
      </c>
      <c r="AG471" s="1" t="s">
        <v>74</v>
      </c>
      <c r="AH471" s="1" t="s">
        <v>74</v>
      </c>
      <c r="AI471" s="1" t="s">
        <v>74</v>
      </c>
      <c r="AJ471" s="1" t="s">
        <v>74</v>
      </c>
      <c r="AK471" s="1" t="s">
        <v>74</v>
      </c>
      <c r="AL471" s="1" t="s">
        <v>74</v>
      </c>
      <c r="AM471" s="1" t="s">
        <v>74</v>
      </c>
      <c r="AN471" s="1" t="s">
        <v>74</v>
      </c>
      <c r="AO471" s="1" t="s">
        <v>4664</v>
      </c>
      <c r="AP471" s="1" t="s">
        <v>4665</v>
      </c>
      <c r="AQ471" s="1" t="s">
        <v>74</v>
      </c>
      <c r="AR471" s="1" t="s">
        <v>74</v>
      </c>
      <c r="AS471" s="1" t="s">
        <v>74</v>
      </c>
      <c r="AT471" s="1" t="s">
        <v>1383</v>
      </c>
      <c r="AU471" s="1">
        <v>2018.0</v>
      </c>
      <c r="AV471" s="1">
        <v>40.0</v>
      </c>
      <c r="AW471" s="1">
        <v>6.0</v>
      </c>
      <c r="AX471" s="1" t="s">
        <v>74</v>
      </c>
      <c r="AY471" s="1" t="s">
        <v>74</v>
      </c>
      <c r="AZ471" s="1" t="s">
        <v>74</v>
      </c>
      <c r="BA471" s="1" t="s">
        <v>74</v>
      </c>
      <c r="BB471" s="1">
        <v>1332.0</v>
      </c>
      <c r="BC471" s="1">
        <v>1345.0</v>
      </c>
      <c r="BD471" s="1" t="s">
        <v>74</v>
      </c>
      <c r="BE471" s="1" t="s">
        <v>4666</v>
      </c>
      <c r="BF471" s="2" t="str">
        <f>HYPERLINK("http://dx.doi.org/10.1016/j.jpolmod.2018.08.004","http://dx.doi.org/10.1016/j.jpolmod.2018.08.004")</f>
        <v>http://dx.doi.org/10.1016/j.jpolmod.2018.08.004</v>
      </c>
      <c r="BG471" s="1" t="s">
        <v>74</v>
      </c>
      <c r="BH471" s="1" t="s">
        <v>74</v>
      </c>
      <c r="BI471" s="1" t="s">
        <v>74</v>
      </c>
      <c r="BJ471" s="1" t="s">
        <v>74</v>
      </c>
      <c r="BK471" s="1" t="s">
        <v>74</v>
      </c>
      <c r="BL471" s="1" t="s">
        <v>74</v>
      </c>
      <c r="BM471" s="1" t="s">
        <v>74</v>
      </c>
      <c r="BN471" s="1" t="s">
        <v>74</v>
      </c>
      <c r="BO471" s="1" t="s">
        <v>74</v>
      </c>
      <c r="BP471" s="1" t="s">
        <v>74</v>
      </c>
      <c r="BQ471" s="1" t="s">
        <v>74</v>
      </c>
      <c r="BR471" s="1" t="s">
        <v>74</v>
      </c>
      <c r="BS471" s="1" t="s">
        <v>4667</v>
      </c>
      <c r="BT471" s="1" t="str">
        <f>HYPERLINK("https%3A%2F%2Fwww.webofscience.com%2Fwos%2Fwoscc%2Ffull-record%2FWOS:000451495300014","View Full Record in Web of Science")</f>
        <v>View Full Record in Web of Science</v>
      </c>
    </row>
    <row r="472" ht="12.75" customHeight="1">
      <c r="A472" s="1" t="s">
        <v>72</v>
      </c>
      <c r="B472" s="1" t="s">
        <v>4668</v>
      </c>
      <c r="C472" s="1" t="s">
        <v>74</v>
      </c>
      <c r="D472" s="1" t="s">
        <v>74</v>
      </c>
      <c r="E472" s="1" t="s">
        <v>74</v>
      </c>
      <c r="F472" s="1" t="s">
        <v>4669</v>
      </c>
      <c r="G472" s="1" t="s">
        <v>74</v>
      </c>
      <c r="H472" s="1" t="s">
        <v>74</v>
      </c>
      <c r="I472" s="1" t="s">
        <v>4670</v>
      </c>
      <c r="J472" s="1" t="s">
        <v>4671</v>
      </c>
      <c r="K472" s="1" t="s">
        <v>74</v>
      </c>
      <c r="L472" s="1" t="s">
        <v>74</v>
      </c>
      <c r="M472" s="1" t="s">
        <v>74</v>
      </c>
      <c r="N472" s="1" t="s">
        <v>74</v>
      </c>
      <c r="O472" s="1" t="s">
        <v>74</v>
      </c>
      <c r="P472" s="1" t="s">
        <v>74</v>
      </c>
      <c r="Q472" s="1" t="s">
        <v>74</v>
      </c>
      <c r="R472" s="1" t="s">
        <v>74</v>
      </c>
      <c r="S472" s="1" t="s">
        <v>74</v>
      </c>
      <c r="T472" s="1" t="s">
        <v>74</v>
      </c>
      <c r="U472" s="1" t="s">
        <v>74</v>
      </c>
      <c r="V472" s="1" t="s">
        <v>4672</v>
      </c>
      <c r="W472" s="1" t="s">
        <v>74</v>
      </c>
      <c r="X472" s="1" t="s">
        <v>74</v>
      </c>
      <c r="Y472" s="1" t="s">
        <v>74</v>
      </c>
      <c r="Z472" s="1" t="s">
        <v>74</v>
      </c>
      <c r="AA472" s="1" t="s">
        <v>4673</v>
      </c>
      <c r="AB472" s="1" t="s">
        <v>4674</v>
      </c>
      <c r="AC472" s="1" t="s">
        <v>74</v>
      </c>
      <c r="AD472" s="1" t="s">
        <v>74</v>
      </c>
      <c r="AE472" s="1" t="s">
        <v>74</v>
      </c>
      <c r="AF472" s="1" t="s">
        <v>74</v>
      </c>
      <c r="AG472" s="1" t="s">
        <v>74</v>
      </c>
      <c r="AH472" s="1" t="s">
        <v>74</v>
      </c>
      <c r="AI472" s="1" t="s">
        <v>74</v>
      </c>
      <c r="AJ472" s="1" t="s">
        <v>74</v>
      </c>
      <c r="AK472" s="1" t="s">
        <v>74</v>
      </c>
      <c r="AL472" s="1" t="s">
        <v>74</v>
      </c>
      <c r="AM472" s="1" t="s">
        <v>74</v>
      </c>
      <c r="AN472" s="1" t="s">
        <v>74</v>
      </c>
      <c r="AO472" s="1" t="s">
        <v>4675</v>
      </c>
      <c r="AP472" s="1" t="s">
        <v>4676</v>
      </c>
      <c r="AQ472" s="1" t="s">
        <v>74</v>
      </c>
      <c r="AR472" s="1" t="s">
        <v>74</v>
      </c>
      <c r="AS472" s="1" t="s">
        <v>74</v>
      </c>
      <c r="AT472" s="1" t="s">
        <v>363</v>
      </c>
      <c r="AU472" s="1">
        <v>2018.0</v>
      </c>
      <c r="AV472" s="1">
        <v>18.0</v>
      </c>
      <c r="AW472" s="1">
        <v>10.0</v>
      </c>
      <c r="AX472" s="1" t="s">
        <v>74</v>
      </c>
      <c r="AY472" s="1" t="s">
        <v>74</v>
      </c>
      <c r="AZ472" s="1" t="s">
        <v>74</v>
      </c>
      <c r="BA472" s="1" t="s">
        <v>74</v>
      </c>
      <c r="BB472" s="1">
        <v>2666.0</v>
      </c>
      <c r="BC472" s="1">
        <v>2679.0</v>
      </c>
      <c r="BD472" s="1" t="s">
        <v>74</v>
      </c>
      <c r="BE472" s="1" t="s">
        <v>4677</v>
      </c>
      <c r="BF472" s="2" t="str">
        <f>HYPERLINK("http://dx.doi.org/10.4209/aaqr.2018.01.0029","http://dx.doi.org/10.4209/aaqr.2018.01.0029")</f>
        <v>http://dx.doi.org/10.4209/aaqr.2018.01.0029</v>
      </c>
      <c r="BG472" s="1" t="s">
        <v>74</v>
      </c>
      <c r="BH472" s="1" t="s">
        <v>74</v>
      </c>
      <c r="BI472" s="1" t="s">
        <v>74</v>
      </c>
      <c r="BJ472" s="1" t="s">
        <v>74</v>
      </c>
      <c r="BK472" s="1" t="s">
        <v>74</v>
      </c>
      <c r="BL472" s="1" t="s">
        <v>74</v>
      </c>
      <c r="BM472" s="1" t="s">
        <v>74</v>
      </c>
      <c r="BN472" s="1" t="s">
        <v>74</v>
      </c>
      <c r="BO472" s="1" t="s">
        <v>74</v>
      </c>
      <c r="BP472" s="1" t="s">
        <v>74</v>
      </c>
      <c r="BQ472" s="1" t="s">
        <v>74</v>
      </c>
      <c r="BR472" s="1" t="s">
        <v>74</v>
      </c>
      <c r="BS472" s="1" t="s">
        <v>4678</v>
      </c>
      <c r="BT472" s="1" t="str">
        <f>HYPERLINK("https%3A%2F%2Fwww.webofscience.com%2Fwos%2Fwoscc%2Ffull-record%2FWOS:000445921200015","View Full Record in Web of Science")</f>
        <v>View Full Record in Web of Science</v>
      </c>
    </row>
    <row r="473" ht="12.75" customHeight="1">
      <c r="A473" s="1" t="s">
        <v>72</v>
      </c>
      <c r="B473" s="1" t="s">
        <v>4679</v>
      </c>
      <c r="C473" s="1" t="s">
        <v>74</v>
      </c>
      <c r="D473" s="1" t="s">
        <v>74</v>
      </c>
      <c r="E473" s="1" t="s">
        <v>74</v>
      </c>
      <c r="F473" s="1" t="s">
        <v>4680</v>
      </c>
      <c r="G473" s="1" t="s">
        <v>74</v>
      </c>
      <c r="H473" s="1" t="s">
        <v>74</v>
      </c>
      <c r="I473" s="1" t="s">
        <v>4681</v>
      </c>
      <c r="J473" s="1" t="s">
        <v>4682</v>
      </c>
      <c r="K473" s="1" t="s">
        <v>74</v>
      </c>
      <c r="L473" s="1" t="s">
        <v>74</v>
      </c>
      <c r="M473" s="1" t="s">
        <v>74</v>
      </c>
      <c r="N473" s="1" t="s">
        <v>74</v>
      </c>
      <c r="O473" s="1" t="s">
        <v>74</v>
      </c>
      <c r="P473" s="1" t="s">
        <v>74</v>
      </c>
      <c r="Q473" s="1" t="s">
        <v>74</v>
      </c>
      <c r="R473" s="1" t="s">
        <v>74</v>
      </c>
      <c r="S473" s="1" t="s">
        <v>74</v>
      </c>
      <c r="T473" s="1" t="s">
        <v>74</v>
      </c>
      <c r="U473" s="1" t="s">
        <v>74</v>
      </c>
      <c r="V473" s="1" t="s">
        <v>4683</v>
      </c>
      <c r="W473" s="1" t="s">
        <v>74</v>
      </c>
      <c r="X473" s="1" t="s">
        <v>74</v>
      </c>
      <c r="Y473" s="1" t="s">
        <v>74</v>
      </c>
      <c r="Z473" s="1" t="s">
        <v>74</v>
      </c>
      <c r="AA473" s="1" t="s">
        <v>4684</v>
      </c>
      <c r="AB473" s="1" t="s">
        <v>4685</v>
      </c>
      <c r="AC473" s="1" t="s">
        <v>74</v>
      </c>
      <c r="AD473" s="1" t="s">
        <v>74</v>
      </c>
      <c r="AE473" s="1" t="s">
        <v>74</v>
      </c>
      <c r="AF473" s="1" t="s">
        <v>74</v>
      </c>
      <c r="AG473" s="1" t="s">
        <v>74</v>
      </c>
      <c r="AH473" s="1" t="s">
        <v>74</v>
      </c>
      <c r="AI473" s="1" t="s">
        <v>74</v>
      </c>
      <c r="AJ473" s="1" t="s">
        <v>74</v>
      </c>
      <c r="AK473" s="1" t="s">
        <v>74</v>
      </c>
      <c r="AL473" s="1" t="s">
        <v>74</v>
      </c>
      <c r="AM473" s="1" t="s">
        <v>74</v>
      </c>
      <c r="AN473" s="1" t="s">
        <v>74</v>
      </c>
      <c r="AO473" s="1" t="s">
        <v>4686</v>
      </c>
      <c r="AP473" s="1" t="s">
        <v>74</v>
      </c>
      <c r="AQ473" s="1" t="s">
        <v>74</v>
      </c>
      <c r="AR473" s="1" t="s">
        <v>74</v>
      </c>
      <c r="AS473" s="1" t="s">
        <v>74</v>
      </c>
      <c r="AT473" s="1" t="s">
        <v>1750</v>
      </c>
      <c r="AU473" s="1">
        <v>2018.0</v>
      </c>
      <c r="AV473" s="1">
        <v>6.0</v>
      </c>
      <c r="AW473" s="1" t="s">
        <v>74</v>
      </c>
      <c r="AX473" s="1" t="s">
        <v>74</v>
      </c>
      <c r="AY473" s="1" t="s">
        <v>74</v>
      </c>
      <c r="AZ473" s="1" t="s">
        <v>74</v>
      </c>
      <c r="BA473" s="1" t="s">
        <v>74</v>
      </c>
      <c r="BB473" s="1" t="s">
        <v>74</v>
      </c>
      <c r="BC473" s="1" t="s">
        <v>74</v>
      </c>
      <c r="BD473" s="1" t="s">
        <v>4687</v>
      </c>
      <c r="BE473" s="1" t="s">
        <v>4688</v>
      </c>
      <c r="BF473" s="2" t="str">
        <f>HYPERLINK("http://dx.doi.org/10.7717/peerj.4556","http://dx.doi.org/10.7717/peerj.4556")</f>
        <v>http://dx.doi.org/10.7717/peerj.4556</v>
      </c>
      <c r="BG473" s="1" t="s">
        <v>74</v>
      </c>
      <c r="BH473" s="1" t="s">
        <v>74</v>
      </c>
      <c r="BI473" s="1" t="s">
        <v>74</v>
      </c>
      <c r="BJ473" s="1" t="s">
        <v>74</v>
      </c>
      <c r="BK473" s="1" t="s">
        <v>74</v>
      </c>
      <c r="BL473" s="1" t="s">
        <v>74</v>
      </c>
      <c r="BM473" s="1" t="s">
        <v>74</v>
      </c>
      <c r="BN473" s="1">
        <v>2.9682409E7</v>
      </c>
      <c r="BO473" s="1" t="s">
        <v>74</v>
      </c>
      <c r="BP473" s="1" t="s">
        <v>74</v>
      </c>
      <c r="BQ473" s="1" t="s">
        <v>74</v>
      </c>
      <c r="BR473" s="1" t="s">
        <v>74</v>
      </c>
      <c r="BS473" s="1" t="s">
        <v>4689</v>
      </c>
      <c r="BT473" s="1" t="str">
        <f>HYPERLINK("https%3A%2F%2Fwww.webofscience.com%2Fwos%2Fwoscc%2Ffull-record%2FWOS:000430306100001","View Full Record in Web of Science")</f>
        <v>View Full Record in Web of Science</v>
      </c>
    </row>
    <row r="474" ht="12.75" customHeight="1">
      <c r="A474" s="1" t="s">
        <v>72</v>
      </c>
      <c r="B474" s="1" t="s">
        <v>4690</v>
      </c>
      <c r="C474" s="1" t="s">
        <v>74</v>
      </c>
      <c r="D474" s="1" t="s">
        <v>74</v>
      </c>
      <c r="E474" s="1" t="s">
        <v>74</v>
      </c>
      <c r="F474" s="1" t="s">
        <v>4691</v>
      </c>
      <c r="G474" s="1" t="s">
        <v>74</v>
      </c>
      <c r="H474" s="1" t="s">
        <v>74</v>
      </c>
      <c r="I474" s="1" t="s">
        <v>4692</v>
      </c>
      <c r="J474" s="1" t="s">
        <v>4693</v>
      </c>
      <c r="K474" s="1" t="s">
        <v>74</v>
      </c>
      <c r="L474" s="1" t="s">
        <v>74</v>
      </c>
      <c r="M474" s="1" t="s">
        <v>74</v>
      </c>
      <c r="N474" s="1" t="s">
        <v>74</v>
      </c>
      <c r="O474" s="1" t="s">
        <v>74</v>
      </c>
      <c r="P474" s="1" t="s">
        <v>74</v>
      </c>
      <c r="Q474" s="1" t="s">
        <v>74</v>
      </c>
      <c r="R474" s="1" t="s">
        <v>74</v>
      </c>
      <c r="S474" s="1" t="s">
        <v>74</v>
      </c>
      <c r="T474" s="1" t="s">
        <v>74</v>
      </c>
      <c r="U474" s="1" t="s">
        <v>74</v>
      </c>
      <c r="V474" s="1" t="s">
        <v>4694</v>
      </c>
      <c r="W474" s="1" t="s">
        <v>74</v>
      </c>
      <c r="X474" s="1" t="s">
        <v>74</v>
      </c>
      <c r="Y474" s="1" t="s">
        <v>74</v>
      </c>
      <c r="Z474" s="1" t="s">
        <v>74</v>
      </c>
      <c r="AA474" s="1" t="s">
        <v>4695</v>
      </c>
      <c r="AB474" s="1" t="s">
        <v>4696</v>
      </c>
      <c r="AC474" s="1" t="s">
        <v>74</v>
      </c>
      <c r="AD474" s="1" t="s">
        <v>74</v>
      </c>
      <c r="AE474" s="1" t="s">
        <v>74</v>
      </c>
      <c r="AF474" s="1" t="s">
        <v>74</v>
      </c>
      <c r="AG474" s="1" t="s">
        <v>74</v>
      </c>
      <c r="AH474" s="1" t="s">
        <v>74</v>
      </c>
      <c r="AI474" s="1" t="s">
        <v>74</v>
      </c>
      <c r="AJ474" s="1" t="s">
        <v>74</v>
      </c>
      <c r="AK474" s="1" t="s">
        <v>74</v>
      </c>
      <c r="AL474" s="1" t="s">
        <v>74</v>
      </c>
      <c r="AM474" s="1" t="s">
        <v>74</v>
      </c>
      <c r="AN474" s="1" t="s">
        <v>74</v>
      </c>
      <c r="AO474" s="1" t="s">
        <v>4697</v>
      </c>
      <c r="AP474" s="1" t="s">
        <v>74</v>
      </c>
      <c r="AQ474" s="1" t="s">
        <v>74</v>
      </c>
      <c r="AR474" s="1" t="s">
        <v>74</v>
      </c>
      <c r="AS474" s="1" t="s">
        <v>74</v>
      </c>
      <c r="AT474" s="1" t="s">
        <v>389</v>
      </c>
      <c r="AU474" s="1">
        <v>2018.0</v>
      </c>
      <c r="AV474" s="1">
        <v>13.0</v>
      </c>
      <c r="AW474" s="1">
        <v>2.0</v>
      </c>
      <c r="AX474" s="1" t="s">
        <v>74</v>
      </c>
      <c r="AY474" s="1" t="s">
        <v>74</v>
      </c>
      <c r="AZ474" s="1" t="s">
        <v>74</v>
      </c>
      <c r="BA474" s="1" t="s">
        <v>74</v>
      </c>
      <c r="BB474" s="1">
        <v>1666.0</v>
      </c>
      <c r="BC474" s="1">
        <v>1682.0</v>
      </c>
      <c r="BD474" s="1" t="s">
        <v>74</v>
      </c>
      <c r="BE474" s="1" t="s">
        <v>4698</v>
      </c>
      <c r="BF474" s="2" t="str">
        <f>HYPERLINK("http://dx.doi.org/10.20964/2018.02.07","http://dx.doi.org/10.20964/2018.02.07")</f>
        <v>http://dx.doi.org/10.20964/2018.02.07</v>
      </c>
      <c r="BG474" s="1" t="s">
        <v>74</v>
      </c>
      <c r="BH474" s="1" t="s">
        <v>74</v>
      </c>
      <c r="BI474" s="1" t="s">
        <v>74</v>
      </c>
      <c r="BJ474" s="1" t="s">
        <v>74</v>
      </c>
      <c r="BK474" s="1" t="s">
        <v>74</v>
      </c>
      <c r="BL474" s="1" t="s">
        <v>74</v>
      </c>
      <c r="BM474" s="1" t="s">
        <v>74</v>
      </c>
      <c r="BN474" s="1" t="s">
        <v>74</v>
      </c>
      <c r="BO474" s="1" t="s">
        <v>74</v>
      </c>
      <c r="BP474" s="1" t="s">
        <v>74</v>
      </c>
      <c r="BQ474" s="1" t="s">
        <v>74</v>
      </c>
      <c r="BR474" s="1" t="s">
        <v>74</v>
      </c>
      <c r="BS474" s="1" t="s">
        <v>4699</v>
      </c>
      <c r="BT474" s="1" t="str">
        <f>HYPERLINK("https%3A%2F%2Fwww.webofscience.com%2Fwos%2Fwoscc%2Ffull-record%2FWOS:000429100400038","View Full Record in Web of Science")</f>
        <v>View Full Record in Web of Science</v>
      </c>
    </row>
    <row r="475" ht="12.75" customHeight="1">
      <c r="A475" s="1" t="s">
        <v>72</v>
      </c>
      <c r="B475" s="1" t="s">
        <v>4700</v>
      </c>
      <c r="C475" s="1" t="s">
        <v>74</v>
      </c>
      <c r="D475" s="1" t="s">
        <v>74</v>
      </c>
      <c r="E475" s="1" t="s">
        <v>74</v>
      </c>
      <c r="F475" s="1" t="s">
        <v>4701</v>
      </c>
      <c r="G475" s="1" t="s">
        <v>74</v>
      </c>
      <c r="H475" s="1" t="s">
        <v>74</v>
      </c>
      <c r="I475" s="1" t="s">
        <v>4702</v>
      </c>
      <c r="J475" s="1" t="s">
        <v>360</v>
      </c>
      <c r="K475" s="1" t="s">
        <v>74</v>
      </c>
      <c r="L475" s="1" t="s">
        <v>74</v>
      </c>
      <c r="M475" s="1" t="s">
        <v>74</v>
      </c>
      <c r="N475" s="1" t="s">
        <v>74</v>
      </c>
      <c r="O475" s="1" t="s">
        <v>74</v>
      </c>
      <c r="P475" s="1" t="s">
        <v>74</v>
      </c>
      <c r="Q475" s="1" t="s">
        <v>74</v>
      </c>
      <c r="R475" s="1" t="s">
        <v>74</v>
      </c>
      <c r="S475" s="1" t="s">
        <v>74</v>
      </c>
      <c r="T475" s="1" t="s">
        <v>74</v>
      </c>
      <c r="U475" s="1" t="s">
        <v>74</v>
      </c>
      <c r="V475" s="1" t="s">
        <v>4703</v>
      </c>
      <c r="W475" s="1" t="s">
        <v>74</v>
      </c>
      <c r="X475" s="1" t="s">
        <v>74</v>
      </c>
      <c r="Y475" s="1" t="s">
        <v>74</v>
      </c>
      <c r="Z475" s="1" t="s">
        <v>74</v>
      </c>
      <c r="AA475" s="1" t="s">
        <v>4704</v>
      </c>
      <c r="AB475" s="1" t="s">
        <v>4705</v>
      </c>
      <c r="AC475" s="1" t="s">
        <v>74</v>
      </c>
      <c r="AD475" s="1" t="s">
        <v>74</v>
      </c>
      <c r="AE475" s="1" t="s">
        <v>74</v>
      </c>
      <c r="AF475" s="1" t="s">
        <v>74</v>
      </c>
      <c r="AG475" s="1" t="s">
        <v>74</v>
      </c>
      <c r="AH475" s="1" t="s">
        <v>74</v>
      </c>
      <c r="AI475" s="1" t="s">
        <v>74</v>
      </c>
      <c r="AJ475" s="1" t="s">
        <v>74</v>
      </c>
      <c r="AK475" s="1" t="s">
        <v>74</v>
      </c>
      <c r="AL475" s="1" t="s">
        <v>74</v>
      </c>
      <c r="AM475" s="1" t="s">
        <v>74</v>
      </c>
      <c r="AN475" s="1" t="s">
        <v>74</v>
      </c>
      <c r="AO475" s="1" t="s">
        <v>362</v>
      </c>
      <c r="AP475" s="1" t="s">
        <v>833</v>
      </c>
      <c r="AQ475" s="1" t="s">
        <v>74</v>
      </c>
      <c r="AR475" s="1" t="s">
        <v>74</v>
      </c>
      <c r="AS475" s="1" t="s">
        <v>74</v>
      </c>
      <c r="AT475" s="1" t="s">
        <v>415</v>
      </c>
      <c r="AU475" s="1">
        <v>2017.0</v>
      </c>
      <c r="AV475" s="1">
        <v>145.0</v>
      </c>
      <c r="AW475" s="1">
        <v>12.0</v>
      </c>
      <c r="AX475" s="1" t="s">
        <v>74</v>
      </c>
      <c r="AY475" s="1" t="s">
        <v>74</v>
      </c>
      <c r="AZ475" s="1" t="s">
        <v>74</v>
      </c>
      <c r="BA475" s="1" t="s">
        <v>74</v>
      </c>
      <c r="BB475" s="1">
        <v>1551.0</v>
      </c>
      <c r="BC475" s="1">
        <v>1558.0</v>
      </c>
      <c r="BD475" s="1" t="s">
        <v>74</v>
      </c>
      <c r="BE475" s="1" t="s">
        <v>4706</v>
      </c>
      <c r="BF475" s="2" t="str">
        <f>HYPERLINK("http://dx.doi.org/10.4067/s0034-98872017001201551","http://dx.doi.org/10.4067/s0034-98872017001201551")</f>
        <v>http://dx.doi.org/10.4067/s0034-98872017001201551</v>
      </c>
      <c r="BG475" s="1" t="s">
        <v>74</v>
      </c>
      <c r="BH475" s="1" t="s">
        <v>74</v>
      </c>
      <c r="BI475" s="1" t="s">
        <v>74</v>
      </c>
      <c r="BJ475" s="1" t="s">
        <v>74</v>
      </c>
      <c r="BK475" s="1" t="s">
        <v>74</v>
      </c>
      <c r="BL475" s="1" t="s">
        <v>74</v>
      </c>
      <c r="BM475" s="1" t="s">
        <v>74</v>
      </c>
      <c r="BN475" s="1">
        <v>2.9652951E7</v>
      </c>
      <c r="BO475" s="1" t="s">
        <v>74</v>
      </c>
      <c r="BP475" s="1" t="s">
        <v>74</v>
      </c>
      <c r="BQ475" s="1" t="s">
        <v>74</v>
      </c>
      <c r="BR475" s="1" t="s">
        <v>74</v>
      </c>
      <c r="BS475" s="1" t="s">
        <v>4707</v>
      </c>
      <c r="BT475" s="1" t="str">
        <f>HYPERLINK("https%3A%2F%2Fwww.webofscience.com%2Fwos%2Fwoscc%2Ffull-record%2FWOS:000429615300006","View Full Record in Web of Science")</f>
        <v>View Full Record in Web of Science</v>
      </c>
    </row>
    <row r="476" ht="12.75" customHeight="1">
      <c r="A476" s="1" t="s">
        <v>341</v>
      </c>
      <c r="B476" s="1" t="s">
        <v>4708</v>
      </c>
      <c r="C476" s="1" t="s">
        <v>74</v>
      </c>
      <c r="D476" s="1" t="s">
        <v>4709</v>
      </c>
      <c r="E476" s="1" t="s">
        <v>74</v>
      </c>
      <c r="F476" s="1" t="s">
        <v>4710</v>
      </c>
      <c r="G476" s="1" t="s">
        <v>74</v>
      </c>
      <c r="H476" s="1" t="s">
        <v>74</v>
      </c>
      <c r="I476" s="1" t="s">
        <v>4711</v>
      </c>
      <c r="J476" s="1" t="s">
        <v>4712</v>
      </c>
      <c r="K476" s="1" t="s">
        <v>4713</v>
      </c>
      <c r="L476" s="1" t="s">
        <v>74</v>
      </c>
      <c r="M476" s="1" t="s">
        <v>74</v>
      </c>
      <c r="N476" s="1" t="s">
        <v>74</v>
      </c>
      <c r="O476" s="1" t="s">
        <v>74</v>
      </c>
      <c r="P476" s="1" t="s">
        <v>74</v>
      </c>
      <c r="Q476" s="1" t="s">
        <v>74</v>
      </c>
      <c r="R476" s="1" t="s">
        <v>74</v>
      </c>
      <c r="S476" s="1" t="s">
        <v>74</v>
      </c>
      <c r="T476" s="1" t="s">
        <v>74</v>
      </c>
      <c r="U476" s="1" t="s">
        <v>74</v>
      </c>
      <c r="V476" s="1" t="s">
        <v>4714</v>
      </c>
      <c r="W476" s="1" t="s">
        <v>74</v>
      </c>
      <c r="X476" s="1" t="s">
        <v>74</v>
      </c>
      <c r="Y476" s="1" t="s">
        <v>74</v>
      </c>
      <c r="Z476" s="1" t="s">
        <v>74</v>
      </c>
      <c r="AA476" s="1" t="s">
        <v>4715</v>
      </c>
      <c r="AB476" s="1" t="s">
        <v>4716</v>
      </c>
      <c r="AC476" s="1" t="s">
        <v>74</v>
      </c>
      <c r="AD476" s="1" t="s">
        <v>74</v>
      </c>
      <c r="AE476" s="1" t="s">
        <v>74</v>
      </c>
      <c r="AF476" s="1" t="s">
        <v>74</v>
      </c>
      <c r="AG476" s="1" t="s">
        <v>74</v>
      </c>
      <c r="AH476" s="1" t="s">
        <v>74</v>
      </c>
      <c r="AI476" s="1" t="s">
        <v>74</v>
      </c>
      <c r="AJ476" s="1" t="s">
        <v>74</v>
      </c>
      <c r="AK476" s="1" t="s">
        <v>74</v>
      </c>
      <c r="AL476" s="1" t="s">
        <v>74</v>
      </c>
      <c r="AM476" s="1" t="s">
        <v>74</v>
      </c>
      <c r="AN476" s="1" t="s">
        <v>74</v>
      </c>
      <c r="AO476" s="1" t="s">
        <v>4717</v>
      </c>
      <c r="AP476" s="1" t="s">
        <v>4718</v>
      </c>
      <c r="AQ476" s="1" t="s">
        <v>4719</v>
      </c>
      <c r="AR476" s="1" t="s">
        <v>74</v>
      </c>
      <c r="AS476" s="1" t="s">
        <v>74</v>
      </c>
      <c r="AT476" s="1" t="s">
        <v>74</v>
      </c>
      <c r="AU476" s="1">
        <v>2017.0</v>
      </c>
      <c r="AV476" s="1">
        <v>1015.0</v>
      </c>
      <c r="AW476" s="1" t="s">
        <v>74</v>
      </c>
      <c r="AX476" s="1" t="s">
        <v>74</v>
      </c>
      <c r="AY476" s="1" t="s">
        <v>74</v>
      </c>
      <c r="AZ476" s="1" t="s">
        <v>74</v>
      </c>
      <c r="BA476" s="1" t="s">
        <v>74</v>
      </c>
      <c r="BB476" s="1">
        <v>163.0</v>
      </c>
      <c r="BC476" s="1">
        <v>192.0</v>
      </c>
      <c r="BD476" s="1" t="s">
        <v>74</v>
      </c>
      <c r="BE476" s="1" t="s">
        <v>4720</v>
      </c>
      <c r="BF476" s="2" t="str">
        <f>HYPERLINK("http://dx.doi.org/10.1007/978-3-319-62817-2_10","http://dx.doi.org/10.1007/978-3-319-62817-2_10")</f>
        <v>http://dx.doi.org/10.1007/978-3-319-62817-2_10</v>
      </c>
      <c r="BG476" s="1" t="s">
        <v>4721</v>
      </c>
      <c r="BH476" s="1" t="s">
        <v>74</v>
      </c>
      <c r="BI476" s="1" t="s">
        <v>74</v>
      </c>
      <c r="BJ476" s="1" t="s">
        <v>74</v>
      </c>
      <c r="BK476" s="1" t="s">
        <v>74</v>
      </c>
      <c r="BL476" s="1" t="s">
        <v>74</v>
      </c>
      <c r="BM476" s="1" t="s">
        <v>74</v>
      </c>
      <c r="BN476" s="1">
        <v>2.9080027E7</v>
      </c>
      <c r="BO476" s="1" t="s">
        <v>74</v>
      </c>
      <c r="BP476" s="1" t="s">
        <v>74</v>
      </c>
      <c r="BQ476" s="1" t="s">
        <v>74</v>
      </c>
      <c r="BR476" s="1" t="s">
        <v>74</v>
      </c>
      <c r="BS476" s="1" t="s">
        <v>4722</v>
      </c>
      <c r="BT476" s="1" t="str">
        <f>HYPERLINK("https%3A%2F%2Fwww.webofscience.com%2Fwos%2Fwoscc%2Ffull-record%2FWOS:000438289100010","View Full Record in Web of Science")</f>
        <v>View Full Record in Web of Science</v>
      </c>
    </row>
    <row r="477" ht="12.75" customHeight="1">
      <c r="A477" s="1" t="s">
        <v>72</v>
      </c>
      <c r="B477" s="1" t="s">
        <v>4723</v>
      </c>
      <c r="C477" s="1" t="s">
        <v>74</v>
      </c>
      <c r="D477" s="1" t="s">
        <v>74</v>
      </c>
      <c r="E477" s="1" t="s">
        <v>74</v>
      </c>
      <c r="F477" s="1" t="s">
        <v>4724</v>
      </c>
      <c r="G477" s="1" t="s">
        <v>74</v>
      </c>
      <c r="H477" s="1" t="s">
        <v>74</v>
      </c>
      <c r="I477" s="1" t="s">
        <v>4725</v>
      </c>
      <c r="J477" s="1" t="s">
        <v>4726</v>
      </c>
      <c r="K477" s="1" t="s">
        <v>74</v>
      </c>
      <c r="L477" s="1" t="s">
        <v>74</v>
      </c>
      <c r="M477" s="1" t="s">
        <v>74</v>
      </c>
      <c r="N477" s="1" t="s">
        <v>74</v>
      </c>
      <c r="O477" s="1" t="s">
        <v>74</v>
      </c>
      <c r="P477" s="1" t="s">
        <v>74</v>
      </c>
      <c r="Q477" s="1" t="s">
        <v>74</v>
      </c>
      <c r="R477" s="1" t="s">
        <v>74</v>
      </c>
      <c r="S477" s="1" t="s">
        <v>74</v>
      </c>
      <c r="T477" s="1" t="s">
        <v>74</v>
      </c>
      <c r="U477" s="1" t="s">
        <v>74</v>
      </c>
      <c r="V477" s="1" t="s">
        <v>4727</v>
      </c>
      <c r="W477" s="1" t="s">
        <v>74</v>
      </c>
      <c r="X477" s="1" t="s">
        <v>74</v>
      </c>
      <c r="Y477" s="1" t="s">
        <v>74</v>
      </c>
      <c r="Z477" s="1" t="s">
        <v>74</v>
      </c>
      <c r="AA477" s="1" t="s">
        <v>4728</v>
      </c>
      <c r="AB477" s="1" t="s">
        <v>4729</v>
      </c>
      <c r="AC477" s="1" t="s">
        <v>74</v>
      </c>
      <c r="AD477" s="1" t="s">
        <v>74</v>
      </c>
      <c r="AE477" s="1" t="s">
        <v>74</v>
      </c>
      <c r="AF477" s="1" t="s">
        <v>74</v>
      </c>
      <c r="AG477" s="1" t="s">
        <v>74</v>
      </c>
      <c r="AH477" s="1" t="s">
        <v>74</v>
      </c>
      <c r="AI477" s="1" t="s">
        <v>74</v>
      </c>
      <c r="AJ477" s="1" t="s">
        <v>74</v>
      </c>
      <c r="AK477" s="1" t="s">
        <v>74</v>
      </c>
      <c r="AL477" s="1" t="s">
        <v>74</v>
      </c>
      <c r="AM477" s="1" t="s">
        <v>74</v>
      </c>
      <c r="AN477" s="1" t="s">
        <v>74</v>
      </c>
      <c r="AO477" s="1" t="s">
        <v>4730</v>
      </c>
      <c r="AP477" s="1" t="s">
        <v>4731</v>
      </c>
      <c r="AQ477" s="1" t="s">
        <v>74</v>
      </c>
      <c r="AR477" s="1" t="s">
        <v>74</v>
      </c>
      <c r="AS477" s="1" t="s">
        <v>74</v>
      </c>
      <c r="AT477" s="1" t="s">
        <v>379</v>
      </c>
      <c r="AU477" s="1">
        <v>2016.0</v>
      </c>
      <c r="AV477" s="1">
        <v>22.0</v>
      </c>
      <c r="AW477" s="1">
        <v>9.0</v>
      </c>
      <c r="AX477" s="1" t="s">
        <v>74</v>
      </c>
      <c r="AY477" s="1" t="s">
        <v>74</v>
      </c>
      <c r="AZ477" s="1" t="s">
        <v>74</v>
      </c>
      <c r="BA477" s="1" t="s">
        <v>74</v>
      </c>
      <c r="BB477" s="1" t="s">
        <v>74</v>
      </c>
      <c r="BC477" s="1" t="s">
        <v>74</v>
      </c>
      <c r="BD477" s="1">
        <v>218.0</v>
      </c>
      <c r="BE477" s="1" t="s">
        <v>4732</v>
      </c>
      <c r="BF477" s="2" t="str">
        <f>HYPERLINK("http://dx.doi.org/10.1007/s00894-016-3083-0","http://dx.doi.org/10.1007/s00894-016-3083-0")</f>
        <v>http://dx.doi.org/10.1007/s00894-016-3083-0</v>
      </c>
      <c r="BG477" s="1" t="s">
        <v>74</v>
      </c>
      <c r="BH477" s="1" t="s">
        <v>74</v>
      </c>
      <c r="BI477" s="1" t="s">
        <v>74</v>
      </c>
      <c r="BJ477" s="1" t="s">
        <v>74</v>
      </c>
      <c r="BK477" s="1" t="s">
        <v>74</v>
      </c>
      <c r="BL477" s="1" t="s">
        <v>74</v>
      </c>
      <c r="BM477" s="1" t="s">
        <v>74</v>
      </c>
      <c r="BN477" s="1">
        <v>2.7553303E7</v>
      </c>
      <c r="BO477" s="1" t="s">
        <v>74</v>
      </c>
      <c r="BP477" s="1" t="s">
        <v>74</v>
      </c>
      <c r="BQ477" s="1" t="s">
        <v>74</v>
      </c>
      <c r="BR477" s="1" t="s">
        <v>74</v>
      </c>
      <c r="BS477" s="1" t="s">
        <v>4733</v>
      </c>
      <c r="BT477" s="1" t="str">
        <f>HYPERLINK("https%3A%2F%2Fwww.webofscience.com%2Fwos%2Fwoscc%2Ffull-record%2FWOS:000382748100023","View Full Record in Web of Science")</f>
        <v>View Full Record in Web of Science</v>
      </c>
    </row>
    <row r="478" ht="12.75" customHeight="1">
      <c r="A478" s="1" t="s">
        <v>72</v>
      </c>
      <c r="B478" s="1" t="s">
        <v>4734</v>
      </c>
      <c r="C478" s="1" t="s">
        <v>74</v>
      </c>
      <c r="D478" s="1" t="s">
        <v>74</v>
      </c>
      <c r="E478" s="1" t="s">
        <v>74</v>
      </c>
      <c r="F478" s="1" t="s">
        <v>4735</v>
      </c>
      <c r="G478" s="1" t="s">
        <v>74</v>
      </c>
      <c r="H478" s="1" t="s">
        <v>74</v>
      </c>
      <c r="I478" s="1" t="s">
        <v>4736</v>
      </c>
      <c r="J478" s="1" t="s">
        <v>4737</v>
      </c>
      <c r="K478" s="1" t="s">
        <v>74</v>
      </c>
      <c r="L478" s="1" t="s">
        <v>74</v>
      </c>
      <c r="M478" s="1" t="s">
        <v>74</v>
      </c>
      <c r="N478" s="1" t="s">
        <v>74</v>
      </c>
      <c r="O478" s="1" t="s">
        <v>74</v>
      </c>
      <c r="P478" s="1" t="s">
        <v>74</v>
      </c>
      <c r="Q478" s="1" t="s">
        <v>74</v>
      </c>
      <c r="R478" s="1" t="s">
        <v>74</v>
      </c>
      <c r="S478" s="1" t="s">
        <v>74</v>
      </c>
      <c r="T478" s="1" t="s">
        <v>74</v>
      </c>
      <c r="U478" s="1" t="s">
        <v>74</v>
      </c>
      <c r="V478" s="1" t="s">
        <v>4738</v>
      </c>
      <c r="W478" s="1" t="s">
        <v>74</v>
      </c>
      <c r="X478" s="1" t="s">
        <v>74</v>
      </c>
      <c r="Y478" s="1" t="s">
        <v>74</v>
      </c>
      <c r="Z478" s="1" t="s">
        <v>74</v>
      </c>
      <c r="AA478" s="1" t="s">
        <v>4739</v>
      </c>
      <c r="AB478" s="1" t="s">
        <v>4740</v>
      </c>
      <c r="AC478" s="1" t="s">
        <v>74</v>
      </c>
      <c r="AD478" s="1" t="s">
        <v>74</v>
      </c>
      <c r="AE478" s="1" t="s">
        <v>74</v>
      </c>
      <c r="AF478" s="1" t="s">
        <v>74</v>
      </c>
      <c r="AG478" s="1" t="s">
        <v>74</v>
      </c>
      <c r="AH478" s="1" t="s">
        <v>74</v>
      </c>
      <c r="AI478" s="1" t="s">
        <v>74</v>
      </c>
      <c r="AJ478" s="1" t="s">
        <v>74</v>
      </c>
      <c r="AK478" s="1" t="s">
        <v>74</v>
      </c>
      <c r="AL478" s="1" t="s">
        <v>74</v>
      </c>
      <c r="AM478" s="1" t="s">
        <v>74</v>
      </c>
      <c r="AN478" s="1" t="s">
        <v>74</v>
      </c>
      <c r="AO478" s="1" t="s">
        <v>4741</v>
      </c>
      <c r="AP478" s="1" t="s">
        <v>4742</v>
      </c>
      <c r="AQ478" s="1" t="s">
        <v>74</v>
      </c>
      <c r="AR478" s="1" t="s">
        <v>74</v>
      </c>
      <c r="AS478" s="1" t="s">
        <v>74</v>
      </c>
      <c r="AT478" s="1" t="s">
        <v>379</v>
      </c>
      <c r="AU478" s="1">
        <v>2016.0</v>
      </c>
      <c r="AV478" s="1">
        <v>44.0</v>
      </c>
      <c r="AW478" s="1" t="s">
        <v>74</v>
      </c>
      <c r="AX478" s="1" t="s">
        <v>74</v>
      </c>
      <c r="AY478" s="1" t="s">
        <v>74</v>
      </c>
      <c r="AZ478" s="1" t="s">
        <v>74</v>
      </c>
      <c r="BA478" s="1" t="s">
        <v>74</v>
      </c>
      <c r="BB478" s="1">
        <v>159.0</v>
      </c>
      <c r="BC478" s="1">
        <v>178.0</v>
      </c>
      <c r="BD478" s="1" t="s">
        <v>74</v>
      </c>
      <c r="BE478" s="1" t="s">
        <v>4743</v>
      </c>
      <c r="BF478" s="2" t="str">
        <f>HYPERLINK("http://dx.doi.org/10.1016/j.ejpoleco.2016.07.006","http://dx.doi.org/10.1016/j.ejpoleco.2016.07.006")</f>
        <v>http://dx.doi.org/10.1016/j.ejpoleco.2016.07.006</v>
      </c>
      <c r="BG478" s="1" t="s">
        <v>74</v>
      </c>
      <c r="BH478" s="1" t="s">
        <v>74</v>
      </c>
      <c r="BI478" s="1" t="s">
        <v>74</v>
      </c>
      <c r="BJ478" s="1" t="s">
        <v>74</v>
      </c>
      <c r="BK478" s="1" t="s">
        <v>74</v>
      </c>
      <c r="BL478" s="1" t="s">
        <v>74</v>
      </c>
      <c r="BM478" s="1" t="s">
        <v>74</v>
      </c>
      <c r="BN478" s="1" t="s">
        <v>74</v>
      </c>
      <c r="BO478" s="1" t="s">
        <v>74</v>
      </c>
      <c r="BP478" s="1" t="s">
        <v>74</v>
      </c>
      <c r="BQ478" s="1" t="s">
        <v>74</v>
      </c>
      <c r="BR478" s="1" t="s">
        <v>74</v>
      </c>
      <c r="BS478" s="1" t="s">
        <v>4744</v>
      </c>
      <c r="BT478" s="1" t="str">
        <f>HYPERLINK("https%3A%2F%2Fwww.webofscience.com%2Fwos%2Fwoscc%2Ffull-record%2FWOS:000383309900009","View Full Record in Web of Science")</f>
        <v>View Full Record in Web of Science</v>
      </c>
    </row>
    <row r="479" ht="12.75" customHeight="1">
      <c r="A479" s="1" t="s">
        <v>72</v>
      </c>
      <c r="B479" s="1" t="s">
        <v>4745</v>
      </c>
      <c r="C479" s="1" t="s">
        <v>74</v>
      </c>
      <c r="D479" s="1" t="s">
        <v>74</v>
      </c>
      <c r="E479" s="1" t="s">
        <v>74</v>
      </c>
      <c r="F479" s="1" t="s">
        <v>4746</v>
      </c>
      <c r="G479" s="1" t="s">
        <v>74</v>
      </c>
      <c r="H479" s="1" t="s">
        <v>74</v>
      </c>
      <c r="I479" s="1" t="s">
        <v>4747</v>
      </c>
      <c r="J479" s="1" t="s">
        <v>4748</v>
      </c>
      <c r="K479" s="1" t="s">
        <v>74</v>
      </c>
      <c r="L479" s="1" t="s">
        <v>74</v>
      </c>
      <c r="M479" s="1" t="s">
        <v>74</v>
      </c>
      <c r="N479" s="1" t="s">
        <v>74</v>
      </c>
      <c r="O479" s="1" t="s">
        <v>74</v>
      </c>
      <c r="P479" s="1" t="s">
        <v>74</v>
      </c>
      <c r="Q479" s="1" t="s">
        <v>74</v>
      </c>
      <c r="R479" s="1" t="s">
        <v>74</v>
      </c>
      <c r="S479" s="1" t="s">
        <v>74</v>
      </c>
      <c r="T479" s="1" t="s">
        <v>74</v>
      </c>
      <c r="U479" s="1" t="s">
        <v>74</v>
      </c>
      <c r="V479" s="1" t="s">
        <v>4749</v>
      </c>
      <c r="W479" s="1" t="s">
        <v>74</v>
      </c>
      <c r="X479" s="1" t="s">
        <v>74</v>
      </c>
      <c r="Y479" s="1" t="s">
        <v>74</v>
      </c>
      <c r="Z479" s="1" t="s">
        <v>74</v>
      </c>
      <c r="AA479" s="1" t="s">
        <v>4750</v>
      </c>
      <c r="AB479" s="1" t="s">
        <v>4751</v>
      </c>
      <c r="AC479" s="1" t="s">
        <v>74</v>
      </c>
      <c r="AD479" s="1" t="s">
        <v>74</v>
      </c>
      <c r="AE479" s="1" t="s">
        <v>74</v>
      </c>
      <c r="AF479" s="1" t="s">
        <v>74</v>
      </c>
      <c r="AG479" s="1" t="s">
        <v>74</v>
      </c>
      <c r="AH479" s="1" t="s">
        <v>74</v>
      </c>
      <c r="AI479" s="1" t="s">
        <v>74</v>
      </c>
      <c r="AJ479" s="1" t="s">
        <v>74</v>
      </c>
      <c r="AK479" s="1" t="s">
        <v>74</v>
      </c>
      <c r="AL479" s="1" t="s">
        <v>74</v>
      </c>
      <c r="AM479" s="1" t="s">
        <v>74</v>
      </c>
      <c r="AN479" s="1" t="s">
        <v>74</v>
      </c>
      <c r="AO479" s="1" t="s">
        <v>74</v>
      </c>
      <c r="AP479" s="1" t="s">
        <v>4752</v>
      </c>
      <c r="AQ479" s="1" t="s">
        <v>74</v>
      </c>
      <c r="AR479" s="1" t="s">
        <v>74</v>
      </c>
      <c r="AS479" s="1" t="s">
        <v>74</v>
      </c>
      <c r="AT479" s="1" t="s">
        <v>841</v>
      </c>
      <c r="AU479" s="1">
        <v>2016.0</v>
      </c>
      <c r="AV479" s="1">
        <v>21.0</v>
      </c>
      <c r="AW479" s="1">
        <v>4.0</v>
      </c>
      <c r="AX479" s="1" t="s">
        <v>74</v>
      </c>
      <c r="AY479" s="1" t="s">
        <v>74</v>
      </c>
      <c r="AZ479" s="1" t="s">
        <v>74</v>
      </c>
      <c r="BA479" s="1" t="s">
        <v>74</v>
      </c>
      <c r="BB479" s="1" t="s">
        <v>74</v>
      </c>
      <c r="BC479" s="1" t="s">
        <v>74</v>
      </c>
      <c r="BD479" s="1">
        <v>533.0</v>
      </c>
      <c r="BE479" s="1" t="s">
        <v>4753</v>
      </c>
      <c r="BF479" s="2" t="str">
        <f>HYPERLINK("http://dx.doi.org/10.3390/molecules21040533","http://dx.doi.org/10.3390/molecules21040533")</f>
        <v>http://dx.doi.org/10.3390/molecules21040533</v>
      </c>
      <c r="BG479" s="1" t="s">
        <v>74</v>
      </c>
      <c r="BH479" s="1" t="s">
        <v>74</v>
      </c>
      <c r="BI479" s="1" t="s">
        <v>74</v>
      </c>
      <c r="BJ479" s="1" t="s">
        <v>74</v>
      </c>
      <c r="BK479" s="1" t="s">
        <v>74</v>
      </c>
      <c r="BL479" s="1" t="s">
        <v>74</v>
      </c>
      <c r="BM479" s="1" t="s">
        <v>74</v>
      </c>
      <c r="BN479" s="1">
        <v>2.7110756E7</v>
      </c>
      <c r="BO479" s="1" t="s">
        <v>74</v>
      </c>
      <c r="BP479" s="1" t="s">
        <v>74</v>
      </c>
      <c r="BQ479" s="1" t="s">
        <v>74</v>
      </c>
      <c r="BR479" s="1" t="s">
        <v>74</v>
      </c>
      <c r="BS479" s="1" t="s">
        <v>4754</v>
      </c>
      <c r="BT479" s="1" t="str">
        <f>HYPERLINK("https%3A%2F%2Fwww.webofscience.com%2Fwos%2Fwoscc%2Ffull-record%2FWOS:000375155000140","View Full Record in Web of Science")</f>
        <v>View Full Record in Web of Science</v>
      </c>
    </row>
    <row r="480" ht="12.75" customHeight="1">
      <c r="A480" s="1" t="s">
        <v>72</v>
      </c>
      <c r="B480" s="1" t="s">
        <v>4755</v>
      </c>
      <c r="C480" s="1" t="s">
        <v>74</v>
      </c>
      <c r="D480" s="1" t="s">
        <v>74</v>
      </c>
      <c r="E480" s="1" t="s">
        <v>74</v>
      </c>
      <c r="F480" s="1" t="s">
        <v>4756</v>
      </c>
      <c r="G480" s="1" t="s">
        <v>74</v>
      </c>
      <c r="H480" s="1" t="s">
        <v>74</v>
      </c>
      <c r="I480" s="1" t="s">
        <v>4757</v>
      </c>
      <c r="J480" s="1" t="s">
        <v>4758</v>
      </c>
      <c r="K480" s="1" t="s">
        <v>74</v>
      </c>
      <c r="L480" s="1" t="s">
        <v>74</v>
      </c>
      <c r="M480" s="1" t="s">
        <v>74</v>
      </c>
      <c r="N480" s="1" t="s">
        <v>74</v>
      </c>
      <c r="O480" s="1" t="s">
        <v>74</v>
      </c>
      <c r="P480" s="1" t="s">
        <v>74</v>
      </c>
      <c r="Q480" s="1" t="s">
        <v>74</v>
      </c>
      <c r="R480" s="1" t="s">
        <v>74</v>
      </c>
      <c r="S480" s="1" t="s">
        <v>74</v>
      </c>
      <c r="T480" s="1" t="s">
        <v>74</v>
      </c>
      <c r="U480" s="1" t="s">
        <v>74</v>
      </c>
      <c r="V480" s="1" t="s">
        <v>4759</v>
      </c>
      <c r="W480" s="1" t="s">
        <v>74</v>
      </c>
      <c r="X480" s="1" t="s">
        <v>74</v>
      </c>
      <c r="Y480" s="1" t="s">
        <v>74</v>
      </c>
      <c r="Z480" s="1" t="s">
        <v>74</v>
      </c>
      <c r="AA480" s="1" t="s">
        <v>4760</v>
      </c>
      <c r="AB480" s="1" t="s">
        <v>74</v>
      </c>
      <c r="AC480" s="1" t="s">
        <v>74</v>
      </c>
      <c r="AD480" s="1" t="s">
        <v>74</v>
      </c>
      <c r="AE480" s="1" t="s">
        <v>74</v>
      </c>
      <c r="AF480" s="1" t="s">
        <v>74</v>
      </c>
      <c r="AG480" s="1" t="s">
        <v>74</v>
      </c>
      <c r="AH480" s="1" t="s">
        <v>74</v>
      </c>
      <c r="AI480" s="1" t="s">
        <v>74</v>
      </c>
      <c r="AJ480" s="1" t="s">
        <v>74</v>
      </c>
      <c r="AK480" s="1" t="s">
        <v>74</v>
      </c>
      <c r="AL480" s="1" t="s">
        <v>74</v>
      </c>
      <c r="AM480" s="1" t="s">
        <v>74</v>
      </c>
      <c r="AN480" s="1" t="s">
        <v>74</v>
      </c>
      <c r="AO480" s="1" t="s">
        <v>4761</v>
      </c>
      <c r="AP480" s="1" t="s">
        <v>4762</v>
      </c>
      <c r="AQ480" s="1" t="s">
        <v>74</v>
      </c>
      <c r="AR480" s="1" t="s">
        <v>74</v>
      </c>
      <c r="AS480" s="1" t="s">
        <v>74</v>
      </c>
      <c r="AT480" s="1" t="s">
        <v>277</v>
      </c>
      <c r="AU480" s="1">
        <v>2016.0</v>
      </c>
      <c r="AV480" s="1">
        <v>97.0</v>
      </c>
      <c r="AW480" s="1" t="s">
        <v>74</v>
      </c>
      <c r="AX480" s="1" t="s">
        <v>74</v>
      </c>
      <c r="AY480" s="1" t="s">
        <v>74</v>
      </c>
      <c r="AZ480" s="1" t="s">
        <v>74</v>
      </c>
      <c r="BA480" s="1" t="s">
        <v>74</v>
      </c>
      <c r="BB480" s="1">
        <v>63.0</v>
      </c>
      <c r="BC480" s="1">
        <v>75.0</v>
      </c>
      <c r="BD480" s="1" t="s">
        <v>74</v>
      </c>
      <c r="BE480" s="1" t="s">
        <v>4763</v>
      </c>
      <c r="BF480" s="2" t="str">
        <f>HYPERLINK("http://dx.doi.org/10.1016/j.fbp.2015.11.001","http://dx.doi.org/10.1016/j.fbp.2015.11.001")</f>
        <v>http://dx.doi.org/10.1016/j.fbp.2015.11.001</v>
      </c>
      <c r="BG480" s="1" t="s">
        <v>74</v>
      </c>
      <c r="BH480" s="1" t="s">
        <v>74</v>
      </c>
      <c r="BI480" s="1" t="s">
        <v>74</v>
      </c>
      <c r="BJ480" s="1" t="s">
        <v>74</v>
      </c>
      <c r="BK480" s="1" t="s">
        <v>74</v>
      </c>
      <c r="BL480" s="1" t="s">
        <v>74</v>
      </c>
      <c r="BM480" s="1" t="s">
        <v>74</v>
      </c>
      <c r="BN480" s="1" t="s">
        <v>74</v>
      </c>
      <c r="BO480" s="1" t="s">
        <v>74</v>
      </c>
      <c r="BP480" s="1" t="s">
        <v>74</v>
      </c>
      <c r="BQ480" s="1" t="s">
        <v>74</v>
      </c>
      <c r="BR480" s="1" t="s">
        <v>74</v>
      </c>
      <c r="BS480" s="1" t="s">
        <v>4764</v>
      </c>
      <c r="BT480" s="1" t="str">
        <f>HYPERLINK("https%3A%2F%2Fwww.webofscience.com%2Fwos%2Fwoscc%2Ffull-record%2FWOS:000370105600007","View Full Record in Web of Science")</f>
        <v>View Full Record in Web of Science</v>
      </c>
    </row>
    <row r="481" ht="12.75" customHeight="1">
      <c r="A481" s="1" t="s">
        <v>72</v>
      </c>
      <c r="B481" s="1" t="s">
        <v>4765</v>
      </c>
      <c r="C481" s="1" t="s">
        <v>74</v>
      </c>
      <c r="D481" s="1" t="s">
        <v>74</v>
      </c>
      <c r="E481" s="1" t="s">
        <v>74</v>
      </c>
      <c r="F481" s="1" t="s">
        <v>4766</v>
      </c>
      <c r="G481" s="1" t="s">
        <v>74</v>
      </c>
      <c r="H481" s="1" t="s">
        <v>74</v>
      </c>
      <c r="I481" s="1" t="s">
        <v>4767</v>
      </c>
      <c r="J481" s="1" t="s">
        <v>3011</v>
      </c>
      <c r="K481" s="1" t="s">
        <v>74</v>
      </c>
      <c r="L481" s="1" t="s">
        <v>74</v>
      </c>
      <c r="M481" s="1" t="s">
        <v>74</v>
      </c>
      <c r="N481" s="1" t="s">
        <v>74</v>
      </c>
      <c r="O481" s="1" t="s">
        <v>74</v>
      </c>
      <c r="P481" s="1" t="s">
        <v>74</v>
      </c>
      <c r="Q481" s="1" t="s">
        <v>74</v>
      </c>
      <c r="R481" s="1" t="s">
        <v>74</v>
      </c>
      <c r="S481" s="1" t="s">
        <v>74</v>
      </c>
      <c r="T481" s="1" t="s">
        <v>74</v>
      </c>
      <c r="U481" s="1" t="s">
        <v>74</v>
      </c>
      <c r="V481" s="1" t="s">
        <v>4768</v>
      </c>
      <c r="W481" s="1" t="s">
        <v>74</v>
      </c>
      <c r="X481" s="1" t="s">
        <v>74</v>
      </c>
      <c r="Y481" s="1" t="s">
        <v>74</v>
      </c>
      <c r="Z481" s="1" t="s">
        <v>74</v>
      </c>
      <c r="AA481" s="1" t="s">
        <v>4769</v>
      </c>
      <c r="AB481" s="1" t="s">
        <v>4770</v>
      </c>
      <c r="AC481" s="1" t="s">
        <v>74</v>
      </c>
      <c r="AD481" s="1" t="s">
        <v>74</v>
      </c>
      <c r="AE481" s="1" t="s">
        <v>74</v>
      </c>
      <c r="AF481" s="1" t="s">
        <v>74</v>
      </c>
      <c r="AG481" s="1" t="s">
        <v>74</v>
      </c>
      <c r="AH481" s="1" t="s">
        <v>74</v>
      </c>
      <c r="AI481" s="1" t="s">
        <v>74</v>
      </c>
      <c r="AJ481" s="1" t="s">
        <v>74</v>
      </c>
      <c r="AK481" s="1" t="s">
        <v>74</v>
      </c>
      <c r="AL481" s="1" t="s">
        <v>74</v>
      </c>
      <c r="AM481" s="1" t="s">
        <v>74</v>
      </c>
      <c r="AN481" s="1" t="s">
        <v>74</v>
      </c>
      <c r="AO481" s="1" t="s">
        <v>3015</v>
      </c>
      <c r="AP481" s="1" t="s">
        <v>3016</v>
      </c>
      <c r="AQ481" s="1" t="s">
        <v>74</v>
      </c>
      <c r="AR481" s="1" t="s">
        <v>74</v>
      </c>
      <c r="AS481" s="1" t="s">
        <v>74</v>
      </c>
      <c r="AT481" s="1" t="s">
        <v>363</v>
      </c>
      <c r="AU481" s="1">
        <v>2015.0</v>
      </c>
      <c r="AV481" s="1">
        <v>34.0</v>
      </c>
      <c r="AW481" s="1">
        <v>4.0</v>
      </c>
      <c r="AX481" s="1" t="s">
        <v>74</v>
      </c>
      <c r="AY481" s="1" t="s">
        <v>74</v>
      </c>
      <c r="AZ481" s="1" t="s">
        <v>74</v>
      </c>
      <c r="BA481" s="1" t="s">
        <v>74</v>
      </c>
      <c r="BB481" s="1">
        <v>467.0</v>
      </c>
      <c r="BC481" s="1">
        <v>485.0</v>
      </c>
      <c r="BD481" s="1" t="s">
        <v>74</v>
      </c>
      <c r="BE481" s="1" t="s">
        <v>4771</v>
      </c>
      <c r="BF481" s="2" t="str">
        <f>HYPERLINK("http://dx.doi.org/10.1111/blar.12364","http://dx.doi.org/10.1111/blar.12364")</f>
        <v>http://dx.doi.org/10.1111/blar.12364</v>
      </c>
      <c r="BG481" s="1" t="s">
        <v>74</v>
      </c>
      <c r="BH481" s="1" t="s">
        <v>74</v>
      </c>
      <c r="BI481" s="1" t="s">
        <v>74</v>
      </c>
      <c r="BJ481" s="1" t="s">
        <v>74</v>
      </c>
      <c r="BK481" s="1" t="s">
        <v>74</v>
      </c>
      <c r="BL481" s="1" t="s">
        <v>74</v>
      </c>
      <c r="BM481" s="1" t="s">
        <v>74</v>
      </c>
      <c r="BN481" s="1" t="s">
        <v>74</v>
      </c>
      <c r="BO481" s="1" t="s">
        <v>74</v>
      </c>
      <c r="BP481" s="1" t="s">
        <v>74</v>
      </c>
      <c r="BQ481" s="1" t="s">
        <v>74</v>
      </c>
      <c r="BR481" s="1" t="s">
        <v>74</v>
      </c>
      <c r="BS481" s="1" t="s">
        <v>4772</v>
      </c>
      <c r="BT481" s="1" t="str">
        <f>HYPERLINK("https%3A%2F%2Fwww.webofscience.com%2Fwos%2Fwoscc%2Ffull-record%2FWOS:000361062100003","View Full Record in Web of Science")</f>
        <v>View Full Record in Web of Science</v>
      </c>
    </row>
    <row r="482" ht="12.75" customHeight="1">
      <c r="A482" s="1" t="s">
        <v>72</v>
      </c>
      <c r="B482" s="1" t="s">
        <v>4773</v>
      </c>
      <c r="C482" s="1" t="s">
        <v>74</v>
      </c>
      <c r="D482" s="1" t="s">
        <v>74</v>
      </c>
      <c r="E482" s="1" t="s">
        <v>74</v>
      </c>
      <c r="F482" s="1" t="s">
        <v>4774</v>
      </c>
      <c r="G482" s="1" t="s">
        <v>74</v>
      </c>
      <c r="H482" s="1" t="s">
        <v>74</v>
      </c>
      <c r="I482" s="1" t="s">
        <v>4775</v>
      </c>
      <c r="J482" s="1" t="s">
        <v>4776</v>
      </c>
      <c r="K482" s="1" t="s">
        <v>74</v>
      </c>
      <c r="L482" s="1" t="s">
        <v>74</v>
      </c>
      <c r="M482" s="1" t="s">
        <v>74</v>
      </c>
      <c r="N482" s="1" t="s">
        <v>74</v>
      </c>
      <c r="O482" s="1" t="s">
        <v>74</v>
      </c>
      <c r="P482" s="1" t="s">
        <v>74</v>
      </c>
      <c r="Q482" s="1" t="s">
        <v>74</v>
      </c>
      <c r="R482" s="1" t="s">
        <v>74</v>
      </c>
      <c r="S482" s="1" t="s">
        <v>74</v>
      </c>
      <c r="T482" s="1" t="s">
        <v>74</v>
      </c>
      <c r="U482" s="1" t="s">
        <v>74</v>
      </c>
      <c r="V482" s="1" t="s">
        <v>4777</v>
      </c>
      <c r="W482" s="1" t="s">
        <v>74</v>
      </c>
      <c r="X482" s="1" t="s">
        <v>74</v>
      </c>
      <c r="Y482" s="1" t="s">
        <v>74</v>
      </c>
      <c r="Z482" s="1" t="s">
        <v>74</v>
      </c>
      <c r="AA482" s="1" t="s">
        <v>4778</v>
      </c>
      <c r="AB482" s="1" t="s">
        <v>4779</v>
      </c>
      <c r="AC482" s="1" t="s">
        <v>74</v>
      </c>
      <c r="AD482" s="1" t="s">
        <v>74</v>
      </c>
      <c r="AE482" s="1" t="s">
        <v>74</v>
      </c>
      <c r="AF482" s="1" t="s">
        <v>74</v>
      </c>
      <c r="AG482" s="1" t="s">
        <v>74</v>
      </c>
      <c r="AH482" s="1" t="s">
        <v>74</v>
      </c>
      <c r="AI482" s="1" t="s">
        <v>74</v>
      </c>
      <c r="AJ482" s="1" t="s">
        <v>74</v>
      </c>
      <c r="AK482" s="1" t="s">
        <v>74</v>
      </c>
      <c r="AL482" s="1" t="s">
        <v>74</v>
      </c>
      <c r="AM482" s="1" t="s">
        <v>74</v>
      </c>
      <c r="AN482" s="1" t="s">
        <v>74</v>
      </c>
      <c r="AO482" s="1" t="s">
        <v>4780</v>
      </c>
      <c r="AP482" s="1" t="s">
        <v>4781</v>
      </c>
      <c r="AQ482" s="1" t="s">
        <v>74</v>
      </c>
      <c r="AR482" s="1" t="s">
        <v>74</v>
      </c>
      <c r="AS482" s="1" t="s">
        <v>74</v>
      </c>
      <c r="AT482" s="1" t="s">
        <v>74</v>
      </c>
      <c r="AU482" s="1">
        <v>2015.0</v>
      </c>
      <c r="AV482" s="1">
        <v>28.0</v>
      </c>
      <c r="AW482" s="1">
        <v>2.0</v>
      </c>
      <c r="AX482" s="1" t="s">
        <v>74</v>
      </c>
      <c r="AY482" s="1" t="s">
        <v>74</v>
      </c>
      <c r="AZ482" s="1" t="s">
        <v>74</v>
      </c>
      <c r="BA482" s="1" t="s">
        <v>74</v>
      </c>
      <c r="BB482" s="1">
        <v>242.0</v>
      </c>
      <c r="BC482" s="1">
        <v>252.0</v>
      </c>
      <c r="BD482" s="1" t="s">
        <v>74</v>
      </c>
      <c r="BE482" s="1" t="s">
        <v>4782</v>
      </c>
      <c r="BF482" s="2" t="str">
        <f>HYPERLINK("http://dx.doi.org/10.1590/1678-7153.201528204","http://dx.doi.org/10.1590/1678-7153.201528204")</f>
        <v>http://dx.doi.org/10.1590/1678-7153.201528204</v>
      </c>
      <c r="BG482" s="1" t="s">
        <v>74</v>
      </c>
      <c r="BH482" s="1" t="s">
        <v>74</v>
      </c>
      <c r="BI482" s="1" t="s">
        <v>74</v>
      </c>
      <c r="BJ482" s="1" t="s">
        <v>74</v>
      </c>
      <c r="BK482" s="1" t="s">
        <v>74</v>
      </c>
      <c r="BL482" s="1" t="s">
        <v>74</v>
      </c>
      <c r="BM482" s="1" t="s">
        <v>74</v>
      </c>
      <c r="BN482" s="1" t="s">
        <v>74</v>
      </c>
      <c r="BO482" s="1" t="s">
        <v>74</v>
      </c>
      <c r="BP482" s="1" t="s">
        <v>74</v>
      </c>
      <c r="BQ482" s="1" t="s">
        <v>74</v>
      </c>
      <c r="BR482" s="1" t="s">
        <v>74</v>
      </c>
      <c r="BS482" s="1" t="s">
        <v>4783</v>
      </c>
      <c r="BT482" s="1" t="str">
        <f>HYPERLINK("https%3A%2F%2Fwww.webofscience.com%2Fwos%2Fwoscc%2Ffull-record%2FWOS:000358382600004","View Full Record in Web of Science")</f>
        <v>View Full Record in Web of Science</v>
      </c>
    </row>
    <row r="483" ht="12.75" customHeight="1">
      <c r="A483" s="1" t="s">
        <v>72</v>
      </c>
      <c r="B483" s="1" t="s">
        <v>4784</v>
      </c>
      <c r="C483" s="1" t="s">
        <v>74</v>
      </c>
      <c r="D483" s="1" t="s">
        <v>74</v>
      </c>
      <c r="E483" s="1" t="s">
        <v>74</v>
      </c>
      <c r="F483" s="1" t="s">
        <v>4785</v>
      </c>
      <c r="G483" s="1" t="s">
        <v>74</v>
      </c>
      <c r="H483" s="1" t="s">
        <v>74</v>
      </c>
      <c r="I483" s="1" t="s">
        <v>4786</v>
      </c>
      <c r="J483" s="1" t="s">
        <v>4787</v>
      </c>
      <c r="K483" s="1" t="s">
        <v>74</v>
      </c>
      <c r="L483" s="1" t="s">
        <v>74</v>
      </c>
      <c r="M483" s="1" t="s">
        <v>74</v>
      </c>
      <c r="N483" s="1" t="s">
        <v>74</v>
      </c>
      <c r="O483" s="1" t="s">
        <v>74</v>
      </c>
      <c r="P483" s="1" t="s">
        <v>74</v>
      </c>
      <c r="Q483" s="1" t="s">
        <v>74</v>
      </c>
      <c r="R483" s="1" t="s">
        <v>74</v>
      </c>
      <c r="S483" s="1" t="s">
        <v>74</v>
      </c>
      <c r="T483" s="1" t="s">
        <v>74</v>
      </c>
      <c r="U483" s="1" t="s">
        <v>74</v>
      </c>
      <c r="V483" s="1" t="s">
        <v>4788</v>
      </c>
      <c r="W483" s="1" t="s">
        <v>74</v>
      </c>
      <c r="X483" s="1" t="s">
        <v>74</v>
      </c>
      <c r="Y483" s="1" t="s">
        <v>74</v>
      </c>
      <c r="Z483" s="1" t="s">
        <v>74</v>
      </c>
      <c r="AA483" s="1" t="s">
        <v>4789</v>
      </c>
      <c r="AB483" s="1" t="s">
        <v>4790</v>
      </c>
      <c r="AC483" s="1" t="s">
        <v>74</v>
      </c>
      <c r="AD483" s="1" t="s">
        <v>74</v>
      </c>
      <c r="AE483" s="1" t="s">
        <v>74</v>
      </c>
      <c r="AF483" s="1" t="s">
        <v>74</v>
      </c>
      <c r="AG483" s="1" t="s">
        <v>74</v>
      </c>
      <c r="AH483" s="1" t="s">
        <v>74</v>
      </c>
      <c r="AI483" s="1" t="s">
        <v>74</v>
      </c>
      <c r="AJ483" s="1" t="s">
        <v>74</v>
      </c>
      <c r="AK483" s="1" t="s">
        <v>74</v>
      </c>
      <c r="AL483" s="1" t="s">
        <v>74</v>
      </c>
      <c r="AM483" s="1" t="s">
        <v>74</v>
      </c>
      <c r="AN483" s="1" t="s">
        <v>74</v>
      </c>
      <c r="AO483" s="1" t="s">
        <v>4791</v>
      </c>
      <c r="AP483" s="1" t="s">
        <v>74</v>
      </c>
      <c r="AQ483" s="1" t="s">
        <v>74</v>
      </c>
      <c r="AR483" s="1" t="s">
        <v>74</v>
      </c>
      <c r="AS483" s="1" t="s">
        <v>74</v>
      </c>
      <c r="AT483" s="1" t="s">
        <v>930</v>
      </c>
      <c r="AU483" s="1">
        <v>2014.0</v>
      </c>
      <c r="AV483" s="1">
        <v>41.0</v>
      </c>
      <c r="AW483" s="1">
        <v>3.0</v>
      </c>
      <c r="AX483" s="1" t="s">
        <v>74</v>
      </c>
      <c r="AY483" s="1" t="s">
        <v>74</v>
      </c>
      <c r="AZ483" s="1" t="s">
        <v>74</v>
      </c>
      <c r="BA483" s="1" t="s">
        <v>74</v>
      </c>
      <c r="BB483" s="1">
        <v>395.0</v>
      </c>
      <c r="BC483" s="1">
        <v>402.0</v>
      </c>
      <c r="BD483" s="1" t="s">
        <v>74</v>
      </c>
      <c r="BE483" s="1" t="s">
        <v>4792</v>
      </c>
      <c r="BF483" s="2" t="str">
        <f>HYPERLINK("http://dx.doi.org/10.4067/S0718-16202014000300012","http://dx.doi.org/10.4067/S0718-16202014000300012")</f>
        <v>http://dx.doi.org/10.4067/S0718-16202014000300012</v>
      </c>
      <c r="BG483" s="1" t="s">
        <v>74</v>
      </c>
      <c r="BH483" s="1" t="s">
        <v>74</v>
      </c>
      <c r="BI483" s="1" t="s">
        <v>74</v>
      </c>
      <c r="BJ483" s="1" t="s">
        <v>74</v>
      </c>
      <c r="BK483" s="1" t="s">
        <v>74</v>
      </c>
      <c r="BL483" s="1" t="s">
        <v>74</v>
      </c>
      <c r="BM483" s="1" t="s">
        <v>74</v>
      </c>
      <c r="BN483" s="1" t="s">
        <v>74</v>
      </c>
      <c r="BO483" s="1" t="s">
        <v>74</v>
      </c>
      <c r="BP483" s="1" t="s">
        <v>74</v>
      </c>
      <c r="BQ483" s="1" t="s">
        <v>74</v>
      </c>
      <c r="BR483" s="1" t="s">
        <v>74</v>
      </c>
      <c r="BS483" s="1" t="s">
        <v>4793</v>
      </c>
      <c r="BT483" s="1" t="str">
        <f>HYPERLINK("https%3A%2F%2Fwww.webofscience.com%2Fwos%2Fwoscc%2Ffull-record%2FWOS:000348254700012","View Full Record in Web of Science")</f>
        <v>View Full Record in Web of Science</v>
      </c>
    </row>
    <row r="484" ht="12.75" customHeight="1">
      <c r="A484" s="1" t="s">
        <v>72</v>
      </c>
      <c r="B484" s="1" t="s">
        <v>4794</v>
      </c>
      <c r="C484" s="1" t="s">
        <v>74</v>
      </c>
      <c r="D484" s="1" t="s">
        <v>74</v>
      </c>
      <c r="E484" s="1" t="s">
        <v>74</v>
      </c>
      <c r="F484" s="1" t="s">
        <v>4795</v>
      </c>
      <c r="G484" s="1" t="s">
        <v>74</v>
      </c>
      <c r="H484" s="1" t="s">
        <v>74</v>
      </c>
      <c r="I484" s="1" t="s">
        <v>4796</v>
      </c>
      <c r="J484" s="1" t="s">
        <v>846</v>
      </c>
      <c r="K484" s="1" t="s">
        <v>74</v>
      </c>
      <c r="L484" s="1" t="s">
        <v>74</v>
      </c>
      <c r="M484" s="1" t="s">
        <v>74</v>
      </c>
      <c r="N484" s="1" t="s">
        <v>74</v>
      </c>
      <c r="O484" s="1" t="s">
        <v>74</v>
      </c>
      <c r="P484" s="1" t="s">
        <v>74</v>
      </c>
      <c r="Q484" s="1" t="s">
        <v>74</v>
      </c>
      <c r="R484" s="1" t="s">
        <v>74</v>
      </c>
      <c r="S484" s="1" t="s">
        <v>74</v>
      </c>
      <c r="T484" s="1" t="s">
        <v>74</v>
      </c>
      <c r="U484" s="1" t="s">
        <v>74</v>
      </c>
      <c r="V484" s="1" t="s">
        <v>4797</v>
      </c>
      <c r="W484" s="1" t="s">
        <v>74</v>
      </c>
      <c r="X484" s="1" t="s">
        <v>74</v>
      </c>
      <c r="Y484" s="1" t="s">
        <v>74</v>
      </c>
      <c r="Z484" s="1" t="s">
        <v>74</v>
      </c>
      <c r="AA484" s="1" t="s">
        <v>74</v>
      </c>
      <c r="AB484" s="1" t="s">
        <v>74</v>
      </c>
      <c r="AC484" s="1" t="s">
        <v>74</v>
      </c>
      <c r="AD484" s="1" t="s">
        <v>74</v>
      </c>
      <c r="AE484" s="1" t="s">
        <v>74</v>
      </c>
      <c r="AF484" s="1" t="s">
        <v>74</v>
      </c>
      <c r="AG484" s="1" t="s">
        <v>74</v>
      </c>
      <c r="AH484" s="1" t="s">
        <v>74</v>
      </c>
      <c r="AI484" s="1" t="s">
        <v>74</v>
      </c>
      <c r="AJ484" s="1" t="s">
        <v>74</v>
      </c>
      <c r="AK484" s="1" t="s">
        <v>74</v>
      </c>
      <c r="AL484" s="1" t="s">
        <v>74</v>
      </c>
      <c r="AM484" s="1" t="s">
        <v>74</v>
      </c>
      <c r="AN484" s="1" t="s">
        <v>74</v>
      </c>
      <c r="AO484" s="1" t="s">
        <v>850</v>
      </c>
      <c r="AP484" s="1" t="s">
        <v>74</v>
      </c>
      <c r="AQ484" s="1" t="s">
        <v>74</v>
      </c>
      <c r="AR484" s="1" t="s">
        <v>74</v>
      </c>
      <c r="AS484" s="1" t="s">
        <v>74</v>
      </c>
      <c r="AT484" s="1" t="s">
        <v>4798</v>
      </c>
      <c r="AU484" s="1">
        <v>2014.0</v>
      </c>
      <c r="AV484" s="1">
        <v>9.0</v>
      </c>
      <c r="AW484" s="1">
        <v>6.0</v>
      </c>
      <c r="AX484" s="1" t="s">
        <v>74</v>
      </c>
      <c r="AY484" s="1" t="s">
        <v>74</v>
      </c>
      <c r="AZ484" s="1" t="s">
        <v>74</v>
      </c>
      <c r="BA484" s="1" t="s">
        <v>74</v>
      </c>
      <c r="BB484" s="1" t="s">
        <v>74</v>
      </c>
      <c r="BC484" s="1" t="s">
        <v>74</v>
      </c>
      <c r="BD484" s="1" t="s">
        <v>4799</v>
      </c>
      <c r="BE484" s="1" t="s">
        <v>4800</v>
      </c>
      <c r="BF484" s="2" t="str">
        <f>HYPERLINK("http://dx.doi.org/10.1371/journal.pone.0099358","http://dx.doi.org/10.1371/journal.pone.0099358")</f>
        <v>http://dx.doi.org/10.1371/journal.pone.0099358</v>
      </c>
      <c r="BG484" s="1" t="s">
        <v>74</v>
      </c>
      <c r="BH484" s="1" t="s">
        <v>74</v>
      </c>
      <c r="BI484" s="1" t="s">
        <v>74</v>
      </c>
      <c r="BJ484" s="1" t="s">
        <v>74</v>
      </c>
      <c r="BK484" s="1" t="s">
        <v>74</v>
      </c>
      <c r="BL484" s="1" t="s">
        <v>74</v>
      </c>
      <c r="BM484" s="1" t="s">
        <v>74</v>
      </c>
      <c r="BN484" s="1">
        <v>2.4918941E7</v>
      </c>
      <c r="BO484" s="1" t="s">
        <v>74</v>
      </c>
      <c r="BP484" s="1" t="s">
        <v>74</v>
      </c>
      <c r="BQ484" s="1" t="s">
        <v>74</v>
      </c>
      <c r="BR484" s="1" t="s">
        <v>74</v>
      </c>
      <c r="BS484" s="1" t="s">
        <v>4801</v>
      </c>
      <c r="BT484" s="1" t="str">
        <f>HYPERLINK("https%3A%2F%2Fwww.webofscience.com%2Fwos%2Fwoscc%2Ffull-record%2FWOS:000338631000080","View Full Record in Web of Science")</f>
        <v>View Full Record in Web of Science</v>
      </c>
    </row>
    <row r="485" ht="12.75" customHeight="1">
      <c r="A485" s="1" t="s">
        <v>72</v>
      </c>
      <c r="B485" s="1" t="s">
        <v>4802</v>
      </c>
      <c r="C485" s="1" t="s">
        <v>74</v>
      </c>
      <c r="D485" s="1" t="s">
        <v>74</v>
      </c>
      <c r="E485" s="1" t="s">
        <v>74</v>
      </c>
      <c r="F485" s="1" t="s">
        <v>4803</v>
      </c>
      <c r="G485" s="1" t="s">
        <v>74</v>
      </c>
      <c r="H485" s="1" t="s">
        <v>74</v>
      </c>
      <c r="I485" s="1" t="s">
        <v>4804</v>
      </c>
      <c r="J485" s="1" t="s">
        <v>527</v>
      </c>
      <c r="K485" s="1" t="s">
        <v>74</v>
      </c>
      <c r="L485" s="1" t="s">
        <v>74</v>
      </c>
      <c r="M485" s="1" t="s">
        <v>74</v>
      </c>
      <c r="N485" s="1" t="s">
        <v>74</v>
      </c>
      <c r="O485" s="1" t="s">
        <v>74</v>
      </c>
      <c r="P485" s="1" t="s">
        <v>74</v>
      </c>
      <c r="Q485" s="1" t="s">
        <v>74</v>
      </c>
      <c r="R485" s="1" t="s">
        <v>74</v>
      </c>
      <c r="S485" s="1" t="s">
        <v>74</v>
      </c>
      <c r="T485" s="1" t="s">
        <v>74</v>
      </c>
      <c r="U485" s="1" t="s">
        <v>74</v>
      </c>
      <c r="V485" s="1" t="s">
        <v>4805</v>
      </c>
      <c r="W485" s="1" t="s">
        <v>74</v>
      </c>
      <c r="X485" s="1" t="s">
        <v>74</v>
      </c>
      <c r="Y485" s="1" t="s">
        <v>74</v>
      </c>
      <c r="Z485" s="1" t="s">
        <v>74</v>
      </c>
      <c r="AA485" s="1" t="s">
        <v>4806</v>
      </c>
      <c r="AB485" s="1" t="s">
        <v>4807</v>
      </c>
      <c r="AC485" s="1" t="s">
        <v>74</v>
      </c>
      <c r="AD485" s="1" t="s">
        <v>74</v>
      </c>
      <c r="AE485" s="1" t="s">
        <v>74</v>
      </c>
      <c r="AF485" s="1" t="s">
        <v>74</v>
      </c>
      <c r="AG485" s="1" t="s">
        <v>74</v>
      </c>
      <c r="AH485" s="1" t="s">
        <v>74</v>
      </c>
      <c r="AI485" s="1" t="s">
        <v>74</v>
      </c>
      <c r="AJ485" s="1" t="s">
        <v>74</v>
      </c>
      <c r="AK485" s="1" t="s">
        <v>74</v>
      </c>
      <c r="AL485" s="1" t="s">
        <v>74</v>
      </c>
      <c r="AM485" s="1" t="s">
        <v>74</v>
      </c>
      <c r="AN485" s="1" t="s">
        <v>74</v>
      </c>
      <c r="AO485" s="1" t="s">
        <v>531</v>
      </c>
      <c r="AP485" s="1" t="s">
        <v>532</v>
      </c>
      <c r="AQ485" s="1" t="s">
        <v>74</v>
      </c>
      <c r="AR485" s="1" t="s">
        <v>74</v>
      </c>
      <c r="AS485" s="1" t="s">
        <v>74</v>
      </c>
      <c r="AT485" s="1" t="s">
        <v>3482</v>
      </c>
      <c r="AU485" s="1">
        <v>2013.0</v>
      </c>
      <c r="AV485" s="1">
        <v>113.0</v>
      </c>
      <c r="AW485" s="1" t="s">
        <v>74</v>
      </c>
      <c r="AX485" s="1" t="s">
        <v>74</v>
      </c>
      <c r="AY485" s="1" t="s">
        <v>74</v>
      </c>
      <c r="AZ485" s="1" t="s">
        <v>74</v>
      </c>
      <c r="BA485" s="1" t="s">
        <v>74</v>
      </c>
      <c r="BB485" s="1">
        <v>609.0</v>
      </c>
      <c r="BC485" s="1">
        <v>619.0</v>
      </c>
      <c r="BD485" s="1" t="s">
        <v>74</v>
      </c>
      <c r="BE485" s="1" t="s">
        <v>4808</v>
      </c>
      <c r="BF485" s="2" t="str">
        <f>HYPERLINK("http://dx.doi.org/10.1016/j.electacta.2013.09.097","http://dx.doi.org/10.1016/j.electacta.2013.09.097")</f>
        <v>http://dx.doi.org/10.1016/j.electacta.2013.09.097</v>
      </c>
      <c r="BG485" s="1" t="s">
        <v>74</v>
      </c>
      <c r="BH485" s="1" t="s">
        <v>74</v>
      </c>
      <c r="BI485" s="1" t="s">
        <v>74</v>
      </c>
      <c r="BJ485" s="1" t="s">
        <v>74</v>
      </c>
      <c r="BK485" s="1" t="s">
        <v>74</v>
      </c>
      <c r="BL485" s="1" t="s">
        <v>74</v>
      </c>
      <c r="BM485" s="1" t="s">
        <v>74</v>
      </c>
      <c r="BN485" s="1" t="s">
        <v>74</v>
      </c>
      <c r="BO485" s="1" t="s">
        <v>74</v>
      </c>
      <c r="BP485" s="1" t="s">
        <v>74</v>
      </c>
      <c r="BQ485" s="1" t="s">
        <v>74</v>
      </c>
      <c r="BR485" s="1" t="s">
        <v>74</v>
      </c>
      <c r="BS485" s="1" t="s">
        <v>4809</v>
      </c>
      <c r="BT485" s="1" t="str">
        <f>HYPERLINK("https%3A%2F%2Fwww.webofscience.com%2Fwos%2Fwoscc%2Ffull-record%2FWOS:000330491500077","View Full Record in Web of Science")</f>
        <v>View Full Record in Web of Science</v>
      </c>
    </row>
    <row r="486" ht="12.75" customHeight="1">
      <c r="A486" s="1" t="s">
        <v>72</v>
      </c>
      <c r="B486" s="1" t="s">
        <v>4810</v>
      </c>
      <c r="C486" s="1" t="s">
        <v>74</v>
      </c>
      <c r="D486" s="1" t="s">
        <v>74</v>
      </c>
      <c r="E486" s="1" t="s">
        <v>74</v>
      </c>
      <c r="F486" s="1" t="s">
        <v>4811</v>
      </c>
      <c r="G486" s="1" t="s">
        <v>74</v>
      </c>
      <c r="H486" s="1" t="s">
        <v>74</v>
      </c>
      <c r="I486" s="1" t="s">
        <v>4812</v>
      </c>
      <c r="J486" s="1" t="s">
        <v>4813</v>
      </c>
      <c r="K486" s="1" t="s">
        <v>74</v>
      </c>
      <c r="L486" s="1" t="s">
        <v>74</v>
      </c>
      <c r="M486" s="1" t="s">
        <v>74</v>
      </c>
      <c r="N486" s="1" t="s">
        <v>74</v>
      </c>
      <c r="O486" s="1" t="s">
        <v>74</v>
      </c>
      <c r="P486" s="1" t="s">
        <v>74</v>
      </c>
      <c r="Q486" s="1" t="s">
        <v>74</v>
      </c>
      <c r="R486" s="1" t="s">
        <v>74</v>
      </c>
      <c r="S486" s="1" t="s">
        <v>74</v>
      </c>
      <c r="T486" s="1" t="s">
        <v>74</v>
      </c>
      <c r="U486" s="1" t="s">
        <v>74</v>
      </c>
      <c r="V486" s="1" t="s">
        <v>4814</v>
      </c>
      <c r="W486" s="1" t="s">
        <v>74</v>
      </c>
      <c r="X486" s="1" t="s">
        <v>74</v>
      </c>
      <c r="Y486" s="1" t="s">
        <v>74</v>
      </c>
      <c r="Z486" s="1" t="s">
        <v>74</v>
      </c>
      <c r="AA486" s="1" t="s">
        <v>4815</v>
      </c>
      <c r="AB486" s="1" t="s">
        <v>4816</v>
      </c>
      <c r="AC486" s="1" t="s">
        <v>74</v>
      </c>
      <c r="AD486" s="1" t="s">
        <v>74</v>
      </c>
      <c r="AE486" s="1" t="s">
        <v>74</v>
      </c>
      <c r="AF486" s="1" t="s">
        <v>74</v>
      </c>
      <c r="AG486" s="1" t="s">
        <v>74</v>
      </c>
      <c r="AH486" s="1" t="s">
        <v>74</v>
      </c>
      <c r="AI486" s="1" t="s">
        <v>74</v>
      </c>
      <c r="AJ486" s="1" t="s">
        <v>74</v>
      </c>
      <c r="AK486" s="1" t="s">
        <v>74</v>
      </c>
      <c r="AL486" s="1" t="s">
        <v>74</v>
      </c>
      <c r="AM486" s="1" t="s">
        <v>74</v>
      </c>
      <c r="AN486" s="1" t="s">
        <v>74</v>
      </c>
      <c r="AO486" s="1" t="s">
        <v>4817</v>
      </c>
      <c r="AP486" s="1" t="s">
        <v>4818</v>
      </c>
      <c r="AQ486" s="1" t="s">
        <v>74</v>
      </c>
      <c r="AR486" s="1" t="s">
        <v>74</v>
      </c>
      <c r="AS486" s="1" t="s">
        <v>74</v>
      </c>
      <c r="AT486" s="1" t="s">
        <v>112</v>
      </c>
      <c r="AU486" s="1">
        <v>2013.0</v>
      </c>
      <c r="AV486" s="1">
        <v>12.0</v>
      </c>
      <c r="AW486" s="1">
        <v>6.0</v>
      </c>
      <c r="AX486" s="1" t="s">
        <v>74</v>
      </c>
      <c r="AY486" s="1" t="s">
        <v>74</v>
      </c>
      <c r="AZ486" s="1" t="s">
        <v>74</v>
      </c>
      <c r="BA486" s="1" t="s">
        <v>74</v>
      </c>
      <c r="BB486" s="1">
        <v>1143.0</v>
      </c>
      <c r="BC486" s="1">
        <v>1154.0</v>
      </c>
      <c r="BD486" s="1" t="s">
        <v>74</v>
      </c>
      <c r="BE486" s="1" t="s">
        <v>4819</v>
      </c>
      <c r="BF486" s="2" t="str">
        <f>HYPERLINK("http://dx.doi.org/10.1007/s10237-013-0471-6","http://dx.doi.org/10.1007/s10237-013-0471-6")</f>
        <v>http://dx.doi.org/10.1007/s10237-013-0471-6</v>
      </c>
      <c r="BG486" s="1" t="s">
        <v>74</v>
      </c>
      <c r="BH486" s="1" t="s">
        <v>74</v>
      </c>
      <c r="BI486" s="1" t="s">
        <v>74</v>
      </c>
      <c r="BJ486" s="1" t="s">
        <v>74</v>
      </c>
      <c r="BK486" s="1" t="s">
        <v>74</v>
      </c>
      <c r="BL486" s="1" t="s">
        <v>74</v>
      </c>
      <c r="BM486" s="1" t="s">
        <v>74</v>
      </c>
      <c r="BN486" s="1">
        <v>2.3371524E7</v>
      </c>
      <c r="BO486" s="1" t="s">
        <v>74</v>
      </c>
      <c r="BP486" s="1" t="s">
        <v>74</v>
      </c>
      <c r="BQ486" s="1" t="s">
        <v>74</v>
      </c>
      <c r="BR486" s="1" t="s">
        <v>74</v>
      </c>
      <c r="BS486" s="1" t="s">
        <v>4820</v>
      </c>
      <c r="BT486" s="1" t="str">
        <f>HYPERLINK("https%3A%2F%2Fwww.webofscience.com%2Fwos%2Fwoscc%2Ffull-record%2FWOS:000325815300006","View Full Record in Web of Science")</f>
        <v>View Full Record in Web of Science</v>
      </c>
    </row>
    <row r="487" ht="12.75" customHeight="1">
      <c r="A487" s="1" t="s">
        <v>72</v>
      </c>
      <c r="B487" s="1" t="s">
        <v>4821</v>
      </c>
      <c r="C487" s="1" t="s">
        <v>74</v>
      </c>
      <c r="D487" s="1" t="s">
        <v>74</v>
      </c>
      <c r="E487" s="1" t="s">
        <v>74</v>
      </c>
      <c r="F487" s="1" t="s">
        <v>4822</v>
      </c>
      <c r="G487" s="1" t="s">
        <v>74</v>
      </c>
      <c r="H487" s="1" t="s">
        <v>74</v>
      </c>
      <c r="I487" s="1" t="s">
        <v>4823</v>
      </c>
      <c r="J487" s="1" t="s">
        <v>4824</v>
      </c>
      <c r="K487" s="1" t="s">
        <v>74</v>
      </c>
      <c r="L487" s="1" t="s">
        <v>74</v>
      </c>
      <c r="M487" s="1" t="s">
        <v>74</v>
      </c>
      <c r="N487" s="1" t="s">
        <v>74</v>
      </c>
      <c r="O487" s="1" t="s">
        <v>74</v>
      </c>
      <c r="P487" s="1" t="s">
        <v>74</v>
      </c>
      <c r="Q487" s="1" t="s">
        <v>74</v>
      </c>
      <c r="R487" s="1" t="s">
        <v>74</v>
      </c>
      <c r="S487" s="1" t="s">
        <v>74</v>
      </c>
      <c r="T487" s="1" t="s">
        <v>74</v>
      </c>
      <c r="U487" s="1" t="s">
        <v>74</v>
      </c>
      <c r="V487" s="1" t="s">
        <v>4825</v>
      </c>
      <c r="W487" s="1" t="s">
        <v>74</v>
      </c>
      <c r="X487" s="1" t="s">
        <v>74</v>
      </c>
      <c r="Y487" s="1" t="s">
        <v>74</v>
      </c>
      <c r="Z487" s="1" t="s">
        <v>74</v>
      </c>
      <c r="AA487" s="1" t="s">
        <v>74</v>
      </c>
      <c r="AB487" s="1" t="s">
        <v>74</v>
      </c>
      <c r="AC487" s="1" t="s">
        <v>74</v>
      </c>
      <c r="AD487" s="1" t="s">
        <v>74</v>
      </c>
      <c r="AE487" s="1" t="s">
        <v>74</v>
      </c>
      <c r="AF487" s="1" t="s">
        <v>74</v>
      </c>
      <c r="AG487" s="1" t="s">
        <v>74</v>
      </c>
      <c r="AH487" s="1" t="s">
        <v>74</v>
      </c>
      <c r="AI487" s="1" t="s">
        <v>74</v>
      </c>
      <c r="AJ487" s="1" t="s">
        <v>74</v>
      </c>
      <c r="AK487" s="1" t="s">
        <v>74</v>
      </c>
      <c r="AL487" s="1" t="s">
        <v>74</v>
      </c>
      <c r="AM487" s="1" t="s">
        <v>74</v>
      </c>
      <c r="AN487" s="1" t="s">
        <v>74</v>
      </c>
      <c r="AO487" s="1" t="s">
        <v>4826</v>
      </c>
      <c r="AP487" s="1" t="s">
        <v>4827</v>
      </c>
      <c r="AQ487" s="1" t="s">
        <v>74</v>
      </c>
      <c r="AR487" s="1" t="s">
        <v>74</v>
      </c>
      <c r="AS487" s="1" t="s">
        <v>74</v>
      </c>
      <c r="AT487" s="1" t="s">
        <v>112</v>
      </c>
      <c r="AU487" s="1">
        <v>2013.0</v>
      </c>
      <c r="AV487" s="1" t="s">
        <v>74</v>
      </c>
      <c r="AW487" s="1">
        <v>52.0</v>
      </c>
      <c r="AX487" s="1" t="s">
        <v>74</v>
      </c>
      <c r="AY487" s="1" t="s">
        <v>74</v>
      </c>
      <c r="AZ487" s="1" t="s">
        <v>74</v>
      </c>
      <c r="BA487" s="1" t="s">
        <v>74</v>
      </c>
      <c r="BB487" s="1">
        <v>75.0</v>
      </c>
      <c r="BC487" s="1">
        <v>86.0</v>
      </c>
      <c r="BD487" s="1" t="s">
        <v>74</v>
      </c>
      <c r="BE487" s="1" t="s">
        <v>74</v>
      </c>
      <c r="BF487" s="1" t="s">
        <v>74</v>
      </c>
      <c r="BG487" s="1" t="s">
        <v>74</v>
      </c>
      <c r="BH487" s="1" t="s">
        <v>74</v>
      </c>
      <c r="BI487" s="1" t="s">
        <v>74</v>
      </c>
      <c r="BJ487" s="1" t="s">
        <v>74</v>
      </c>
      <c r="BK487" s="1" t="s">
        <v>74</v>
      </c>
      <c r="BL487" s="1" t="s">
        <v>74</v>
      </c>
      <c r="BM487" s="1" t="s">
        <v>74</v>
      </c>
      <c r="BN487" s="1" t="s">
        <v>74</v>
      </c>
      <c r="BO487" s="1" t="s">
        <v>74</v>
      </c>
      <c r="BP487" s="1" t="s">
        <v>74</v>
      </c>
      <c r="BQ487" s="1" t="s">
        <v>74</v>
      </c>
      <c r="BR487" s="1" t="s">
        <v>74</v>
      </c>
      <c r="BS487" s="1" t="s">
        <v>4828</v>
      </c>
      <c r="BT487" s="1" t="str">
        <f>HYPERLINK("https%3A%2F%2Fwww.webofscience.com%2Fwos%2Fwoscc%2Ffull-record%2FWOS:000328633900005","View Full Record in Web of Science")</f>
        <v>View Full Record in Web of Science</v>
      </c>
    </row>
    <row r="488" ht="12.75" customHeight="1">
      <c r="A488" s="1" t="s">
        <v>147</v>
      </c>
      <c r="B488" s="1" t="s">
        <v>4829</v>
      </c>
      <c r="C488" s="1" t="s">
        <v>74</v>
      </c>
      <c r="D488" s="1" t="s">
        <v>4830</v>
      </c>
      <c r="E488" s="1" t="s">
        <v>74</v>
      </c>
      <c r="F488" s="1" t="s">
        <v>4831</v>
      </c>
      <c r="G488" s="1" t="s">
        <v>74</v>
      </c>
      <c r="H488" s="1" t="s">
        <v>74</v>
      </c>
      <c r="I488" s="1" t="s">
        <v>4832</v>
      </c>
      <c r="J488" s="1" t="s">
        <v>4833</v>
      </c>
      <c r="K488" s="1" t="s">
        <v>4834</v>
      </c>
      <c r="L488" s="1" t="s">
        <v>74</v>
      </c>
      <c r="M488" s="1" t="s">
        <v>74</v>
      </c>
      <c r="N488" s="1" t="s">
        <v>74</v>
      </c>
      <c r="O488" s="1" t="s">
        <v>4835</v>
      </c>
      <c r="P488" s="1" t="s">
        <v>4836</v>
      </c>
      <c r="Q488" s="1" t="s">
        <v>4837</v>
      </c>
      <c r="R488" s="1" t="s">
        <v>4838</v>
      </c>
      <c r="S488" s="1" t="s">
        <v>74</v>
      </c>
      <c r="T488" s="1" t="s">
        <v>74</v>
      </c>
      <c r="U488" s="1" t="s">
        <v>74</v>
      </c>
      <c r="V488" s="1" t="s">
        <v>4839</v>
      </c>
      <c r="W488" s="1" t="s">
        <v>74</v>
      </c>
      <c r="X488" s="1" t="s">
        <v>74</v>
      </c>
      <c r="Y488" s="1" t="s">
        <v>74</v>
      </c>
      <c r="Z488" s="1" t="s">
        <v>74</v>
      </c>
      <c r="AA488" s="1" t="s">
        <v>4840</v>
      </c>
      <c r="AB488" s="1" t="s">
        <v>4841</v>
      </c>
      <c r="AC488" s="1" t="s">
        <v>74</v>
      </c>
      <c r="AD488" s="1" t="s">
        <v>74</v>
      </c>
      <c r="AE488" s="1" t="s">
        <v>74</v>
      </c>
      <c r="AF488" s="1" t="s">
        <v>74</v>
      </c>
      <c r="AG488" s="1" t="s">
        <v>74</v>
      </c>
      <c r="AH488" s="1" t="s">
        <v>74</v>
      </c>
      <c r="AI488" s="1" t="s">
        <v>74</v>
      </c>
      <c r="AJ488" s="1" t="s">
        <v>74</v>
      </c>
      <c r="AK488" s="1" t="s">
        <v>74</v>
      </c>
      <c r="AL488" s="1" t="s">
        <v>74</v>
      </c>
      <c r="AM488" s="1" t="s">
        <v>74</v>
      </c>
      <c r="AN488" s="1" t="s">
        <v>74</v>
      </c>
      <c r="AO488" s="1" t="s">
        <v>4842</v>
      </c>
      <c r="AP488" s="1" t="s">
        <v>74</v>
      </c>
      <c r="AQ488" s="1" t="s">
        <v>4843</v>
      </c>
      <c r="AR488" s="1" t="s">
        <v>74</v>
      </c>
      <c r="AS488" s="1" t="s">
        <v>74</v>
      </c>
      <c r="AT488" s="1" t="s">
        <v>74</v>
      </c>
      <c r="AU488" s="1">
        <v>2013.0</v>
      </c>
      <c r="AV488" s="1" t="s">
        <v>74</v>
      </c>
      <c r="AW488" s="1" t="s">
        <v>74</v>
      </c>
      <c r="AX488" s="1" t="s">
        <v>74</v>
      </c>
      <c r="AY488" s="1" t="s">
        <v>74</v>
      </c>
      <c r="AZ488" s="1" t="s">
        <v>74</v>
      </c>
      <c r="BA488" s="1" t="s">
        <v>74</v>
      </c>
      <c r="BB488" s="1">
        <v>108.0</v>
      </c>
      <c r="BC488" s="1">
        <v>115.0</v>
      </c>
      <c r="BD488" s="1" t="s">
        <v>74</v>
      </c>
      <c r="BE488" s="1" t="s">
        <v>4844</v>
      </c>
      <c r="BF488" s="2" t="str">
        <f>HYPERLINK("http://dx.doi.org/10.1109/PDP.2013.23","http://dx.doi.org/10.1109/PDP.2013.23")</f>
        <v>http://dx.doi.org/10.1109/PDP.2013.23</v>
      </c>
      <c r="BG488" s="1" t="s">
        <v>74</v>
      </c>
      <c r="BH488" s="1" t="s">
        <v>74</v>
      </c>
      <c r="BI488" s="1" t="s">
        <v>74</v>
      </c>
      <c r="BJ488" s="1" t="s">
        <v>74</v>
      </c>
      <c r="BK488" s="1" t="s">
        <v>74</v>
      </c>
      <c r="BL488" s="1" t="s">
        <v>74</v>
      </c>
      <c r="BM488" s="1" t="s">
        <v>74</v>
      </c>
      <c r="BN488" s="1" t="s">
        <v>74</v>
      </c>
      <c r="BO488" s="1" t="s">
        <v>74</v>
      </c>
      <c r="BP488" s="1" t="s">
        <v>74</v>
      </c>
      <c r="BQ488" s="1" t="s">
        <v>74</v>
      </c>
      <c r="BR488" s="1" t="s">
        <v>74</v>
      </c>
      <c r="BS488" s="1" t="s">
        <v>4845</v>
      </c>
      <c r="BT488" s="1" t="str">
        <f>HYPERLINK("https%3A%2F%2Fwww.webofscience.com%2Fwos%2Fwoscc%2Ffull-record%2FWOS:000321123000015","View Full Record in Web of Science")</f>
        <v>View Full Record in Web of Science</v>
      </c>
    </row>
    <row r="489" ht="12.75" customHeight="1">
      <c r="A489" s="1" t="s">
        <v>72</v>
      </c>
      <c r="B489" s="1" t="s">
        <v>4846</v>
      </c>
      <c r="C489" s="1" t="s">
        <v>74</v>
      </c>
      <c r="D489" s="1" t="s">
        <v>74</v>
      </c>
      <c r="E489" s="1" t="s">
        <v>74</v>
      </c>
      <c r="F489" s="1" t="s">
        <v>4847</v>
      </c>
      <c r="G489" s="1" t="s">
        <v>74</v>
      </c>
      <c r="H489" s="1" t="s">
        <v>74</v>
      </c>
      <c r="I489" s="1" t="s">
        <v>4848</v>
      </c>
      <c r="J489" s="1" t="s">
        <v>4849</v>
      </c>
      <c r="K489" s="1" t="s">
        <v>74</v>
      </c>
      <c r="L489" s="1" t="s">
        <v>74</v>
      </c>
      <c r="M489" s="1" t="s">
        <v>74</v>
      </c>
      <c r="N489" s="1" t="s">
        <v>74</v>
      </c>
      <c r="O489" s="1" t="s">
        <v>74</v>
      </c>
      <c r="P489" s="1" t="s">
        <v>74</v>
      </c>
      <c r="Q489" s="1" t="s">
        <v>74</v>
      </c>
      <c r="R489" s="1" t="s">
        <v>74</v>
      </c>
      <c r="S489" s="1" t="s">
        <v>74</v>
      </c>
      <c r="T489" s="1" t="s">
        <v>74</v>
      </c>
      <c r="U489" s="1" t="s">
        <v>74</v>
      </c>
      <c r="V489" s="1" t="s">
        <v>4850</v>
      </c>
      <c r="W489" s="1" t="s">
        <v>74</v>
      </c>
      <c r="X489" s="1" t="s">
        <v>74</v>
      </c>
      <c r="Y489" s="1" t="s">
        <v>74</v>
      </c>
      <c r="Z489" s="1" t="s">
        <v>74</v>
      </c>
      <c r="AA489" s="1" t="s">
        <v>4851</v>
      </c>
      <c r="AB489" s="1" t="s">
        <v>4852</v>
      </c>
      <c r="AC489" s="1" t="s">
        <v>74</v>
      </c>
      <c r="AD489" s="1" t="s">
        <v>74</v>
      </c>
      <c r="AE489" s="1" t="s">
        <v>74</v>
      </c>
      <c r="AF489" s="1" t="s">
        <v>74</v>
      </c>
      <c r="AG489" s="1" t="s">
        <v>74</v>
      </c>
      <c r="AH489" s="1" t="s">
        <v>74</v>
      </c>
      <c r="AI489" s="1" t="s">
        <v>74</v>
      </c>
      <c r="AJ489" s="1" t="s">
        <v>74</v>
      </c>
      <c r="AK489" s="1" t="s">
        <v>74</v>
      </c>
      <c r="AL489" s="1" t="s">
        <v>74</v>
      </c>
      <c r="AM489" s="1" t="s">
        <v>74</v>
      </c>
      <c r="AN489" s="1" t="s">
        <v>74</v>
      </c>
      <c r="AO489" s="1" t="s">
        <v>4853</v>
      </c>
      <c r="AP489" s="1" t="s">
        <v>74</v>
      </c>
      <c r="AQ489" s="1" t="s">
        <v>74</v>
      </c>
      <c r="AR489" s="1" t="s">
        <v>74</v>
      </c>
      <c r="AS489" s="1" t="s">
        <v>74</v>
      </c>
      <c r="AT489" s="1" t="s">
        <v>379</v>
      </c>
      <c r="AU489" s="1">
        <v>2012.0</v>
      </c>
      <c r="AV489" s="1">
        <v>14.0</v>
      </c>
      <c r="AW489" s="1">
        <v>5.0</v>
      </c>
      <c r="AX489" s="1" t="s">
        <v>74</v>
      </c>
      <c r="AY489" s="1" t="s">
        <v>74</v>
      </c>
      <c r="AZ489" s="1" t="s">
        <v>74</v>
      </c>
      <c r="BA489" s="1" t="s">
        <v>74</v>
      </c>
      <c r="BB489" s="1">
        <v>563.0</v>
      </c>
      <c r="BC489" s="1">
        <v>576.0</v>
      </c>
      <c r="BD489" s="1" t="s">
        <v>74</v>
      </c>
      <c r="BE489" s="1" t="s">
        <v>4854</v>
      </c>
      <c r="BF489" s="2" t="str">
        <f>HYPERLINK("http://dx.doi.org/10.1007/s10035-012-0359-7","http://dx.doi.org/10.1007/s10035-012-0359-7")</f>
        <v>http://dx.doi.org/10.1007/s10035-012-0359-7</v>
      </c>
      <c r="BG489" s="1" t="s">
        <v>74</v>
      </c>
      <c r="BH489" s="1" t="s">
        <v>74</v>
      </c>
      <c r="BI489" s="1" t="s">
        <v>74</v>
      </c>
      <c r="BJ489" s="1" t="s">
        <v>74</v>
      </c>
      <c r="BK489" s="1" t="s">
        <v>74</v>
      </c>
      <c r="BL489" s="1" t="s">
        <v>74</v>
      </c>
      <c r="BM489" s="1" t="s">
        <v>74</v>
      </c>
      <c r="BN489" s="1" t="s">
        <v>74</v>
      </c>
      <c r="BO489" s="1" t="s">
        <v>74</v>
      </c>
      <c r="BP489" s="1" t="s">
        <v>74</v>
      </c>
      <c r="BQ489" s="1" t="s">
        <v>74</v>
      </c>
      <c r="BR489" s="1" t="s">
        <v>74</v>
      </c>
      <c r="BS489" s="1" t="s">
        <v>4855</v>
      </c>
      <c r="BT489" s="1" t="str">
        <f>HYPERLINK("https%3A%2F%2Fwww.webofscience.com%2Fwos%2Fwoscc%2Ffull-record%2FWOS:000308249100002","View Full Record in Web of Science")</f>
        <v>View Full Record in Web of Science</v>
      </c>
    </row>
    <row r="490" ht="12.75" customHeight="1">
      <c r="A490" s="1" t="s">
        <v>72</v>
      </c>
      <c r="B490" s="1" t="s">
        <v>4856</v>
      </c>
      <c r="C490" s="1" t="s">
        <v>74</v>
      </c>
      <c r="D490" s="1" t="s">
        <v>74</v>
      </c>
      <c r="E490" s="1" t="s">
        <v>74</v>
      </c>
      <c r="F490" s="1" t="s">
        <v>4857</v>
      </c>
      <c r="G490" s="1" t="s">
        <v>74</v>
      </c>
      <c r="H490" s="1" t="s">
        <v>74</v>
      </c>
      <c r="I490" s="1" t="s">
        <v>4858</v>
      </c>
      <c r="J490" s="1" t="s">
        <v>4859</v>
      </c>
      <c r="K490" s="1" t="s">
        <v>74</v>
      </c>
      <c r="L490" s="1" t="s">
        <v>74</v>
      </c>
      <c r="M490" s="1" t="s">
        <v>74</v>
      </c>
      <c r="N490" s="1" t="s">
        <v>74</v>
      </c>
      <c r="O490" s="1" t="s">
        <v>74</v>
      </c>
      <c r="P490" s="1" t="s">
        <v>74</v>
      </c>
      <c r="Q490" s="1" t="s">
        <v>74</v>
      </c>
      <c r="R490" s="1" t="s">
        <v>74</v>
      </c>
      <c r="S490" s="1" t="s">
        <v>74</v>
      </c>
      <c r="T490" s="1" t="s">
        <v>74</v>
      </c>
      <c r="U490" s="1" t="s">
        <v>74</v>
      </c>
      <c r="V490" s="1" t="s">
        <v>4860</v>
      </c>
      <c r="W490" s="1" t="s">
        <v>74</v>
      </c>
      <c r="X490" s="1" t="s">
        <v>74</v>
      </c>
      <c r="Y490" s="1" t="s">
        <v>74</v>
      </c>
      <c r="Z490" s="1" t="s">
        <v>74</v>
      </c>
      <c r="AA490" s="1" t="s">
        <v>4861</v>
      </c>
      <c r="AB490" s="1" t="s">
        <v>4862</v>
      </c>
      <c r="AC490" s="1" t="s">
        <v>74</v>
      </c>
      <c r="AD490" s="1" t="s">
        <v>74</v>
      </c>
      <c r="AE490" s="1" t="s">
        <v>74</v>
      </c>
      <c r="AF490" s="1" t="s">
        <v>74</v>
      </c>
      <c r="AG490" s="1" t="s">
        <v>74</v>
      </c>
      <c r="AH490" s="1" t="s">
        <v>74</v>
      </c>
      <c r="AI490" s="1" t="s">
        <v>74</v>
      </c>
      <c r="AJ490" s="1" t="s">
        <v>74</v>
      </c>
      <c r="AK490" s="1" t="s">
        <v>74</v>
      </c>
      <c r="AL490" s="1" t="s">
        <v>74</v>
      </c>
      <c r="AM490" s="1" t="s">
        <v>74</v>
      </c>
      <c r="AN490" s="1" t="s">
        <v>74</v>
      </c>
      <c r="AO490" s="1" t="s">
        <v>4863</v>
      </c>
      <c r="AP490" s="1" t="s">
        <v>4864</v>
      </c>
      <c r="AQ490" s="1" t="s">
        <v>74</v>
      </c>
      <c r="AR490" s="1" t="s">
        <v>74</v>
      </c>
      <c r="AS490" s="1" t="s">
        <v>74</v>
      </c>
      <c r="AT490" s="1" t="s">
        <v>144</v>
      </c>
      <c r="AU490" s="1">
        <v>2012.0</v>
      </c>
      <c r="AV490" s="1">
        <v>28.0</v>
      </c>
      <c r="AW490" s="1">
        <v>3.0</v>
      </c>
      <c r="AX490" s="1" t="s">
        <v>74</v>
      </c>
      <c r="AY490" s="1" t="s">
        <v>74</v>
      </c>
      <c r="AZ490" s="1" t="s">
        <v>74</v>
      </c>
      <c r="BA490" s="1" t="s">
        <v>74</v>
      </c>
      <c r="BB490" s="1">
        <v>1107.0</v>
      </c>
      <c r="BC490" s="1">
        <v>1113.0</v>
      </c>
      <c r="BD490" s="1" t="s">
        <v>74</v>
      </c>
      <c r="BE490" s="1" t="s">
        <v>4865</v>
      </c>
      <c r="BF490" s="2" t="str">
        <f>HYPERLINK("http://dx.doi.org/10.1007/s11274-011-0911-3","http://dx.doi.org/10.1007/s11274-011-0911-3")</f>
        <v>http://dx.doi.org/10.1007/s11274-011-0911-3</v>
      </c>
      <c r="BG490" s="1" t="s">
        <v>74</v>
      </c>
      <c r="BH490" s="1" t="s">
        <v>74</v>
      </c>
      <c r="BI490" s="1" t="s">
        <v>74</v>
      </c>
      <c r="BJ490" s="1" t="s">
        <v>74</v>
      </c>
      <c r="BK490" s="1" t="s">
        <v>74</v>
      </c>
      <c r="BL490" s="1" t="s">
        <v>74</v>
      </c>
      <c r="BM490" s="1" t="s">
        <v>74</v>
      </c>
      <c r="BN490" s="1">
        <v>2.2805832E7</v>
      </c>
      <c r="BO490" s="1" t="s">
        <v>74</v>
      </c>
      <c r="BP490" s="1" t="s">
        <v>74</v>
      </c>
      <c r="BQ490" s="1" t="s">
        <v>74</v>
      </c>
      <c r="BR490" s="1" t="s">
        <v>74</v>
      </c>
      <c r="BS490" s="1" t="s">
        <v>4866</v>
      </c>
      <c r="BT490" s="1" t="str">
        <f>HYPERLINK("https%3A%2F%2Fwww.webofscience.com%2Fwos%2Fwoscc%2Ffull-record%2FWOS:000300290400037","View Full Record in Web of Science")</f>
        <v>View Full Record in Web of Science</v>
      </c>
    </row>
    <row r="491" ht="12.75" customHeight="1">
      <c r="A491" s="1" t="s">
        <v>72</v>
      </c>
      <c r="B491" s="1" t="s">
        <v>4867</v>
      </c>
      <c r="C491" s="1" t="s">
        <v>74</v>
      </c>
      <c r="D491" s="1" t="s">
        <v>74</v>
      </c>
      <c r="E491" s="1" t="s">
        <v>74</v>
      </c>
      <c r="F491" s="1" t="s">
        <v>4868</v>
      </c>
      <c r="G491" s="1" t="s">
        <v>74</v>
      </c>
      <c r="H491" s="1" t="s">
        <v>74</v>
      </c>
      <c r="I491" s="1" t="s">
        <v>4869</v>
      </c>
      <c r="J491" s="1" t="s">
        <v>1827</v>
      </c>
      <c r="K491" s="1" t="s">
        <v>74</v>
      </c>
      <c r="L491" s="1" t="s">
        <v>74</v>
      </c>
      <c r="M491" s="1" t="s">
        <v>74</v>
      </c>
      <c r="N491" s="1" t="s">
        <v>74</v>
      </c>
      <c r="O491" s="1" t="s">
        <v>74</v>
      </c>
      <c r="P491" s="1" t="s">
        <v>74</v>
      </c>
      <c r="Q491" s="1" t="s">
        <v>74</v>
      </c>
      <c r="R491" s="1" t="s">
        <v>74</v>
      </c>
      <c r="S491" s="1" t="s">
        <v>74</v>
      </c>
      <c r="T491" s="1" t="s">
        <v>74</v>
      </c>
      <c r="U491" s="1" t="s">
        <v>74</v>
      </c>
      <c r="V491" s="1" t="s">
        <v>4870</v>
      </c>
      <c r="W491" s="1" t="s">
        <v>74</v>
      </c>
      <c r="X491" s="1" t="s">
        <v>74</v>
      </c>
      <c r="Y491" s="1" t="s">
        <v>74</v>
      </c>
      <c r="Z491" s="1" t="s">
        <v>74</v>
      </c>
      <c r="AA491" s="1" t="s">
        <v>4871</v>
      </c>
      <c r="AB491" s="1" t="s">
        <v>74</v>
      </c>
      <c r="AC491" s="1" t="s">
        <v>74</v>
      </c>
      <c r="AD491" s="1" t="s">
        <v>74</v>
      </c>
      <c r="AE491" s="1" t="s">
        <v>74</v>
      </c>
      <c r="AF491" s="1" t="s">
        <v>74</v>
      </c>
      <c r="AG491" s="1" t="s">
        <v>74</v>
      </c>
      <c r="AH491" s="1" t="s">
        <v>74</v>
      </c>
      <c r="AI491" s="1" t="s">
        <v>74</v>
      </c>
      <c r="AJ491" s="1" t="s">
        <v>74</v>
      </c>
      <c r="AK491" s="1" t="s">
        <v>74</v>
      </c>
      <c r="AL491" s="1" t="s">
        <v>74</v>
      </c>
      <c r="AM491" s="1" t="s">
        <v>74</v>
      </c>
      <c r="AN491" s="1" t="s">
        <v>74</v>
      </c>
      <c r="AO491" s="1" t="s">
        <v>1830</v>
      </c>
      <c r="AP491" s="1" t="s">
        <v>74</v>
      </c>
      <c r="AQ491" s="1" t="s">
        <v>74</v>
      </c>
      <c r="AR491" s="1" t="s">
        <v>74</v>
      </c>
      <c r="AS491" s="1" t="s">
        <v>74</v>
      </c>
      <c r="AT491" s="1" t="s">
        <v>74</v>
      </c>
      <c r="AU491" s="1">
        <v>2012.0</v>
      </c>
      <c r="AV491" s="1" t="s">
        <v>74</v>
      </c>
      <c r="AW491" s="1" t="s">
        <v>74</v>
      </c>
      <c r="AX491" s="1" t="s">
        <v>74</v>
      </c>
      <c r="AY491" s="1" t="s">
        <v>74</v>
      </c>
      <c r="AZ491" s="1" t="s">
        <v>74</v>
      </c>
      <c r="BA491" s="1" t="s">
        <v>74</v>
      </c>
      <c r="BB491" s="1" t="s">
        <v>74</v>
      </c>
      <c r="BC491" s="1" t="s">
        <v>74</v>
      </c>
      <c r="BD491" s="1">
        <v>782170.0</v>
      </c>
      <c r="BE491" s="1" t="s">
        <v>4872</v>
      </c>
      <c r="BF491" s="2" t="str">
        <f>HYPERLINK("http://dx.doi.org/10.1155/2012/782170","http://dx.doi.org/10.1155/2012/782170")</f>
        <v>http://dx.doi.org/10.1155/2012/782170</v>
      </c>
      <c r="BG491" s="1" t="s">
        <v>74</v>
      </c>
      <c r="BH491" s="1" t="s">
        <v>74</v>
      </c>
      <c r="BI491" s="1" t="s">
        <v>74</v>
      </c>
      <c r="BJ491" s="1" t="s">
        <v>74</v>
      </c>
      <c r="BK491" s="1" t="s">
        <v>74</v>
      </c>
      <c r="BL491" s="1" t="s">
        <v>74</v>
      </c>
      <c r="BM491" s="1" t="s">
        <v>74</v>
      </c>
      <c r="BN491" s="1" t="s">
        <v>74</v>
      </c>
      <c r="BO491" s="1" t="s">
        <v>74</v>
      </c>
      <c r="BP491" s="1" t="s">
        <v>74</v>
      </c>
      <c r="BQ491" s="1" t="s">
        <v>74</v>
      </c>
      <c r="BR491" s="1" t="s">
        <v>74</v>
      </c>
      <c r="BS491" s="1" t="s">
        <v>4873</v>
      </c>
      <c r="BT491" s="1" t="str">
        <f>HYPERLINK("https%3A%2F%2Fwww.webofscience.com%2Fwos%2Fwoscc%2Ffull-record%2FWOS:000308160500001","View Full Record in Web of Science")</f>
        <v>View Full Record in Web of Science</v>
      </c>
    </row>
    <row r="492" ht="12.75" customHeight="1">
      <c r="A492" s="1" t="s">
        <v>72</v>
      </c>
      <c r="B492" s="1" t="s">
        <v>4874</v>
      </c>
      <c r="C492" s="1" t="s">
        <v>74</v>
      </c>
      <c r="D492" s="1" t="s">
        <v>74</v>
      </c>
      <c r="E492" s="1" t="s">
        <v>74</v>
      </c>
      <c r="F492" s="1" t="s">
        <v>4875</v>
      </c>
      <c r="G492" s="1" t="s">
        <v>74</v>
      </c>
      <c r="H492" s="1" t="s">
        <v>74</v>
      </c>
      <c r="I492" s="1" t="s">
        <v>4876</v>
      </c>
      <c r="J492" s="1" t="s">
        <v>3288</v>
      </c>
      <c r="K492" s="1" t="s">
        <v>74</v>
      </c>
      <c r="L492" s="1" t="s">
        <v>74</v>
      </c>
      <c r="M492" s="1" t="s">
        <v>74</v>
      </c>
      <c r="N492" s="1" t="s">
        <v>74</v>
      </c>
      <c r="O492" s="1" t="s">
        <v>74</v>
      </c>
      <c r="P492" s="1" t="s">
        <v>74</v>
      </c>
      <c r="Q492" s="1" t="s">
        <v>74</v>
      </c>
      <c r="R492" s="1" t="s">
        <v>74</v>
      </c>
      <c r="S492" s="1" t="s">
        <v>74</v>
      </c>
      <c r="T492" s="1" t="s">
        <v>74</v>
      </c>
      <c r="U492" s="1" t="s">
        <v>74</v>
      </c>
      <c r="V492" s="1" t="s">
        <v>4877</v>
      </c>
      <c r="W492" s="1" t="s">
        <v>74</v>
      </c>
      <c r="X492" s="1" t="s">
        <v>74</v>
      </c>
      <c r="Y492" s="1" t="s">
        <v>74</v>
      </c>
      <c r="Z492" s="1" t="s">
        <v>74</v>
      </c>
      <c r="AA492" s="1" t="s">
        <v>74</v>
      </c>
      <c r="AB492" s="1" t="s">
        <v>74</v>
      </c>
      <c r="AC492" s="1" t="s">
        <v>74</v>
      </c>
      <c r="AD492" s="1" t="s">
        <v>74</v>
      </c>
      <c r="AE492" s="1" t="s">
        <v>74</v>
      </c>
      <c r="AF492" s="1" t="s">
        <v>74</v>
      </c>
      <c r="AG492" s="1" t="s">
        <v>74</v>
      </c>
      <c r="AH492" s="1" t="s">
        <v>74</v>
      </c>
      <c r="AI492" s="1" t="s">
        <v>74</v>
      </c>
      <c r="AJ492" s="1" t="s">
        <v>74</v>
      </c>
      <c r="AK492" s="1" t="s">
        <v>74</v>
      </c>
      <c r="AL492" s="1" t="s">
        <v>74</v>
      </c>
      <c r="AM492" s="1" t="s">
        <v>74</v>
      </c>
      <c r="AN492" s="1" t="s">
        <v>74</v>
      </c>
      <c r="AO492" s="1" t="s">
        <v>3292</v>
      </c>
      <c r="AP492" s="1" t="s">
        <v>3293</v>
      </c>
      <c r="AQ492" s="1" t="s">
        <v>74</v>
      </c>
      <c r="AR492" s="1" t="s">
        <v>74</v>
      </c>
      <c r="AS492" s="1" t="s">
        <v>74</v>
      </c>
      <c r="AT492" s="1" t="s">
        <v>289</v>
      </c>
      <c r="AU492" s="1">
        <v>2011.0</v>
      </c>
      <c r="AV492" s="1">
        <v>54.0</v>
      </c>
      <c r="AW492" s="1" t="s">
        <v>4878</v>
      </c>
      <c r="AX492" s="1" t="s">
        <v>74</v>
      </c>
      <c r="AY492" s="1" t="s">
        <v>74</v>
      </c>
      <c r="AZ492" s="1" t="s">
        <v>74</v>
      </c>
      <c r="BA492" s="1" t="s">
        <v>74</v>
      </c>
      <c r="BB492" s="1">
        <v>2801.0</v>
      </c>
      <c r="BC492" s="1">
        <v>2810.0</v>
      </c>
      <c r="BD492" s="1" t="s">
        <v>74</v>
      </c>
      <c r="BE492" s="1" t="s">
        <v>4879</v>
      </c>
      <c r="BF492" s="2" t="str">
        <f>HYPERLINK("http://dx.doi.org/10.1016/j.ijheatmasstransfer.2011.01.031","http://dx.doi.org/10.1016/j.ijheatmasstransfer.2011.01.031")</f>
        <v>http://dx.doi.org/10.1016/j.ijheatmasstransfer.2011.01.031</v>
      </c>
      <c r="BG492" s="1" t="s">
        <v>74</v>
      </c>
      <c r="BH492" s="1" t="s">
        <v>74</v>
      </c>
      <c r="BI492" s="1" t="s">
        <v>74</v>
      </c>
      <c r="BJ492" s="1" t="s">
        <v>74</v>
      </c>
      <c r="BK492" s="1" t="s">
        <v>74</v>
      </c>
      <c r="BL492" s="1" t="s">
        <v>74</v>
      </c>
      <c r="BM492" s="1" t="s">
        <v>74</v>
      </c>
      <c r="BN492" s="1" t="s">
        <v>74</v>
      </c>
      <c r="BO492" s="1" t="s">
        <v>74</v>
      </c>
      <c r="BP492" s="1" t="s">
        <v>74</v>
      </c>
      <c r="BQ492" s="1" t="s">
        <v>74</v>
      </c>
      <c r="BR492" s="1" t="s">
        <v>74</v>
      </c>
      <c r="BS492" s="1" t="s">
        <v>4880</v>
      </c>
      <c r="BT492" s="1" t="str">
        <f>HYPERLINK("https%3A%2F%2Fwww.webofscience.com%2Fwos%2Fwoscc%2Ffull-record%2FWOS:000291237700010","View Full Record in Web of Science")</f>
        <v>View Full Record in Web of Science</v>
      </c>
    </row>
    <row r="493" ht="12.75" customHeight="1">
      <c r="A493" s="1" t="s">
        <v>72</v>
      </c>
      <c r="B493" s="1" t="s">
        <v>4881</v>
      </c>
      <c r="C493" s="1" t="s">
        <v>74</v>
      </c>
      <c r="D493" s="1" t="s">
        <v>74</v>
      </c>
      <c r="E493" s="1" t="s">
        <v>74</v>
      </c>
      <c r="F493" s="1" t="s">
        <v>4882</v>
      </c>
      <c r="G493" s="1" t="s">
        <v>74</v>
      </c>
      <c r="H493" s="1" t="s">
        <v>74</v>
      </c>
      <c r="I493" s="1" t="s">
        <v>4883</v>
      </c>
      <c r="J493" s="1" t="s">
        <v>2714</v>
      </c>
      <c r="K493" s="1" t="s">
        <v>74</v>
      </c>
      <c r="L493" s="1" t="s">
        <v>74</v>
      </c>
      <c r="M493" s="1" t="s">
        <v>74</v>
      </c>
      <c r="N493" s="1" t="s">
        <v>74</v>
      </c>
      <c r="O493" s="1" t="s">
        <v>74</v>
      </c>
      <c r="P493" s="1" t="s">
        <v>74</v>
      </c>
      <c r="Q493" s="1" t="s">
        <v>74</v>
      </c>
      <c r="R493" s="1" t="s">
        <v>74</v>
      </c>
      <c r="S493" s="1" t="s">
        <v>74</v>
      </c>
      <c r="T493" s="1" t="s">
        <v>74</v>
      </c>
      <c r="U493" s="1" t="s">
        <v>74</v>
      </c>
      <c r="V493" s="1" t="s">
        <v>4884</v>
      </c>
      <c r="W493" s="1" t="s">
        <v>74</v>
      </c>
      <c r="X493" s="1" t="s">
        <v>74</v>
      </c>
      <c r="Y493" s="1" t="s">
        <v>74</v>
      </c>
      <c r="Z493" s="1" t="s">
        <v>74</v>
      </c>
      <c r="AA493" s="1" t="s">
        <v>219</v>
      </c>
      <c r="AB493" s="1" t="s">
        <v>74</v>
      </c>
      <c r="AC493" s="1" t="s">
        <v>74</v>
      </c>
      <c r="AD493" s="1" t="s">
        <v>74</v>
      </c>
      <c r="AE493" s="1" t="s">
        <v>74</v>
      </c>
      <c r="AF493" s="1" t="s">
        <v>74</v>
      </c>
      <c r="AG493" s="1" t="s">
        <v>74</v>
      </c>
      <c r="AH493" s="1" t="s">
        <v>74</v>
      </c>
      <c r="AI493" s="1" t="s">
        <v>74</v>
      </c>
      <c r="AJ493" s="1" t="s">
        <v>74</v>
      </c>
      <c r="AK493" s="1" t="s">
        <v>74</v>
      </c>
      <c r="AL493" s="1" t="s">
        <v>74</v>
      </c>
      <c r="AM493" s="1" t="s">
        <v>74</v>
      </c>
      <c r="AN493" s="1" t="s">
        <v>74</v>
      </c>
      <c r="AO493" s="1" t="s">
        <v>2716</v>
      </c>
      <c r="AP493" s="1" t="s">
        <v>74</v>
      </c>
      <c r="AQ493" s="1" t="s">
        <v>74</v>
      </c>
      <c r="AR493" s="1" t="s">
        <v>74</v>
      </c>
      <c r="AS493" s="1" t="s">
        <v>74</v>
      </c>
      <c r="AT493" s="1" t="s">
        <v>421</v>
      </c>
      <c r="AU493" s="1">
        <v>2011.0</v>
      </c>
      <c r="AV493" s="1">
        <v>74.0</v>
      </c>
      <c r="AW493" s="1">
        <v>8.0</v>
      </c>
      <c r="AX493" s="1" t="s">
        <v>74</v>
      </c>
      <c r="AY493" s="1" t="s">
        <v>74</v>
      </c>
      <c r="AZ493" s="1" t="s">
        <v>74</v>
      </c>
      <c r="BA493" s="1" t="s">
        <v>74</v>
      </c>
      <c r="BB493" s="1">
        <v>2831.0</v>
      </c>
      <c r="BC493" s="1">
        <v>2843.0</v>
      </c>
      <c r="BD493" s="1" t="s">
        <v>74</v>
      </c>
      <c r="BE493" s="1" t="s">
        <v>4885</v>
      </c>
      <c r="BF493" s="2" t="str">
        <f>HYPERLINK("http://dx.doi.org/10.1016/j.na.2011.01.005","http://dx.doi.org/10.1016/j.na.2011.01.005")</f>
        <v>http://dx.doi.org/10.1016/j.na.2011.01.005</v>
      </c>
      <c r="BG493" s="1" t="s">
        <v>74</v>
      </c>
      <c r="BH493" s="1" t="s">
        <v>74</v>
      </c>
      <c r="BI493" s="1" t="s">
        <v>74</v>
      </c>
      <c r="BJ493" s="1" t="s">
        <v>74</v>
      </c>
      <c r="BK493" s="1" t="s">
        <v>74</v>
      </c>
      <c r="BL493" s="1" t="s">
        <v>74</v>
      </c>
      <c r="BM493" s="1" t="s">
        <v>74</v>
      </c>
      <c r="BN493" s="1" t="s">
        <v>74</v>
      </c>
      <c r="BO493" s="1" t="s">
        <v>74</v>
      </c>
      <c r="BP493" s="1" t="s">
        <v>74</v>
      </c>
      <c r="BQ493" s="1" t="s">
        <v>74</v>
      </c>
      <c r="BR493" s="1" t="s">
        <v>74</v>
      </c>
      <c r="BS493" s="1" t="s">
        <v>4886</v>
      </c>
      <c r="BT493" s="1" t="str">
        <f>HYPERLINK("https%3A%2F%2Fwww.webofscience.com%2Fwos%2Fwoscc%2Ffull-record%2FWOS:000288255600006","View Full Record in Web of Science")</f>
        <v>View Full Record in Web of Science</v>
      </c>
    </row>
    <row r="494" ht="12.75" customHeight="1">
      <c r="A494" s="1" t="s">
        <v>72</v>
      </c>
      <c r="B494" s="1" t="s">
        <v>4887</v>
      </c>
      <c r="C494" s="1" t="s">
        <v>74</v>
      </c>
      <c r="D494" s="1" t="s">
        <v>74</v>
      </c>
      <c r="E494" s="1" t="s">
        <v>74</v>
      </c>
      <c r="F494" s="1" t="s">
        <v>4888</v>
      </c>
      <c r="G494" s="1" t="s">
        <v>74</v>
      </c>
      <c r="H494" s="1" t="s">
        <v>74</v>
      </c>
      <c r="I494" s="1" t="s">
        <v>4889</v>
      </c>
      <c r="J494" s="1" t="s">
        <v>3916</v>
      </c>
      <c r="K494" s="1" t="s">
        <v>74</v>
      </c>
      <c r="L494" s="1" t="s">
        <v>74</v>
      </c>
      <c r="M494" s="1" t="s">
        <v>74</v>
      </c>
      <c r="N494" s="1" t="s">
        <v>74</v>
      </c>
      <c r="O494" s="1" t="s">
        <v>74</v>
      </c>
      <c r="P494" s="1" t="s">
        <v>74</v>
      </c>
      <c r="Q494" s="1" t="s">
        <v>74</v>
      </c>
      <c r="R494" s="1" t="s">
        <v>74</v>
      </c>
      <c r="S494" s="1" t="s">
        <v>74</v>
      </c>
      <c r="T494" s="1" t="s">
        <v>74</v>
      </c>
      <c r="U494" s="1" t="s">
        <v>74</v>
      </c>
      <c r="V494" s="1" t="s">
        <v>4890</v>
      </c>
      <c r="W494" s="1" t="s">
        <v>74</v>
      </c>
      <c r="X494" s="1" t="s">
        <v>74</v>
      </c>
      <c r="Y494" s="1" t="s">
        <v>74</v>
      </c>
      <c r="Z494" s="1" t="s">
        <v>74</v>
      </c>
      <c r="AA494" s="1" t="s">
        <v>74</v>
      </c>
      <c r="AB494" s="1" t="s">
        <v>74</v>
      </c>
      <c r="AC494" s="1" t="s">
        <v>74</v>
      </c>
      <c r="AD494" s="1" t="s">
        <v>74</v>
      </c>
      <c r="AE494" s="1" t="s">
        <v>74</v>
      </c>
      <c r="AF494" s="1" t="s">
        <v>74</v>
      </c>
      <c r="AG494" s="1" t="s">
        <v>74</v>
      </c>
      <c r="AH494" s="1" t="s">
        <v>74</v>
      </c>
      <c r="AI494" s="1" t="s">
        <v>74</v>
      </c>
      <c r="AJ494" s="1" t="s">
        <v>74</v>
      </c>
      <c r="AK494" s="1" t="s">
        <v>74</v>
      </c>
      <c r="AL494" s="1" t="s">
        <v>74</v>
      </c>
      <c r="AM494" s="1" t="s">
        <v>74</v>
      </c>
      <c r="AN494" s="1" t="s">
        <v>74</v>
      </c>
      <c r="AO494" s="1" t="s">
        <v>4891</v>
      </c>
      <c r="AP494" s="1" t="s">
        <v>74</v>
      </c>
      <c r="AQ494" s="1" t="s">
        <v>74</v>
      </c>
      <c r="AR494" s="1" t="s">
        <v>74</v>
      </c>
      <c r="AS494" s="1" t="s">
        <v>74</v>
      </c>
      <c r="AT494" s="1" t="s">
        <v>415</v>
      </c>
      <c r="AU494" s="1">
        <v>2010.0</v>
      </c>
      <c r="AV494" s="1">
        <v>28.0</v>
      </c>
      <c r="AW494" s="1">
        <v>2.0</v>
      </c>
      <c r="AX494" s="1" t="s">
        <v>74</v>
      </c>
      <c r="AY494" s="1" t="s">
        <v>74</v>
      </c>
      <c r="AZ494" s="1" t="s">
        <v>1042</v>
      </c>
      <c r="BA494" s="1" t="s">
        <v>74</v>
      </c>
      <c r="BB494" s="1">
        <v>209.0</v>
      </c>
      <c r="BC494" s="1">
        <v>212.0</v>
      </c>
      <c r="BD494" s="1" t="s">
        <v>74</v>
      </c>
      <c r="BE494" s="1" t="s">
        <v>74</v>
      </c>
      <c r="BF494" s="1" t="s">
        <v>74</v>
      </c>
      <c r="BG494" s="1" t="s">
        <v>74</v>
      </c>
      <c r="BH494" s="1" t="s">
        <v>74</v>
      </c>
      <c r="BI494" s="1" t="s">
        <v>74</v>
      </c>
      <c r="BJ494" s="1" t="s">
        <v>74</v>
      </c>
      <c r="BK494" s="1" t="s">
        <v>74</v>
      </c>
      <c r="BL494" s="1" t="s">
        <v>74</v>
      </c>
      <c r="BM494" s="1" t="s">
        <v>74</v>
      </c>
      <c r="BN494" s="1" t="s">
        <v>74</v>
      </c>
      <c r="BO494" s="1" t="s">
        <v>74</v>
      </c>
      <c r="BP494" s="1" t="s">
        <v>74</v>
      </c>
      <c r="BQ494" s="1" t="s">
        <v>74</v>
      </c>
      <c r="BR494" s="1" t="s">
        <v>74</v>
      </c>
      <c r="BS494" s="1" t="s">
        <v>4892</v>
      </c>
      <c r="BT494" s="1" t="str">
        <f>HYPERLINK("https%3A%2F%2Fwww.webofscience.com%2Fwos%2Fwoscc%2Ffull-record%2FWOS:000293210700010","View Full Record in Web of Science")</f>
        <v>View Full Record in Web of Science</v>
      </c>
    </row>
    <row r="495" ht="12.75" customHeight="1">
      <c r="A495" s="1" t="s">
        <v>72</v>
      </c>
      <c r="B495" s="1" t="s">
        <v>4893</v>
      </c>
      <c r="C495" s="1" t="s">
        <v>74</v>
      </c>
      <c r="D495" s="1" t="s">
        <v>74</v>
      </c>
      <c r="E495" s="1" t="s">
        <v>74</v>
      </c>
      <c r="F495" s="1" t="s">
        <v>4894</v>
      </c>
      <c r="G495" s="1" t="s">
        <v>74</v>
      </c>
      <c r="H495" s="1" t="s">
        <v>74</v>
      </c>
      <c r="I495" s="1" t="s">
        <v>4895</v>
      </c>
      <c r="J495" s="1" t="s">
        <v>4896</v>
      </c>
      <c r="K495" s="1" t="s">
        <v>74</v>
      </c>
      <c r="L495" s="1" t="s">
        <v>74</v>
      </c>
      <c r="M495" s="1" t="s">
        <v>74</v>
      </c>
      <c r="N495" s="1" t="s">
        <v>74</v>
      </c>
      <c r="O495" s="1" t="s">
        <v>74</v>
      </c>
      <c r="P495" s="1" t="s">
        <v>74</v>
      </c>
      <c r="Q495" s="1" t="s">
        <v>74</v>
      </c>
      <c r="R495" s="1" t="s">
        <v>74</v>
      </c>
      <c r="S495" s="1" t="s">
        <v>74</v>
      </c>
      <c r="T495" s="1" t="s">
        <v>74</v>
      </c>
      <c r="U495" s="1" t="s">
        <v>74</v>
      </c>
      <c r="V495" s="1" t="s">
        <v>74</v>
      </c>
      <c r="W495" s="1" t="s">
        <v>74</v>
      </c>
      <c r="X495" s="1" t="s">
        <v>74</v>
      </c>
      <c r="Y495" s="1" t="s">
        <v>74</v>
      </c>
      <c r="Z495" s="1" t="s">
        <v>74</v>
      </c>
      <c r="AA495" s="1" t="s">
        <v>74</v>
      </c>
      <c r="AB495" s="1" t="s">
        <v>74</v>
      </c>
      <c r="AC495" s="1" t="s">
        <v>74</v>
      </c>
      <c r="AD495" s="1" t="s">
        <v>74</v>
      </c>
      <c r="AE495" s="1" t="s">
        <v>74</v>
      </c>
      <c r="AF495" s="1" t="s">
        <v>74</v>
      </c>
      <c r="AG495" s="1" t="s">
        <v>74</v>
      </c>
      <c r="AH495" s="1" t="s">
        <v>74</v>
      </c>
      <c r="AI495" s="1" t="s">
        <v>74</v>
      </c>
      <c r="AJ495" s="1" t="s">
        <v>74</v>
      </c>
      <c r="AK495" s="1" t="s">
        <v>74</v>
      </c>
      <c r="AL495" s="1" t="s">
        <v>74</v>
      </c>
      <c r="AM495" s="1" t="s">
        <v>74</v>
      </c>
      <c r="AN495" s="1" t="s">
        <v>74</v>
      </c>
      <c r="AO495" s="1" t="s">
        <v>4897</v>
      </c>
      <c r="AP495" s="1" t="s">
        <v>4898</v>
      </c>
      <c r="AQ495" s="1" t="s">
        <v>74</v>
      </c>
      <c r="AR495" s="1" t="s">
        <v>74</v>
      </c>
      <c r="AS495" s="1" t="s">
        <v>74</v>
      </c>
      <c r="AT495" s="1" t="s">
        <v>421</v>
      </c>
      <c r="AU495" s="1">
        <v>2010.0</v>
      </c>
      <c r="AV495" s="1">
        <v>65.0</v>
      </c>
      <c r="AW495" s="1">
        <v>5.0</v>
      </c>
      <c r="AX495" s="1" t="s">
        <v>74</v>
      </c>
      <c r="AY495" s="1" t="s">
        <v>74</v>
      </c>
      <c r="AZ495" s="1" t="s">
        <v>74</v>
      </c>
      <c r="BA495" s="1" t="s">
        <v>74</v>
      </c>
      <c r="BB495" s="1">
        <v>314.0</v>
      </c>
      <c r="BC495" s="1">
        <v>316.0</v>
      </c>
      <c r="BD495" s="1" t="s">
        <v>74</v>
      </c>
      <c r="BE495" s="1" t="s">
        <v>4899</v>
      </c>
      <c r="BF495" s="2" t="str">
        <f>HYPERLINK("http://dx.doi.org/10.1097/OGX.0b013e3181e39ca0","http://dx.doi.org/10.1097/OGX.0b013e3181e39ca0")</f>
        <v>http://dx.doi.org/10.1097/OGX.0b013e3181e39ca0</v>
      </c>
      <c r="BG495" s="1" t="s">
        <v>74</v>
      </c>
      <c r="BH495" s="1" t="s">
        <v>74</v>
      </c>
      <c r="BI495" s="1" t="s">
        <v>74</v>
      </c>
      <c r="BJ495" s="1" t="s">
        <v>74</v>
      </c>
      <c r="BK495" s="1" t="s">
        <v>74</v>
      </c>
      <c r="BL495" s="1" t="s">
        <v>74</v>
      </c>
      <c r="BM495" s="1" t="s">
        <v>74</v>
      </c>
      <c r="BN495" s="1" t="s">
        <v>74</v>
      </c>
      <c r="BO495" s="1" t="s">
        <v>74</v>
      </c>
      <c r="BP495" s="1" t="s">
        <v>74</v>
      </c>
      <c r="BQ495" s="1" t="s">
        <v>74</v>
      </c>
      <c r="BR495" s="1" t="s">
        <v>74</v>
      </c>
      <c r="BS495" s="1" t="s">
        <v>4900</v>
      </c>
      <c r="BT495" s="1" t="str">
        <f>HYPERLINK("https%3A%2F%2Fwww.webofscience.com%2Fwos%2Fwoscc%2Ffull-record%2FWOS:000279400600016","View Full Record in Web of Science")</f>
        <v>View Full Record in Web of Science</v>
      </c>
    </row>
    <row r="496" ht="12.75" customHeight="1">
      <c r="A496" s="1" t="s">
        <v>72</v>
      </c>
      <c r="B496" s="1" t="s">
        <v>4901</v>
      </c>
      <c r="C496" s="1" t="s">
        <v>74</v>
      </c>
      <c r="D496" s="1" t="s">
        <v>74</v>
      </c>
      <c r="E496" s="1" t="s">
        <v>74</v>
      </c>
      <c r="F496" s="1" t="s">
        <v>4902</v>
      </c>
      <c r="G496" s="1" t="s">
        <v>74</v>
      </c>
      <c r="H496" s="1" t="s">
        <v>74</v>
      </c>
      <c r="I496" s="1" t="s">
        <v>4903</v>
      </c>
      <c r="J496" s="1" t="s">
        <v>3782</v>
      </c>
      <c r="K496" s="1" t="s">
        <v>74</v>
      </c>
      <c r="L496" s="1" t="s">
        <v>74</v>
      </c>
      <c r="M496" s="1" t="s">
        <v>74</v>
      </c>
      <c r="N496" s="1" t="s">
        <v>74</v>
      </c>
      <c r="O496" s="1" t="s">
        <v>74</v>
      </c>
      <c r="P496" s="1" t="s">
        <v>74</v>
      </c>
      <c r="Q496" s="1" t="s">
        <v>74</v>
      </c>
      <c r="R496" s="1" t="s">
        <v>74</v>
      </c>
      <c r="S496" s="1" t="s">
        <v>74</v>
      </c>
      <c r="T496" s="1" t="s">
        <v>74</v>
      </c>
      <c r="U496" s="1" t="s">
        <v>74</v>
      </c>
      <c r="V496" s="1" t="s">
        <v>4904</v>
      </c>
      <c r="W496" s="1" t="s">
        <v>74</v>
      </c>
      <c r="X496" s="1" t="s">
        <v>74</v>
      </c>
      <c r="Y496" s="1" t="s">
        <v>74</v>
      </c>
      <c r="Z496" s="1" t="s">
        <v>74</v>
      </c>
      <c r="AA496" s="1" t="s">
        <v>3784</v>
      </c>
      <c r="AB496" s="1" t="s">
        <v>4905</v>
      </c>
      <c r="AC496" s="1" t="s">
        <v>74</v>
      </c>
      <c r="AD496" s="1" t="s">
        <v>74</v>
      </c>
      <c r="AE496" s="1" t="s">
        <v>74</v>
      </c>
      <c r="AF496" s="1" t="s">
        <v>74</v>
      </c>
      <c r="AG496" s="1" t="s">
        <v>74</v>
      </c>
      <c r="AH496" s="1" t="s">
        <v>74</v>
      </c>
      <c r="AI496" s="1" t="s">
        <v>74</v>
      </c>
      <c r="AJ496" s="1" t="s">
        <v>74</v>
      </c>
      <c r="AK496" s="1" t="s">
        <v>74</v>
      </c>
      <c r="AL496" s="1" t="s">
        <v>74</v>
      </c>
      <c r="AM496" s="1" t="s">
        <v>74</v>
      </c>
      <c r="AN496" s="1" t="s">
        <v>74</v>
      </c>
      <c r="AO496" s="1" t="s">
        <v>3786</v>
      </c>
      <c r="AP496" s="1" t="s">
        <v>3787</v>
      </c>
      <c r="AQ496" s="1" t="s">
        <v>74</v>
      </c>
      <c r="AR496" s="1" t="s">
        <v>74</v>
      </c>
      <c r="AS496" s="1" t="s">
        <v>74</v>
      </c>
      <c r="AT496" s="1" t="s">
        <v>74</v>
      </c>
      <c r="AU496" s="1">
        <v>2010.0</v>
      </c>
      <c r="AV496" s="1">
        <v>140.0</v>
      </c>
      <c r="AW496" s="1" t="s">
        <v>74</v>
      </c>
      <c r="AX496" s="1">
        <v>2.0</v>
      </c>
      <c r="AY496" s="1" t="s">
        <v>74</v>
      </c>
      <c r="AZ496" s="1" t="s">
        <v>74</v>
      </c>
      <c r="BA496" s="1" t="s">
        <v>74</v>
      </c>
      <c r="BB496" s="1">
        <v>391.0</v>
      </c>
      <c r="BC496" s="1">
        <v>398.0</v>
      </c>
      <c r="BD496" s="1" t="s">
        <v>74</v>
      </c>
      <c r="BE496" s="1" t="s">
        <v>4906</v>
      </c>
      <c r="BF496" s="2" t="str">
        <f>HYPERLINK("http://dx.doi.org/10.1017/S0308210509000432","http://dx.doi.org/10.1017/S0308210509000432")</f>
        <v>http://dx.doi.org/10.1017/S0308210509000432</v>
      </c>
      <c r="BG496" s="1" t="s">
        <v>74</v>
      </c>
      <c r="BH496" s="1" t="s">
        <v>74</v>
      </c>
      <c r="BI496" s="1" t="s">
        <v>74</v>
      </c>
      <c r="BJ496" s="1" t="s">
        <v>74</v>
      </c>
      <c r="BK496" s="1" t="s">
        <v>74</v>
      </c>
      <c r="BL496" s="1" t="s">
        <v>74</v>
      </c>
      <c r="BM496" s="1" t="s">
        <v>74</v>
      </c>
      <c r="BN496" s="1" t="s">
        <v>74</v>
      </c>
      <c r="BO496" s="1" t="s">
        <v>74</v>
      </c>
      <c r="BP496" s="1" t="s">
        <v>74</v>
      </c>
      <c r="BQ496" s="1" t="s">
        <v>74</v>
      </c>
      <c r="BR496" s="1" t="s">
        <v>74</v>
      </c>
      <c r="BS496" s="1" t="s">
        <v>4907</v>
      </c>
      <c r="BT496" s="1" t="str">
        <f>HYPERLINK("https%3A%2F%2Fwww.webofscience.com%2Fwos%2Fwoscc%2Ffull-record%2FWOS:000277352300009","View Full Record in Web of Science")</f>
        <v>View Full Record in Web of Science</v>
      </c>
    </row>
    <row r="497" ht="12.75" customHeight="1">
      <c r="A497" s="1" t="s">
        <v>341</v>
      </c>
      <c r="B497" s="1" t="s">
        <v>4908</v>
      </c>
      <c r="C497" s="1" t="s">
        <v>74</v>
      </c>
      <c r="D497" s="1" t="s">
        <v>4909</v>
      </c>
      <c r="E497" s="1" t="s">
        <v>74</v>
      </c>
      <c r="F497" s="1" t="s">
        <v>4910</v>
      </c>
      <c r="G497" s="1" t="s">
        <v>74</v>
      </c>
      <c r="H497" s="1" t="s">
        <v>74</v>
      </c>
      <c r="I497" s="1" t="s">
        <v>4911</v>
      </c>
      <c r="J497" s="1" t="s">
        <v>4912</v>
      </c>
      <c r="K497" s="1" t="s">
        <v>4913</v>
      </c>
      <c r="L497" s="1" t="s">
        <v>74</v>
      </c>
      <c r="M497" s="1" t="s">
        <v>74</v>
      </c>
      <c r="N497" s="1" t="s">
        <v>74</v>
      </c>
      <c r="O497" s="1" t="s">
        <v>74</v>
      </c>
      <c r="P497" s="1" t="s">
        <v>74</v>
      </c>
      <c r="Q497" s="1" t="s">
        <v>74</v>
      </c>
      <c r="R497" s="1" t="s">
        <v>74</v>
      </c>
      <c r="S497" s="1" t="s">
        <v>74</v>
      </c>
      <c r="T497" s="1" t="s">
        <v>74</v>
      </c>
      <c r="U497" s="1" t="s">
        <v>74</v>
      </c>
      <c r="V497" s="1" t="s">
        <v>74</v>
      </c>
      <c r="W497" s="1" t="s">
        <v>74</v>
      </c>
      <c r="X497" s="1" t="s">
        <v>74</v>
      </c>
      <c r="Y497" s="1" t="s">
        <v>74</v>
      </c>
      <c r="Z497" s="1" t="s">
        <v>74</v>
      </c>
      <c r="AA497" s="1" t="s">
        <v>4914</v>
      </c>
      <c r="AB497" s="1" t="s">
        <v>74</v>
      </c>
      <c r="AC497" s="1" t="s">
        <v>74</v>
      </c>
      <c r="AD497" s="1" t="s">
        <v>74</v>
      </c>
      <c r="AE497" s="1" t="s">
        <v>74</v>
      </c>
      <c r="AF497" s="1" t="s">
        <v>74</v>
      </c>
      <c r="AG497" s="1" t="s">
        <v>74</v>
      </c>
      <c r="AH497" s="1" t="s">
        <v>74</v>
      </c>
      <c r="AI497" s="1" t="s">
        <v>74</v>
      </c>
      <c r="AJ497" s="1" t="s">
        <v>74</v>
      </c>
      <c r="AK497" s="1" t="s">
        <v>74</v>
      </c>
      <c r="AL497" s="1" t="s">
        <v>74</v>
      </c>
      <c r="AM497" s="1" t="s">
        <v>74</v>
      </c>
      <c r="AN497" s="1" t="s">
        <v>74</v>
      </c>
      <c r="AO497" s="1" t="s">
        <v>4915</v>
      </c>
      <c r="AP497" s="1" t="s">
        <v>74</v>
      </c>
      <c r="AQ497" s="1" t="s">
        <v>4916</v>
      </c>
      <c r="AR497" s="1" t="s">
        <v>74</v>
      </c>
      <c r="AS497" s="1" t="s">
        <v>74</v>
      </c>
      <c r="AT497" s="1" t="s">
        <v>74</v>
      </c>
      <c r="AU497" s="1">
        <v>2009.0</v>
      </c>
      <c r="AV497" s="1">
        <v>97.0</v>
      </c>
      <c r="AW497" s="1" t="s">
        <v>74</v>
      </c>
      <c r="AX497" s="1" t="s">
        <v>74</v>
      </c>
      <c r="AY497" s="1" t="s">
        <v>74</v>
      </c>
      <c r="AZ497" s="1" t="s">
        <v>74</v>
      </c>
      <c r="BA497" s="1" t="s">
        <v>74</v>
      </c>
      <c r="BB497" s="1">
        <v>273.0</v>
      </c>
      <c r="BC497" s="1">
        <v>294.0</v>
      </c>
      <c r="BD497" s="1" t="s">
        <v>74</v>
      </c>
      <c r="BE497" s="1" t="s">
        <v>74</v>
      </c>
      <c r="BF497" s="1" t="s">
        <v>74</v>
      </c>
      <c r="BG497" s="1" t="s">
        <v>74</v>
      </c>
      <c r="BH497" s="1" t="s">
        <v>74</v>
      </c>
      <c r="BI497" s="1" t="s">
        <v>74</v>
      </c>
      <c r="BJ497" s="1" t="s">
        <v>74</v>
      </c>
      <c r="BK497" s="1" t="s">
        <v>74</v>
      </c>
      <c r="BL497" s="1" t="s">
        <v>74</v>
      </c>
      <c r="BM497" s="1" t="s">
        <v>74</v>
      </c>
      <c r="BN497" s="1" t="s">
        <v>74</v>
      </c>
      <c r="BO497" s="1" t="s">
        <v>74</v>
      </c>
      <c r="BP497" s="1" t="s">
        <v>74</v>
      </c>
      <c r="BQ497" s="1" t="s">
        <v>74</v>
      </c>
      <c r="BR497" s="1" t="s">
        <v>74</v>
      </c>
      <c r="BS497" s="1" t="s">
        <v>4917</v>
      </c>
      <c r="BT497" s="1" t="str">
        <f>HYPERLINK("https%3A%2F%2Fwww.webofscience.com%2Fwos%2Fwoscc%2Ffull-record%2FWOS:000302494900012","View Full Record in Web of Science")</f>
        <v>View Full Record in Web of Science</v>
      </c>
    </row>
    <row r="498" ht="12.75" customHeight="1">
      <c r="A498" s="1" t="s">
        <v>72</v>
      </c>
      <c r="B498" s="1" t="s">
        <v>4918</v>
      </c>
      <c r="C498" s="1" t="s">
        <v>74</v>
      </c>
      <c r="D498" s="1" t="s">
        <v>74</v>
      </c>
      <c r="E498" s="1" t="s">
        <v>74</v>
      </c>
      <c r="F498" s="1" t="s">
        <v>4919</v>
      </c>
      <c r="G498" s="1" t="s">
        <v>74</v>
      </c>
      <c r="H498" s="1" t="s">
        <v>74</v>
      </c>
      <c r="I498" s="1" t="s">
        <v>4920</v>
      </c>
      <c r="J498" s="1" t="s">
        <v>1355</v>
      </c>
      <c r="K498" s="1" t="s">
        <v>74</v>
      </c>
      <c r="L498" s="1" t="s">
        <v>74</v>
      </c>
      <c r="M498" s="1" t="s">
        <v>74</v>
      </c>
      <c r="N498" s="1" t="s">
        <v>74</v>
      </c>
      <c r="O498" s="1" t="s">
        <v>74</v>
      </c>
      <c r="P498" s="1" t="s">
        <v>74</v>
      </c>
      <c r="Q498" s="1" t="s">
        <v>74</v>
      </c>
      <c r="R498" s="1" t="s">
        <v>74</v>
      </c>
      <c r="S498" s="1" t="s">
        <v>74</v>
      </c>
      <c r="T498" s="1" t="s">
        <v>74</v>
      </c>
      <c r="U498" s="1" t="s">
        <v>74</v>
      </c>
      <c r="V498" s="1" t="s">
        <v>4921</v>
      </c>
      <c r="W498" s="1" t="s">
        <v>74</v>
      </c>
      <c r="X498" s="1" t="s">
        <v>74</v>
      </c>
      <c r="Y498" s="1" t="s">
        <v>74</v>
      </c>
      <c r="Z498" s="1" t="s">
        <v>74</v>
      </c>
      <c r="AA498" s="1" t="s">
        <v>4922</v>
      </c>
      <c r="AB498" s="1" t="s">
        <v>4923</v>
      </c>
      <c r="AC498" s="1" t="s">
        <v>74</v>
      </c>
      <c r="AD498" s="1" t="s">
        <v>74</v>
      </c>
      <c r="AE498" s="1" t="s">
        <v>74</v>
      </c>
      <c r="AF498" s="1" t="s">
        <v>74</v>
      </c>
      <c r="AG498" s="1" t="s">
        <v>74</v>
      </c>
      <c r="AH498" s="1" t="s">
        <v>74</v>
      </c>
      <c r="AI498" s="1" t="s">
        <v>74</v>
      </c>
      <c r="AJ498" s="1" t="s">
        <v>74</v>
      </c>
      <c r="AK498" s="1" t="s">
        <v>74</v>
      </c>
      <c r="AL498" s="1" t="s">
        <v>74</v>
      </c>
      <c r="AM498" s="1" t="s">
        <v>74</v>
      </c>
      <c r="AN498" s="1" t="s">
        <v>74</v>
      </c>
      <c r="AO498" s="1" t="s">
        <v>1359</v>
      </c>
      <c r="AP498" s="1" t="s">
        <v>1360</v>
      </c>
      <c r="AQ498" s="1" t="s">
        <v>74</v>
      </c>
      <c r="AR498" s="1" t="s">
        <v>74</v>
      </c>
      <c r="AS498" s="1" t="s">
        <v>74</v>
      </c>
      <c r="AT498" s="1" t="s">
        <v>277</v>
      </c>
      <c r="AU498" s="1">
        <v>2009.0</v>
      </c>
      <c r="AV498" s="1">
        <v>42.0</v>
      </c>
      <c r="AW498" s="1">
        <v>1.0</v>
      </c>
      <c r="AX498" s="1" t="s">
        <v>74</v>
      </c>
      <c r="AY498" s="1" t="s">
        <v>74</v>
      </c>
      <c r="AZ498" s="1" t="s">
        <v>74</v>
      </c>
      <c r="BA498" s="1" t="s">
        <v>74</v>
      </c>
      <c r="BB498" s="1">
        <v>187.0</v>
      </c>
      <c r="BC498" s="1">
        <v>195.0</v>
      </c>
      <c r="BD498" s="1" t="s">
        <v>74</v>
      </c>
      <c r="BE498" s="1" t="s">
        <v>4924</v>
      </c>
      <c r="BF498" s="2" t="str">
        <f>HYPERLINK("http://dx.doi.org/10.1016/j.lwt.2008.05.013","http://dx.doi.org/10.1016/j.lwt.2008.05.013")</f>
        <v>http://dx.doi.org/10.1016/j.lwt.2008.05.013</v>
      </c>
      <c r="BG498" s="1" t="s">
        <v>74</v>
      </c>
      <c r="BH498" s="1" t="s">
        <v>74</v>
      </c>
      <c r="BI498" s="1" t="s">
        <v>74</v>
      </c>
      <c r="BJ498" s="1" t="s">
        <v>74</v>
      </c>
      <c r="BK498" s="1" t="s">
        <v>74</v>
      </c>
      <c r="BL498" s="1" t="s">
        <v>74</v>
      </c>
      <c r="BM498" s="1" t="s">
        <v>74</v>
      </c>
      <c r="BN498" s="1" t="s">
        <v>74</v>
      </c>
      <c r="BO498" s="1" t="s">
        <v>74</v>
      </c>
      <c r="BP498" s="1" t="s">
        <v>74</v>
      </c>
      <c r="BQ498" s="1" t="s">
        <v>74</v>
      </c>
      <c r="BR498" s="1" t="s">
        <v>74</v>
      </c>
      <c r="BS498" s="1" t="s">
        <v>4925</v>
      </c>
      <c r="BT498" s="1" t="str">
        <f>HYPERLINK("https%3A%2F%2Fwww.webofscience.com%2Fwos%2Fwoscc%2Ffull-record%2FWOS:000260523100029","View Full Record in Web of Science")</f>
        <v>View Full Record in Web of Science</v>
      </c>
    </row>
    <row r="499" ht="12.75" customHeight="1">
      <c r="A499" s="1" t="s">
        <v>72</v>
      </c>
      <c r="B499" s="1" t="s">
        <v>4926</v>
      </c>
      <c r="C499" s="1" t="s">
        <v>74</v>
      </c>
      <c r="D499" s="1" t="s">
        <v>74</v>
      </c>
      <c r="E499" s="1" t="s">
        <v>74</v>
      </c>
      <c r="F499" s="1" t="s">
        <v>4927</v>
      </c>
      <c r="G499" s="1" t="s">
        <v>74</v>
      </c>
      <c r="H499" s="1" t="s">
        <v>74</v>
      </c>
      <c r="I499" s="1" t="s">
        <v>4928</v>
      </c>
      <c r="J499" s="1" t="s">
        <v>4929</v>
      </c>
      <c r="K499" s="1" t="s">
        <v>74</v>
      </c>
      <c r="L499" s="1" t="s">
        <v>74</v>
      </c>
      <c r="M499" s="1" t="s">
        <v>74</v>
      </c>
      <c r="N499" s="1" t="s">
        <v>74</v>
      </c>
      <c r="O499" s="1" t="s">
        <v>74</v>
      </c>
      <c r="P499" s="1" t="s">
        <v>74</v>
      </c>
      <c r="Q499" s="1" t="s">
        <v>74</v>
      </c>
      <c r="R499" s="1" t="s">
        <v>74</v>
      </c>
      <c r="S499" s="1" t="s">
        <v>74</v>
      </c>
      <c r="T499" s="1" t="s">
        <v>74</v>
      </c>
      <c r="U499" s="1" t="s">
        <v>74</v>
      </c>
      <c r="V499" s="1" t="s">
        <v>4930</v>
      </c>
      <c r="W499" s="1" t="s">
        <v>74</v>
      </c>
      <c r="X499" s="1" t="s">
        <v>74</v>
      </c>
      <c r="Y499" s="1" t="s">
        <v>74</v>
      </c>
      <c r="Z499" s="1" t="s">
        <v>74</v>
      </c>
      <c r="AA499" s="1" t="s">
        <v>4922</v>
      </c>
      <c r="AB499" s="1" t="s">
        <v>74</v>
      </c>
      <c r="AC499" s="1" t="s">
        <v>74</v>
      </c>
      <c r="AD499" s="1" t="s">
        <v>74</v>
      </c>
      <c r="AE499" s="1" t="s">
        <v>74</v>
      </c>
      <c r="AF499" s="1" t="s">
        <v>74</v>
      </c>
      <c r="AG499" s="1" t="s">
        <v>74</v>
      </c>
      <c r="AH499" s="1" t="s">
        <v>74</v>
      </c>
      <c r="AI499" s="1" t="s">
        <v>74</v>
      </c>
      <c r="AJ499" s="1" t="s">
        <v>74</v>
      </c>
      <c r="AK499" s="1" t="s">
        <v>74</v>
      </c>
      <c r="AL499" s="1" t="s">
        <v>74</v>
      </c>
      <c r="AM499" s="1" t="s">
        <v>74</v>
      </c>
      <c r="AN499" s="1" t="s">
        <v>74</v>
      </c>
      <c r="AO499" s="1" t="s">
        <v>4931</v>
      </c>
      <c r="AP499" s="1" t="s">
        <v>74</v>
      </c>
      <c r="AQ499" s="1" t="s">
        <v>74</v>
      </c>
      <c r="AR499" s="1" t="s">
        <v>74</v>
      </c>
      <c r="AS499" s="1" t="s">
        <v>74</v>
      </c>
      <c r="AT499" s="1" t="s">
        <v>74</v>
      </c>
      <c r="AU499" s="1">
        <v>2008.0</v>
      </c>
      <c r="AV499" s="1">
        <v>26.0</v>
      </c>
      <c r="AW499" s="1">
        <v>12.0</v>
      </c>
      <c r="AX499" s="1" t="s">
        <v>74</v>
      </c>
      <c r="AY499" s="1" t="s">
        <v>74</v>
      </c>
      <c r="AZ499" s="1" t="s">
        <v>74</v>
      </c>
      <c r="BA499" s="1" t="s">
        <v>74</v>
      </c>
      <c r="BB499" s="1">
        <v>1563.0</v>
      </c>
      <c r="BC499" s="1">
        <v>1569.0</v>
      </c>
      <c r="BD499" s="1" t="s">
        <v>4932</v>
      </c>
      <c r="BE499" s="1" t="s">
        <v>4933</v>
      </c>
      <c r="BF499" s="2" t="str">
        <f>HYPERLINK("http://dx.doi.org/10.1080/07373930802466997","http://dx.doi.org/10.1080/07373930802466997")</f>
        <v>http://dx.doi.org/10.1080/07373930802466997</v>
      </c>
      <c r="BG499" s="1" t="s">
        <v>74</v>
      </c>
      <c r="BH499" s="1" t="s">
        <v>74</v>
      </c>
      <c r="BI499" s="1" t="s">
        <v>74</v>
      </c>
      <c r="BJ499" s="1" t="s">
        <v>74</v>
      </c>
      <c r="BK499" s="1" t="s">
        <v>74</v>
      </c>
      <c r="BL499" s="1" t="s">
        <v>74</v>
      </c>
      <c r="BM499" s="1" t="s">
        <v>74</v>
      </c>
      <c r="BN499" s="1" t="s">
        <v>74</v>
      </c>
      <c r="BO499" s="1" t="s">
        <v>74</v>
      </c>
      <c r="BP499" s="1" t="s">
        <v>74</v>
      </c>
      <c r="BQ499" s="1" t="s">
        <v>74</v>
      </c>
      <c r="BR499" s="1" t="s">
        <v>74</v>
      </c>
      <c r="BS499" s="1" t="s">
        <v>4934</v>
      </c>
      <c r="BT499" s="1" t="str">
        <f>HYPERLINK("https%3A%2F%2Fwww.webofscience.com%2Fwos%2Fwoscc%2Ffull-record%2FWOS:000260907400019","View Full Record in Web of Science")</f>
        <v>View Full Record in Web of Science</v>
      </c>
    </row>
    <row r="500" ht="12.75" customHeight="1">
      <c r="A500" s="1" t="s">
        <v>147</v>
      </c>
      <c r="B500" s="1" t="s">
        <v>3419</v>
      </c>
      <c r="C500" s="1" t="s">
        <v>74</v>
      </c>
      <c r="D500" s="1" t="s">
        <v>3420</v>
      </c>
      <c r="E500" s="1" t="s">
        <v>74</v>
      </c>
      <c r="F500" s="1" t="s">
        <v>4935</v>
      </c>
      <c r="G500" s="1" t="s">
        <v>74</v>
      </c>
      <c r="H500" s="1" t="s">
        <v>74</v>
      </c>
      <c r="I500" s="1" t="s">
        <v>4936</v>
      </c>
      <c r="J500" s="1" t="s">
        <v>3423</v>
      </c>
      <c r="K500" s="1" t="s">
        <v>3424</v>
      </c>
      <c r="L500" s="1" t="s">
        <v>74</v>
      </c>
      <c r="M500" s="1" t="s">
        <v>74</v>
      </c>
      <c r="N500" s="1" t="s">
        <v>74</v>
      </c>
      <c r="O500" s="1" t="s">
        <v>3425</v>
      </c>
      <c r="P500" s="1" t="s">
        <v>3426</v>
      </c>
      <c r="Q500" s="1" t="s">
        <v>3427</v>
      </c>
      <c r="R500" s="1" t="s">
        <v>3428</v>
      </c>
      <c r="S500" s="1" t="s">
        <v>74</v>
      </c>
      <c r="T500" s="1" t="s">
        <v>74</v>
      </c>
      <c r="U500" s="1" t="s">
        <v>74</v>
      </c>
      <c r="V500" s="1" t="s">
        <v>4937</v>
      </c>
      <c r="W500" s="1" t="s">
        <v>74</v>
      </c>
      <c r="X500" s="1" t="s">
        <v>74</v>
      </c>
      <c r="Y500" s="1" t="s">
        <v>74</v>
      </c>
      <c r="Z500" s="1" t="s">
        <v>74</v>
      </c>
      <c r="AA500" s="1" t="s">
        <v>3430</v>
      </c>
      <c r="AB500" s="1" t="s">
        <v>3431</v>
      </c>
      <c r="AC500" s="1" t="s">
        <v>74</v>
      </c>
      <c r="AD500" s="1" t="s">
        <v>74</v>
      </c>
      <c r="AE500" s="1" t="s">
        <v>74</v>
      </c>
      <c r="AF500" s="1" t="s">
        <v>74</v>
      </c>
      <c r="AG500" s="1" t="s">
        <v>74</v>
      </c>
      <c r="AH500" s="1" t="s">
        <v>74</v>
      </c>
      <c r="AI500" s="1" t="s">
        <v>74</v>
      </c>
      <c r="AJ500" s="1" t="s">
        <v>74</v>
      </c>
      <c r="AK500" s="1" t="s">
        <v>74</v>
      </c>
      <c r="AL500" s="1" t="s">
        <v>74</v>
      </c>
      <c r="AM500" s="1" t="s">
        <v>74</v>
      </c>
      <c r="AN500" s="1" t="s">
        <v>74</v>
      </c>
      <c r="AO500" s="1" t="s">
        <v>3432</v>
      </c>
      <c r="AP500" s="1" t="s">
        <v>74</v>
      </c>
      <c r="AQ500" s="1" t="s">
        <v>3433</v>
      </c>
      <c r="AR500" s="1" t="s">
        <v>74</v>
      </c>
      <c r="AS500" s="1" t="s">
        <v>74</v>
      </c>
      <c r="AT500" s="1" t="s">
        <v>74</v>
      </c>
      <c r="AU500" s="1">
        <v>2008.0</v>
      </c>
      <c r="AV500" s="1">
        <v>992.0</v>
      </c>
      <c r="AW500" s="1" t="s">
        <v>74</v>
      </c>
      <c r="AX500" s="1" t="s">
        <v>74</v>
      </c>
      <c r="AY500" s="1" t="s">
        <v>74</v>
      </c>
      <c r="AZ500" s="1" t="s">
        <v>74</v>
      </c>
      <c r="BA500" s="1" t="s">
        <v>74</v>
      </c>
      <c r="BB500" s="1">
        <v>1111.0</v>
      </c>
      <c r="BC500" s="1" t="s">
        <v>265</v>
      </c>
      <c r="BD500" s="1" t="s">
        <v>74</v>
      </c>
      <c r="BE500" s="1" t="s">
        <v>74</v>
      </c>
      <c r="BF500" s="1" t="s">
        <v>74</v>
      </c>
      <c r="BG500" s="1" t="s">
        <v>74</v>
      </c>
      <c r="BH500" s="1" t="s">
        <v>74</v>
      </c>
      <c r="BI500" s="1" t="s">
        <v>74</v>
      </c>
      <c r="BJ500" s="1" t="s">
        <v>74</v>
      </c>
      <c r="BK500" s="1" t="s">
        <v>74</v>
      </c>
      <c r="BL500" s="1" t="s">
        <v>74</v>
      </c>
      <c r="BM500" s="1" t="s">
        <v>74</v>
      </c>
      <c r="BN500" s="1" t="s">
        <v>74</v>
      </c>
      <c r="BO500" s="1" t="s">
        <v>74</v>
      </c>
      <c r="BP500" s="1" t="s">
        <v>74</v>
      </c>
      <c r="BQ500" s="1" t="s">
        <v>74</v>
      </c>
      <c r="BR500" s="1" t="s">
        <v>74</v>
      </c>
      <c r="BS500" s="1" t="s">
        <v>4938</v>
      </c>
      <c r="BT500" s="1" t="str">
        <f>HYPERLINK("https%3A%2F%2Fwww.webofscience.com%2Fwos%2Fwoscc%2Ffull-record%2FWOS:000255857900195","View Full Record in Web of Science")</f>
        <v>View Full Record in Web of Science</v>
      </c>
    </row>
    <row r="501" ht="12.75" customHeight="1">
      <c r="A501" s="1" t="s">
        <v>72</v>
      </c>
      <c r="B501" s="1" t="s">
        <v>4939</v>
      </c>
      <c r="C501" s="1" t="s">
        <v>74</v>
      </c>
      <c r="D501" s="1" t="s">
        <v>74</v>
      </c>
      <c r="E501" s="1" t="s">
        <v>74</v>
      </c>
      <c r="F501" s="1" t="s">
        <v>4940</v>
      </c>
      <c r="G501" s="1" t="s">
        <v>74</v>
      </c>
      <c r="H501" s="1" t="s">
        <v>74</v>
      </c>
      <c r="I501" s="1" t="s">
        <v>4941</v>
      </c>
      <c r="J501" s="1" t="s">
        <v>4942</v>
      </c>
      <c r="K501" s="1" t="s">
        <v>74</v>
      </c>
      <c r="L501" s="1" t="s">
        <v>74</v>
      </c>
      <c r="M501" s="1" t="s">
        <v>74</v>
      </c>
      <c r="N501" s="1" t="s">
        <v>74</v>
      </c>
      <c r="O501" s="1" t="s">
        <v>74</v>
      </c>
      <c r="P501" s="1" t="s">
        <v>74</v>
      </c>
      <c r="Q501" s="1" t="s">
        <v>74</v>
      </c>
      <c r="R501" s="1" t="s">
        <v>74</v>
      </c>
      <c r="S501" s="1" t="s">
        <v>74</v>
      </c>
      <c r="T501" s="1" t="s">
        <v>74</v>
      </c>
      <c r="U501" s="1" t="s">
        <v>74</v>
      </c>
      <c r="V501" s="1" t="s">
        <v>4943</v>
      </c>
      <c r="W501" s="1" t="s">
        <v>74</v>
      </c>
      <c r="X501" s="1" t="s">
        <v>74</v>
      </c>
      <c r="Y501" s="1" t="s">
        <v>74</v>
      </c>
      <c r="Z501" s="1" t="s">
        <v>74</v>
      </c>
      <c r="AA501" s="1" t="s">
        <v>4944</v>
      </c>
      <c r="AB501" s="1" t="s">
        <v>4945</v>
      </c>
      <c r="AC501" s="1" t="s">
        <v>74</v>
      </c>
      <c r="AD501" s="1" t="s">
        <v>74</v>
      </c>
      <c r="AE501" s="1" t="s">
        <v>74</v>
      </c>
      <c r="AF501" s="1" t="s">
        <v>74</v>
      </c>
      <c r="AG501" s="1" t="s">
        <v>74</v>
      </c>
      <c r="AH501" s="1" t="s">
        <v>74</v>
      </c>
      <c r="AI501" s="1" t="s">
        <v>74</v>
      </c>
      <c r="AJ501" s="1" t="s">
        <v>74</v>
      </c>
      <c r="AK501" s="1" t="s">
        <v>74</v>
      </c>
      <c r="AL501" s="1" t="s">
        <v>74</v>
      </c>
      <c r="AM501" s="1" t="s">
        <v>74</v>
      </c>
      <c r="AN501" s="1" t="s">
        <v>74</v>
      </c>
      <c r="AO501" s="1" t="s">
        <v>4946</v>
      </c>
      <c r="AP501" s="1" t="s">
        <v>4947</v>
      </c>
      <c r="AQ501" s="1" t="s">
        <v>74</v>
      </c>
      <c r="AR501" s="1" t="s">
        <v>74</v>
      </c>
      <c r="AS501" s="1" t="s">
        <v>74</v>
      </c>
      <c r="AT501" s="1" t="s">
        <v>277</v>
      </c>
      <c r="AU501" s="1">
        <v>2008.0</v>
      </c>
      <c r="AV501" s="1">
        <v>47.0</v>
      </c>
      <c r="AW501" s="1">
        <v>1.0</v>
      </c>
      <c r="AX501" s="1" t="s">
        <v>74</v>
      </c>
      <c r="AY501" s="1" t="s">
        <v>74</v>
      </c>
      <c r="AZ501" s="1" t="s">
        <v>74</v>
      </c>
      <c r="BA501" s="1" t="s">
        <v>74</v>
      </c>
      <c r="BB501" s="1">
        <v>60.0</v>
      </c>
      <c r="BC501" s="1">
        <v>79.0</v>
      </c>
      <c r="BD501" s="1" t="s">
        <v>74</v>
      </c>
      <c r="BE501" s="1" t="s">
        <v>4948</v>
      </c>
      <c r="BF501" s="2" t="str">
        <f>HYPERLINK("http://dx.doi.org/10.1016/j.isatra.2007.05.007","http://dx.doi.org/10.1016/j.isatra.2007.05.007")</f>
        <v>http://dx.doi.org/10.1016/j.isatra.2007.05.007</v>
      </c>
      <c r="BG501" s="1" t="s">
        <v>74</v>
      </c>
      <c r="BH501" s="1" t="s">
        <v>74</v>
      </c>
      <c r="BI501" s="1" t="s">
        <v>74</v>
      </c>
      <c r="BJ501" s="1" t="s">
        <v>74</v>
      </c>
      <c r="BK501" s="1" t="s">
        <v>74</v>
      </c>
      <c r="BL501" s="1" t="s">
        <v>74</v>
      </c>
      <c r="BM501" s="1" t="s">
        <v>74</v>
      </c>
      <c r="BN501" s="1">
        <v>1.7714715E7</v>
      </c>
      <c r="BO501" s="1" t="s">
        <v>74</v>
      </c>
      <c r="BP501" s="1" t="s">
        <v>74</v>
      </c>
      <c r="BQ501" s="1" t="s">
        <v>74</v>
      </c>
      <c r="BR501" s="1" t="s">
        <v>74</v>
      </c>
      <c r="BS501" s="1" t="s">
        <v>4949</v>
      </c>
      <c r="BT501" s="1" t="str">
        <f>HYPERLINK("https%3A%2F%2Fwww.webofscience.com%2Fwos%2Fwoscc%2Ffull-record%2FWOS:000252908100008","View Full Record in Web of Science")</f>
        <v>View Full Record in Web of Science</v>
      </c>
    </row>
    <row r="502" ht="12.75" customHeight="1">
      <c r="A502" s="1" t="s">
        <v>72</v>
      </c>
      <c r="B502" s="1" t="s">
        <v>1889</v>
      </c>
      <c r="C502" s="1" t="s">
        <v>74</v>
      </c>
      <c r="D502" s="1" t="s">
        <v>74</v>
      </c>
      <c r="E502" s="1" t="s">
        <v>74</v>
      </c>
      <c r="F502" s="1" t="s">
        <v>1890</v>
      </c>
      <c r="G502" s="1" t="s">
        <v>74</v>
      </c>
      <c r="H502" s="1" t="s">
        <v>74</v>
      </c>
      <c r="I502" s="1" t="s">
        <v>4950</v>
      </c>
      <c r="J502" s="1" t="s">
        <v>1072</v>
      </c>
      <c r="K502" s="1" t="s">
        <v>74</v>
      </c>
      <c r="L502" s="1" t="s">
        <v>74</v>
      </c>
      <c r="M502" s="1" t="s">
        <v>74</v>
      </c>
      <c r="N502" s="1" t="s">
        <v>74</v>
      </c>
      <c r="O502" s="1" t="s">
        <v>74</v>
      </c>
      <c r="P502" s="1" t="s">
        <v>74</v>
      </c>
      <c r="Q502" s="1" t="s">
        <v>74</v>
      </c>
      <c r="R502" s="1" t="s">
        <v>74</v>
      </c>
      <c r="S502" s="1" t="s">
        <v>74</v>
      </c>
      <c r="T502" s="1" t="s">
        <v>74</v>
      </c>
      <c r="U502" s="1" t="s">
        <v>74</v>
      </c>
      <c r="V502" s="1" t="s">
        <v>4951</v>
      </c>
      <c r="W502" s="1" t="s">
        <v>74</v>
      </c>
      <c r="X502" s="1" t="s">
        <v>74</v>
      </c>
      <c r="Y502" s="1" t="s">
        <v>74</v>
      </c>
      <c r="Z502" s="1" t="s">
        <v>74</v>
      </c>
      <c r="AA502" s="1" t="s">
        <v>1074</v>
      </c>
      <c r="AB502" s="1" t="s">
        <v>197</v>
      </c>
      <c r="AC502" s="1" t="s">
        <v>74</v>
      </c>
      <c r="AD502" s="1" t="s">
        <v>74</v>
      </c>
      <c r="AE502" s="1" t="s">
        <v>74</v>
      </c>
      <c r="AF502" s="1" t="s">
        <v>74</v>
      </c>
      <c r="AG502" s="1" t="s">
        <v>74</v>
      </c>
      <c r="AH502" s="1" t="s">
        <v>74</v>
      </c>
      <c r="AI502" s="1" t="s">
        <v>74</v>
      </c>
      <c r="AJ502" s="1" t="s">
        <v>74</v>
      </c>
      <c r="AK502" s="1" t="s">
        <v>74</v>
      </c>
      <c r="AL502" s="1" t="s">
        <v>74</v>
      </c>
      <c r="AM502" s="1" t="s">
        <v>74</v>
      </c>
      <c r="AN502" s="1" t="s">
        <v>74</v>
      </c>
      <c r="AO502" s="1" t="s">
        <v>1075</v>
      </c>
      <c r="AP502" s="1" t="s">
        <v>1076</v>
      </c>
      <c r="AQ502" s="1" t="s">
        <v>74</v>
      </c>
      <c r="AR502" s="1" t="s">
        <v>74</v>
      </c>
      <c r="AS502" s="1" t="s">
        <v>74</v>
      </c>
      <c r="AT502" s="1" t="s">
        <v>74</v>
      </c>
      <c r="AU502" s="1">
        <v>2007.0</v>
      </c>
      <c r="AV502" s="1">
        <v>13.0</v>
      </c>
      <c r="AW502" s="1">
        <v>12.0</v>
      </c>
      <c r="AX502" s="1" t="s">
        <v>74</v>
      </c>
      <c r="AY502" s="1" t="s">
        <v>74</v>
      </c>
      <c r="AZ502" s="1" t="s">
        <v>74</v>
      </c>
      <c r="BA502" s="1" t="s">
        <v>74</v>
      </c>
      <c r="BB502" s="1">
        <v>1129.0</v>
      </c>
      <c r="BC502" s="1">
        <v>1138.0</v>
      </c>
      <c r="BD502" s="1" t="s">
        <v>74</v>
      </c>
      <c r="BE502" s="1" t="s">
        <v>4952</v>
      </c>
      <c r="BF502" s="2" t="str">
        <f>HYPERLINK("http://dx.doi.org/10.1080/10236190701458857","http://dx.doi.org/10.1080/10236190701458857")</f>
        <v>http://dx.doi.org/10.1080/10236190701458857</v>
      </c>
      <c r="BG502" s="1" t="s">
        <v>74</v>
      </c>
      <c r="BH502" s="1" t="s">
        <v>74</v>
      </c>
      <c r="BI502" s="1" t="s">
        <v>74</v>
      </c>
      <c r="BJ502" s="1" t="s">
        <v>74</v>
      </c>
      <c r="BK502" s="1" t="s">
        <v>74</v>
      </c>
      <c r="BL502" s="1" t="s">
        <v>74</v>
      </c>
      <c r="BM502" s="1" t="s">
        <v>74</v>
      </c>
      <c r="BN502" s="1" t="s">
        <v>74</v>
      </c>
      <c r="BO502" s="1" t="s">
        <v>74</v>
      </c>
      <c r="BP502" s="1" t="s">
        <v>74</v>
      </c>
      <c r="BQ502" s="1" t="s">
        <v>74</v>
      </c>
      <c r="BR502" s="1" t="s">
        <v>74</v>
      </c>
      <c r="BS502" s="1" t="s">
        <v>4953</v>
      </c>
      <c r="BT502" s="1" t="str">
        <f>HYPERLINK("https%3A%2F%2Fwww.webofscience.com%2Fwos%2Fwoscc%2Ffull-record%2FWOS:000250982900005","View Full Record in Web of Science")</f>
        <v>View Full Record in Web of Science</v>
      </c>
    </row>
    <row r="503" ht="12.75" customHeight="1">
      <c r="A503" s="1" t="s">
        <v>72</v>
      </c>
      <c r="B503" s="1" t="s">
        <v>4954</v>
      </c>
      <c r="C503" s="1" t="s">
        <v>74</v>
      </c>
      <c r="D503" s="1" t="s">
        <v>74</v>
      </c>
      <c r="E503" s="1" t="s">
        <v>74</v>
      </c>
      <c r="F503" s="1" t="s">
        <v>4955</v>
      </c>
      <c r="G503" s="1" t="s">
        <v>74</v>
      </c>
      <c r="H503" s="1" t="s">
        <v>74</v>
      </c>
      <c r="I503" s="1" t="s">
        <v>4956</v>
      </c>
      <c r="J503" s="1" t="s">
        <v>4957</v>
      </c>
      <c r="K503" s="1" t="s">
        <v>74</v>
      </c>
      <c r="L503" s="1" t="s">
        <v>74</v>
      </c>
      <c r="M503" s="1" t="s">
        <v>74</v>
      </c>
      <c r="N503" s="1" t="s">
        <v>74</v>
      </c>
      <c r="O503" s="1" t="s">
        <v>74</v>
      </c>
      <c r="P503" s="1" t="s">
        <v>74</v>
      </c>
      <c r="Q503" s="1" t="s">
        <v>74</v>
      </c>
      <c r="R503" s="1" t="s">
        <v>74</v>
      </c>
      <c r="S503" s="1" t="s">
        <v>74</v>
      </c>
      <c r="T503" s="1" t="s">
        <v>74</v>
      </c>
      <c r="U503" s="1" t="s">
        <v>74</v>
      </c>
      <c r="V503" s="1" t="s">
        <v>4958</v>
      </c>
      <c r="W503" s="1" t="s">
        <v>74</v>
      </c>
      <c r="X503" s="1" t="s">
        <v>74</v>
      </c>
      <c r="Y503" s="1" t="s">
        <v>74</v>
      </c>
      <c r="Z503" s="1" t="s">
        <v>74</v>
      </c>
      <c r="AA503" s="1" t="s">
        <v>4959</v>
      </c>
      <c r="AB503" s="1" t="s">
        <v>4960</v>
      </c>
      <c r="AC503" s="1" t="s">
        <v>74</v>
      </c>
      <c r="AD503" s="1" t="s">
        <v>74</v>
      </c>
      <c r="AE503" s="1" t="s">
        <v>74</v>
      </c>
      <c r="AF503" s="1" t="s">
        <v>74</v>
      </c>
      <c r="AG503" s="1" t="s">
        <v>74</v>
      </c>
      <c r="AH503" s="1" t="s">
        <v>74</v>
      </c>
      <c r="AI503" s="1" t="s">
        <v>74</v>
      </c>
      <c r="AJ503" s="1" t="s">
        <v>74</v>
      </c>
      <c r="AK503" s="1" t="s">
        <v>74</v>
      </c>
      <c r="AL503" s="1" t="s">
        <v>74</v>
      </c>
      <c r="AM503" s="1" t="s">
        <v>74</v>
      </c>
      <c r="AN503" s="1" t="s">
        <v>74</v>
      </c>
      <c r="AO503" s="1" t="s">
        <v>4961</v>
      </c>
      <c r="AP503" s="1" t="s">
        <v>4962</v>
      </c>
      <c r="AQ503" s="1" t="s">
        <v>74</v>
      </c>
      <c r="AR503" s="1" t="s">
        <v>74</v>
      </c>
      <c r="AS503" s="1" t="s">
        <v>74</v>
      </c>
      <c r="AT503" s="1" t="s">
        <v>4963</v>
      </c>
      <c r="AU503" s="1">
        <v>2006.0</v>
      </c>
      <c r="AV503" s="1">
        <v>355.0</v>
      </c>
      <c r="AW503" s="1">
        <v>1.0</v>
      </c>
      <c r="AX503" s="1" t="s">
        <v>74</v>
      </c>
      <c r="AY503" s="1" t="s">
        <v>74</v>
      </c>
      <c r="AZ503" s="1" t="s">
        <v>74</v>
      </c>
      <c r="BA503" s="1" t="s">
        <v>74</v>
      </c>
      <c r="BB503" s="1">
        <v>7.0</v>
      </c>
      <c r="BC503" s="1">
        <v>11.0</v>
      </c>
      <c r="BD503" s="1" t="s">
        <v>74</v>
      </c>
      <c r="BE503" s="1" t="s">
        <v>4964</v>
      </c>
      <c r="BF503" s="2" t="str">
        <f>HYPERLINK("http://dx.doi.org/10.1016/j.physleta.2006.02.007","http://dx.doi.org/10.1016/j.physleta.2006.02.007")</f>
        <v>http://dx.doi.org/10.1016/j.physleta.2006.02.007</v>
      </c>
      <c r="BG503" s="1" t="s">
        <v>74</v>
      </c>
      <c r="BH503" s="1" t="s">
        <v>74</v>
      </c>
      <c r="BI503" s="1" t="s">
        <v>74</v>
      </c>
      <c r="BJ503" s="1" t="s">
        <v>74</v>
      </c>
      <c r="BK503" s="1" t="s">
        <v>74</v>
      </c>
      <c r="BL503" s="1" t="s">
        <v>74</v>
      </c>
      <c r="BM503" s="1" t="s">
        <v>74</v>
      </c>
      <c r="BN503" s="1" t="s">
        <v>74</v>
      </c>
      <c r="BO503" s="1" t="s">
        <v>74</v>
      </c>
      <c r="BP503" s="1" t="s">
        <v>74</v>
      </c>
      <c r="BQ503" s="1" t="s">
        <v>74</v>
      </c>
      <c r="BR503" s="1" t="s">
        <v>74</v>
      </c>
      <c r="BS503" s="1" t="s">
        <v>4965</v>
      </c>
      <c r="BT503" s="1" t="str">
        <f>HYPERLINK("https%3A%2F%2Fwww.webofscience.com%2Fwos%2Fwoscc%2Ffull-record%2FWOS:000238333700002","View Full Record in Web of Science")</f>
        <v>View Full Record in Web of Science</v>
      </c>
    </row>
    <row r="504" ht="12.75" customHeight="1">
      <c r="A504" s="1" t="s">
        <v>72</v>
      </c>
      <c r="B504" s="1" t="s">
        <v>4966</v>
      </c>
      <c r="C504" s="1" t="s">
        <v>74</v>
      </c>
      <c r="D504" s="1" t="s">
        <v>74</v>
      </c>
      <c r="E504" s="1" t="s">
        <v>74</v>
      </c>
      <c r="F504" s="1" t="s">
        <v>4966</v>
      </c>
      <c r="G504" s="1" t="s">
        <v>74</v>
      </c>
      <c r="H504" s="1" t="s">
        <v>74</v>
      </c>
      <c r="I504" s="1" t="s">
        <v>4967</v>
      </c>
      <c r="J504" s="1" t="s">
        <v>4968</v>
      </c>
      <c r="K504" s="1" t="s">
        <v>74</v>
      </c>
      <c r="L504" s="1" t="s">
        <v>74</v>
      </c>
      <c r="M504" s="1" t="s">
        <v>74</v>
      </c>
      <c r="N504" s="1" t="s">
        <v>74</v>
      </c>
      <c r="O504" s="1" t="s">
        <v>74</v>
      </c>
      <c r="P504" s="1" t="s">
        <v>74</v>
      </c>
      <c r="Q504" s="1" t="s">
        <v>74</v>
      </c>
      <c r="R504" s="1" t="s">
        <v>74</v>
      </c>
      <c r="S504" s="1" t="s">
        <v>74</v>
      </c>
      <c r="T504" s="1" t="s">
        <v>74</v>
      </c>
      <c r="U504" s="1" t="s">
        <v>74</v>
      </c>
      <c r="V504" s="1" t="s">
        <v>4969</v>
      </c>
      <c r="W504" s="1" t="s">
        <v>74</v>
      </c>
      <c r="X504" s="1" t="s">
        <v>74</v>
      </c>
      <c r="Y504" s="1" t="s">
        <v>74</v>
      </c>
      <c r="Z504" s="1" t="s">
        <v>74</v>
      </c>
      <c r="AA504" s="1" t="s">
        <v>74</v>
      </c>
      <c r="AB504" s="1" t="s">
        <v>74</v>
      </c>
      <c r="AC504" s="1" t="s">
        <v>74</v>
      </c>
      <c r="AD504" s="1" t="s">
        <v>74</v>
      </c>
      <c r="AE504" s="1" t="s">
        <v>74</v>
      </c>
      <c r="AF504" s="1" t="s">
        <v>74</v>
      </c>
      <c r="AG504" s="1" t="s">
        <v>74</v>
      </c>
      <c r="AH504" s="1" t="s">
        <v>74</v>
      </c>
      <c r="AI504" s="1" t="s">
        <v>74</v>
      </c>
      <c r="AJ504" s="1" t="s">
        <v>74</v>
      </c>
      <c r="AK504" s="1" t="s">
        <v>74</v>
      </c>
      <c r="AL504" s="1" t="s">
        <v>74</v>
      </c>
      <c r="AM504" s="1" t="s">
        <v>74</v>
      </c>
      <c r="AN504" s="1" t="s">
        <v>74</v>
      </c>
      <c r="AO504" s="1" t="s">
        <v>4970</v>
      </c>
      <c r="AP504" s="1" t="s">
        <v>74</v>
      </c>
      <c r="AQ504" s="1" t="s">
        <v>74</v>
      </c>
      <c r="AR504" s="1" t="s">
        <v>74</v>
      </c>
      <c r="AS504" s="1" t="s">
        <v>74</v>
      </c>
      <c r="AT504" s="1" t="s">
        <v>930</v>
      </c>
      <c r="AU504" s="1">
        <v>2004.0</v>
      </c>
      <c r="AV504" s="1">
        <v>17.0</v>
      </c>
      <c r="AW504" s="1">
        <v>4.0</v>
      </c>
      <c r="AX504" s="1" t="s">
        <v>74</v>
      </c>
      <c r="AY504" s="1" t="s">
        <v>74</v>
      </c>
      <c r="AZ504" s="1" t="s">
        <v>74</v>
      </c>
      <c r="BA504" s="1" t="s">
        <v>74</v>
      </c>
      <c r="BB504" s="1">
        <v>269.0</v>
      </c>
      <c r="BC504" s="1">
        <v>279.0</v>
      </c>
      <c r="BD504" s="1" t="s">
        <v>74</v>
      </c>
      <c r="BE504" s="1" t="s">
        <v>4971</v>
      </c>
      <c r="BF504" s="2" t="str">
        <f>HYPERLINK("http://dx.doi.org/10.1080/10720530490483167","http://dx.doi.org/10.1080/10720530490483167")</f>
        <v>http://dx.doi.org/10.1080/10720530490483167</v>
      </c>
      <c r="BG504" s="1" t="s">
        <v>74</v>
      </c>
      <c r="BH504" s="1" t="s">
        <v>74</v>
      </c>
      <c r="BI504" s="1" t="s">
        <v>74</v>
      </c>
      <c r="BJ504" s="1" t="s">
        <v>74</v>
      </c>
      <c r="BK504" s="1" t="s">
        <v>74</v>
      </c>
      <c r="BL504" s="1" t="s">
        <v>74</v>
      </c>
      <c r="BM504" s="1" t="s">
        <v>74</v>
      </c>
      <c r="BN504" s="1" t="s">
        <v>74</v>
      </c>
      <c r="BO504" s="1" t="s">
        <v>74</v>
      </c>
      <c r="BP504" s="1" t="s">
        <v>74</v>
      </c>
      <c r="BQ504" s="1" t="s">
        <v>74</v>
      </c>
      <c r="BR504" s="1" t="s">
        <v>74</v>
      </c>
      <c r="BS504" s="1" t="s">
        <v>4972</v>
      </c>
      <c r="BT504" s="1" t="str">
        <f>HYPERLINK("https%3A%2F%2Fwww.webofscience.com%2Fwos%2Fwoscc%2Ffull-record%2FWOS:000223436000001","View Full Record in Web of Science")</f>
        <v>View Full Record in Web of Science</v>
      </c>
    </row>
    <row r="505" ht="12.75" customHeight="1">
      <c r="A505" s="1" t="s">
        <v>72</v>
      </c>
      <c r="B505" s="1" t="s">
        <v>4973</v>
      </c>
      <c r="C505" s="1" t="s">
        <v>74</v>
      </c>
      <c r="D505" s="1" t="s">
        <v>74</v>
      </c>
      <c r="E505" s="1" t="s">
        <v>74</v>
      </c>
      <c r="F505" s="1" t="s">
        <v>4973</v>
      </c>
      <c r="G505" s="1" t="s">
        <v>74</v>
      </c>
      <c r="H505" s="1" t="s">
        <v>74</v>
      </c>
      <c r="I505" s="1" t="s">
        <v>4974</v>
      </c>
      <c r="J505" s="1" t="s">
        <v>4975</v>
      </c>
      <c r="K505" s="1" t="s">
        <v>74</v>
      </c>
      <c r="L505" s="1" t="s">
        <v>74</v>
      </c>
      <c r="M505" s="1" t="s">
        <v>74</v>
      </c>
      <c r="N505" s="1" t="s">
        <v>74</v>
      </c>
      <c r="O505" s="1" t="s">
        <v>74</v>
      </c>
      <c r="P505" s="1" t="s">
        <v>74</v>
      </c>
      <c r="Q505" s="1" t="s">
        <v>74</v>
      </c>
      <c r="R505" s="1" t="s">
        <v>74</v>
      </c>
      <c r="S505" s="1" t="s">
        <v>74</v>
      </c>
      <c r="T505" s="1" t="s">
        <v>74</v>
      </c>
      <c r="U505" s="1" t="s">
        <v>74</v>
      </c>
      <c r="V505" s="1" t="s">
        <v>4976</v>
      </c>
      <c r="W505" s="1" t="s">
        <v>74</v>
      </c>
      <c r="X505" s="1" t="s">
        <v>74</v>
      </c>
      <c r="Y505" s="1" t="s">
        <v>74</v>
      </c>
      <c r="Z505" s="1" t="s">
        <v>74</v>
      </c>
      <c r="AA505" s="1" t="s">
        <v>4977</v>
      </c>
      <c r="AB505" s="1" t="s">
        <v>4978</v>
      </c>
      <c r="AC505" s="1" t="s">
        <v>74</v>
      </c>
      <c r="AD505" s="1" t="s">
        <v>74</v>
      </c>
      <c r="AE505" s="1" t="s">
        <v>74</v>
      </c>
      <c r="AF505" s="1" t="s">
        <v>74</v>
      </c>
      <c r="AG505" s="1" t="s">
        <v>74</v>
      </c>
      <c r="AH505" s="1" t="s">
        <v>74</v>
      </c>
      <c r="AI505" s="1" t="s">
        <v>74</v>
      </c>
      <c r="AJ505" s="1" t="s">
        <v>74</v>
      </c>
      <c r="AK505" s="1" t="s">
        <v>74</v>
      </c>
      <c r="AL505" s="1" t="s">
        <v>74</v>
      </c>
      <c r="AM505" s="1" t="s">
        <v>74</v>
      </c>
      <c r="AN505" s="1" t="s">
        <v>74</v>
      </c>
      <c r="AO505" s="1" t="s">
        <v>4979</v>
      </c>
      <c r="AP505" s="1" t="s">
        <v>74</v>
      </c>
      <c r="AQ505" s="1" t="s">
        <v>74</v>
      </c>
      <c r="AR505" s="1" t="s">
        <v>74</v>
      </c>
      <c r="AS505" s="1" t="s">
        <v>74</v>
      </c>
      <c r="AT505" s="1" t="s">
        <v>144</v>
      </c>
      <c r="AU505" s="1">
        <v>2003.0</v>
      </c>
      <c r="AV505" s="1">
        <v>123.0</v>
      </c>
      <c r="AW505" s="1">
        <v>1.0</v>
      </c>
      <c r="AX505" s="1" t="s">
        <v>74</v>
      </c>
      <c r="AY505" s="1" t="s">
        <v>74</v>
      </c>
      <c r="AZ505" s="1" t="s">
        <v>74</v>
      </c>
      <c r="BA505" s="1" t="s">
        <v>74</v>
      </c>
      <c r="BB505" s="1">
        <v>77.0</v>
      </c>
      <c r="BC505" s="1">
        <v>86.0</v>
      </c>
      <c r="BD505" s="1" t="s">
        <v>4980</v>
      </c>
      <c r="BE505" s="1" t="s">
        <v>4981</v>
      </c>
      <c r="BF505" s="2" t="str">
        <f>HYPERLINK("http://dx.doi.org/10.1016/S0009-3084(02)00163-9","http://dx.doi.org/10.1016/S0009-3084(02)00163-9")</f>
        <v>http://dx.doi.org/10.1016/S0009-3084(02)00163-9</v>
      </c>
      <c r="BG505" s="1" t="s">
        <v>74</v>
      </c>
      <c r="BH505" s="1" t="s">
        <v>74</v>
      </c>
      <c r="BI505" s="1" t="s">
        <v>74</v>
      </c>
      <c r="BJ505" s="1" t="s">
        <v>74</v>
      </c>
      <c r="BK505" s="1" t="s">
        <v>74</v>
      </c>
      <c r="BL505" s="1" t="s">
        <v>74</v>
      </c>
      <c r="BM505" s="1" t="s">
        <v>74</v>
      </c>
      <c r="BN505" s="1">
        <v>1.2637166E7</v>
      </c>
      <c r="BO505" s="1" t="s">
        <v>74</v>
      </c>
      <c r="BP505" s="1" t="s">
        <v>74</v>
      </c>
      <c r="BQ505" s="1" t="s">
        <v>74</v>
      </c>
      <c r="BR505" s="1" t="s">
        <v>74</v>
      </c>
      <c r="BS505" s="1" t="s">
        <v>4982</v>
      </c>
      <c r="BT505" s="1" t="str">
        <f>HYPERLINK("https%3A%2F%2Fwww.webofscience.com%2Fwos%2Fwoscc%2Ffull-record%2FWOS:000182181900007","View Full Record in Web of Science")</f>
        <v>View Full Record in Web of Science</v>
      </c>
    </row>
    <row r="506" ht="12.75" customHeight="1">
      <c r="A506" s="1" t="s">
        <v>72</v>
      </c>
      <c r="B506" s="1" t="s">
        <v>4983</v>
      </c>
      <c r="C506" s="1" t="s">
        <v>74</v>
      </c>
      <c r="D506" s="1" t="s">
        <v>74</v>
      </c>
      <c r="E506" s="1" t="s">
        <v>74</v>
      </c>
      <c r="F506" s="1" t="s">
        <v>4983</v>
      </c>
      <c r="G506" s="1" t="s">
        <v>74</v>
      </c>
      <c r="H506" s="1" t="s">
        <v>74</v>
      </c>
      <c r="I506" s="1" t="s">
        <v>4984</v>
      </c>
      <c r="J506" s="1" t="s">
        <v>2042</v>
      </c>
      <c r="K506" s="1" t="s">
        <v>74</v>
      </c>
      <c r="L506" s="1" t="s">
        <v>74</v>
      </c>
      <c r="M506" s="1" t="s">
        <v>74</v>
      </c>
      <c r="N506" s="1" t="s">
        <v>74</v>
      </c>
      <c r="O506" s="1" t="s">
        <v>74</v>
      </c>
      <c r="P506" s="1" t="s">
        <v>74</v>
      </c>
      <c r="Q506" s="1" t="s">
        <v>74</v>
      </c>
      <c r="R506" s="1" t="s">
        <v>74</v>
      </c>
      <c r="S506" s="1" t="s">
        <v>74</v>
      </c>
      <c r="T506" s="1" t="s">
        <v>74</v>
      </c>
      <c r="U506" s="1" t="s">
        <v>74</v>
      </c>
      <c r="V506" s="1" t="s">
        <v>4985</v>
      </c>
      <c r="W506" s="1" t="s">
        <v>74</v>
      </c>
      <c r="X506" s="1" t="s">
        <v>74</v>
      </c>
      <c r="Y506" s="1" t="s">
        <v>74</v>
      </c>
      <c r="Z506" s="1" t="s">
        <v>74</v>
      </c>
      <c r="AA506" s="1" t="s">
        <v>4986</v>
      </c>
      <c r="AB506" s="1" t="s">
        <v>4987</v>
      </c>
      <c r="AC506" s="1" t="s">
        <v>74</v>
      </c>
      <c r="AD506" s="1" t="s">
        <v>74</v>
      </c>
      <c r="AE506" s="1" t="s">
        <v>74</v>
      </c>
      <c r="AF506" s="1" t="s">
        <v>74</v>
      </c>
      <c r="AG506" s="1" t="s">
        <v>74</v>
      </c>
      <c r="AH506" s="1" t="s">
        <v>74</v>
      </c>
      <c r="AI506" s="1" t="s">
        <v>74</v>
      </c>
      <c r="AJ506" s="1" t="s">
        <v>74</v>
      </c>
      <c r="AK506" s="1" t="s">
        <v>74</v>
      </c>
      <c r="AL506" s="1" t="s">
        <v>74</v>
      </c>
      <c r="AM506" s="1" t="s">
        <v>74</v>
      </c>
      <c r="AN506" s="1" t="s">
        <v>74</v>
      </c>
      <c r="AO506" s="1" t="s">
        <v>2044</v>
      </c>
      <c r="AP506" s="1" t="s">
        <v>74</v>
      </c>
      <c r="AQ506" s="1" t="s">
        <v>74</v>
      </c>
      <c r="AR506" s="1" t="s">
        <v>74</v>
      </c>
      <c r="AS506" s="1" t="s">
        <v>74</v>
      </c>
      <c r="AT506" s="1" t="s">
        <v>3962</v>
      </c>
      <c r="AU506" s="1">
        <v>2001.0</v>
      </c>
      <c r="AV506" s="1">
        <v>388.0</v>
      </c>
      <c r="AW506" s="1">
        <v>2.0</v>
      </c>
      <c r="AX506" s="1" t="s">
        <v>74</v>
      </c>
      <c r="AY506" s="1" t="s">
        <v>74</v>
      </c>
      <c r="AZ506" s="1" t="s">
        <v>74</v>
      </c>
      <c r="BA506" s="1" t="s">
        <v>74</v>
      </c>
      <c r="BB506" s="1">
        <v>261.0</v>
      </c>
      <c r="BC506" s="1">
        <v>266.0</v>
      </c>
      <c r="BD506" s="1" t="s">
        <v>74</v>
      </c>
      <c r="BE506" s="1" t="s">
        <v>4988</v>
      </c>
      <c r="BF506" s="2" t="str">
        <f>HYPERLINK("http://dx.doi.org/10.1006/abbi.2001.2292","http://dx.doi.org/10.1006/abbi.2001.2292")</f>
        <v>http://dx.doi.org/10.1006/abbi.2001.2292</v>
      </c>
      <c r="BG506" s="1" t="s">
        <v>74</v>
      </c>
      <c r="BH506" s="1" t="s">
        <v>74</v>
      </c>
      <c r="BI506" s="1" t="s">
        <v>74</v>
      </c>
      <c r="BJ506" s="1" t="s">
        <v>74</v>
      </c>
      <c r="BK506" s="1" t="s">
        <v>74</v>
      </c>
      <c r="BL506" s="1" t="s">
        <v>74</v>
      </c>
      <c r="BM506" s="1" t="s">
        <v>74</v>
      </c>
      <c r="BN506" s="1">
        <v>1.1368163E7</v>
      </c>
      <c r="BO506" s="1" t="s">
        <v>74</v>
      </c>
      <c r="BP506" s="1" t="s">
        <v>74</v>
      </c>
      <c r="BQ506" s="1" t="s">
        <v>74</v>
      </c>
      <c r="BR506" s="1" t="s">
        <v>74</v>
      </c>
      <c r="BS506" s="1" t="s">
        <v>4989</v>
      </c>
      <c r="BT506" s="1" t="str">
        <f>HYPERLINK("https%3A%2F%2Fwww.webofscience.com%2Fwos%2Fwoscc%2Ffull-record%2FWOS:000168254800011","View Full Record in Web of Science")</f>
        <v>View Full Record in Web of Science</v>
      </c>
    </row>
    <row r="507" ht="12.75" customHeight="1">
      <c r="A507" s="1" t="s">
        <v>72</v>
      </c>
      <c r="B507" s="1" t="s">
        <v>4990</v>
      </c>
      <c r="C507" s="1" t="s">
        <v>74</v>
      </c>
      <c r="D507" s="1" t="s">
        <v>74</v>
      </c>
      <c r="E507" s="1" t="s">
        <v>74</v>
      </c>
      <c r="F507" s="1" t="s">
        <v>4990</v>
      </c>
      <c r="G507" s="1" t="s">
        <v>74</v>
      </c>
      <c r="H507" s="1" t="s">
        <v>74</v>
      </c>
      <c r="I507" s="1" t="s">
        <v>4991</v>
      </c>
      <c r="J507" s="1" t="s">
        <v>4992</v>
      </c>
      <c r="K507" s="1" t="s">
        <v>74</v>
      </c>
      <c r="L507" s="1" t="s">
        <v>74</v>
      </c>
      <c r="M507" s="1" t="s">
        <v>74</v>
      </c>
      <c r="N507" s="1" t="s">
        <v>74</v>
      </c>
      <c r="O507" s="1" t="s">
        <v>74</v>
      </c>
      <c r="P507" s="1" t="s">
        <v>74</v>
      </c>
      <c r="Q507" s="1" t="s">
        <v>74</v>
      </c>
      <c r="R507" s="1" t="s">
        <v>74</v>
      </c>
      <c r="S507" s="1" t="s">
        <v>74</v>
      </c>
      <c r="T507" s="1" t="s">
        <v>74</v>
      </c>
      <c r="U507" s="1" t="s">
        <v>74</v>
      </c>
      <c r="V507" s="1" t="s">
        <v>4993</v>
      </c>
      <c r="W507" s="1" t="s">
        <v>74</v>
      </c>
      <c r="X507" s="1" t="s">
        <v>74</v>
      </c>
      <c r="Y507" s="1" t="s">
        <v>74</v>
      </c>
      <c r="Z507" s="1" t="s">
        <v>74</v>
      </c>
      <c r="AA507" s="1" t="s">
        <v>74</v>
      </c>
      <c r="AB507" s="1" t="s">
        <v>4994</v>
      </c>
      <c r="AC507" s="1" t="s">
        <v>74</v>
      </c>
      <c r="AD507" s="1" t="s">
        <v>74</v>
      </c>
      <c r="AE507" s="1" t="s">
        <v>74</v>
      </c>
      <c r="AF507" s="1" t="s">
        <v>74</v>
      </c>
      <c r="AG507" s="1" t="s">
        <v>74</v>
      </c>
      <c r="AH507" s="1" t="s">
        <v>74</v>
      </c>
      <c r="AI507" s="1" t="s">
        <v>74</v>
      </c>
      <c r="AJ507" s="1" t="s">
        <v>74</v>
      </c>
      <c r="AK507" s="1" t="s">
        <v>74</v>
      </c>
      <c r="AL507" s="1" t="s">
        <v>74</v>
      </c>
      <c r="AM507" s="1" t="s">
        <v>74</v>
      </c>
      <c r="AN507" s="1" t="s">
        <v>74</v>
      </c>
      <c r="AO507" s="1" t="s">
        <v>4995</v>
      </c>
      <c r="AP507" s="1" t="s">
        <v>4996</v>
      </c>
      <c r="AQ507" s="1" t="s">
        <v>74</v>
      </c>
      <c r="AR507" s="1" t="s">
        <v>74</v>
      </c>
      <c r="AS507" s="1" t="s">
        <v>74</v>
      </c>
      <c r="AT507" s="1" t="s">
        <v>74</v>
      </c>
      <c r="AU507" s="1">
        <v>2000.0</v>
      </c>
      <c r="AV507" s="1">
        <v>27.0</v>
      </c>
      <c r="AW507" s="1" t="s">
        <v>308</v>
      </c>
      <c r="AX507" s="1" t="s">
        <v>74</v>
      </c>
      <c r="AY507" s="1" t="s">
        <v>74</v>
      </c>
      <c r="AZ507" s="1" t="s">
        <v>74</v>
      </c>
      <c r="BA507" s="1" t="s">
        <v>74</v>
      </c>
      <c r="BB507" s="1">
        <v>171.0</v>
      </c>
      <c r="BC507" s="1">
        <v>182.0</v>
      </c>
      <c r="BD507" s="1" t="s">
        <v>74</v>
      </c>
      <c r="BE507" s="1" t="s">
        <v>4997</v>
      </c>
      <c r="BF507" s="2" t="str">
        <f>HYPERLINK("http://dx.doi.org/10.1023/A:1019191507881","http://dx.doi.org/10.1023/A:1019191507881")</f>
        <v>http://dx.doi.org/10.1023/A:1019191507881</v>
      </c>
      <c r="BG507" s="1" t="s">
        <v>74</v>
      </c>
      <c r="BH507" s="1" t="s">
        <v>74</v>
      </c>
      <c r="BI507" s="1" t="s">
        <v>74</v>
      </c>
      <c r="BJ507" s="1" t="s">
        <v>74</v>
      </c>
      <c r="BK507" s="1" t="s">
        <v>74</v>
      </c>
      <c r="BL507" s="1" t="s">
        <v>74</v>
      </c>
      <c r="BM507" s="1" t="s">
        <v>74</v>
      </c>
      <c r="BN507" s="1" t="s">
        <v>74</v>
      </c>
      <c r="BO507" s="1" t="s">
        <v>74</v>
      </c>
      <c r="BP507" s="1" t="s">
        <v>74</v>
      </c>
      <c r="BQ507" s="1" t="s">
        <v>74</v>
      </c>
      <c r="BR507" s="1" t="s">
        <v>74</v>
      </c>
      <c r="BS507" s="1" t="s">
        <v>4998</v>
      </c>
      <c r="BT507" s="1" t="str">
        <f>HYPERLINK("https%3A%2F%2Fwww.webofscience.com%2Fwos%2Fwoscc%2Ffull-record%2FWOS:000089539500015","View Full Record in Web of Science")</f>
        <v>View Full Record in Web of Science</v>
      </c>
    </row>
    <row r="508" ht="12.75" customHeight="1">
      <c r="A508" s="1" t="s">
        <v>72</v>
      </c>
      <c r="B508" s="1" t="s">
        <v>4999</v>
      </c>
      <c r="C508" s="1" t="s">
        <v>74</v>
      </c>
      <c r="D508" s="1" t="s">
        <v>74</v>
      </c>
      <c r="E508" s="1" t="s">
        <v>74</v>
      </c>
      <c r="F508" s="1" t="s">
        <v>4999</v>
      </c>
      <c r="G508" s="1" t="s">
        <v>74</v>
      </c>
      <c r="H508" s="1" t="s">
        <v>74</v>
      </c>
      <c r="I508" s="1" t="s">
        <v>5000</v>
      </c>
      <c r="J508" s="1" t="s">
        <v>5001</v>
      </c>
      <c r="K508" s="1" t="s">
        <v>74</v>
      </c>
      <c r="L508" s="1" t="s">
        <v>74</v>
      </c>
      <c r="M508" s="1" t="s">
        <v>74</v>
      </c>
      <c r="N508" s="1" t="s">
        <v>74</v>
      </c>
      <c r="O508" s="1" t="s">
        <v>5002</v>
      </c>
      <c r="P508" s="1">
        <v>1998.0</v>
      </c>
      <c r="Q508" s="1" t="s">
        <v>5003</v>
      </c>
      <c r="R508" s="1" t="s">
        <v>5004</v>
      </c>
      <c r="S508" s="1" t="s">
        <v>74</v>
      </c>
      <c r="T508" s="1" t="s">
        <v>74</v>
      </c>
      <c r="U508" s="1" t="s">
        <v>74</v>
      </c>
      <c r="V508" s="1" t="s">
        <v>5005</v>
      </c>
      <c r="W508" s="1" t="s">
        <v>74</v>
      </c>
      <c r="X508" s="1" t="s">
        <v>74</v>
      </c>
      <c r="Y508" s="1" t="s">
        <v>74</v>
      </c>
      <c r="Z508" s="1" t="s">
        <v>74</v>
      </c>
      <c r="AA508" s="1" t="s">
        <v>5006</v>
      </c>
      <c r="AB508" s="1" t="s">
        <v>74</v>
      </c>
      <c r="AC508" s="1" t="s">
        <v>74</v>
      </c>
      <c r="AD508" s="1" t="s">
        <v>74</v>
      </c>
      <c r="AE508" s="1" t="s">
        <v>74</v>
      </c>
      <c r="AF508" s="1" t="s">
        <v>74</v>
      </c>
      <c r="AG508" s="1" t="s">
        <v>74</v>
      </c>
      <c r="AH508" s="1" t="s">
        <v>74</v>
      </c>
      <c r="AI508" s="1" t="s">
        <v>74</v>
      </c>
      <c r="AJ508" s="1" t="s">
        <v>74</v>
      </c>
      <c r="AK508" s="1" t="s">
        <v>74</v>
      </c>
      <c r="AL508" s="1" t="s">
        <v>74</v>
      </c>
      <c r="AM508" s="1" t="s">
        <v>74</v>
      </c>
      <c r="AN508" s="1" t="s">
        <v>74</v>
      </c>
      <c r="AO508" s="1" t="s">
        <v>5007</v>
      </c>
      <c r="AP508" s="1" t="s">
        <v>74</v>
      </c>
      <c r="AQ508" s="1" t="s">
        <v>74</v>
      </c>
      <c r="AR508" s="1" t="s">
        <v>74</v>
      </c>
      <c r="AS508" s="1" t="s">
        <v>74</v>
      </c>
      <c r="AT508" s="1" t="s">
        <v>3738</v>
      </c>
      <c r="AU508" s="1">
        <v>1999.0</v>
      </c>
      <c r="AV508" s="1">
        <v>399.0</v>
      </c>
      <c r="AW508" s="1" t="s">
        <v>74</v>
      </c>
      <c r="AX508" s="1" t="s">
        <v>74</v>
      </c>
      <c r="AY508" s="1" t="s">
        <v>74</v>
      </c>
      <c r="AZ508" s="1" t="s">
        <v>74</v>
      </c>
      <c r="BA508" s="1" t="s">
        <v>74</v>
      </c>
      <c r="BB508" s="1">
        <v>217.0</v>
      </c>
      <c r="BC508" s="1">
        <v>229.0</v>
      </c>
      <c r="BD508" s="1" t="s">
        <v>74</v>
      </c>
      <c r="BE508" s="1" t="s">
        <v>74</v>
      </c>
      <c r="BF508" s="1" t="s">
        <v>74</v>
      </c>
      <c r="BG508" s="1" t="s">
        <v>74</v>
      </c>
      <c r="BH508" s="1" t="s">
        <v>74</v>
      </c>
      <c r="BI508" s="1" t="s">
        <v>74</v>
      </c>
      <c r="BJ508" s="1" t="s">
        <v>74</v>
      </c>
      <c r="BK508" s="1" t="s">
        <v>74</v>
      </c>
      <c r="BL508" s="1" t="s">
        <v>74</v>
      </c>
      <c r="BM508" s="1" t="s">
        <v>74</v>
      </c>
      <c r="BN508" s="1" t="s">
        <v>74</v>
      </c>
      <c r="BO508" s="1" t="s">
        <v>74</v>
      </c>
      <c r="BP508" s="1" t="s">
        <v>74</v>
      </c>
      <c r="BQ508" s="1" t="s">
        <v>74</v>
      </c>
      <c r="BR508" s="1" t="s">
        <v>74</v>
      </c>
      <c r="BS508" s="1" t="s">
        <v>5008</v>
      </c>
      <c r="BT508" s="1" t="str">
        <f>HYPERLINK("https%3A%2F%2Fwww.webofscience.com%2Fwos%2Fwoscc%2Ffull-record%2FWOS:000082676900027","View Full Record in Web of Science")</f>
        <v>View Full Record in Web of Science</v>
      </c>
    </row>
    <row r="509" ht="12.75" customHeight="1">
      <c r="A509" s="1" t="s">
        <v>72</v>
      </c>
      <c r="B509" s="1" t="s">
        <v>5009</v>
      </c>
      <c r="C509" s="1" t="s">
        <v>74</v>
      </c>
      <c r="D509" s="1" t="s">
        <v>74</v>
      </c>
      <c r="E509" s="1" t="s">
        <v>74</v>
      </c>
      <c r="F509" s="1" t="s">
        <v>5009</v>
      </c>
      <c r="G509" s="1" t="s">
        <v>74</v>
      </c>
      <c r="H509" s="1" t="s">
        <v>74</v>
      </c>
      <c r="I509" s="1" t="s">
        <v>5010</v>
      </c>
      <c r="J509" s="1" t="s">
        <v>5011</v>
      </c>
      <c r="K509" s="1" t="s">
        <v>74</v>
      </c>
      <c r="L509" s="1" t="s">
        <v>74</v>
      </c>
      <c r="M509" s="1" t="s">
        <v>74</v>
      </c>
      <c r="N509" s="1" t="s">
        <v>74</v>
      </c>
      <c r="O509" s="1" t="s">
        <v>74</v>
      </c>
      <c r="P509" s="1" t="s">
        <v>74</v>
      </c>
      <c r="Q509" s="1" t="s">
        <v>74</v>
      </c>
      <c r="R509" s="1" t="s">
        <v>74</v>
      </c>
      <c r="S509" s="1" t="s">
        <v>74</v>
      </c>
      <c r="T509" s="1" t="s">
        <v>74</v>
      </c>
      <c r="U509" s="1" t="s">
        <v>74</v>
      </c>
      <c r="V509" s="1" t="s">
        <v>5012</v>
      </c>
      <c r="W509" s="1" t="s">
        <v>74</v>
      </c>
      <c r="X509" s="1" t="s">
        <v>74</v>
      </c>
      <c r="Y509" s="1" t="s">
        <v>74</v>
      </c>
      <c r="Z509" s="1" t="s">
        <v>74</v>
      </c>
      <c r="AA509" s="1" t="s">
        <v>2072</v>
      </c>
      <c r="AB509" s="1" t="s">
        <v>74</v>
      </c>
      <c r="AC509" s="1" t="s">
        <v>74</v>
      </c>
      <c r="AD509" s="1" t="s">
        <v>74</v>
      </c>
      <c r="AE509" s="1" t="s">
        <v>74</v>
      </c>
      <c r="AF509" s="1" t="s">
        <v>74</v>
      </c>
      <c r="AG509" s="1" t="s">
        <v>74</v>
      </c>
      <c r="AH509" s="1" t="s">
        <v>74</v>
      </c>
      <c r="AI509" s="1" t="s">
        <v>74</v>
      </c>
      <c r="AJ509" s="1" t="s">
        <v>74</v>
      </c>
      <c r="AK509" s="1" t="s">
        <v>74</v>
      </c>
      <c r="AL509" s="1" t="s">
        <v>74</v>
      </c>
      <c r="AM509" s="1" t="s">
        <v>74</v>
      </c>
      <c r="AN509" s="1" t="s">
        <v>74</v>
      </c>
      <c r="AO509" s="1" t="s">
        <v>5013</v>
      </c>
      <c r="AP509" s="1" t="s">
        <v>74</v>
      </c>
      <c r="AQ509" s="1" t="s">
        <v>74</v>
      </c>
      <c r="AR509" s="1" t="s">
        <v>74</v>
      </c>
      <c r="AS509" s="1" t="s">
        <v>74</v>
      </c>
      <c r="AT509" s="1" t="s">
        <v>3384</v>
      </c>
      <c r="AU509" s="1">
        <v>1998.0</v>
      </c>
      <c r="AV509" s="1">
        <v>31.0</v>
      </c>
      <c r="AW509" s="1">
        <v>16.0</v>
      </c>
      <c r="AX509" s="1" t="s">
        <v>74</v>
      </c>
      <c r="AY509" s="1" t="s">
        <v>74</v>
      </c>
      <c r="AZ509" s="1" t="s">
        <v>74</v>
      </c>
      <c r="BA509" s="1" t="s">
        <v>74</v>
      </c>
      <c r="BB509" s="1">
        <v>5171.0</v>
      </c>
      <c r="BC509" s="1">
        <v>5174.0</v>
      </c>
      <c r="BD509" s="1" t="s">
        <v>74</v>
      </c>
      <c r="BE509" s="1" t="s">
        <v>5014</v>
      </c>
      <c r="BF509" s="2" t="str">
        <f>HYPERLINK("http://dx.doi.org/10.1021/ma9712965","http://dx.doi.org/10.1021/ma9712965")</f>
        <v>http://dx.doi.org/10.1021/ma9712965</v>
      </c>
      <c r="BG509" s="1" t="s">
        <v>74</v>
      </c>
      <c r="BH509" s="1" t="s">
        <v>74</v>
      </c>
      <c r="BI509" s="1" t="s">
        <v>74</v>
      </c>
      <c r="BJ509" s="1" t="s">
        <v>74</v>
      </c>
      <c r="BK509" s="1" t="s">
        <v>74</v>
      </c>
      <c r="BL509" s="1" t="s">
        <v>74</v>
      </c>
      <c r="BM509" s="1" t="s">
        <v>74</v>
      </c>
      <c r="BN509" s="1" t="s">
        <v>74</v>
      </c>
      <c r="BO509" s="1" t="s">
        <v>74</v>
      </c>
      <c r="BP509" s="1" t="s">
        <v>74</v>
      </c>
      <c r="BQ509" s="1" t="s">
        <v>74</v>
      </c>
      <c r="BR509" s="1" t="s">
        <v>74</v>
      </c>
      <c r="BS509" s="1" t="s">
        <v>5015</v>
      </c>
      <c r="BT509" s="1" t="str">
        <f>HYPERLINK("https%3A%2F%2Fwww.webofscience.com%2Fwos%2Fwoscc%2Ffull-record%2FWOS:000075347600001","View Full Record in Web of Science")</f>
        <v>View Full Record in Web of Science</v>
      </c>
    </row>
    <row r="510" ht="12.75" customHeight="1">
      <c r="A510" s="1" t="s">
        <v>72</v>
      </c>
      <c r="B510" s="1" t="s">
        <v>5016</v>
      </c>
      <c r="C510" s="1" t="s">
        <v>74</v>
      </c>
      <c r="D510" s="1" t="s">
        <v>74</v>
      </c>
      <c r="E510" s="1" t="s">
        <v>74</v>
      </c>
      <c r="F510" s="1" t="s">
        <v>5016</v>
      </c>
      <c r="G510" s="1" t="s">
        <v>74</v>
      </c>
      <c r="H510" s="1" t="s">
        <v>74</v>
      </c>
      <c r="I510" s="1" t="s">
        <v>5017</v>
      </c>
      <c r="J510" s="1" t="s">
        <v>5018</v>
      </c>
      <c r="K510" s="1" t="s">
        <v>74</v>
      </c>
      <c r="L510" s="1" t="s">
        <v>74</v>
      </c>
      <c r="M510" s="1" t="s">
        <v>74</v>
      </c>
      <c r="N510" s="1" t="s">
        <v>74</v>
      </c>
      <c r="O510" s="1" t="s">
        <v>74</v>
      </c>
      <c r="P510" s="1" t="s">
        <v>74</v>
      </c>
      <c r="Q510" s="1" t="s">
        <v>74</v>
      </c>
      <c r="R510" s="1" t="s">
        <v>74</v>
      </c>
      <c r="S510" s="1" t="s">
        <v>74</v>
      </c>
      <c r="T510" s="1" t="s">
        <v>74</v>
      </c>
      <c r="U510" s="1" t="s">
        <v>74</v>
      </c>
      <c r="V510" s="1" t="s">
        <v>5019</v>
      </c>
      <c r="W510" s="1" t="s">
        <v>74</v>
      </c>
      <c r="X510" s="1" t="s">
        <v>74</v>
      </c>
      <c r="Y510" s="1" t="s">
        <v>74</v>
      </c>
      <c r="Z510" s="1" t="s">
        <v>74</v>
      </c>
      <c r="AA510" s="1" t="s">
        <v>5020</v>
      </c>
      <c r="AB510" s="1" t="s">
        <v>5021</v>
      </c>
      <c r="AC510" s="1" t="s">
        <v>74</v>
      </c>
      <c r="AD510" s="1" t="s">
        <v>74</v>
      </c>
      <c r="AE510" s="1" t="s">
        <v>74</v>
      </c>
      <c r="AF510" s="1" t="s">
        <v>74</v>
      </c>
      <c r="AG510" s="1" t="s">
        <v>74</v>
      </c>
      <c r="AH510" s="1" t="s">
        <v>74</v>
      </c>
      <c r="AI510" s="1" t="s">
        <v>74</v>
      </c>
      <c r="AJ510" s="1" t="s">
        <v>74</v>
      </c>
      <c r="AK510" s="1" t="s">
        <v>74</v>
      </c>
      <c r="AL510" s="1" t="s">
        <v>74</v>
      </c>
      <c r="AM510" s="1" t="s">
        <v>74</v>
      </c>
      <c r="AN510" s="1" t="s">
        <v>74</v>
      </c>
      <c r="AO510" s="1" t="s">
        <v>5022</v>
      </c>
      <c r="AP510" s="1" t="s">
        <v>74</v>
      </c>
      <c r="AQ510" s="1" t="s">
        <v>74</v>
      </c>
      <c r="AR510" s="1" t="s">
        <v>74</v>
      </c>
      <c r="AS510" s="1" t="s">
        <v>74</v>
      </c>
      <c r="AT510" s="1" t="s">
        <v>389</v>
      </c>
      <c r="AU510" s="1">
        <v>1995.0</v>
      </c>
      <c r="AV510" s="1">
        <v>31.0</v>
      </c>
      <c r="AW510" s="1">
        <v>2.0</v>
      </c>
      <c r="AX510" s="1" t="s">
        <v>74</v>
      </c>
      <c r="AY510" s="1" t="s">
        <v>74</v>
      </c>
      <c r="AZ510" s="1" t="s">
        <v>74</v>
      </c>
      <c r="BA510" s="1" t="s">
        <v>74</v>
      </c>
      <c r="BB510" s="1">
        <v>103.0</v>
      </c>
      <c r="BC510" s="1">
        <v>107.0</v>
      </c>
      <c r="BD510" s="1" t="s">
        <v>74</v>
      </c>
      <c r="BE510" s="1" t="s">
        <v>5023</v>
      </c>
      <c r="BF510" s="2" t="str">
        <f>HYPERLINK("http://dx.doi.org/10.1016/1043-6618(95)80054-9","http://dx.doi.org/10.1016/1043-6618(95)80054-9")</f>
        <v>http://dx.doi.org/10.1016/1043-6618(95)80054-9</v>
      </c>
      <c r="BG510" s="1" t="s">
        <v>74</v>
      </c>
      <c r="BH510" s="1" t="s">
        <v>74</v>
      </c>
      <c r="BI510" s="1" t="s">
        <v>74</v>
      </c>
      <c r="BJ510" s="1" t="s">
        <v>74</v>
      </c>
      <c r="BK510" s="1" t="s">
        <v>74</v>
      </c>
      <c r="BL510" s="1" t="s">
        <v>74</v>
      </c>
      <c r="BM510" s="1" t="s">
        <v>74</v>
      </c>
      <c r="BN510" s="1">
        <v>7596952.0</v>
      </c>
      <c r="BO510" s="1" t="s">
        <v>74</v>
      </c>
      <c r="BP510" s="1" t="s">
        <v>74</v>
      </c>
      <c r="BQ510" s="1" t="s">
        <v>74</v>
      </c>
      <c r="BR510" s="1" t="s">
        <v>74</v>
      </c>
      <c r="BS510" s="1" t="s">
        <v>5024</v>
      </c>
      <c r="BT510" s="1" t="str">
        <f>HYPERLINK("https%3A%2F%2Fwww.webofscience.com%2Fwos%2Fwoscc%2Ffull-record%2FWOS:A1995QR85400003","View Full Record in Web of Science")</f>
        <v>View Full Record in Web of Science</v>
      </c>
    </row>
    <row r="511" ht="12.75" customHeight="1">
      <c r="A511" s="1" t="s">
        <v>72</v>
      </c>
      <c r="B511" s="1" t="s">
        <v>5025</v>
      </c>
      <c r="C511" s="1" t="s">
        <v>74</v>
      </c>
      <c r="D511" s="1" t="s">
        <v>74</v>
      </c>
      <c r="E511" s="1" t="s">
        <v>74</v>
      </c>
      <c r="F511" s="1" t="s">
        <v>5025</v>
      </c>
      <c r="G511" s="1" t="s">
        <v>74</v>
      </c>
      <c r="H511" s="1" t="s">
        <v>74</v>
      </c>
      <c r="I511" s="1" t="s">
        <v>5026</v>
      </c>
      <c r="J511" s="1" t="s">
        <v>5027</v>
      </c>
      <c r="K511" s="1" t="s">
        <v>74</v>
      </c>
      <c r="L511" s="1" t="s">
        <v>74</v>
      </c>
      <c r="M511" s="1" t="s">
        <v>74</v>
      </c>
      <c r="N511" s="1" t="s">
        <v>74</v>
      </c>
      <c r="O511" s="1" t="s">
        <v>74</v>
      </c>
      <c r="P511" s="1" t="s">
        <v>74</v>
      </c>
      <c r="Q511" s="1" t="s">
        <v>74</v>
      </c>
      <c r="R511" s="1" t="s">
        <v>74</v>
      </c>
      <c r="S511" s="1" t="s">
        <v>74</v>
      </c>
      <c r="T511" s="1" t="s">
        <v>74</v>
      </c>
      <c r="U511" s="1" t="s">
        <v>74</v>
      </c>
      <c r="V511" s="1" t="s">
        <v>5028</v>
      </c>
      <c r="W511" s="1" t="s">
        <v>74</v>
      </c>
      <c r="X511" s="1" t="s">
        <v>74</v>
      </c>
      <c r="Y511" s="1" t="s">
        <v>74</v>
      </c>
      <c r="Z511" s="1" t="s">
        <v>74</v>
      </c>
      <c r="AA511" s="1" t="s">
        <v>5029</v>
      </c>
      <c r="AB511" s="1" t="s">
        <v>5030</v>
      </c>
      <c r="AC511" s="1" t="s">
        <v>74</v>
      </c>
      <c r="AD511" s="1" t="s">
        <v>74</v>
      </c>
      <c r="AE511" s="1" t="s">
        <v>74</v>
      </c>
      <c r="AF511" s="1" t="s">
        <v>74</v>
      </c>
      <c r="AG511" s="1" t="s">
        <v>74</v>
      </c>
      <c r="AH511" s="1" t="s">
        <v>74</v>
      </c>
      <c r="AI511" s="1" t="s">
        <v>74</v>
      </c>
      <c r="AJ511" s="1" t="s">
        <v>74</v>
      </c>
      <c r="AK511" s="1" t="s">
        <v>74</v>
      </c>
      <c r="AL511" s="1" t="s">
        <v>74</v>
      </c>
      <c r="AM511" s="1" t="s">
        <v>74</v>
      </c>
      <c r="AN511" s="1" t="s">
        <v>74</v>
      </c>
      <c r="AO511" s="1" t="s">
        <v>5031</v>
      </c>
      <c r="AP511" s="1" t="s">
        <v>74</v>
      </c>
      <c r="AQ511" s="1" t="s">
        <v>74</v>
      </c>
      <c r="AR511" s="1" t="s">
        <v>74</v>
      </c>
      <c r="AS511" s="1" t="s">
        <v>74</v>
      </c>
      <c r="AT511" s="1" t="s">
        <v>676</v>
      </c>
      <c r="AU511" s="1">
        <v>1994.0</v>
      </c>
      <c r="AV511" s="1">
        <v>50.0</v>
      </c>
      <c r="AW511" s="1" t="s">
        <v>74</v>
      </c>
      <c r="AX511" s="1">
        <v>11.0</v>
      </c>
      <c r="AY511" s="1" t="s">
        <v>74</v>
      </c>
      <c r="AZ511" s="1" t="s">
        <v>74</v>
      </c>
      <c r="BA511" s="1" t="s">
        <v>74</v>
      </c>
      <c r="BB511" s="1">
        <v>1701.0</v>
      </c>
      <c r="BC511" s="1">
        <v>1703.0</v>
      </c>
      <c r="BD511" s="1" t="s">
        <v>74</v>
      </c>
      <c r="BE511" s="1" t="s">
        <v>5032</v>
      </c>
      <c r="BF511" s="2" t="str">
        <f>HYPERLINK("http://dx.doi.org/10.1107/S0108270194000077","http://dx.doi.org/10.1107/S0108270194000077")</f>
        <v>http://dx.doi.org/10.1107/S0108270194000077</v>
      </c>
      <c r="BG511" s="1" t="s">
        <v>74</v>
      </c>
      <c r="BH511" s="1" t="s">
        <v>74</v>
      </c>
      <c r="BI511" s="1" t="s">
        <v>74</v>
      </c>
      <c r="BJ511" s="1" t="s">
        <v>74</v>
      </c>
      <c r="BK511" s="1" t="s">
        <v>74</v>
      </c>
      <c r="BL511" s="1" t="s">
        <v>74</v>
      </c>
      <c r="BM511" s="1" t="s">
        <v>74</v>
      </c>
      <c r="BN511" s="1" t="s">
        <v>74</v>
      </c>
      <c r="BO511" s="1" t="s">
        <v>74</v>
      </c>
      <c r="BP511" s="1" t="s">
        <v>74</v>
      </c>
      <c r="BQ511" s="1" t="s">
        <v>74</v>
      </c>
      <c r="BR511" s="1" t="s">
        <v>74</v>
      </c>
      <c r="BS511" s="1" t="s">
        <v>5033</v>
      </c>
      <c r="BT511" s="1" t="str">
        <f>HYPERLINK("https%3A%2F%2Fwww.webofscience.com%2Fwos%2Fwoscc%2Ffull-record%2FWOS:A1994PT88100026","View Full Record in Web of Science")</f>
        <v>View Full Record in Web of Science</v>
      </c>
    </row>
    <row r="512" ht="12.75" customHeight="1">
      <c r="A512" s="1" t="s">
        <v>72</v>
      </c>
      <c r="B512" s="1" t="s">
        <v>5034</v>
      </c>
      <c r="C512" s="1" t="s">
        <v>74</v>
      </c>
      <c r="D512" s="1" t="s">
        <v>74</v>
      </c>
      <c r="E512" s="1" t="s">
        <v>74</v>
      </c>
      <c r="F512" s="1" t="s">
        <v>5034</v>
      </c>
      <c r="G512" s="1" t="s">
        <v>74</v>
      </c>
      <c r="H512" s="1" t="s">
        <v>74</v>
      </c>
      <c r="I512" s="1" t="s">
        <v>5035</v>
      </c>
      <c r="J512" s="1" t="s">
        <v>5011</v>
      </c>
      <c r="K512" s="1" t="s">
        <v>74</v>
      </c>
      <c r="L512" s="1" t="s">
        <v>74</v>
      </c>
      <c r="M512" s="1" t="s">
        <v>74</v>
      </c>
      <c r="N512" s="1" t="s">
        <v>74</v>
      </c>
      <c r="O512" s="1" t="s">
        <v>74</v>
      </c>
      <c r="P512" s="1" t="s">
        <v>74</v>
      </c>
      <c r="Q512" s="1" t="s">
        <v>74</v>
      </c>
      <c r="R512" s="1" t="s">
        <v>74</v>
      </c>
      <c r="S512" s="1" t="s">
        <v>74</v>
      </c>
      <c r="T512" s="1" t="s">
        <v>74</v>
      </c>
      <c r="U512" s="1" t="s">
        <v>74</v>
      </c>
      <c r="V512" s="1" t="s">
        <v>74</v>
      </c>
      <c r="W512" s="1" t="s">
        <v>74</v>
      </c>
      <c r="X512" s="1" t="s">
        <v>74</v>
      </c>
      <c r="Y512" s="1" t="s">
        <v>74</v>
      </c>
      <c r="Z512" s="1" t="s">
        <v>74</v>
      </c>
      <c r="AA512" s="1" t="s">
        <v>5036</v>
      </c>
      <c r="AB512" s="1" t="s">
        <v>403</v>
      </c>
      <c r="AC512" s="1" t="s">
        <v>74</v>
      </c>
      <c r="AD512" s="1" t="s">
        <v>74</v>
      </c>
      <c r="AE512" s="1" t="s">
        <v>74</v>
      </c>
      <c r="AF512" s="1" t="s">
        <v>74</v>
      </c>
      <c r="AG512" s="1" t="s">
        <v>74</v>
      </c>
      <c r="AH512" s="1" t="s">
        <v>74</v>
      </c>
      <c r="AI512" s="1" t="s">
        <v>74</v>
      </c>
      <c r="AJ512" s="1" t="s">
        <v>74</v>
      </c>
      <c r="AK512" s="1" t="s">
        <v>74</v>
      </c>
      <c r="AL512" s="1" t="s">
        <v>74</v>
      </c>
      <c r="AM512" s="1" t="s">
        <v>74</v>
      </c>
      <c r="AN512" s="1" t="s">
        <v>74</v>
      </c>
      <c r="AO512" s="1" t="s">
        <v>5013</v>
      </c>
      <c r="AP512" s="1" t="s">
        <v>74</v>
      </c>
      <c r="AQ512" s="1" t="s">
        <v>74</v>
      </c>
      <c r="AR512" s="1" t="s">
        <v>74</v>
      </c>
      <c r="AS512" s="1" t="s">
        <v>74</v>
      </c>
      <c r="AT512" s="1" t="s">
        <v>74</v>
      </c>
      <c r="AU512" s="1">
        <v>1982.0</v>
      </c>
      <c r="AV512" s="1">
        <v>15.0</v>
      </c>
      <c r="AW512" s="1">
        <v>4.0</v>
      </c>
      <c r="AX512" s="1" t="s">
        <v>74</v>
      </c>
      <c r="AY512" s="1" t="s">
        <v>74</v>
      </c>
      <c r="AZ512" s="1" t="s">
        <v>74</v>
      </c>
      <c r="BA512" s="1" t="s">
        <v>74</v>
      </c>
      <c r="BB512" s="1">
        <v>1111.0</v>
      </c>
      <c r="BC512" s="1">
        <v>1115.0</v>
      </c>
      <c r="BD512" s="1" t="s">
        <v>74</v>
      </c>
      <c r="BE512" s="1" t="s">
        <v>74</v>
      </c>
      <c r="BF512" s="1" t="s">
        <v>74</v>
      </c>
      <c r="BG512" s="1" t="s">
        <v>74</v>
      </c>
      <c r="BH512" s="1" t="s">
        <v>74</v>
      </c>
      <c r="BI512" s="1" t="s">
        <v>74</v>
      </c>
      <c r="BJ512" s="1" t="s">
        <v>74</v>
      </c>
      <c r="BK512" s="1" t="s">
        <v>74</v>
      </c>
      <c r="BL512" s="1" t="s">
        <v>74</v>
      </c>
      <c r="BM512" s="1" t="s">
        <v>74</v>
      </c>
      <c r="BN512" s="1" t="s">
        <v>74</v>
      </c>
      <c r="BO512" s="1" t="s">
        <v>74</v>
      </c>
      <c r="BP512" s="1" t="s">
        <v>74</v>
      </c>
      <c r="BQ512" s="1" t="s">
        <v>74</v>
      </c>
      <c r="BR512" s="1" t="s">
        <v>74</v>
      </c>
      <c r="BS512" s="1" t="s">
        <v>5037</v>
      </c>
      <c r="BT512" s="1" t="str">
        <f>HYPERLINK("https%3A%2F%2Fwww.webofscience.com%2Fwos%2Fwoscc%2Ffull-record%2FWOS:A1982PC18700030","View Full Record in Web of Science")</f>
        <v>View Full Record in Web of Science</v>
      </c>
    </row>
    <row r="513" ht="12.75" customHeight="1">
      <c r="A513" s="1" t="s">
        <v>72</v>
      </c>
      <c r="B513" s="1" t="s">
        <v>5038</v>
      </c>
      <c r="C513" s="1" t="s">
        <v>74</v>
      </c>
      <c r="D513" s="1" t="s">
        <v>74</v>
      </c>
      <c r="E513" s="1" t="s">
        <v>74</v>
      </c>
      <c r="F513" s="1" t="s">
        <v>5038</v>
      </c>
      <c r="G513" s="1" t="s">
        <v>74</v>
      </c>
      <c r="H513" s="1" t="s">
        <v>74</v>
      </c>
      <c r="I513" s="1" t="s">
        <v>5039</v>
      </c>
      <c r="J513" s="1" t="s">
        <v>5040</v>
      </c>
      <c r="K513" s="1" t="s">
        <v>74</v>
      </c>
      <c r="L513" s="1" t="s">
        <v>74</v>
      </c>
      <c r="M513" s="1" t="s">
        <v>74</v>
      </c>
      <c r="N513" s="1" t="s">
        <v>74</v>
      </c>
      <c r="O513" s="1" t="s">
        <v>74</v>
      </c>
      <c r="P513" s="1" t="s">
        <v>74</v>
      </c>
      <c r="Q513" s="1" t="s">
        <v>74</v>
      </c>
      <c r="R513" s="1" t="s">
        <v>74</v>
      </c>
      <c r="S513" s="1" t="s">
        <v>74</v>
      </c>
      <c r="T513" s="1" t="s">
        <v>74</v>
      </c>
      <c r="U513" s="1" t="s">
        <v>74</v>
      </c>
      <c r="V513" s="1" t="s">
        <v>74</v>
      </c>
      <c r="W513" s="1" t="s">
        <v>74</v>
      </c>
      <c r="X513" s="1" t="s">
        <v>74</v>
      </c>
      <c r="Y513" s="1" t="s">
        <v>74</v>
      </c>
      <c r="Z513" s="1" t="s">
        <v>74</v>
      </c>
      <c r="AA513" s="1" t="s">
        <v>74</v>
      </c>
      <c r="AB513" s="1" t="s">
        <v>74</v>
      </c>
      <c r="AC513" s="1" t="s">
        <v>74</v>
      </c>
      <c r="AD513" s="1" t="s">
        <v>74</v>
      </c>
      <c r="AE513" s="1" t="s">
        <v>74</v>
      </c>
      <c r="AF513" s="1" t="s">
        <v>74</v>
      </c>
      <c r="AG513" s="1" t="s">
        <v>74</v>
      </c>
      <c r="AH513" s="1" t="s">
        <v>74</v>
      </c>
      <c r="AI513" s="1" t="s">
        <v>74</v>
      </c>
      <c r="AJ513" s="1" t="s">
        <v>74</v>
      </c>
      <c r="AK513" s="1" t="s">
        <v>74</v>
      </c>
      <c r="AL513" s="1" t="s">
        <v>74</v>
      </c>
      <c r="AM513" s="1" t="s">
        <v>74</v>
      </c>
      <c r="AN513" s="1" t="s">
        <v>74</v>
      </c>
      <c r="AO513" s="1" t="s">
        <v>5041</v>
      </c>
      <c r="AP513" s="1" t="s">
        <v>74</v>
      </c>
      <c r="AQ513" s="1" t="s">
        <v>74</v>
      </c>
      <c r="AR513" s="1" t="s">
        <v>74</v>
      </c>
      <c r="AS513" s="1" t="s">
        <v>74</v>
      </c>
      <c r="AT513" s="1" t="s">
        <v>74</v>
      </c>
      <c r="AU513" s="1">
        <v>1977.0</v>
      </c>
      <c r="AV513" s="1">
        <v>16.0</v>
      </c>
      <c r="AW513" s="1">
        <v>11.0</v>
      </c>
      <c r="AX513" s="1" t="s">
        <v>74</v>
      </c>
      <c r="AY513" s="1" t="s">
        <v>74</v>
      </c>
      <c r="AZ513" s="1" t="s">
        <v>74</v>
      </c>
      <c r="BA513" s="1" t="s">
        <v>74</v>
      </c>
      <c r="BB513" s="1">
        <v>2762.0</v>
      </c>
      <c r="BC513" s="1">
        <v>2766.0</v>
      </c>
      <c r="BD513" s="1" t="s">
        <v>74</v>
      </c>
      <c r="BE513" s="1" t="s">
        <v>5042</v>
      </c>
      <c r="BF513" s="2" t="str">
        <f>HYPERLINK("http://dx.doi.org/10.1021/ic50177a018","http://dx.doi.org/10.1021/ic50177a018")</f>
        <v>http://dx.doi.org/10.1021/ic50177a018</v>
      </c>
      <c r="BG513" s="1" t="s">
        <v>74</v>
      </c>
      <c r="BH513" s="1" t="s">
        <v>74</v>
      </c>
      <c r="BI513" s="1" t="s">
        <v>74</v>
      </c>
      <c r="BJ513" s="1" t="s">
        <v>74</v>
      </c>
      <c r="BK513" s="1" t="s">
        <v>74</v>
      </c>
      <c r="BL513" s="1" t="s">
        <v>74</v>
      </c>
      <c r="BM513" s="1" t="s">
        <v>74</v>
      </c>
      <c r="BN513" s="1" t="s">
        <v>74</v>
      </c>
      <c r="BO513" s="1" t="s">
        <v>74</v>
      </c>
      <c r="BP513" s="1" t="s">
        <v>74</v>
      </c>
      <c r="BQ513" s="1" t="s">
        <v>74</v>
      </c>
      <c r="BR513" s="1" t="s">
        <v>74</v>
      </c>
      <c r="BS513" s="1" t="s">
        <v>5043</v>
      </c>
      <c r="BT513" s="1" t="str">
        <f>HYPERLINK("https%3A%2F%2Fwww.webofscience.com%2Fwos%2Fwoscc%2Ffull-record%2FWOS:A1977DZ16900018","View Full Record in Web of Science")</f>
        <v>View Full Record in Web of Science</v>
      </c>
    </row>
    <row r="514" ht="12.75" customHeight="1">
      <c r="A514" s="1" t="s">
        <v>72</v>
      </c>
      <c r="B514" s="1" t="s">
        <v>5044</v>
      </c>
      <c r="C514" s="1" t="s">
        <v>74</v>
      </c>
      <c r="D514" s="1" t="s">
        <v>74</v>
      </c>
      <c r="E514" s="1" t="s">
        <v>74</v>
      </c>
      <c r="F514" s="1" t="s">
        <v>5045</v>
      </c>
      <c r="G514" s="1" t="s">
        <v>74</v>
      </c>
      <c r="H514" s="1" t="s">
        <v>74</v>
      </c>
      <c r="I514" s="1" t="s">
        <v>5046</v>
      </c>
      <c r="J514" s="1" t="s">
        <v>5047</v>
      </c>
      <c r="K514" s="1" t="s">
        <v>74</v>
      </c>
      <c r="L514" s="1" t="s">
        <v>74</v>
      </c>
      <c r="M514" s="1" t="s">
        <v>74</v>
      </c>
      <c r="N514" s="1" t="s">
        <v>74</v>
      </c>
      <c r="O514" s="1" t="s">
        <v>74</v>
      </c>
      <c r="P514" s="1" t="s">
        <v>74</v>
      </c>
      <c r="Q514" s="1" t="s">
        <v>74</v>
      </c>
      <c r="R514" s="1" t="s">
        <v>74</v>
      </c>
      <c r="S514" s="1" t="s">
        <v>74</v>
      </c>
      <c r="T514" s="1" t="s">
        <v>74</v>
      </c>
      <c r="U514" s="1" t="s">
        <v>74</v>
      </c>
      <c r="V514" s="1" t="s">
        <v>5048</v>
      </c>
      <c r="W514" s="1" t="s">
        <v>74</v>
      </c>
      <c r="X514" s="1" t="s">
        <v>74</v>
      </c>
      <c r="Y514" s="1" t="s">
        <v>74</v>
      </c>
      <c r="Z514" s="1" t="s">
        <v>74</v>
      </c>
      <c r="AA514" s="1" t="s">
        <v>5049</v>
      </c>
      <c r="AB514" s="1" t="s">
        <v>74</v>
      </c>
      <c r="AC514" s="1" t="s">
        <v>74</v>
      </c>
      <c r="AD514" s="1" t="s">
        <v>74</v>
      </c>
      <c r="AE514" s="1" t="s">
        <v>74</v>
      </c>
      <c r="AF514" s="1" t="s">
        <v>74</v>
      </c>
      <c r="AG514" s="1" t="s">
        <v>74</v>
      </c>
      <c r="AH514" s="1" t="s">
        <v>74</v>
      </c>
      <c r="AI514" s="1" t="s">
        <v>74</v>
      </c>
      <c r="AJ514" s="1" t="s">
        <v>74</v>
      </c>
      <c r="AK514" s="1" t="s">
        <v>74</v>
      </c>
      <c r="AL514" s="1" t="s">
        <v>74</v>
      </c>
      <c r="AM514" s="1" t="s">
        <v>74</v>
      </c>
      <c r="AN514" s="1" t="s">
        <v>74</v>
      </c>
      <c r="AO514" s="1" t="s">
        <v>5050</v>
      </c>
      <c r="AP514" s="1" t="s">
        <v>5051</v>
      </c>
      <c r="AQ514" s="1" t="s">
        <v>74</v>
      </c>
      <c r="AR514" s="1" t="s">
        <v>74</v>
      </c>
      <c r="AS514" s="1" t="s">
        <v>74</v>
      </c>
      <c r="AT514" s="1" t="s">
        <v>580</v>
      </c>
      <c r="AU514" s="1">
        <v>2025.0</v>
      </c>
      <c r="AV514" s="1">
        <v>151.0</v>
      </c>
      <c r="AW514" s="1">
        <v>5.0</v>
      </c>
      <c r="AX514" s="1" t="s">
        <v>74</v>
      </c>
      <c r="AY514" s="1" t="s">
        <v>74</v>
      </c>
      <c r="AZ514" s="1" t="s">
        <v>74</v>
      </c>
      <c r="BA514" s="1" t="s">
        <v>74</v>
      </c>
      <c r="BB514" s="1" t="s">
        <v>74</v>
      </c>
      <c r="BC514" s="1" t="s">
        <v>74</v>
      </c>
      <c r="BD514" s="1">
        <v>4025024.0</v>
      </c>
      <c r="BE514" s="1" t="s">
        <v>5052</v>
      </c>
      <c r="BF514" s="2" t="str">
        <f>HYPERLINK("http://dx.doi.org/10.1061/JCEMD4.COENG-15323","http://dx.doi.org/10.1061/JCEMD4.COENG-15323")</f>
        <v>http://dx.doi.org/10.1061/JCEMD4.COENG-15323</v>
      </c>
      <c r="BG514" s="1" t="s">
        <v>74</v>
      </c>
      <c r="BH514" s="1" t="s">
        <v>74</v>
      </c>
      <c r="BI514" s="1" t="s">
        <v>74</v>
      </c>
      <c r="BJ514" s="1" t="s">
        <v>74</v>
      </c>
      <c r="BK514" s="1" t="s">
        <v>74</v>
      </c>
      <c r="BL514" s="1" t="s">
        <v>74</v>
      </c>
      <c r="BM514" s="1" t="s">
        <v>74</v>
      </c>
      <c r="BN514" s="1" t="s">
        <v>74</v>
      </c>
      <c r="BO514" s="1" t="s">
        <v>74</v>
      </c>
      <c r="BP514" s="1" t="s">
        <v>74</v>
      </c>
      <c r="BQ514" s="1" t="s">
        <v>74</v>
      </c>
      <c r="BR514" s="1" t="s">
        <v>74</v>
      </c>
      <c r="BS514" s="1" t="s">
        <v>5053</v>
      </c>
      <c r="BT514" s="1" t="str">
        <f>HYPERLINK("https%3A%2F%2Fwww.webofscience.com%2Fwos%2Fwoscc%2Ffull-record%2FWOS:001444639200016","View Full Record in Web of Science")</f>
        <v>View Full Record in Web of Science</v>
      </c>
    </row>
    <row r="515" ht="12.75" customHeight="1">
      <c r="A515" s="1" t="s">
        <v>72</v>
      </c>
      <c r="B515" s="1" t="s">
        <v>5054</v>
      </c>
      <c r="C515" s="1" t="s">
        <v>74</v>
      </c>
      <c r="D515" s="1" t="s">
        <v>74</v>
      </c>
      <c r="E515" s="1" t="s">
        <v>74</v>
      </c>
      <c r="F515" s="1" t="s">
        <v>5055</v>
      </c>
      <c r="G515" s="1" t="s">
        <v>74</v>
      </c>
      <c r="H515" s="1" t="s">
        <v>74</v>
      </c>
      <c r="I515" s="1" t="s">
        <v>5056</v>
      </c>
      <c r="J515" s="1" t="s">
        <v>2244</v>
      </c>
      <c r="K515" s="1" t="s">
        <v>74</v>
      </c>
      <c r="L515" s="1" t="s">
        <v>74</v>
      </c>
      <c r="M515" s="1" t="s">
        <v>74</v>
      </c>
      <c r="N515" s="1" t="s">
        <v>74</v>
      </c>
      <c r="O515" s="1" t="s">
        <v>74</v>
      </c>
      <c r="P515" s="1" t="s">
        <v>74</v>
      </c>
      <c r="Q515" s="1" t="s">
        <v>74</v>
      </c>
      <c r="R515" s="1" t="s">
        <v>74</v>
      </c>
      <c r="S515" s="1" t="s">
        <v>74</v>
      </c>
      <c r="T515" s="1" t="s">
        <v>74</v>
      </c>
      <c r="U515" s="1" t="s">
        <v>74</v>
      </c>
      <c r="V515" s="1" t="s">
        <v>74</v>
      </c>
      <c r="W515" s="1" t="s">
        <v>74</v>
      </c>
      <c r="X515" s="1" t="s">
        <v>74</v>
      </c>
      <c r="Y515" s="1" t="s">
        <v>74</v>
      </c>
      <c r="Z515" s="1" t="s">
        <v>74</v>
      </c>
      <c r="AA515" s="1" t="s">
        <v>5057</v>
      </c>
      <c r="AB515" s="1" t="s">
        <v>74</v>
      </c>
      <c r="AC515" s="1" t="s">
        <v>74</v>
      </c>
      <c r="AD515" s="1" t="s">
        <v>74</v>
      </c>
      <c r="AE515" s="1" t="s">
        <v>74</v>
      </c>
      <c r="AF515" s="1" t="s">
        <v>74</v>
      </c>
      <c r="AG515" s="1" t="s">
        <v>74</v>
      </c>
      <c r="AH515" s="1" t="s">
        <v>74</v>
      </c>
      <c r="AI515" s="1" t="s">
        <v>74</v>
      </c>
      <c r="AJ515" s="1" t="s">
        <v>74</v>
      </c>
      <c r="AK515" s="1" t="s">
        <v>74</v>
      </c>
      <c r="AL515" s="1" t="s">
        <v>74</v>
      </c>
      <c r="AM515" s="1" t="s">
        <v>74</v>
      </c>
      <c r="AN515" s="1" t="s">
        <v>74</v>
      </c>
      <c r="AO515" s="1" t="s">
        <v>2248</v>
      </c>
      <c r="AP515" s="1" t="s">
        <v>2249</v>
      </c>
      <c r="AQ515" s="1" t="s">
        <v>74</v>
      </c>
      <c r="AR515" s="1" t="s">
        <v>74</v>
      </c>
      <c r="AS515" s="1" t="s">
        <v>74</v>
      </c>
      <c r="AT515" s="1" t="s">
        <v>415</v>
      </c>
      <c r="AU515" s="1">
        <v>2024.0</v>
      </c>
      <c r="AV515" s="1">
        <v>34.0</v>
      </c>
      <c r="AW515" s="1">
        <v>2.0</v>
      </c>
      <c r="AX515" s="1" t="s">
        <v>74</v>
      </c>
      <c r="AY515" s="1" t="s">
        <v>74</v>
      </c>
      <c r="AZ515" s="1" t="s">
        <v>74</v>
      </c>
      <c r="BA515" s="1" t="s">
        <v>74</v>
      </c>
      <c r="BB515" s="1">
        <v>1010.0</v>
      </c>
      <c r="BC515" s="1">
        <v>1015.0</v>
      </c>
      <c r="BD515" s="1" t="s">
        <v>74</v>
      </c>
      <c r="BE515" s="1" t="s">
        <v>5058</v>
      </c>
      <c r="BF515" s="2" t="str">
        <f>HYPERLINK("http://dx.doi.org/10.7770/CUHSO-V34N2-ART638","http://dx.doi.org/10.7770/CUHSO-V34N2-ART638")</f>
        <v>http://dx.doi.org/10.7770/CUHSO-V34N2-ART638</v>
      </c>
      <c r="BG515" s="1" t="s">
        <v>74</v>
      </c>
      <c r="BH515" s="1" t="s">
        <v>74</v>
      </c>
      <c r="BI515" s="1" t="s">
        <v>74</v>
      </c>
      <c r="BJ515" s="1" t="s">
        <v>74</v>
      </c>
      <c r="BK515" s="1" t="s">
        <v>74</v>
      </c>
      <c r="BL515" s="1" t="s">
        <v>74</v>
      </c>
      <c r="BM515" s="1" t="s">
        <v>74</v>
      </c>
      <c r="BN515" s="1" t="s">
        <v>74</v>
      </c>
      <c r="BO515" s="1" t="s">
        <v>74</v>
      </c>
      <c r="BP515" s="1" t="s">
        <v>74</v>
      </c>
      <c r="BQ515" s="1" t="s">
        <v>74</v>
      </c>
      <c r="BR515" s="1" t="s">
        <v>74</v>
      </c>
      <c r="BS515" s="1" t="s">
        <v>5059</v>
      </c>
      <c r="BT515" s="1" t="str">
        <f>HYPERLINK("https%3A%2F%2Fwww.webofscience.com%2Fwos%2Fwoscc%2Ffull-record%2FWOS:001400716100042","View Full Record in Web of Science")</f>
        <v>View Full Record in Web of Science</v>
      </c>
    </row>
    <row r="516" ht="12.75" customHeight="1">
      <c r="A516" s="1" t="s">
        <v>72</v>
      </c>
      <c r="B516" s="1" t="s">
        <v>4462</v>
      </c>
      <c r="C516" s="1" t="s">
        <v>74</v>
      </c>
      <c r="D516" s="1" t="s">
        <v>74</v>
      </c>
      <c r="E516" s="1" t="s">
        <v>74</v>
      </c>
      <c r="F516" s="1" t="s">
        <v>4463</v>
      </c>
      <c r="G516" s="1" t="s">
        <v>74</v>
      </c>
      <c r="H516" s="1" t="s">
        <v>74</v>
      </c>
      <c r="I516" s="1" t="s">
        <v>5060</v>
      </c>
      <c r="J516" s="1" t="s">
        <v>77</v>
      </c>
      <c r="K516" s="1" t="s">
        <v>74</v>
      </c>
      <c r="L516" s="1" t="s">
        <v>74</v>
      </c>
      <c r="M516" s="1" t="s">
        <v>74</v>
      </c>
      <c r="N516" s="1" t="s">
        <v>74</v>
      </c>
      <c r="O516" s="1" t="s">
        <v>74</v>
      </c>
      <c r="P516" s="1" t="s">
        <v>74</v>
      </c>
      <c r="Q516" s="1" t="s">
        <v>74</v>
      </c>
      <c r="R516" s="1" t="s">
        <v>74</v>
      </c>
      <c r="S516" s="1" t="s">
        <v>74</v>
      </c>
      <c r="T516" s="1" t="s">
        <v>74</v>
      </c>
      <c r="U516" s="1" t="s">
        <v>74</v>
      </c>
      <c r="V516" s="1" t="s">
        <v>5061</v>
      </c>
      <c r="W516" s="1" t="s">
        <v>74</v>
      </c>
      <c r="X516" s="1" t="s">
        <v>74</v>
      </c>
      <c r="Y516" s="1" t="s">
        <v>74</v>
      </c>
      <c r="Z516" s="1" t="s">
        <v>74</v>
      </c>
      <c r="AA516" s="1" t="s">
        <v>1403</v>
      </c>
      <c r="AB516" s="1" t="s">
        <v>197</v>
      </c>
      <c r="AC516" s="1" t="s">
        <v>74</v>
      </c>
      <c r="AD516" s="1" t="s">
        <v>74</v>
      </c>
      <c r="AE516" s="1" t="s">
        <v>74</v>
      </c>
      <c r="AF516" s="1" t="s">
        <v>74</v>
      </c>
      <c r="AG516" s="1" t="s">
        <v>74</v>
      </c>
      <c r="AH516" s="1" t="s">
        <v>74</v>
      </c>
      <c r="AI516" s="1" t="s">
        <v>74</v>
      </c>
      <c r="AJ516" s="1" t="s">
        <v>74</v>
      </c>
      <c r="AK516" s="1" t="s">
        <v>74</v>
      </c>
      <c r="AL516" s="1" t="s">
        <v>74</v>
      </c>
      <c r="AM516" s="1" t="s">
        <v>74</v>
      </c>
      <c r="AN516" s="1" t="s">
        <v>74</v>
      </c>
      <c r="AO516" s="1" t="s">
        <v>81</v>
      </c>
      <c r="AP516" s="1" t="s">
        <v>82</v>
      </c>
      <c r="AQ516" s="1" t="s">
        <v>74</v>
      </c>
      <c r="AR516" s="1" t="s">
        <v>74</v>
      </c>
      <c r="AS516" s="1" t="s">
        <v>74</v>
      </c>
      <c r="AT516" s="1" t="s">
        <v>1666</v>
      </c>
      <c r="AU516" s="1">
        <v>2025.0</v>
      </c>
      <c r="AV516" s="1">
        <v>48.0</v>
      </c>
      <c r="AW516" s="1">
        <v>4.0</v>
      </c>
      <c r="AX516" s="1" t="s">
        <v>74</v>
      </c>
      <c r="AY516" s="1" t="s">
        <v>74</v>
      </c>
      <c r="AZ516" s="1" t="s">
        <v>74</v>
      </c>
      <c r="BA516" s="1" t="s">
        <v>74</v>
      </c>
      <c r="BB516" s="1">
        <v>4344.0</v>
      </c>
      <c r="BC516" s="1">
        <v>4364.0</v>
      </c>
      <c r="BD516" s="1" t="s">
        <v>74</v>
      </c>
      <c r="BE516" s="1" t="s">
        <v>5062</v>
      </c>
      <c r="BF516" s="2" t="str">
        <f>HYPERLINK("http://dx.doi.org/10.1002/mma.10551","http://dx.doi.org/10.1002/mma.10551")</f>
        <v>http://dx.doi.org/10.1002/mma.10551</v>
      </c>
      <c r="BG516" s="1" t="s">
        <v>74</v>
      </c>
      <c r="BH516" s="1" t="s">
        <v>5063</v>
      </c>
      <c r="BI516" s="1" t="s">
        <v>74</v>
      </c>
      <c r="BJ516" s="1" t="s">
        <v>74</v>
      </c>
      <c r="BK516" s="1" t="s">
        <v>74</v>
      </c>
      <c r="BL516" s="1" t="s">
        <v>74</v>
      </c>
      <c r="BM516" s="1" t="s">
        <v>74</v>
      </c>
      <c r="BN516" s="1" t="s">
        <v>74</v>
      </c>
      <c r="BO516" s="1" t="s">
        <v>74</v>
      </c>
      <c r="BP516" s="1" t="s">
        <v>74</v>
      </c>
      <c r="BQ516" s="1" t="s">
        <v>74</v>
      </c>
      <c r="BR516" s="1" t="s">
        <v>74</v>
      </c>
      <c r="BS516" s="1" t="s">
        <v>5064</v>
      </c>
      <c r="BT516" s="1" t="str">
        <f>HYPERLINK("https%3A%2F%2Fwww.webofscience.com%2Fwos%2Fwoscc%2Ffull-record%2FWOS:001336275700001","View Full Record in Web of Science")</f>
        <v>View Full Record in Web of Science</v>
      </c>
    </row>
    <row r="517" ht="12.75" customHeight="1">
      <c r="A517" s="1" t="s">
        <v>72</v>
      </c>
      <c r="B517" s="1" t="s">
        <v>5065</v>
      </c>
      <c r="C517" s="1" t="s">
        <v>74</v>
      </c>
      <c r="D517" s="1" t="s">
        <v>74</v>
      </c>
      <c r="E517" s="1" t="s">
        <v>74</v>
      </c>
      <c r="F517" s="1" t="s">
        <v>5066</v>
      </c>
      <c r="G517" s="1" t="s">
        <v>74</v>
      </c>
      <c r="H517" s="1" t="s">
        <v>74</v>
      </c>
      <c r="I517" s="1" t="s">
        <v>5067</v>
      </c>
      <c r="J517" s="1" t="s">
        <v>5068</v>
      </c>
      <c r="K517" s="1" t="s">
        <v>74</v>
      </c>
      <c r="L517" s="1" t="s">
        <v>74</v>
      </c>
      <c r="M517" s="1" t="s">
        <v>74</v>
      </c>
      <c r="N517" s="1" t="s">
        <v>74</v>
      </c>
      <c r="O517" s="1" t="s">
        <v>74</v>
      </c>
      <c r="P517" s="1" t="s">
        <v>74</v>
      </c>
      <c r="Q517" s="1" t="s">
        <v>74</v>
      </c>
      <c r="R517" s="1" t="s">
        <v>74</v>
      </c>
      <c r="S517" s="1" t="s">
        <v>74</v>
      </c>
      <c r="T517" s="1" t="s">
        <v>74</v>
      </c>
      <c r="U517" s="1" t="s">
        <v>74</v>
      </c>
      <c r="V517" s="1" t="s">
        <v>74</v>
      </c>
      <c r="W517" s="1" t="s">
        <v>74</v>
      </c>
      <c r="X517" s="1" t="s">
        <v>74</v>
      </c>
      <c r="Y517" s="1" t="s">
        <v>74</v>
      </c>
      <c r="Z517" s="1" t="s">
        <v>74</v>
      </c>
      <c r="AA517" s="1" t="s">
        <v>5069</v>
      </c>
      <c r="AB517" s="1" t="s">
        <v>74</v>
      </c>
      <c r="AC517" s="1" t="s">
        <v>74</v>
      </c>
      <c r="AD517" s="1" t="s">
        <v>74</v>
      </c>
      <c r="AE517" s="1" t="s">
        <v>74</v>
      </c>
      <c r="AF517" s="1" t="s">
        <v>74</v>
      </c>
      <c r="AG517" s="1" t="s">
        <v>74</v>
      </c>
      <c r="AH517" s="1" t="s">
        <v>74</v>
      </c>
      <c r="AI517" s="1" t="s">
        <v>74</v>
      </c>
      <c r="AJ517" s="1" t="s">
        <v>74</v>
      </c>
      <c r="AK517" s="1" t="s">
        <v>74</v>
      </c>
      <c r="AL517" s="1" t="s">
        <v>74</v>
      </c>
      <c r="AM517" s="1" t="s">
        <v>74</v>
      </c>
      <c r="AN517" s="1" t="s">
        <v>74</v>
      </c>
      <c r="AO517" s="1" t="s">
        <v>5070</v>
      </c>
      <c r="AP517" s="1" t="s">
        <v>5071</v>
      </c>
      <c r="AQ517" s="1" t="s">
        <v>74</v>
      </c>
      <c r="AR517" s="1" t="s">
        <v>74</v>
      </c>
      <c r="AS517" s="1" t="s">
        <v>74</v>
      </c>
      <c r="AT517" s="1" t="s">
        <v>5072</v>
      </c>
      <c r="AU517" s="1">
        <v>2024.0</v>
      </c>
      <c r="AV517" s="1">
        <v>34.0</v>
      </c>
      <c r="AW517" s="1" t="s">
        <v>74</v>
      </c>
      <c r="AX517" s="1" t="s">
        <v>74</v>
      </c>
      <c r="AY517" s="1" t="s">
        <v>5073</v>
      </c>
      <c r="AZ517" s="1" t="s">
        <v>1042</v>
      </c>
      <c r="BA517" s="1">
        <v>206.0</v>
      </c>
      <c r="BB517" s="1" t="s">
        <v>74</v>
      </c>
      <c r="BC517" s="1" t="s">
        <v>74</v>
      </c>
      <c r="BD517" s="1" t="s">
        <v>74</v>
      </c>
      <c r="BE517" s="1" t="s">
        <v>5074</v>
      </c>
      <c r="BF517" s="2" t="str">
        <f>HYPERLINK("http://dx.doi.org/10.1093/eurpub/ckae114.105","http://dx.doi.org/10.1093/eurpub/ckae114.105")</f>
        <v>http://dx.doi.org/10.1093/eurpub/ckae114.105</v>
      </c>
      <c r="BG517" s="1" t="s">
        <v>74</v>
      </c>
      <c r="BH517" s="1" t="s">
        <v>74</v>
      </c>
      <c r="BI517" s="1" t="s">
        <v>74</v>
      </c>
      <c r="BJ517" s="1" t="s">
        <v>74</v>
      </c>
      <c r="BK517" s="1" t="s">
        <v>74</v>
      </c>
      <c r="BL517" s="1" t="s">
        <v>74</v>
      </c>
      <c r="BM517" s="1" t="s">
        <v>74</v>
      </c>
      <c r="BN517" s="1" t="s">
        <v>74</v>
      </c>
      <c r="BO517" s="1" t="s">
        <v>74</v>
      </c>
      <c r="BP517" s="1" t="s">
        <v>74</v>
      </c>
      <c r="BQ517" s="1" t="s">
        <v>74</v>
      </c>
      <c r="BR517" s="1" t="s">
        <v>74</v>
      </c>
      <c r="BS517" s="1" t="s">
        <v>5075</v>
      </c>
      <c r="BT517" s="1" t="str">
        <f>HYPERLINK("https%3A%2F%2Fwww.webofscience.com%2Fwos%2Fwoscc%2Ffull-record%2FWOS:001334725000029","View Full Record in Web of Science")</f>
        <v>View Full Record in Web of Science</v>
      </c>
    </row>
    <row r="518" ht="12.75" customHeight="1">
      <c r="A518" s="1" t="s">
        <v>72</v>
      </c>
      <c r="B518" s="1" t="s">
        <v>5076</v>
      </c>
      <c r="C518" s="1" t="s">
        <v>74</v>
      </c>
      <c r="D518" s="1" t="s">
        <v>74</v>
      </c>
      <c r="E518" s="1" t="s">
        <v>74</v>
      </c>
      <c r="F518" s="1" t="s">
        <v>5077</v>
      </c>
      <c r="G518" s="1" t="s">
        <v>74</v>
      </c>
      <c r="H518" s="1" t="s">
        <v>74</v>
      </c>
      <c r="I518" s="1" t="s">
        <v>5078</v>
      </c>
      <c r="J518" s="1" t="s">
        <v>3880</v>
      </c>
      <c r="K518" s="1" t="s">
        <v>74</v>
      </c>
      <c r="L518" s="1" t="s">
        <v>74</v>
      </c>
      <c r="M518" s="1" t="s">
        <v>74</v>
      </c>
      <c r="N518" s="1" t="s">
        <v>74</v>
      </c>
      <c r="O518" s="1" t="s">
        <v>74</v>
      </c>
      <c r="P518" s="1" t="s">
        <v>74</v>
      </c>
      <c r="Q518" s="1" t="s">
        <v>74</v>
      </c>
      <c r="R518" s="1" t="s">
        <v>74</v>
      </c>
      <c r="S518" s="1" t="s">
        <v>74</v>
      </c>
      <c r="T518" s="1" t="s">
        <v>74</v>
      </c>
      <c r="U518" s="1" t="s">
        <v>74</v>
      </c>
      <c r="V518" s="1" t="s">
        <v>5079</v>
      </c>
      <c r="W518" s="1" t="s">
        <v>74</v>
      </c>
      <c r="X518" s="1" t="s">
        <v>74</v>
      </c>
      <c r="Y518" s="1" t="s">
        <v>74</v>
      </c>
      <c r="Z518" s="1" t="s">
        <v>74</v>
      </c>
      <c r="AA518" s="1" t="s">
        <v>1413</v>
      </c>
      <c r="AB518" s="1" t="s">
        <v>5080</v>
      </c>
      <c r="AC518" s="1" t="s">
        <v>74</v>
      </c>
      <c r="AD518" s="1" t="s">
        <v>74</v>
      </c>
      <c r="AE518" s="1" t="s">
        <v>74</v>
      </c>
      <c r="AF518" s="1" t="s">
        <v>74</v>
      </c>
      <c r="AG518" s="1" t="s">
        <v>74</v>
      </c>
      <c r="AH518" s="1" t="s">
        <v>74</v>
      </c>
      <c r="AI518" s="1" t="s">
        <v>74</v>
      </c>
      <c r="AJ518" s="1" t="s">
        <v>74</v>
      </c>
      <c r="AK518" s="1" t="s">
        <v>74</v>
      </c>
      <c r="AL518" s="1" t="s">
        <v>74</v>
      </c>
      <c r="AM518" s="1" t="s">
        <v>74</v>
      </c>
      <c r="AN518" s="1" t="s">
        <v>74</v>
      </c>
      <c r="AO518" s="1" t="s">
        <v>5081</v>
      </c>
      <c r="AP518" s="1" t="s">
        <v>3884</v>
      </c>
      <c r="AQ518" s="1" t="s">
        <v>74</v>
      </c>
      <c r="AR518" s="1" t="s">
        <v>74</v>
      </c>
      <c r="AS518" s="1" t="s">
        <v>74</v>
      </c>
      <c r="AT518" s="1" t="s">
        <v>621</v>
      </c>
      <c r="AU518" s="1">
        <v>2024.0</v>
      </c>
      <c r="AV518" s="1">
        <v>25.0</v>
      </c>
      <c r="AW518" s="1">
        <v>14.0</v>
      </c>
      <c r="AX518" s="1" t="s">
        <v>74</v>
      </c>
      <c r="AY518" s="1" t="s">
        <v>74</v>
      </c>
      <c r="AZ518" s="1" t="s">
        <v>74</v>
      </c>
      <c r="BA518" s="1" t="s">
        <v>74</v>
      </c>
      <c r="BB518" s="1" t="s">
        <v>74</v>
      </c>
      <c r="BC518" s="1" t="s">
        <v>74</v>
      </c>
      <c r="BD518" s="1">
        <v>7928.0</v>
      </c>
      <c r="BE518" s="1" t="s">
        <v>5082</v>
      </c>
      <c r="BF518" s="2" t="str">
        <f>HYPERLINK("http://dx.doi.org/10.3390/ijms25147928","http://dx.doi.org/10.3390/ijms25147928")</f>
        <v>http://dx.doi.org/10.3390/ijms25147928</v>
      </c>
      <c r="BG518" s="1" t="s">
        <v>74</v>
      </c>
      <c r="BH518" s="1" t="s">
        <v>74</v>
      </c>
      <c r="BI518" s="1" t="s">
        <v>74</v>
      </c>
      <c r="BJ518" s="1" t="s">
        <v>74</v>
      </c>
      <c r="BK518" s="1" t="s">
        <v>74</v>
      </c>
      <c r="BL518" s="1" t="s">
        <v>74</v>
      </c>
      <c r="BM518" s="1" t="s">
        <v>74</v>
      </c>
      <c r="BN518" s="1">
        <v>3.9063171E7</v>
      </c>
      <c r="BO518" s="1" t="s">
        <v>74</v>
      </c>
      <c r="BP518" s="1" t="s">
        <v>74</v>
      </c>
      <c r="BQ518" s="1" t="s">
        <v>74</v>
      </c>
      <c r="BR518" s="1" t="s">
        <v>74</v>
      </c>
      <c r="BS518" s="1" t="s">
        <v>5083</v>
      </c>
      <c r="BT518" s="1" t="str">
        <f>HYPERLINK("https%3A%2F%2Fwww.webofscience.com%2Fwos%2Fwoscc%2Ffull-record%2FWOS:001278852800001","View Full Record in Web of Science")</f>
        <v>View Full Record in Web of Science</v>
      </c>
    </row>
    <row r="519" ht="12.75" customHeight="1">
      <c r="A519" s="1" t="s">
        <v>72</v>
      </c>
      <c r="B519" s="1" t="s">
        <v>5084</v>
      </c>
      <c r="C519" s="1" t="s">
        <v>74</v>
      </c>
      <c r="D519" s="1" t="s">
        <v>74</v>
      </c>
      <c r="E519" s="1" t="s">
        <v>74</v>
      </c>
      <c r="F519" s="1" t="s">
        <v>5085</v>
      </c>
      <c r="G519" s="1" t="s">
        <v>74</v>
      </c>
      <c r="H519" s="1" t="s">
        <v>74</v>
      </c>
      <c r="I519" s="1" t="s">
        <v>5086</v>
      </c>
      <c r="J519" s="1" t="s">
        <v>5087</v>
      </c>
      <c r="K519" s="1" t="s">
        <v>74</v>
      </c>
      <c r="L519" s="1" t="s">
        <v>74</v>
      </c>
      <c r="M519" s="1" t="s">
        <v>74</v>
      </c>
      <c r="N519" s="1" t="s">
        <v>74</v>
      </c>
      <c r="O519" s="1" t="s">
        <v>74</v>
      </c>
      <c r="P519" s="1" t="s">
        <v>74</v>
      </c>
      <c r="Q519" s="1" t="s">
        <v>74</v>
      </c>
      <c r="R519" s="1" t="s">
        <v>74</v>
      </c>
      <c r="S519" s="1" t="s">
        <v>74</v>
      </c>
      <c r="T519" s="1" t="s">
        <v>74</v>
      </c>
      <c r="U519" s="1" t="s">
        <v>74</v>
      </c>
      <c r="V519" s="1" t="s">
        <v>5088</v>
      </c>
      <c r="W519" s="1" t="s">
        <v>74</v>
      </c>
      <c r="X519" s="1" t="s">
        <v>74</v>
      </c>
      <c r="Y519" s="1" t="s">
        <v>74</v>
      </c>
      <c r="Z519" s="1" t="s">
        <v>74</v>
      </c>
      <c r="AA519" s="1" t="s">
        <v>5089</v>
      </c>
      <c r="AB519" s="1" t="s">
        <v>5090</v>
      </c>
      <c r="AC519" s="1" t="s">
        <v>74</v>
      </c>
      <c r="AD519" s="1" t="s">
        <v>74</v>
      </c>
      <c r="AE519" s="1" t="s">
        <v>74</v>
      </c>
      <c r="AF519" s="1" t="s">
        <v>74</v>
      </c>
      <c r="AG519" s="1" t="s">
        <v>74</v>
      </c>
      <c r="AH519" s="1" t="s">
        <v>74</v>
      </c>
      <c r="AI519" s="1" t="s">
        <v>74</v>
      </c>
      <c r="AJ519" s="1" t="s">
        <v>74</v>
      </c>
      <c r="AK519" s="1" t="s">
        <v>74</v>
      </c>
      <c r="AL519" s="1" t="s">
        <v>74</v>
      </c>
      <c r="AM519" s="1" t="s">
        <v>74</v>
      </c>
      <c r="AN519" s="1" t="s">
        <v>74</v>
      </c>
      <c r="AO519" s="1" t="s">
        <v>5091</v>
      </c>
      <c r="AP519" s="1" t="s">
        <v>5092</v>
      </c>
      <c r="AQ519" s="1" t="s">
        <v>74</v>
      </c>
      <c r="AR519" s="1" t="s">
        <v>74</v>
      </c>
      <c r="AS519" s="1" t="s">
        <v>74</v>
      </c>
      <c r="AT519" s="1" t="s">
        <v>621</v>
      </c>
      <c r="AU519" s="1">
        <v>2024.0</v>
      </c>
      <c r="AV519" s="1">
        <v>78.0</v>
      </c>
      <c r="AW519" s="1">
        <v>11.0</v>
      </c>
      <c r="AX519" s="1" t="s">
        <v>74</v>
      </c>
      <c r="AY519" s="1" t="s">
        <v>74</v>
      </c>
      <c r="AZ519" s="1" t="s">
        <v>74</v>
      </c>
      <c r="BA519" s="1" t="s">
        <v>74</v>
      </c>
      <c r="BB519" s="1">
        <v>6573.0</v>
      </c>
      <c r="BC519" s="1">
        <v>6584.0</v>
      </c>
      <c r="BD519" s="1" t="s">
        <v>74</v>
      </c>
      <c r="BE519" s="1" t="s">
        <v>5093</v>
      </c>
      <c r="BF519" s="2" t="str">
        <f>HYPERLINK("http://dx.doi.org/10.1007/s11696-024-03556-6","http://dx.doi.org/10.1007/s11696-024-03556-6")</f>
        <v>http://dx.doi.org/10.1007/s11696-024-03556-6</v>
      </c>
      <c r="BG519" s="1" t="s">
        <v>74</v>
      </c>
      <c r="BH519" s="1" t="s">
        <v>5094</v>
      </c>
      <c r="BI519" s="1" t="s">
        <v>74</v>
      </c>
      <c r="BJ519" s="1" t="s">
        <v>74</v>
      </c>
      <c r="BK519" s="1" t="s">
        <v>74</v>
      </c>
      <c r="BL519" s="1" t="s">
        <v>74</v>
      </c>
      <c r="BM519" s="1" t="s">
        <v>74</v>
      </c>
      <c r="BN519" s="1" t="s">
        <v>74</v>
      </c>
      <c r="BO519" s="1" t="s">
        <v>74</v>
      </c>
      <c r="BP519" s="1" t="s">
        <v>74</v>
      </c>
      <c r="BQ519" s="1" t="s">
        <v>74</v>
      </c>
      <c r="BR519" s="1" t="s">
        <v>74</v>
      </c>
      <c r="BS519" s="1" t="s">
        <v>5095</v>
      </c>
      <c r="BT519" s="1" t="str">
        <f>HYPERLINK("https%3A%2F%2Fwww.webofscience.com%2Fwos%2Fwoscc%2Ffull-record%2FWOS:001251880500002","View Full Record in Web of Science")</f>
        <v>View Full Record in Web of Science</v>
      </c>
    </row>
    <row r="520" ht="12.75" customHeight="1">
      <c r="A520" s="1" t="s">
        <v>72</v>
      </c>
      <c r="B520" s="1" t="s">
        <v>5096</v>
      </c>
      <c r="C520" s="1" t="s">
        <v>74</v>
      </c>
      <c r="D520" s="1" t="s">
        <v>74</v>
      </c>
      <c r="E520" s="1" t="s">
        <v>74</v>
      </c>
      <c r="F520" s="1" t="s">
        <v>5097</v>
      </c>
      <c r="G520" s="1" t="s">
        <v>74</v>
      </c>
      <c r="H520" s="1" t="s">
        <v>74</v>
      </c>
      <c r="I520" s="1" t="s">
        <v>5098</v>
      </c>
      <c r="J520" s="1" t="s">
        <v>5099</v>
      </c>
      <c r="K520" s="1" t="s">
        <v>74</v>
      </c>
      <c r="L520" s="1" t="s">
        <v>74</v>
      </c>
      <c r="M520" s="1" t="s">
        <v>74</v>
      </c>
      <c r="N520" s="1" t="s">
        <v>74</v>
      </c>
      <c r="O520" s="1" t="s">
        <v>74</v>
      </c>
      <c r="P520" s="1" t="s">
        <v>74</v>
      </c>
      <c r="Q520" s="1" t="s">
        <v>74</v>
      </c>
      <c r="R520" s="1" t="s">
        <v>74</v>
      </c>
      <c r="S520" s="1" t="s">
        <v>74</v>
      </c>
      <c r="T520" s="1" t="s">
        <v>74</v>
      </c>
      <c r="U520" s="1" t="s">
        <v>74</v>
      </c>
      <c r="V520" s="1" t="s">
        <v>5100</v>
      </c>
      <c r="W520" s="1" t="s">
        <v>74</v>
      </c>
      <c r="X520" s="1" t="s">
        <v>74</v>
      </c>
      <c r="Y520" s="1" t="s">
        <v>74</v>
      </c>
      <c r="Z520" s="1" t="s">
        <v>74</v>
      </c>
      <c r="AA520" s="1" t="s">
        <v>2152</v>
      </c>
      <c r="AB520" s="1" t="s">
        <v>2153</v>
      </c>
      <c r="AC520" s="1" t="s">
        <v>74</v>
      </c>
      <c r="AD520" s="1" t="s">
        <v>74</v>
      </c>
      <c r="AE520" s="1" t="s">
        <v>74</v>
      </c>
      <c r="AF520" s="1" t="s">
        <v>74</v>
      </c>
      <c r="AG520" s="1" t="s">
        <v>74</v>
      </c>
      <c r="AH520" s="1" t="s">
        <v>74</v>
      </c>
      <c r="AI520" s="1" t="s">
        <v>74</v>
      </c>
      <c r="AJ520" s="1" t="s">
        <v>74</v>
      </c>
      <c r="AK520" s="1" t="s">
        <v>74</v>
      </c>
      <c r="AL520" s="1" t="s">
        <v>74</v>
      </c>
      <c r="AM520" s="1" t="s">
        <v>74</v>
      </c>
      <c r="AN520" s="1" t="s">
        <v>74</v>
      </c>
      <c r="AO520" s="1" t="s">
        <v>5101</v>
      </c>
      <c r="AP520" s="1" t="s">
        <v>5102</v>
      </c>
      <c r="AQ520" s="1" t="s">
        <v>74</v>
      </c>
      <c r="AR520" s="1" t="s">
        <v>74</v>
      </c>
      <c r="AS520" s="1" t="s">
        <v>74</v>
      </c>
      <c r="AT520" s="1" t="s">
        <v>389</v>
      </c>
      <c r="AU520" s="1">
        <v>2024.0</v>
      </c>
      <c r="AV520" s="1">
        <v>221.0</v>
      </c>
      <c r="AW520" s="1" t="s">
        <v>74</v>
      </c>
      <c r="AX520" s="1" t="s">
        <v>74</v>
      </c>
      <c r="AY520" s="1" t="s">
        <v>74</v>
      </c>
      <c r="AZ520" s="1" t="s">
        <v>74</v>
      </c>
      <c r="BA520" s="1" t="s">
        <v>74</v>
      </c>
      <c r="BB520" s="1" t="s">
        <v>74</v>
      </c>
      <c r="BC520" s="1" t="s">
        <v>74</v>
      </c>
      <c r="BD520" s="1">
        <v>103190.0</v>
      </c>
      <c r="BE520" s="1" t="s">
        <v>5103</v>
      </c>
      <c r="BF520" s="2" t="str">
        <f>HYPERLINK("http://dx.doi.org/10.1016/j.pocean.2023.103190","http://dx.doi.org/10.1016/j.pocean.2023.103190")</f>
        <v>http://dx.doi.org/10.1016/j.pocean.2023.103190</v>
      </c>
      <c r="BG520" s="1" t="s">
        <v>74</v>
      </c>
      <c r="BH520" s="1" t="s">
        <v>503</v>
      </c>
      <c r="BI520" s="1" t="s">
        <v>74</v>
      </c>
      <c r="BJ520" s="1" t="s">
        <v>74</v>
      </c>
      <c r="BK520" s="1" t="s">
        <v>74</v>
      </c>
      <c r="BL520" s="1" t="s">
        <v>74</v>
      </c>
      <c r="BM520" s="1" t="s">
        <v>74</v>
      </c>
      <c r="BN520" s="1" t="s">
        <v>74</v>
      </c>
      <c r="BO520" s="1" t="s">
        <v>74</v>
      </c>
      <c r="BP520" s="1" t="s">
        <v>74</v>
      </c>
      <c r="BQ520" s="1" t="s">
        <v>74</v>
      </c>
      <c r="BR520" s="1" t="s">
        <v>74</v>
      </c>
      <c r="BS520" s="1" t="s">
        <v>5104</v>
      </c>
      <c r="BT520" s="1" t="str">
        <f>HYPERLINK("https%3A%2F%2Fwww.webofscience.com%2Fwos%2Fwoscc%2Ffull-record%2FWOS:001158438200001","View Full Record in Web of Science")</f>
        <v>View Full Record in Web of Science</v>
      </c>
    </row>
    <row r="521" ht="12.75" customHeight="1">
      <c r="A521" s="1" t="s">
        <v>72</v>
      </c>
      <c r="B521" s="1" t="s">
        <v>5105</v>
      </c>
      <c r="C521" s="1" t="s">
        <v>74</v>
      </c>
      <c r="D521" s="1" t="s">
        <v>74</v>
      </c>
      <c r="E521" s="1" t="s">
        <v>74</v>
      </c>
      <c r="F521" s="1" t="s">
        <v>5106</v>
      </c>
      <c r="G521" s="1" t="s">
        <v>74</v>
      </c>
      <c r="H521" s="1" t="s">
        <v>74</v>
      </c>
      <c r="I521" s="1" t="s">
        <v>5107</v>
      </c>
      <c r="J521" s="1" t="s">
        <v>4508</v>
      </c>
      <c r="K521" s="1" t="s">
        <v>74</v>
      </c>
      <c r="L521" s="1" t="s">
        <v>74</v>
      </c>
      <c r="M521" s="1" t="s">
        <v>74</v>
      </c>
      <c r="N521" s="1" t="s">
        <v>74</v>
      </c>
      <c r="O521" s="1" t="s">
        <v>74</v>
      </c>
      <c r="P521" s="1" t="s">
        <v>74</v>
      </c>
      <c r="Q521" s="1" t="s">
        <v>74</v>
      </c>
      <c r="R521" s="1" t="s">
        <v>74</v>
      </c>
      <c r="S521" s="1" t="s">
        <v>74</v>
      </c>
      <c r="T521" s="1" t="s">
        <v>74</v>
      </c>
      <c r="U521" s="1" t="s">
        <v>74</v>
      </c>
      <c r="V521" s="1" t="s">
        <v>5108</v>
      </c>
      <c r="W521" s="1" t="s">
        <v>74</v>
      </c>
      <c r="X521" s="1" t="s">
        <v>74</v>
      </c>
      <c r="Y521" s="1" t="s">
        <v>74</v>
      </c>
      <c r="Z521" s="1" t="s">
        <v>74</v>
      </c>
      <c r="AA521" s="1" t="s">
        <v>5109</v>
      </c>
      <c r="AB521" s="1" t="s">
        <v>5110</v>
      </c>
      <c r="AC521" s="1" t="s">
        <v>74</v>
      </c>
      <c r="AD521" s="1" t="s">
        <v>74</v>
      </c>
      <c r="AE521" s="1" t="s">
        <v>74</v>
      </c>
      <c r="AF521" s="1" t="s">
        <v>74</v>
      </c>
      <c r="AG521" s="1" t="s">
        <v>74</v>
      </c>
      <c r="AH521" s="1" t="s">
        <v>74</v>
      </c>
      <c r="AI521" s="1" t="s">
        <v>74</v>
      </c>
      <c r="AJ521" s="1" t="s">
        <v>74</v>
      </c>
      <c r="AK521" s="1" t="s">
        <v>74</v>
      </c>
      <c r="AL521" s="1" t="s">
        <v>74</v>
      </c>
      <c r="AM521" s="1" t="s">
        <v>74</v>
      </c>
      <c r="AN521" s="1" t="s">
        <v>74</v>
      </c>
      <c r="AO521" s="1" t="s">
        <v>4511</v>
      </c>
      <c r="AP521" s="1" t="s">
        <v>4512</v>
      </c>
      <c r="AQ521" s="1" t="s">
        <v>74</v>
      </c>
      <c r="AR521" s="1" t="s">
        <v>74</v>
      </c>
      <c r="AS521" s="1" t="s">
        <v>74</v>
      </c>
      <c r="AT521" s="1" t="s">
        <v>2571</v>
      </c>
      <c r="AU521" s="1">
        <v>2023.0</v>
      </c>
      <c r="AV521" s="1">
        <v>391.0</v>
      </c>
      <c r="AW521" s="1" t="s">
        <v>74</v>
      </c>
      <c r="AX521" s="1" t="s">
        <v>5111</v>
      </c>
      <c r="AY521" s="1" t="s">
        <v>74</v>
      </c>
      <c r="AZ521" s="1" t="s">
        <v>74</v>
      </c>
      <c r="BA521" s="1" t="s">
        <v>74</v>
      </c>
      <c r="BB521" s="1" t="s">
        <v>74</v>
      </c>
      <c r="BC521" s="1" t="s">
        <v>74</v>
      </c>
      <c r="BD521" s="1">
        <v>123227.0</v>
      </c>
      <c r="BE521" s="1" t="s">
        <v>5112</v>
      </c>
      <c r="BF521" s="2" t="str">
        <f>HYPERLINK("http://dx.doi.org/10.1016/j.molliq.2023.123227","http://dx.doi.org/10.1016/j.molliq.2023.123227")</f>
        <v>http://dx.doi.org/10.1016/j.molliq.2023.123227</v>
      </c>
      <c r="BG521" s="1" t="s">
        <v>74</v>
      </c>
      <c r="BH521" s="1" t="s">
        <v>2856</v>
      </c>
      <c r="BI521" s="1" t="s">
        <v>74</v>
      </c>
      <c r="BJ521" s="1" t="s">
        <v>74</v>
      </c>
      <c r="BK521" s="1" t="s">
        <v>74</v>
      </c>
      <c r="BL521" s="1" t="s">
        <v>74</v>
      </c>
      <c r="BM521" s="1" t="s">
        <v>74</v>
      </c>
      <c r="BN521" s="1" t="s">
        <v>74</v>
      </c>
      <c r="BO521" s="1" t="s">
        <v>74</v>
      </c>
      <c r="BP521" s="1" t="s">
        <v>74</v>
      </c>
      <c r="BQ521" s="1" t="s">
        <v>74</v>
      </c>
      <c r="BR521" s="1" t="s">
        <v>74</v>
      </c>
      <c r="BS521" s="1" t="s">
        <v>5113</v>
      </c>
      <c r="BT521" s="1" t="str">
        <f>HYPERLINK("https%3A%2F%2Fwww.webofscience.com%2Fwos%2Fwoscc%2Ffull-record%2FWOS:001104021900001","View Full Record in Web of Science")</f>
        <v>View Full Record in Web of Science</v>
      </c>
    </row>
    <row r="522" ht="12.75" customHeight="1">
      <c r="A522" s="1" t="s">
        <v>72</v>
      </c>
      <c r="B522" s="1" t="s">
        <v>5114</v>
      </c>
      <c r="C522" s="1" t="s">
        <v>74</v>
      </c>
      <c r="D522" s="1" t="s">
        <v>74</v>
      </c>
      <c r="E522" s="1" t="s">
        <v>74</v>
      </c>
      <c r="F522" s="1" t="s">
        <v>5115</v>
      </c>
      <c r="G522" s="1" t="s">
        <v>74</v>
      </c>
      <c r="H522" s="1" t="s">
        <v>74</v>
      </c>
      <c r="I522" s="1" t="s">
        <v>5116</v>
      </c>
      <c r="J522" s="1" t="s">
        <v>496</v>
      </c>
      <c r="K522" s="1" t="s">
        <v>74</v>
      </c>
      <c r="L522" s="1" t="s">
        <v>74</v>
      </c>
      <c r="M522" s="1" t="s">
        <v>74</v>
      </c>
      <c r="N522" s="1" t="s">
        <v>74</v>
      </c>
      <c r="O522" s="1" t="s">
        <v>74</v>
      </c>
      <c r="P522" s="1" t="s">
        <v>74</v>
      </c>
      <c r="Q522" s="1" t="s">
        <v>74</v>
      </c>
      <c r="R522" s="1" t="s">
        <v>74</v>
      </c>
      <c r="S522" s="1" t="s">
        <v>74</v>
      </c>
      <c r="T522" s="1" t="s">
        <v>74</v>
      </c>
      <c r="U522" s="1" t="s">
        <v>74</v>
      </c>
      <c r="V522" s="1" t="s">
        <v>5117</v>
      </c>
      <c r="W522" s="1" t="s">
        <v>74</v>
      </c>
      <c r="X522" s="1" t="s">
        <v>74</v>
      </c>
      <c r="Y522" s="1" t="s">
        <v>74</v>
      </c>
      <c r="Z522" s="1" t="s">
        <v>74</v>
      </c>
      <c r="AA522" s="1" t="s">
        <v>5118</v>
      </c>
      <c r="AB522" s="1" t="s">
        <v>5119</v>
      </c>
      <c r="AC522" s="1" t="s">
        <v>74</v>
      </c>
      <c r="AD522" s="1" t="s">
        <v>74</v>
      </c>
      <c r="AE522" s="1" t="s">
        <v>74</v>
      </c>
      <c r="AF522" s="1" t="s">
        <v>74</v>
      </c>
      <c r="AG522" s="1" t="s">
        <v>74</v>
      </c>
      <c r="AH522" s="1" t="s">
        <v>74</v>
      </c>
      <c r="AI522" s="1" t="s">
        <v>74</v>
      </c>
      <c r="AJ522" s="1" t="s">
        <v>74</v>
      </c>
      <c r="AK522" s="1" t="s">
        <v>74</v>
      </c>
      <c r="AL522" s="1" t="s">
        <v>74</v>
      </c>
      <c r="AM522" s="1" t="s">
        <v>74</v>
      </c>
      <c r="AN522" s="1" t="s">
        <v>74</v>
      </c>
      <c r="AO522" s="1" t="s">
        <v>499</v>
      </c>
      <c r="AP522" s="1" t="s">
        <v>500</v>
      </c>
      <c r="AQ522" s="1" t="s">
        <v>74</v>
      </c>
      <c r="AR522" s="1" t="s">
        <v>74</v>
      </c>
      <c r="AS522" s="1" t="s">
        <v>74</v>
      </c>
      <c r="AT522" s="1" t="s">
        <v>5120</v>
      </c>
      <c r="AU522" s="1">
        <v>2023.0</v>
      </c>
      <c r="AV522" s="1">
        <v>365.0</v>
      </c>
      <c r="AW522" s="1" t="s">
        <v>74</v>
      </c>
      <c r="AX522" s="1" t="s">
        <v>74</v>
      </c>
      <c r="AY522" s="1" t="s">
        <v>74</v>
      </c>
      <c r="AZ522" s="1" t="s">
        <v>74</v>
      </c>
      <c r="BA522" s="1" t="s">
        <v>74</v>
      </c>
      <c r="BB522" s="1">
        <v>832.0</v>
      </c>
      <c r="BC522" s="1">
        <v>881.0</v>
      </c>
      <c r="BD522" s="1" t="s">
        <v>74</v>
      </c>
      <c r="BE522" s="1" t="s">
        <v>5121</v>
      </c>
      <c r="BF522" s="2" t="str">
        <f>HYPERLINK("http://dx.doi.org/10.1016/j.jde.2023.05.014","http://dx.doi.org/10.1016/j.jde.2023.05.014")</f>
        <v>http://dx.doi.org/10.1016/j.jde.2023.05.014</v>
      </c>
      <c r="BG522" s="1" t="s">
        <v>74</v>
      </c>
      <c r="BH522" s="1" t="s">
        <v>5122</v>
      </c>
      <c r="BI522" s="1" t="s">
        <v>74</v>
      </c>
      <c r="BJ522" s="1" t="s">
        <v>74</v>
      </c>
      <c r="BK522" s="1" t="s">
        <v>74</v>
      </c>
      <c r="BL522" s="1" t="s">
        <v>74</v>
      </c>
      <c r="BM522" s="1" t="s">
        <v>74</v>
      </c>
      <c r="BN522" s="1" t="s">
        <v>74</v>
      </c>
      <c r="BO522" s="1" t="s">
        <v>74</v>
      </c>
      <c r="BP522" s="1" t="s">
        <v>74</v>
      </c>
      <c r="BQ522" s="1" t="s">
        <v>74</v>
      </c>
      <c r="BR522" s="1" t="s">
        <v>74</v>
      </c>
      <c r="BS522" s="1" t="s">
        <v>5123</v>
      </c>
      <c r="BT522" s="1" t="str">
        <f>HYPERLINK("https%3A%2F%2Fwww.webofscience.com%2Fwos%2Fwoscc%2Ffull-record%2FWOS:001012778400001","View Full Record in Web of Science")</f>
        <v>View Full Record in Web of Science</v>
      </c>
    </row>
    <row r="523" ht="12.75" customHeight="1">
      <c r="A523" s="1" t="s">
        <v>72</v>
      </c>
      <c r="B523" s="1" t="s">
        <v>5124</v>
      </c>
      <c r="C523" s="1" t="s">
        <v>74</v>
      </c>
      <c r="D523" s="1" t="s">
        <v>74</v>
      </c>
      <c r="E523" s="1" t="s">
        <v>74</v>
      </c>
      <c r="F523" s="1" t="s">
        <v>5125</v>
      </c>
      <c r="G523" s="1" t="s">
        <v>74</v>
      </c>
      <c r="H523" s="1" t="s">
        <v>74</v>
      </c>
      <c r="I523" s="1" t="s">
        <v>5126</v>
      </c>
      <c r="J523" s="1" t="s">
        <v>5127</v>
      </c>
      <c r="K523" s="1" t="s">
        <v>74</v>
      </c>
      <c r="L523" s="1" t="s">
        <v>74</v>
      </c>
      <c r="M523" s="1" t="s">
        <v>74</v>
      </c>
      <c r="N523" s="1" t="s">
        <v>74</v>
      </c>
      <c r="O523" s="1" t="s">
        <v>74</v>
      </c>
      <c r="P523" s="1" t="s">
        <v>74</v>
      </c>
      <c r="Q523" s="1" t="s">
        <v>74</v>
      </c>
      <c r="R523" s="1" t="s">
        <v>74</v>
      </c>
      <c r="S523" s="1" t="s">
        <v>74</v>
      </c>
      <c r="T523" s="1" t="s">
        <v>74</v>
      </c>
      <c r="U523" s="1" t="s">
        <v>74</v>
      </c>
      <c r="V523" s="1" t="s">
        <v>5128</v>
      </c>
      <c r="W523" s="1" t="s">
        <v>74</v>
      </c>
      <c r="X523" s="1" t="s">
        <v>74</v>
      </c>
      <c r="Y523" s="1" t="s">
        <v>74</v>
      </c>
      <c r="Z523" s="1" t="s">
        <v>74</v>
      </c>
      <c r="AA523" s="1" t="s">
        <v>5129</v>
      </c>
      <c r="AB523" s="1" t="s">
        <v>5130</v>
      </c>
      <c r="AC523" s="1" t="s">
        <v>74</v>
      </c>
      <c r="AD523" s="1" t="s">
        <v>74</v>
      </c>
      <c r="AE523" s="1" t="s">
        <v>74</v>
      </c>
      <c r="AF523" s="1" t="s">
        <v>74</v>
      </c>
      <c r="AG523" s="1" t="s">
        <v>74</v>
      </c>
      <c r="AH523" s="1" t="s">
        <v>74</v>
      </c>
      <c r="AI523" s="1" t="s">
        <v>74</v>
      </c>
      <c r="AJ523" s="1" t="s">
        <v>74</v>
      </c>
      <c r="AK523" s="1" t="s">
        <v>74</v>
      </c>
      <c r="AL523" s="1" t="s">
        <v>74</v>
      </c>
      <c r="AM523" s="1" t="s">
        <v>74</v>
      </c>
      <c r="AN523" s="1" t="s">
        <v>74</v>
      </c>
      <c r="AO523" s="1" t="s">
        <v>5131</v>
      </c>
      <c r="AP523" s="1" t="s">
        <v>74</v>
      </c>
      <c r="AQ523" s="1" t="s">
        <v>74</v>
      </c>
      <c r="AR523" s="1" t="s">
        <v>74</v>
      </c>
      <c r="AS523" s="1" t="s">
        <v>74</v>
      </c>
      <c r="AT523" s="1" t="s">
        <v>74</v>
      </c>
      <c r="AU523" s="1">
        <v>2023.0</v>
      </c>
      <c r="AV523" s="1">
        <v>31.0</v>
      </c>
      <c r="AW523" s="1" t="s">
        <v>74</v>
      </c>
      <c r="AX523" s="1" t="s">
        <v>74</v>
      </c>
      <c r="AY523" s="1" t="s">
        <v>74</v>
      </c>
      <c r="AZ523" s="1" t="s">
        <v>74</v>
      </c>
      <c r="BA523" s="1" t="s">
        <v>74</v>
      </c>
      <c r="BB523" s="1" t="s">
        <v>74</v>
      </c>
      <c r="BC523" s="1" t="s">
        <v>74</v>
      </c>
      <c r="BD523" s="1" t="s">
        <v>5132</v>
      </c>
      <c r="BE523" s="1" t="s">
        <v>5133</v>
      </c>
      <c r="BF523" s="2" t="str">
        <f>HYPERLINK("http://dx.doi.org/10.1590/2526-8910.ctoARF267634912","http://dx.doi.org/10.1590/2526-8910.ctoARF267634912")</f>
        <v>http://dx.doi.org/10.1590/2526-8910.ctoARF267634912</v>
      </c>
      <c r="BG523" s="1" t="s">
        <v>74</v>
      </c>
      <c r="BH523" s="1" t="s">
        <v>74</v>
      </c>
      <c r="BI523" s="1" t="s">
        <v>74</v>
      </c>
      <c r="BJ523" s="1" t="s">
        <v>74</v>
      </c>
      <c r="BK523" s="1" t="s">
        <v>74</v>
      </c>
      <c r="BL523" s="1" t="s">
        <v>74</v>
      </c>
      <c r="BM523" s="1" t="s">
        <v>74</v>
      </c>
      <c r="BN523" s="1" t="s">
        <v>74</v>
      </c>
      <c r="BO523" s="1" t="s">
        <v>74</v>
      </c>
      <c r="BP523" s="1" t="s">
        <v>74</v>
      </c>
      <c r="BQ523" s="1" t="s">
        <v>74</v>
      </c>
      <c r="BR523" s="1" t="s">
        <v>74</v>
      </c>
      <c r="BS523" s="1" t="s">
        <v>5134</v>
      </c>
      <c r="BT523" s="1" t="str">
        <f>HYPERLINK("https%3A%2F%2Fwww.webofscience.com%2Fwos%2Fwoscc%2Ffull-record%2FWOS:001175962800019","View Full Record in Web of Science")</f>
        <v>View Full Record in Web of Science</v>
      </c>
    </row>
    <row r="524" ht="12.75" customHeight="1">
      <c r="A524" s="1" t="s">
        <v>72</v>
      </c>
      <c r="B524" s="1" t="s">
        <v>5135</v>
      </c>
      <c r="C524" s="1" t="s">
        <v>74</v>
      </c>
      <c r="D524" s="1" t="s">
        <v>74</v>
      </c>
      <c r="E524" s="1" t="s">
        <v>74</v>
      </c>
      <c r="F524" s="1" t="s">
        <v>5136</v>
      </c>
      <c r="G524" s="1" t="s">
        <v>74</v>
      </c>
      <c r="H524" s="1" t="s">
        <v>74</v>
      </c>
      <c r="I524" s="1" t="s">
        <v>5137</v>
      </c>
      <c r="J524" s="1" t="s">
        <v>5138</v>
      </c>
      <c r="K524" s="1" t="s">
        <v>74</v>
      </c>
      <c r="L524" s="1" t="s">
        <v>74</v>
      </c>
      <c r="M524" s="1" t="s">
        <v>74</v>
      </c>
      <c r="N524" s="1" t="s">
        <v>74</v>
      </c>
      <c r="O524" s="1" t="s">
        <v>74</v>
      </c>
      <c r="P524" s="1" t="s">
        <v>74</v>
      </c>
      <c r="Q524" s="1" t="s">
        <v>74</v>
      </c>
      <c r="R524" s="1" t="s">
        <v>74</v>
      </c>
      <c r="S524" s="1" t="s">
        <v>74</v>
      </c>
      <c r="T524" s="1" t="s">
        <v>74</v>
      </c>
      <c r="U524" s="1" t="s">
        <v>74</v>
      </c>
      <c r="V524" s="1" t="s">
        <v>5139</v>
      </c>
      <c r="W524" s="1" t="s">
        <v>74</v>
      </c>
      <c r="X524" s="1" t="s">
        <v>74</v>
      </c>
      <c r="Y524" s="1" t="s">
        <v>74</v>
      </c>
      <c r="Z524" s="1" t="s">
        <v>74</v>
      </c>
      <c r="AA524" s="1" t="s">
        <v>74</v>
      </c>
      <c r="AB524" s="1" t="s">
        <v>74</v>
      </c>
      <c r="AC524" s="1" t="s">
        <v>74</v>
      </c>
      <c r="AD524" s="1" t="s">
        <v>74</v>
      </c>
      <c r="AE524" s="1" t="s">
        <v>74</v>
      </c>
      <c r="AF524" s="1" t="s">
        <v>74</v>
      </c>
      <c r="AG524" s="1" t="s">
        <v>74</v>
      </c>
      <c r="AH524" s="1" t="s">
        <v>74</v>
      </c>
      <c r="AI524" s="1" t="s">
        <v>74</v>
      </c>
      <c r="AJ524" s="1" t="s">
        <v>74</v>
      </c>
      <c r="AK524" s="1" t="s">
        <v>74</v>
      </c>
      <c r="AL524" s="1" t="s">
        <v>74</v>
      </c>
      <c r="AM524" s="1" t="s">
        <v>74</v>
      </c>
      <c r="AN524" s="1" t="s">
        <v>74</v>
      </c>
      <c r="AO524" s="1" t="s">
        <v>5140</v>
      </c>
      <c r="AP524" s="1" t="s">
        <v>5141</v>
      </c>
      <c r="AQ524" s="1" t="s">
        <v>74</v>
      </c>
      <c r="AR524" s="1" t="s">
        <v>74</v>
      </c>
      <c r="AS524" s="1" t="s">
        <v>74</v>
      </c>
      <c r="AT524" s="1" t="s">
        <v>74</v>
      </c>
      <c r="AU524" s="1">
        <v>2023.0</v>
      </c>
      <c r="AV524" s="1">
        <v>49.0</v>
      </c>
      <c r="AW524" s="1">
        <v>3.0</v>
      </c>
      <c r="AX524" s="1" t="s">
        <v>74</v>
      </c>
      <c r="AY524" s="1" t="s">
        <v>74</v>
      </c>
      <c r="AZ524" s="1" t="s">
        <v>74</v>
      </c>
      <c r="BA524" s="1" t="s">
        <v>74</v>
      </c>
      <c r="BB524" s="1">
        <v>457.0</v>
      </c>
      <c r="BC524" s="1">
        <v>463.0</v>
      </c>
      <c r="BD524" s="1" t="s">
        <v>74</v>
      </c>
      <c r="BE524" s="1" t="s">
        <v>5142</v>
      </c>
      <c r="BF524" s="2" t="str">
        <f>HYPERLINK("http://dx.doi.org/10.35249/rche.49.3.23.03","http://dx.doi.org/10.35249/rche.49.3.23.03")</f>
        <v>http://dx.doi.org/10.35249/rche.49.3.23.03</v>
      </c>
      <c r="BG524" s="1" t="s">
        <v>74</v>
      </c>
      <c r="BH524" s="1" t="s">
        <v>74</v>
      </c>
      <c r="BI524" s="1" t="s">
        <v>74</v>
      </c>
      <c r="BJ524" s="1" t="s">
        <v>74</v>
      </c>
      <c r="BK524" s="1" t="s">
        <v>74</v>
      </c>
      <c r="BL524" s="1" t="s">
        <v>74</v>
      </c>
      <c r="BM524" s="1" t="s">
        <v>74</v>
      </c>
      <c r="BN524" s="1" t="s">
        <v>74</v>
      </c>
      <c r="BO524" s="1" t="s">
        <v>74</v>
      </c>
      <c r="BP524" s="1" t="s">
        <v>74</v>
      </c>
      <c r="BQ524" s="1" t="s">
        <v>74</v>
      </c>
      <c r="BR524" s="1" t="s">
        <v>74</v>
      </c>
      <c r="BS524" s="1" t="s">
        <v>5143</v>
      </c>
      <c r="BT524" s="1" t="str">
        <f>HYPERLINK("https%3A%2F%2Fwww.webofscience.com%2Fwos%2Fwoscc%2Ffull-record%2FWOS:001043548500003","View Full Record in Web of Science")</f>
        <v>View Full Record in Web of Science</v>
      </c>
    </row>
    <row r="525" ht="12.75" customHeight="1">
      <c r="A525" s="1" t="s">
        <v>72</v>
      </c>
      <c r="B525" s="1" t="s">
        <v>5144</v>
      </c>
      <c r="C525" s="1" t="s">
        <v>74</v>
      </c>
      <c r="D525" s="1" t="s">
        <v>74</v>
      </c>
      <c r="E525" s="1" t="s">
        <v>74</v>
      </c>
      <c r="F525" s="1" t="s">
        <v>5145</v>
      </c>
      <c r="G525" s="1" t="s">
        <v>74</v>
      </c>
      <c r="H525" s="1" t="s">
        <v>74</v>
      </c>
      <c r="I525" s="1" t="s">
        <v>5146</v>
      </c>
      <c r="J525" s="1" t="s">
        <v>1650</v>
      </c>
      <c r="K525" s="1" t="s">
        <v>74</v>
      </c>
      <c r="L525" s="1" t="s">
        <v>74</v>
      </c>
      <c r="M525" s="1" t="s">
        <v>74</v>
      </c>
      <c r="N525" s="1" t="s">
        <v>74</v>
      </c>
      <c r="O525" s="1" t="s">
        <v>74</v>
      </c>
      <c r="P525" s="1" t="s">
        <v>74</v>
      </c>
      <c r="Q525" s="1" t="s">
        <v>74</v>
      </c>
      <c r="R525" s="1" t="s">
        <v>74</v>
      </c>
      <c r="S525" s="1" t="s">
        <v>74</v>
      </c>
      <c r="T525" s="1" t="s">
        <v>74</v>
      </c>
      <c r="U525" s="1" t="s">
        <v>74</v>
      </c>
      <c r="V525" s="1" t="s">
        <v>5147</v>
      </c>
      <c r="W525" s="1" t="s">
        <v>74</v>
      </c>
      <c r="X525" s="1" t="s">
        <v>74</v>
      </c>
      <c r="Y525" s="1" t="s">
        <v>74</v>
      </c>
      <c r="Z525" s="1" t="s">
        <v>74</v>
      </c>
      <c r="AA525" s="1" t="s">
        <v>5148</v>
      </c>
      <c r="AB525" s="1" t="s">
        <v>5149</v>
      </c>
      <c r="AC525" s="1" t="s">
        <v>74</v>
      </c>
      <c r="AD525" s="1" t="s">
        <v>74</v>
      </c>
      <c r="AE525" s="1" t="s">
        <v>74</v>
      </c>
      <c r="AF525" s="1" t="s">
        <v>74</v>
      </c>
      <c r="AG525" s="1" t="s">
        <v>74</v>
      </c>
      <c r="AH525" s="1" t="s">
        <v>74</v>
      </c>
      <c r="AI525" s="1" t="s">
        <v>74</v>
      </c>
      <c r="AJ525" s="1" t="s">
        <v>74</v>
      </c>
      <c r="AK525" s="1" t="s">
        <v>74</v>
      </c>
      <c r="AL525" s="1" t="s">
        <v>74</v>
      </c>
      <c r="AM525" s="1" t="s">
        <v>74</v>
      </c>
      <c r="AN525" s="1" t="s">
        <v>74</v>
      </c>
      <c r="AO525" s="1" t="s">
        <v>1652</v>
      </c>
      <c r="AP525" s="1" t="s">
        <v>1653</v>
      </c>
      <c r="AQ525" s="1" t="s">
        <v>74</v>
      </c>
      <c r="AR525" s="1" t="s">
        <v>74</v>
      </c>
      <c r="AS525" s="1" t="s">
        <v>74</v>
      </c>
      <c r="AT525" s="1" t="s">
        <v>1750</v>
      </c>
      <c r="AU525" s="1">
        <v>2023.0</v>
      </c>
      <c r="AV525" s="1">
        <v>306.0</v>
      </c>
      <c r="AW525" s="1">
        <v>2.0</v>
      </c>
      <c r="AX525" s="1" t="s">
        <v>74</v>
      </c>
      <c r="AY525" s="1" t="s">
        <v>74</v>
      </c>
      <c r="AZ525" s="1" t="s">
        <v>74</v>
      </c>
      <c r="BA525" s="1" t="s">
        <v>74</v>
      </c>
      <c r="BB525" s="1">
        <v>535.0</v>
      </c>
      <c r="BC525" s="1">
        <v>548.0</v>
      </c>
      <c r="BD525" s="1" t="s">
        <v>74</v>
      </c>
      <c r="BE525" s="1" t="s">
        <v>5150</v>
      </c>
      <c r="BF525" s="2" t="str">
        <f>HYPERLINK("http://dx.doi.org/10.1016/j.ejor.2022.08.014","http://dx.doi.org/10.1016/j.ejor.2022.08.014")</f>
        <v>http://dx.doi.org/10.1016/j.ejor.2022.08.014</v>
      </c>
      <c r="BG525" s="1" t="s">
        <v>74</v>
      </c>
      <c r="BH525" s="1" t="s">
        <v>5151</v>
      </c>
      <c r="BI525" s="1" t="s">
        <v>74</v>
      </c>
      <c r="BJ525" s="1" t="s">
        <v>74</v>
      </c>
      <c r="BK525" s="1" t="s">
        <v>74</v>
      </c>
      <c r="BL525" s="1" t="s">
        <v>74</v>
      </c>
      <c r="BM525" s="1" t="s">
        <v>74</v>
      </c>
      <c r="BN525" s="1" t="s">
        <v>74</v>
      </c>
      <c r="BO525" s="1" t="s">
        <v>74</v>
      </c>
      <c r="BP525" s="1" t="s">
        <v>74</v>
      </c>
      <c r="BQ525" s="1" t="s">
        <v>74</v>
      </c>
      <c r="BR525" s="1" t="s">
        <v>74</v>
      </c>
      <c r="BS525" s="1" t="s">
        <v>5152</v>
      </c>
      <c r="BT525" s="1" t="str">
        <f>HYPERLINK("https%3A%2F%2Fwww.webofscience.com%2Fwos%2Fwoscc%2Ffull-record%2FWOS:000954320000001","View Full Record in Web of Science")</f>
        <v>View Full Record in Web of Science</v>
      </c>
    </row>
    <row r="526" ht="12.75" customHeight="1">
      <c r="A526" s="1" t="s">
        <v>72</v>
      </c>
      <c r="B526" s="1" t="s">
        <v>5153</v>
      </c>
      <c r="C526" s="1" t="s">
        <v>74</v>
      </c>
      <c r="D526" s="1" t="s">
        <v>74</v>
      </c>
      <c r="E526" s="1" t="s">
        <v>74</v>
      </c>
      <c r="F526" s="1" t="s">
        <v>5154</v>
      </c>
      <c r="G526" s="1" t="s">
        <v>74</v>
      </c>
      <c r="H526" s="1" t="s">
        <v>74</v>
      </c>
      <c r="I526" s="1" t="s">
        <v>5155</v>
      </c>
      <c r="J526" s="1" t="s">
        <v>5156</v>
      </c>
      <c r="K526" s="1" t="s">
        <v>74</v>
      </c>
      <c r="L526" s="1" t="s">
        <v>74</v>
      </c>
      <c r="M526" s="1" t="s">
        <v>74</v>
      </c>
      <c r="N526" s="1" t="s">
        <v>74</v>
      </c>
      <c r="O526" s="1" t="s">
        <v>74</v>
      </c>
      <c r="P526" s="1" t="s">
        <v>74</v>
      </c>
      <c r="Q526" s="1" t="s">
        <v>74</v>
      </c>
      <c r="R526" s="1" t="s">
        <v>74</v>
      </c>
      <c r="S526" s="1" t="s">
        <v>74</v>
      </c>
      <c r="T526" s="1" t="s">
        <v>74</v>
      </c>
      <c r="U526" s="1" t="s">
        <v>74</v>
      </c>
      <c r="V526" s="1" t="s">
        <v>5157</v>
      </c>
      <c r="W526" s="1" t="s">
        <v>74</v>
      </c>
      <c r="X526" s="1" t="s">
        <v>74</v>
      </c>
      <c r="Y526" s="1" t="s">
        <v>74</v>
      </c>
      <c r="Z526" s="1" t="s">
        <v>74</v>
      </c>
      <c r="AA526" s="1" t="s">
        <v>74</v>
      </c>
      <c r="AB526" s="1" t="s">
        <v>74</v>
      </c>
      <c r="AC526" s="1" t="s">
        <v>74</v>
      </c>
      <c r="AD526" s="1" t="s">
        <v>74</v>
      </c>
      <c r="AE526" s="1" t="s">
        <v>74</v>
      </c>
      <c r="AF526" s="1" t="s">
        <v>74</v>
      </c>
      <c r="AG526" s="1" t="s">
        <v>74</v>
      </c>
      <c r="AH526" s="1" t="s">
        <v>74</v>
      </c>
      <c r="AI526" s="1" t="s">
        <v>74</v>
      </c>
      <c r="AJ526" s="1" t="s">
        <v>74</v>
      </c>
      <c r="AK526" s="1" t="s">
        <v>74</v>
      </c>
      <c r="AL526" s="1" t="s">
        <v>74</v>
      </c>
      <c r="AM526" s="1" t="s">
        <v>74</v>
      </c>
      <c r="AN526" s="1" t="s">
        <v>74</v>
      </c>
      <c r="AO526" s="1" t="s">
        <v>5158</v>
      </c>
      <c r="AP526" s="1" t="s">
        <v>74</v>
      </c>
      <c r="AQ526" s="1" t="s">
        <v>74</v>
      </c>
      <c r="AR526" s="1" t="s">
        <v>74</v>
      </c>
      <c r="AS526" s="1" t="s">
        <v>74</v>
      </c>
      <c r="AT526" s="1" t="s">
        <v>415</v>
      </c>
      <c r="AU526" s="1">
        <v>2022.0</v>
      </c>
      <c r="AV526" s="1">
        <v>49.0</v>
      </c>
      <c r="AW526" s="1">
        <v>3.0</v>
      </c>
      <c r="AX526" s="1" t="s">
        <v>74</v>
      </c>
      <c r="AY526" s="1" t="s">
        <v>74</v>
      </c>
      <c r="AZ526" s="1" t="s">
        <v>74</v>
      </c>
      <c r="BA526" s="1" t="s">
        <v>74</v>
      </c>
      <c r="BB526" s="1">
        <v>63.0</v>
      </c>
      <c r="BC526" s="1">
        <v>87.0</v>
      </c>
      <c r="BD526" s="1" t="s">
        <v>74</v>
      </c>
      <c r="BE526" s="1" t="s">
        <v>5159</v>
      </c>
      <c r="BF526" s="2" t="str">
        <f>HYPERLINK("http://dx.doi.org/10.7764/R.493.3","http://dx.doi.org/10.7764/R.493.3")</f>
        <v>http://dx.doi.org/10.7764/R.493.3</v>
      </c>
      <c r="BG526" s="1" t="s">
        <v>74</v>
      </c>
      <c r="BH526" s="1" t="s">
        <v>74</v>
      </c>
      <c r="BI526" s="1" t="s">
        <v>74</v>
      </c>
      <c r="BJ526" s="1" t="s">
        <v>74</v>
      </c>
      <c r="BK526" s="1" t="s">
        <v>74</v>
      </c>
      <c r="BL526" s="1" t="s">
        <v>74</v>
      </c>
      <c r="BM526" s="1" t="s">
        <v>74</v>
      </c>
      <c r="BN526" s="1" t="s">
        <v>74</v>
      </c>
      <c r="BO526" s="1" t="s">
        <v>74</v>
      </c>
      <c r="BP526" s="1" t="s">
        <v>74</v>
      </c>
      <c r="BQ526" s="1" t="s">
        <v>74</v>
      </c>
      <c r="BR526" s="1" t="s">
        <v>74</v>
      </c>
      <c r="BS526" s="1" t="s">
        <v>5160</v>
      </c>
      <c r="BT526" s="1" t="str">
        <f>HYPERLINK("https%3A%2F%2Fwww.webofscience.com%2Fwos%2Fwoscc%2Ffull-record%2FWOS:000990009700004","View Full Record in Web of Science")</f>
        <v>View Full Record in Web of Science</v>
      </c>
    </row>
    <row r="527" ht="12.75" customHeight="1">
      <c r="A527" s="1" t="s">
        <v>72</v>
      </c>
      <c r="B527" s="1" t="s">
        <v>5161</v>
      </c>
      <c r="C527" s="1" t="s">
        <v>74</v>
      </c>
      <c r="D527" s="1" t="s">
        <v>74</v>
      </c>
      <c r="E527" s="1" t="s">
        <v>74</v>
      </c>
      <c r="F527" s="1" t="s">
        <v>5162</v>
      </c>
      <c r="G527" s="1" t="s">
        <v>74</v>
      </c>
      <c r="H527" s="1" t="s">
        <v>74</v>
      </c>
      <c r="I527" s="1" t="s">
        <v>5163</v>
      </c>
      <c r="J527" s="1" t="s">
        <v>472</v>
      </c>
      <c r="K527" s="1" t="s">
        <v>74</v>
      </c>
      <c r="L527" s="1" t="s">
        <v>74</v>
      </c>
      <c r="M527" s="1" t="s">
        <v>74</v>
      </c>
      <c r="N527" s="1" t="s">
        <v>74</v>
      </c>
      <c r="O527" s="1" t="s">
        <v>74</v>
      </c>
      <c r="P527" s="1" t="s">
        <v>74</v>
      </c>
      <c r="Q527" s="1" t="s">
        <v>74</v>
      </c>
      <c r="R527" s="1" t="s">
        <v>74</v>
      </c>
      <c r="S527" s="1" t="s">
        <v>74</v>
      </c>
      <c r="T527" s="1" t="s">
        <v>74</v>
      </c>
      <c r="U527" s="1" t="s">
        <v>74</v>
      </c>
      <c r="V527" s="1" t="s">
        <v>5164</v>
      </c>
      <c r="W527" s="1" t="s">
        <v>74</v>
      </c>
      <c r="X527" s="1" t="s">
        <v>74</v>
      </c>
      <c r="Y527" s="1" t="s">
        <v>74</v>
      </c>
      <c r="Z527" s="1" t="s">
        <v>74</v>
      </c>
      <c r="AA527" s="1" t="s">
        <v>5165</v>
      </c>
      <c r="AB527" s="1" t="s">
        <v>5166</v>
      </c>
      <c r="AC527" s="1" t="s">
        <v>74</v>
      </c>
      <c r="AD527" s="1" t="s">
        <v>74</v>
      </c>
      <c r="AE527" s="1" t="s">
        <v>74</v>
      </c>
      <c r="AF527" s="1" t="s">
        <v>74</v>
      </c>
      <c r="AG527" s="1" t="s">
        <v>74</v>
      </c>
      <c r="AH527" s="1" t="s">
        <v>74</v>
      </c>
      <c r="AI527" s="1" t="s">
        <v>74</v>
      </c>
      <c r="AJ527" s="1" t="s">
        <v>74</v>
      </c>
      <c r="AK527" s="1" t="s">
        <v>74</v>
      </c>
      <c r="AL527" s="1" t="s">
        <v>74</v>
      </c>
      <c r="AM527" s="1" t="s">
        <v>74</v>
      </c>
      <c r="AN527" s="1" t="s">
        <v>74</v>
      </c>
      <c r="AO527" s="1" t="s">
        <v>476</v>
      </c>
      <c r="AP527" s="1" t="s">
        <v>477</v>
      </c>
      <c r="AQ527" s="1" t="s">
        <v>74</v>
      </c>
      <c r="AR527" s="1" t="s">
        <v>74</v>
      </c>
      <c r="AS527" s="1" t="s">
        <v>74</v>
      </c>
      <c r="AT527" s="1" t="s">
        <v>2399</v>
      </c>
      <c r="AU527" s="1">
        <v>2022.0</v>
      </c>
      <c r="AV527" s="1">
        <v>299.0</v>
      </c>
      <c r="AW527" s="1" t="s">
        <v>74</v>
      </c>
      <c r="AX527" s="1" t="s">
        <v>74</v>
      </c>
      <c r="AY527" s="1" t="s">
        <v>74</v>
      </c>
      <c r="AZ527" s="1" t="s">
        <v>74</v>
      </c>
      <c r="BA527" s="1" t="s">
        <v>74</v>
      </c>
      <c r="BB527" s="1" t="s">
        <v>74</v>
      </c>
      <c r="BC527" s="1" t="s">
        <v>74</v>
      </c>
      <c r="BD527" s="1">
        <v>121689.0</v>
      </c>
      <c r="BE527" s="1" t="s">
        <v>5167</v>
      </c>
      <c r="BF527" s="2" t="str">
        <f>HYPERLINK("http://dx.doi.org/10.1016/j.seppur.2022.121689","http://dx.doi.org/10.1016/j.seppur.2022.121689")</f>
        <v>http://dx.doi.org/10.1016/j.seppur.2022.121689</v>
      </c>
      <c r="BG527" s="1" t="s">
        <v>74</v>
      </c>
      <c r="BH527" s="1" t="s">
        <v>4518</v>
      </c>
      <c r="BI527" s="1" t="s">
        <v>74</v>
      </c>
      <c r="BJ527" s="1" t="s">
        <v>74</v>
      </c>
      <c r="BK527" s="1" t="s">
        <v>74</v>
      </c>
      <c r="BL527" s="1" t="s">
        <v>74</v>
      </c>
      <c r="BM527" s="1" t="s">
        <v>74</v>
      </c>
      <c r="BN527" s="1" t="s">
        <v>74</v>
      </c>
      <c r="BO527" s="1" t="s">
        <v>74</v>
      </c>
      <c r="BP527" s="1" t="s">
        <v>74</v>
      </c>
      <c r="BQ527" s="1" t="s">
        <v>74</v>
      </c>
      <c r="BR527" s="1" t="s">
        <v>74</v>
      </c>
      <c r="BS527" s="1" t="s">
        <v>5168</v>
      </c>
      <c r="BT527" s="1" t="str">
        <f>HYPERLINK("https%3A%2F%2Fwww.webofscience.com%2Fwos%2Fwoscc%2Ffull-record%2FWOS:000828785700002","View Full Record in Web of Science")</f>
        <v>View Full Record in Web of Science</v>
      </c>
    </row>
    <row r="528" ht="12.75" customHeight="1">
      <c r="A528" s="1" t="s">
        <v>72</v>
      </c>
      <c r="B528" s="1" t="s">
        <v>5169</v>
      </c>
      <c r="C528" s="1" t="s">
        <v>74</v>
      </c>
      <c r="D528" s="1" t="s">
        <v>74</v>
      </c>
      <c r="E528" s="1" t="s">
        <v>74</v>
      </c>
      <c r="F528" s="1" t="s">
        <v>5170</v>
      </c>
      <c r="G528" s="1" t="s">
        <v>74</v>
      </c>
      <c r="H528" s="1" t="s">
        <v>74</v>
      </c>
      <c r="I528" s="1" t="s">
        <v>5171</v>
      </c>
      <c r="J528" s="1" t="s">
        <v>1411</v>
      </c>
      <c r="K528" s="1" t="s">
        <v>74</v>
      </c>
      <c r="L528" s="1" t="s">
        <v>74</v>
      </c>
      <c r="M528" s="1" t="s">
        <v>74</v>
      </c>
      <c r="N528" s="1" t="s">
        <v>74</v>
      </c>
      <c r="O528" s="1" t="s">
        <v>74</v>
      </c>
      <c r="P528" s="1" t="s">
        <v>74</v>
      </c>
      <c r="Q528" s="1" t="s">
        <v>74</v>
      </c>
      <c r="R528" s="1" t="s">
        <v>74</v>
      </c>
      <c r="S528" s="1" t="s">
        <v>74</v>
      </c>
      <c r="T528" s="1" t="s">
        <v>74</v>
      </c>
      <c r="U528" s="1" t="s">
        <v>74</v>
      </c>
      <c r="V528" s="1" t="s">
        <v>5172</v>
      </c>
      <c r="W528" s="1" t="s">
        <v>74</v>
      </c>
      <c r="X528" s="1" t="s">
        <v>74</v>
      </c>
      <c r="Y528" s="1" t="s">
        <v>74</v>
      </c>
      <c r="Z528" s="1" t="s">
        <v>74</v>
      </c>
      <c r="AA528" s="1" t="s">
        <v>5173</v>
      </c>
      <c r="AB528" s="1" t="s">
        <v>5174</v>
      </c>
      <c r="AC528" s="1" t="s">
        <v>74</v>
      </c>
      <c r="AD528" s="1" t="s">
        <v>74</v>
      </c>
      <c r="AE528" s="1" t="s">
        <v>74</v>
      </c>
      <c r="AF528" s="1" t="s">
        <v>74</v>
      </c>
      <c r="AG528" s="1" t="s">
        <v>74</v>
      </c>
      <c r="AH528" s="1" t="s">
        <v>74</v>
      </c>
      <c r="AI528" s="1" t="s">
        <v>74</v>
      </c>
      <c r="AJ528" s="1" t="s">
        <v>74</v>
      </c>
      <c r="AK528" s="1" t="s">
        <v>74</v>
      </c>
      <c r="AL528" s="1" t="s">
        <v>74</v>
      </c>
      <c r="AM528" s="1" t="s">
        <v>74</v>
      </c>
      <c r="AN528" s="1" t="s">
        <v>74</v>
      </c>
      <c r="AO528" s="1" t="s">
        <v>1415</v>
      </c>
      <c r="AP528" s="1" t="s">
        <v>74</v>
      </c>
      <c r="AQ528" s="1" t="s">
        <v>74</v>
      </c>
      <c r="AR528" s="1" t="s">
        <v>74</v>
      </c>
      <c r="AS528" s="1" t="s">
        <v>74</v>
      </c>
      <c r="AT528" s="1" t="s">
        <v>5175</v>
      </c>
      <c r="AU528" s="1">
        <v>2022.0</v>
      </c>
      <c r="AV528" s="1">
        <v>9.0</v>
      </c>
      <c r="AW528" s="1" t="s">
        <v>74</v>
      </c>
      <c r="AX528" s="1" t="s">
        <v>74</v>
      </c>
      <c r="AY528" s="1" t="s">
        <v>74</v>
      </c>
      <c r="AZ528" s="1" t="s">
        <v>74</v>
      </c>
      <c r="BA528" s="1" t="s">
        <v>74</v>
      </c>
      <c r="BB528" s="1" t="s">
        <v>74</v>
      </c>
      <c r="BC528" s="1" t="s">
        <v>74</v>
      </c>
      <c r="BD528" s="1">
        <v>752281.0</v>
      </c>
      <c r="BE528" s="1" t="s">
        <v>5176</v>
      </c>
      <c r="BF528" s="2" t="str">
        <f>HYPERLINK("http://dx.doi.org/10.3389/fbioe.2021.752281","http://dx.doi.org/10.3389/fbioe.2021.752281")</f>
        <v>http://dx.doi.org/10.3389/fbioe.2021.752281</v>
      </c>
      <c r="BG528" s="1" t="s">
        <v>74</v>
      </c>
      <c r="BH528" s="1" t="s">
        <v>74</v>
      </c>
      <c r="BI528" s="1" t="s">
        <v>74</v>
      </c>
      <c r="BJ528" s="1" t="s">
        <v>74</v>
      </c>
      <c r="BK528" s="1" t="s">
        <v>74</v>
      </c>
      <c r="BL528" s="1" t="s">
        <v>74</v>
      </c>
      <c r="BM528" s="1" t="s">
        <v>74</v>
      </c>
      <c r="BN528" s="1">
        <v>3.5096788E7</v>
      </c>
      <c r="BO528" s="1" t="s">
        <v>74</v>
      </c>
      <c r="BP528" s="1" t="s">
        <v>74</v>
      </c>
      <c r="BQ528" s="1" t="s">
        <v>74</v>
      </c>
      <c r="BR528" s="1" t="s">
        <v>74</v>
      </c>
      <c r="BS528" s="1" t="s">
        <v>5177</v>
      </c>
      <c r="BT528" s="1" t="str">
        <f>HYPERLINK("https%3A%2F%2Fwww.webofscience.com%2Fwos%2Fwoscc%2Ffull-record%2FWOS:000747904700001","View Full Record in Web of Science")</f>
        <v>View Full Record in Web of Science</v>
      </c>
    </row>
    <row r="529" ht="12.75" customHeight="1">
      <c r="A529" s="1" t="s">
        <v>72</v>
      </c>
      <c r="B529" s="1" t="s">
        <v>5178</v>
      </c>
      <c r="C529" s="1" t="s">
        <v>74</v>
      </c>
      <c r="D529" s="1" t="s">
        <v>74</v>
      </c>
      <c r="E529" s="1" t="s">
        <v>74</v>
      </c>
      <c r="F529" s="1" t="s">
        <v>5179</v>
      </c>
      <c r="G529" s="1" t="s">
        <v>74</v>
      </c>
      <c r="H529" s="1" t="s">
        <v>74</v>
      </c>
      <c r="I529" s="1" t="s">
        <v>5180</v>
      </c>
      <c r="J529" s="1" t="s">
        <v>5181</v>
      </c>
      <c r="K529" s="1" t="s">
        <v>74</v>
      </c>
      <c r="L529" s="1" t="s">
        <v>74</v>
      </c>
      <c r="M529" s="1" t="s">
        <v>74</v>
      </c>
      <c r="N529" s="1" t="s">
        <v>74</v>
      </c>
      <c r="O529" s="1" t="s">
        <v>74</v>
      </c>
      <c r="P529" s="1" t="s">
        <v>74</v>
      </c>
      <c r="Q529" s="1" t="s">
        <v>74</v>
      </c>
      <c r="R529" s="1" t="s">
        <v>74</v>
      </c>
      <c r="S529" s="1" t="s">
        <v>74</v>
      </c>
      <c r="T529" s="1" t="s">
        <v>74</v>
      </c>
      <c r="U529" s="1" t="s">
        <v>74</v>
      </c>
      <c r="V529" s="1" t="s">
        <v>5182</v>
      </c>
      <c r="W529" s="1" t="s">
        <v>74</v>
      </c>
      <c r="X529" s="1" t="s">
        <v>74</v>
      </c>
      <c r="Y529" s="1" t="s">
        <v>74</v>
      </c>
      <c r="Z529" s="1" t="s">
        <v>74</v>
      </c>
      <c r="AA529" s="1" t="s">
        <v>5183</v>
      </c>
      <c r="AB529" s="1" t="s">
        <v>5184</v>
      </c>
      <c r="AC529" s="1" t="s">
        <v>74</v>
      </c>
      <c r="AD529" s="1" t="s">
        <v>74</v>
      </c>
      <c r="AE529" s="1" t="s">
        <v>74</v>
      </c>
      <c r="AF529" s="1" t="s">
        <v>74</v>
      </c>
      <c r="AG529" s="1" t="s">
        <v>74</v>
      </c>
      <c r="AH529" s="1" t="s">
        <v>74</v>
      </c>
      <c r="AI529" s="1" t="s">
        <v>74</v>
      </c>
      <c r="AJ529" s="1" t="s">
        <v>74</v>
      </c>
      <c r="AK529" s="1" t="s">
        <v>74</v>
      </c>
      <c r="AL529" s="1" t="s">
        <v>74</v>
      </c>
      <c r="AM529" s="1" t="s">
        <v>74</v>
      </c>
      <c r="AN529" s="1" t="s">
        <v>74</v>
      </c>
      <c r="AO529" s="1" t="s">
        <v>5185</v>
      </c>
      <c r="AP529" s="1" t="s">
        <v>74</v>
      </c>
      <c r="AQ529" s="1" t="s">
        <v>74</v>
      </c>
      <c r="AR529" s="1" t="s">
        <v>74</v>
      </c>
      <c r="AS529" s="1" t="s">
        <v>74</v>
      </c>
      <c r="AT529" s="1" t="s">
        <v>240</v>
      </c>
      <c r="AU529" s="1">
        <v>2022.0</v>
      </c>
      <c r="AV529" s="1">
        <v>19.0</v>
      </c>
      <c r="AW529" s="1">
        <v>1.0</v>
      </c>
      <c r="AX529" s="1" t="s">
        <v>74</v>
      </c>
      <c r="AY529" s="1" t="s">
        <v>74</v>
      </c>
      <c r="AZ529" s="1" t="s">
        <v>74</v>
      </c>
      <c r="BA529" s="1" t="s">
        <v>74</v>
      </c>
      <c r="BB529" s="1" t="s">
        <v>74</v>
      </c>
      <c r="BC529" s="1" t="s">
        <v>74</v>
      </c>
      <c r="BD529" s="1" t="s">
        <v>74</v>
      </c>
      <c r="BE529" s="1" t="s">
        <v>5186</v>
      </c>
      <c r="BF529" s="2" t="str">
        <f>HYPERLINK("http://dx.doi.org/10.15359/mhs.19-1.2","http://dx.doi.org/10.15359/mhs.19-1.2")</f>
        <v>http://dx.doi.org/10.15359/mhs.19-1.2</v>
      </c>
      <c r="BG529" s="1" t="s">
        <v>74</v>
      </c>
      <c r="BH529" s="1" t="s">
        <v>74</v>
      </c>
      <c r="BI529" s="1" t="s">
        <v>74</v>
      </c>
      <c r="BJ529" s="1" t="s">
        <v>74</v>
      </c>
      <c r="BK529" s="1" t="s">
        <v>74</v>
      </c>
      <c r="BL529" s="1" t="s">
        <v>74</v>
      </c>
      <c r="BM529" s="1" t="s">
        <v>74</v>
      </c>
      <c r="BN529" s="1" t="s">
        <v>74</v>
      </c>
      <c r="BO529" s="1" t="s">
        <v>74</v>
      </c>
      <c r="BP529" s="1" t="s">
        <v>74</v>
      </c>
      <c r="BQ529" s="1" t="s">
        <v>74</v>
      </c>
      <c r="BR529" s="1" t="s">
        <v>74</v>
      </c>
      <c r="BS529" s="1" t="s">
        <v>5187</v>
      </c>
      <c r="BT529" s="1" t="str">
        <f>HYPERLINK("https%3A%2F%2Fwww.webofscience.com%2Fwos%2Fwoscc%2Ffull-record%2FWOS:000740123200005","View Full Record in Web of Science")</f>
        <v>View Full Record in Web of Science</v>
      </c>
    </row>
    <row r="530" ht="12.75" customHeight="1">
      <c r="A530" s="1" t="s">
        <v>72</v>
      </c>
      <c r="B530" s="1" t="s">
        <v>5188</v>
      </c>
      <c r="C530" s="1" t="s">
        <v>74</v>
      </c>
      <c r="D530" s="1" t="s">
        <v>74</v>
      </c>
      <c r="E530" s="1" t="s">
        <v>74</v>
      </c>
      <c r="F530" s="1" t="s">
        <v>5189</v>
      </c>
      <c r="G530" s="1" t="s">
        <v>74</v>
      </c>
      <c r="H530" s="1" t="s">
        <v>74</v>
      </c>
      <c r="I530" s="1" t="s">
        <v>5190</v>
      </c>
      <c r="J530" s="1" t="s">
        <v>5191</v>
      </c>
      <c r="K530" s="1" t="s">
        <v>74</v>
      </c>
      <c r="L530" s="1" t="s">
        <v>74</v>
      </c>
      <c r="M530" s="1" t="s">
        <v>74</v>
      </c>
      <c r="N530" s="1" t="s">
        <v>74</v>
      </c>
      <c r="O530" s="1" t="s">
        <v>74</v>
      </c>
      <c r="P530" s="1" t="s">
        <v>74</v>
      </c>
      <c r="Q530" s="1" t="s">
        <v>74</v>
      </c>
      <c r="R530" s="1" t="s">
        <v>74</v>
      </c>
      <c r="S530" s="1" t="s">
        <v>74</v>
      </c>
      <c r="T530" s="1" t="s">
        <v>74</v>
      </c>
      <c r="U530" s="1" t="s">
        <v>74</v>
      </c>
      <c r="V530" s="1" t="s">
        <v>5192</v>
      </c>
      <c r="W530" s="1" t="s">
        <v>74</v>
      </c>
      <c r="X530" s="1" t="s">
        <v>74</v>
      </c>
      <c r="Y530" s="1" t="s">
        <v>74</v>
      </c>
      <c r="Z530" s="1" t="s">
        <v>74</v>
      </c>
      <c r="AA530" s="1" t="s">
        <v>5193</v>
      </c>
      <c r="AB530" s="1" t="s">
        <v>74</v>
      </c>
      <c r="AC530" s="1" t="s">
        <v>74</v>
      </c>
      <c r="AD530" s="1" t="s">
        <v>74</v>
      </c>
      <c r="AE530" s="1" t="s">
        <v>74</v>
      </c>
      <c r="AF530" s="1" t="s">
        <v>74</v>
      </c>
      <c r="AG530" s="1" t="s">
        <v>74</v>
      </c>
      <c r="AH530" s="1" t="s">
        <v>74</v>
      </c>
      <c r="AI530" s="1" t="s">
        <v>74</v>
      </c>
      <c r="AJ530" s="1" t="s">
        <v>74</v>
      </c>
      <c r="AK530" s="1" t="s">
        <v>74</v>
      </c>
      <c r="AL530" s="1" t="s">
        <v>74</v>
      </c>
      <c r="AM530" s="1" t="s">
        <v>74</v>
      </c>
      <c r="AN530" s="1" t="s">
        <v>74</v>
      </c>
      <c r="AO530" s="1" t="s">
        <v>5194</v>
      </c>
      <c r="AP530" s="1" t="s">
        <v>5195</v>
      </c>
      <c r="AQ530" s="1" t="s">
        <v>74</v>
      </c>
      <c r="AR530" s="1" t="s">
        <v>74</v>
      </c>
      <c r="AS530" s="1" t="s">
        <v>74</v>
      </c>
      <c r="AT530" s="1" t="s">
        <v>144</v>
      </c>
      <c r="AU530" s="1">
        <v>2023.0</v>
      </c>
      <c r="AV530" s="1">
        <v>41.0</v>
      </c>
      <c r="AW530" s="1">
        <v>1.0</v>
      </c>
      <c r="AX530" s="1" t="s">
        <v>74</v>
      </c>
      <c r="AY530" s="1" t="s">
        <v>74</v>
      </c>
      <c r="AZ530" s="1" t="s">
        <v>74</v>
      </c>
      <c r="BA530" s="1" t="s">
        <v>74</v>
      </c>
      <c r="BB530" s="1">
        <v>183.0</v>
      </c>
      <c r="BC530" s="1">
        <v>212.0</v>
      </c>
      <c r="BD530" s="1" t="s">
        <v>5196</v>
      </c>
      <c r="BE530" s="1" t="s">
        <v>5197</v>
      </c>
      <c r="BF530" s="2" t="str">
        <f>HYPERLINK("http://dx.doi.org/10.1017/S0212610921000100","http://dx.doi.org/10.1017/S0212610921000100")</f>
        <v>http://dx.doi.org/10.1017/S0212610921000100</v>
      </c>
      <c r="BG530" s="1" t="s">
        <v>74</v>
      </c>
      <c r="BH530" s="1" t="s">
        <v>2272</v>
      </c>
      <c r="BI530" s="1" t="s">
        <v>74</v>
      </c>
      <c r="BJ530" s="1" t="s">
        <v>74</v>
      </c>
      <c r="BK530" s="1" t="s">
        <v>74</v>
      </c>
      <c r="BL530" s="1" t="s">
        <v>74</v>
      </c>
      <c r="BM530" s="1" t="s">
        <v>74</v>
      </c>
      <c r="BN530" s="1" t="s">
        <v>74</v>
      </c>
      <c r="BO530" s="1" t="s">
        <v>74</v>
      </c>
      <c r="BP530" s="1" t="s">
        <v>74</v>
      </c>
      <c r="BQ530" s="1" t="s">
        <v>74</v>
      </c>
      <c r="BR530" s="1" t="s">
        <v>74</v>
      </c>
      <c r="BS530" s="1" t="s">
        <v>5198</v>
      </c>
      <c r="BT530" s="1" t="str">
        <f>HYPERLINK("https%3A%2F%2Fwww.webofscience.com%2Fwos%2Fwoscc%2Ffull-record%2FWOS:000792164200001","View Full Record in Web of Science")</f>
        <v>View Full Record in Web of Science</v>
      </c>
    </row>
    <row r="531" ht="12.75" customHeight="1">
      <c r="A531" s="1" t="s">
        <v>72</v>
      </c>
      <c r="B531" s="1" t="s">
        <v>5199</v>
      </c>
      <c r="C531" s="1" t="s">
        <v>74</v>
      </c>
      <c r="D531" s="1" t="s">
        <v>74</v>
      </c>
      <c r="E531" s="1" t="s">
        <v>74</v>
      </c>
      <c r="F531" s="1" t="s">
        <v>5200</v>
      </c>
      <c r="G531" s="1" t="s">
        <v>74</v>
      </c>
      <c r="H531" s="1" t="s">
        <v>74</v>
      </c>
      <c r="I531" s="1" t="s">
        <v>5201</v>
      </c>
      <c r="J531" s="1" t="s">
        <v>5202</v>
      </c>
      <c r="K531" s="1" t="s">
        <v>74</v>
      </c>
      <c r="L531" s="1" t="s">
        <v>74</v>
      </c>
      <c r="M531" s="1" t="s">
        <v>74</v>
      </c>
      <c r="N531" s="1" t="s">
        <v>74</v>
      </c>
      <c r="O531" s="1" t="s">
        <v>74</v>
      </c>
      <c r="P531" s="1" t="s">
        <v>74</v>
      </c>
      <c r="Q531" s="1" t="s">
        <v>74</v>
      </c>
      <c r="R531" s="1" t="s">
        <v>74</v>
      </c>
      <c r="S531" s="1" t="s">
        <v>74</v>
      </c>
      <c r="T531" s="1" t="s">
        <v>74</v>
      </c>
      <c r="U531" s="1" t="s">
        <v>74</v>
      </c>
      <c r="V531" s="1" t="s">
        <v>5203</v>
      </c>
      <c r="W531" s="1" t="s">
        <v>74</v>
      </c>
      <c r="X531" s="1" t="s">
        <v>74</v>
      </c>
      <c r="Y531" s="1" t="s">
        <v>74</v>
      </c>
      <c r="Z531" s="1" t="s">
        <v>74</v>
      </c>
      <c r="AA531" s="1" t="s">
        <v>5204</v>
      </c>
      <c r="AB531" s="1" t="s">
        <v>5205</v>
      </c>
      <c r="AC531" s="1" t="s">
        <v>74</v>
      </c>
      <c r="AD531" s="1" t="s">
        <v>74</v>
      </c>
      <c r="AE531" s="1" t="s">
        <v>74</v>
      </c>
      <c r="AF531" s="1" t="s">
        <v>74</v>
      </c>
      <c r="AG531" s="1" t="s">
        <v>74</v>
      </c>
      <c r="AH531" s="1" t="s">
        <v>74</v>
      </c>
      <c r="AI531" s="1" t="s">
        <v>74</v>
      </c>
      <c r="AJ531" s="1" t="s">
        <v>74</v>
      </c>
      <c r="AK531" s="1" t="s">
        <v>74</v>
      </c>
      <c r="AL531" s="1" t="s">
        <v>74</v>
      </c>
      <c r="AM531" s="1" t="s">
        <v>74</v>
      </c>
      <c r="AN531" s="1" t="s">
        <v>74</v>
      </c>
      <c r="AO531" s="1" t="s">
        <v>5206</v>
      </c>
      <c r="AP531" s="1" t="s">
        <v>5207</v>
      </c>
      <c r="AQ531" s="1" t="s">
        <v>74</v>
      </c>
      <c r="AR531" s="1" t="s">
        <v>74</v>
      </c>
      <c r="AS531" s="1" t="s">
        <v>74</v>
      </c>
      <c r="AT531" s="1" t="s">
        <v>421</v>
      </c>
      <c r="AU531" s="1">
        <v>2021.0</v>
      </c>
      <c r="AV531" s="1">
        <v>60.0</v>
      </c>
      <c r="AW531" s="1" t="s">
        <v>74</v>
      </c>
      <c r="AX531" s="1" t="s">
        <v>74</v>
      </c>
      <c r="AY531" s="1" t="s">
        <v>74</v>
      </c>
      <c r="AZ531" s="1" t="s">
        <v>74</v>
      </c>
      <c r="BA531" s="1" t="s">
        <v>74</v>
      </c>
      <c r="BB531" s="1" t="s">
        <v>74</v>
      </c>
      <c r="BC531" s="1" t="s">
        <v>74</v>
      </c>
      <c r="BD531" s="1">
        <v>127069.0</v>
      </c>
      <c r="BE531" s="1" t="s">
        <v>5208</v>
      </c>
      <c r="BF531" s="2" t="str">
        <f>HYPERLINK("http://dx.doi.org/10.1016/j.ufug.2021.127069","http://dx.doi.org/10.1016/j.ufug.2021.127069")</f>
        <v>http://dx.doi.org/10.1016/j.ufug.2021.127069</v>
      </c>
      <c r="BG531" s="1" t="s">
        <v>74</v>
      </c>
      <c r="BH531" s="1" t="s">
        <v>2272</v>
      </c>
      <c r="BI531" s="1" t="s">
        <v>74</v>
      </c>
      <c r="BJ531" s="1" t="s">
        <v>74</v>
      </c>
      <c r="BK531" s="1" t="s">
        <v>74</v>
      </c>
      <c r="BL531" s="1" t="s">
        <v>74</v>
      </c>
      <c r="BM531" s="1" t="s">
        <v>74</v>
      </c>
      <c r="BN531" s="1" t="s">
        <v>74</v>
      </c>
      <c r="BO531" s="1" t="s">
        <v>74</v>
      </c>
      <c r="BP531" s="1" t="s">
        <v>74</v>
      </c>
      <c r="BQ531" s="1" t="s">
        <v>74</v>
      </c>
      <c r="BR531" s="1" t="s">
        <v>74</v>
      </c>
      <c r="BS531" s="1" t="s">
        <v>5209</v>
      </c>
      <c r="BT531" s="1" t="str">
        <f>HYPERLINK("https%3A%2F%2Fwww.webofscience.com%2Fwos%2Fwoscc%2Ffull-record%2FWOS:000636302600004","View Full Record in Web of Science")</f>
        <v>View Full Record in Web of Science</v>
      </c>
    </row>
    <row r="532" ht="12.75" customHeight="1">
      <c r="A532" s="1" t="s">
        <v>147</v>
      </c>
      <c r="B532" s="1" t="s">
        <v>5210</v>
      </c>
      <c r="C532" s="1" t="s">
        <v>74</v>
      </c>
      <c r="D532" s="1" t="s">
        <v>74</v>
      </c>
      <c r="E532" s="1" t="s">
        <v>793</v>
      </c>
      <c r="F532" s="1" t="s">
        <v>5211</v>
      </c>
      <c r="G532" s="1" t="s">
        <v>74</v>
      </c>
      <c r="H532" s="1" t="s">
        <v>74</v>
      </c>
      <c r="I532" s="1" t="s">
        <v>5212</v>
      </c>
      <c r="J532" s="1" t="s">
        <v>3755</v>
      </c>
      <c r="K532" s="1" t="s">
        <v>74</v>
      </c>
      <c r="L532" s="1" t="s">
        <v>74</v>
      </c>
      <c r="M532" s="1" t="s">
        <v>74</v>
      </c>
      <c r="N532" s="1" t="s">
        <v>74</v>
      </c>
      <c r="O532" s="1" t="s">
        <v>3756</v>
      </c>
      <c r="P532" s="1" t="s">
        <v>3757</v>
      </c>
      <c r="Q532" s="1" t="s">
        <v>3758</v>
      </c>
      <c r="R532" s="1" t="s">
        <v>3759</v>
      </c>
      <c r="S532" s="1" t="s">
        <v>74</v>
      </c>
      <c r="T532" s="1" t="s">
        <v>74</v>
      </c>
      <c r="U532" s="1" t="s">
        <v>74</v>
      </c>
      <c r="V532" s="1" t="s">
        <v>5213</v>
      </c>
      <c r="W532" s="1" t="s">
        <v>74</v>
      </c>
      <c r="X532" s="1" t="s">
        <v>74</v>
      </c>
      <c r="Y532" s="1" t="s">
        <v>74</v>
      </c>
      <c r="Z532" s="1" t="s">
        <v>74</v>
      </c>
      <c r="AA532" s="1" t="s">
        <v>1394</v>
      </c>
      <c r="AB532" s="1" t="s">
        <v>74</v>
      </c>
      <c r="AC532" s="1" t="s">
        <v>74</v>
      </c>
      <c r="AD532" s="1" t="s">
        <v>74</v>
      </c>
      <c r="AE532" s="1" t="s">
        <v>74</v>
      </c>
      <c r="AF532" s="1" t="s">
        <v>74</v>
      </c>
      <c r="AG532" s="1" t="s">
        <v>74</v>
      </c>
      <c r="AH532" s="1" t="s">
        <v>74</v>
      </c>
      <c r="AI532" s="1" t="s">
        <v>74</v>
      </c>
      <c r="AJ532" s="1" t="s">
        <v>74</v>
      </c>
      <c r="AK532" s="1" t="s">
        <v>74</v>
      </c>
      <c r="AL532" s="1" t="s">
        <v>74</v>
      </c>
      <c r="AM532" s="1" t="s">
        <v>74</v>
      </c>
      <c r="AN532" s="1" t="s">
        <v>74</v>
      </c>
      <c r="AO532" s="1" t="s">
        <v>74</v>
      </c>
      <c r="AP532" s="1" t="s">
        <v>74</v>
      </c>
      <c r="AQ532" s="1" t="s">
        <v>3763</v>
      </c>
      <c r="AR532" s="1" t="s">
        <v>74</v>
      </c>
      <c r="AS532" s="1" t="s">
        <v>74</v>
      </c>
      <c r="AT532" s="1" t="s">
        <v>74</v>
      </c>
      <c r="AU532" s="1">
        <v>2021.0</v>
      </c>
      <c r="AV532" s="1" t="s">
        <v>74</v>
      </c>
      <c r="AW532" s="1" t="s">
        <v>74</v>
      </c>
      <c r="AX532" s="1" t="s">
        <v>74</v>
      </c>
      <c r="AY532" s="1" t="s">
        <v>74</v>
      </c>
      <c r="AZ532" s="1" t="s">
        <v>74</v>
      </c>
      <c r="BA532" s="1" t="s">
        <v>74</v>
      </c>
      <c r="BB532" s="1">
        <v>67.0</v>
      </c>
      <c r="BC532" s="1">
        <v>71.0</v>
      </c>
      <c r="BD532" s="1" t="s">
        <v>74</v>
      </c>
      <c r="BE532" s="1" t="s">
        <v>5214</v>
      </c>
      <c r="BF532" s="2" t="str">
        <f>HYPERLINK("http://dx.doi.org/10.1109/SACVLC53127.2021.9652216","http://dx.doi.org/10.1109/SACVLC53127.2021.9652216")</f>
        <v>http://dx.doi.org/10.1109/SACVLC53127.2021.9652216</v>
      </c>
      <c r="BG532" s="1" t="s">
        <v>74</v>
      </c>
      <c r="BH532" s="1" t="s">
        <v>74</v>
      </c>
      <c r="BI532" s="1" t="s">
        <v>74</v>
      </c>
      <c r="BJ532" s="1" t="s">
        <v>74</v>
      </c>
      <c r="BK532" s="1" t="s">
        <v>74</v>
      </c>
      <c r="BL532" s="1" t="s">
        <v>74</v>
      </c>
      <c r="BM532" s="1" t="s">
        <v>74</v>
      </c>
      <c r="BN532" s="1" t="s">
        <v>74</v>
      </c>
      <c r="BO532" s="1" t="s">
        <v>74</v>
      </c>
      <c r="BP532" s="1" t="s">
        <v>74</v>
      </c>
      <c r="BQ532" s="1" t="s">
        <v>74</v>
      </c>
      <c r="BR532" s="1" t="s">
        <v>74</v>
      </c>
      <c r="BS532" s="1" t="s">
        <v>5215</v>
      </c>
      <c r="BT532" s="1" t="str">
        <f>HYPERLINK("https%3A%2F%2Fwww.webofscience.com%2Fwos%2Fwoscc%2Ffull-record%2FWOS:000760247000012","View Full Record in Web of Science")</f>
        <v>View Full Record in Web of Science</v>
      </c>
    </row>
    <row r="533" ht="12.75" customHeight="1">
      <c r="A533" s="1" t="s">
        <v>147</v>
      </c>
      <c r="B533" s="1" t="s">
        <v>5216</v>
      </c>
      <c r="C533" s="1" t="s">
        <v>74</v>
      </c>
      <c r="D533" s="1" t="s">
        <v>74</v>
      </c>
      <c r="E533" s="1" t="s">
        <v>793</v>
      </c>
      <c r="F533" s="1" t="s">
        <v>5217</v>
      </c>
      <c r="G533" s="1" t="s">
        <v>74</v>
      </c>
      <c r="H533" s="1" t="s">
        <v>74</v>
      </c>
      <c r="I533" s="1" t="s">
        <v>5218</v>
      </c>
      <c r="J533" s="1" t="s">
        <v>3769</v>
      </c>
      <c r="K533" s="1" t="s">
        <v>74</v>
      </c>
      <c r="L533" s="1" t="s">
        <v>74</v>
      </c>
      <c r="M533" s="1" t="s">
        <v>74</v>
      </c>
      <c r="N533" s="1" t="s">
        <v>74</v>
      </c>
      <c r="O533" s="1" t="s">
        <v>3770</v>
      </c>
      <c r="P533" s="1" t="s">
        <v>3771</v>
      </c>
      <c r="Q533" s="1" t="s">
        <v>1499</v>
      </c>
      <c r="R533" s="1" t="s">
        <v>3772</v>
      </c>
      <c r="S533" s="1" t="s">
        <v>74</v>
      </c>
      <c r="T533" s="1" t="s">
        <v>74</v>
      </c>
      <c r="U533" s="1" t="s">
        <v>74</v>
      </c>
      <c r="V533" s="1" t="s">
        <v>5219</v>
      </c>
      <c r="W533" s="1" t="s">
        <v>74</v>
      </c>
      <c r="X533" s="1" t="s">
        <v>74</v>
      </c>
      <c r="Y533" s="1" t="s">
        <v>74</v>
      </c>
      <c r="Z533" s="1" t="s">
        <v>74</v>
      </c>
      <c r="AA533" s="1" t="s">
        <v>5220</v>
      </c>
      <c r="AB533" s="1" t="s">
        <v>5221</v>
      </c>
      <c r="AC533" s="1" t="s">
        <v>74</v>
      </c>
      <c r="AD533" s="1" t="s">
        <v>74</v>
      </c>
      <c r="AE533" s="1" t="s">
        <v>74</v>
      </c>
      <c r="AF533" s="1" t="s">
        <v>74</v>
      </c>
      <c r="AG533" s="1" t="s">
        <v>74</v>
      </c>
      <c r="AH533" s="1" t="s">
        <v>74</v>
      </c>
      <c r="AI533" s="1" t="s">
        <v>74</v>
      </c>
      <c r="AJ533" s="1" t="s">
        <v>74</v>
      </c>
      <c r="AK533" s="1" t="s">
        <v>74</v>
      </c>
      <c r="AL533" s="1" t="s">
        <v>74</v>
      </c>
      <c r="AM533" s="1" t="s">
        <v>74</v>
      </c>
      <c r="AN533" s="1" t="s">
        <v>74</v>
      </c>
      <c r="AO533" s="1" t="s">
        <v>74</v>
      </c>
      <c r="AP533" s="1" t="s">
        <v>74</v>
      </c>
      <c r="AQ533" s="1" t="s">
        <v>3776</v>
      </c>
      <c r="AR533" s="1" t="s">
        <v>74</v>
      </c>
      <c r="AS533" s="1" t="s">
        <v>74</v>
      </c>
      <c r="AT533" s="1" t="s">
        <v>74</v>
      </c>
      <c r="AU533" s="1">
        <v>2021.0</v>
      </c>
      <c r="AV533" s="1" t="s">
        <v>74</v>
      </c>
      <c r="AW533" s="1" t="s">
        <v>74</v>
      </c>
      <c r="AX533" s="1" t="s">
        <v>74</v>
      </c>
      <c r="AY533" s="1" t="s">
        <v>74</v>
      </c>
      <c r="AZ533" s="1" t="s">
        <v>74</v>
      </c>
      <c r="BA533" s="1" t="s">
        <v>74</v>
      </c>
      <c r="BB533" s="1" t="s">
        <v>74</v>
      </c>
      <c r="BC533" s="1" t="s">
        <v>74</v>
      </c>
      <c r="BD533" s="1" t="s">
        <v>74</v>
      </c>
      <c r="BE533" s="1" t="s">
        <v>5222</v>
      </c>
      <c r="BF533" s="2" t="str">
        <f>HYPERLINK("http://dx.doi.org/10.1109/ICAACCA51523.2021.9465196","http://dx.doi.org/10.1109/ICAACCA51523.2021.9465196")</f>
        <v>http://dx.doi.org/10.1109/ICAACCA51523.2021.9465196</v>
      </c>
      <c r="BG533" s="1" t="s">
        <v>74</v>
      </c>
      <c r="BH533" s="1" t="s">
        <v>74</v>
      </c>
      <c r="BI533" s="1" t="s">
        <v>74</v>
      </c>
      <c r="BJ533" s="1" t="s">
        <v>74</v>
      </c>
      <c r="BK533" s="1" t="s">
        <v>74</v>
      </c>
      <c r="BL533" s="1" t="s">
        <v>74</v>
      </c>
      <c r="BM533" s="1" t="s">
        <v>74</v>
      </c>
      <c r="BN533" s="1" t="s">
        <v>74</v>
      </c>
      <c r="BO533" s="1" t="s">
        <v>74</v>
      </c>
      <c r="BP533" s="1" t="s">
        <v>74</v>
      </c>
      <c r="BQ533" s="1" t="s">
        <v>74</v>
      </c>
      <c r="BR533" s="1" t="s">
        <v>74</v>
      </c>
      <c r="BS533" s="1" t="s">
        <v>5223</v>
      </c>
      <c r="BT533" s="1" t="str">
        <f>HYPERLINK("https%3A%2F%2Fwww.webofscience.com%2Fwos%2Fwoscc%2Ffull-record%2FWOS:000855764500139","View Full Record in Web of Science")</f>
        <v>View Full Record in Web of Science</v>
      </c>
    </row>
    <row r="534" ht="12.75" customHeight="1">
      <c r="A534" s="1" t="s">
        <v>72</v>
      </c>
      <c r="B534" s="1" t="s">
        <v>5224</v>
      </c>
      <c r="C534" s="1" t="s">
        <v>74</v>
      </c>
      <c r="D534" s="1" t="s">
        <v>74</v>
      </c>
      <c r="E534" s="1" t="s">
        <v>74</v>
      </c>
      <c r="F534" s="1" t="s">
        <v>5225</v>
      </c>
      <c r="G534" s="1" t="s">
        <v>74</v>
      </c>
      <c r="H534" s="1" t="s">
        <v>74</v>
      </c>
      <c r="I534" s="1" t="s">
        <v>5226</v>
      </c>
      <c r="J534" s="1" t="s">
        <v>5227</v>
      </c>
      <c r="K534" s="1" t="s">
        <v>74</v>
      </c>
      <c r="L534" s="1" t="s">
        <v>74</v>
      </c>
      <c r="M534" s="1" t="s">
        <v>74</v>
      </c>
      <c r="N534" s="1" t="s">
        <v>74</v>
      </c>
      <c r="O534" s="1" t="s">
        <v>74</v>
      </c>
      <c r="P534" s="1" t="s">
        <v>74</v>
      </c>
      <c r="Q534" s="1" t="s">
        <v>74</v>
      </c>
      <c r="R534" s="1" t="s">
        <v>74</v>
      </c>
      <c r="S534" s="1" t="s">
        <v>74</v>
      </c>
      <c r="T534" s="1" t="s">
        <v>74</v>
      </c>
      <c r="U534" s="1" t="s">
        <v>74</v>
      </c>
      <c r="V534" s="1" t="s">
        <v>5228</v>
      </c>
      <c r="W534" s="1" t="s">
        <v>74</v>
      </c>
      <c r="X534" s="1" t="s">
        <v>74</v>
      </c>
      <c r="Y534" s="1" t="s">
        <v>74</v>
      </c>
      <c r="Z534" s="1" t="s">
        <v>74</v>
      </c>
      <c r="AA534" s="1" t="s">
        <v>5229</v>
      </c>
      <c r="AB534" s="1" t="s">
        <v>5230</v>
      </c>
      <c r="AC534" s="1" t="s">
        <v>74</v>
      </c>
      <c r="AD534" s="1" t="s">
        <v>74</v>
      </c>
      <c r="AE534" s="1" t="s">
        <v>74</v>
      </c>
      <c r="AF534" s="1" t="s">
        <v>74</v>
      </c>
      <c r="AG534" s="1" t="s">
        <v>74</v>
      </c>
      <c r="AH534" s="1" t="s">
        <v>74</v>
      </c>
      <c r="AI534" s="1" t="s">
        <v>74</v>
      </c>
      <c r="AJ534" s="1" t="s">
        <v>74</v>
      </c>
      <c r="AK534" s="1" t="s">
        <v>74</v>
      </c>
      <c r="AL534" s="1" t="s">
        <v>74</v>
      </c>
      <c r="AM534" s="1" t="s">
        <v>74</v>
      </c>
      <c r="AN534" s="1" t="s">
        <v>74</v>
      </c>
      <c r="AO534" s="1" t="s">
        <v>5231</v>
      </c>
      <c r="AP534" s="1" t="s">
        <v>74</v>
      </c>
      <c r="AQ534" s="1" t="s">
        <v>74</v>
      </c>
      <c r="AR534" s="1" t="s">
        <v>74</v>
      </c>
      <c r="AS534" s="1" t="s">
        <v>74</v>
      </c>
      <c r="AT534" s="1" t="s">
        <v>841</v>
      </c>
      <c r="AU534" s="1">
        <v>2020.0</v>
      </c>
      <c r="AV534" s="1">
        <v>13.0</v>
      </c>
      <c r="AW534" s="1">
        <v>37.0</v>
      </c>
      <c r="AX534" s="1" t="s">
        <v>74</v>
      </c>
      <c r="AY534" s="1" t="s">
        <v>74</v>
      </c>
      <c r="AZ534" s="1" t="s">
        <v>74</v>
      </c>
      <c r="BA534" s="1" t="s">
        <v>74</v>
      </c>
      <c r="BB534" s="1">
        <v>18.0</v>
      </c>
      <c r="BC534" s="1">
        <v>36.0</v>
      </c>
      <c r="BD534" s="1" t="s">
        <v>74</v>
      </c>
      <c r="BE534" s="1" t="s">
        <v>74</v>
      </c>
      <c r="BF534" s="1" t="s">
        <v>74</v>
      </c>
      <c r="BG534" s="1" t="s">
        <v>74</v>
      </c>
      <c r="BH534" s="1" t="s">
        <v>74</v>
      </c>
      <c r="BI534" s="1" t="s">
        <v>74</v>
      </c>
      <c r="BJ534" s="1" t="s">
        <v>74</v>
      </c>
      <c r="BK534" s="1" t="s">
        <v>74</v>
      </c>
      <c r="BL534" s="1" t="s">
        <v>74</v>
      </c>
      <c r="BM534" s="1" t="s">
        <v>74</v>
      </c>
      <c r="BN534" s="1" t="s">
        <v>74</v>
      </c>
      <c r="BO534" s="1" t="s">
        <v>74</v>
      </c>
      <c r="BP534" s="1" t="s">
        <v>74</v>
      </c>
      <c r="BQ534" s="1" t="s">
        <v>74</v>
      </c>
      <c r="BR534" s="1" t="s">
        <v>74</v>
      </c>
      <c r="BS534" s="1" t="s">
        <v>5232</v>
      </c>
      <c r="BT534" s="1" t="str">
        <f>HYPERLINK("https%3A%2F%2Fwww.webofscience.com%2Fwos%2Fwoscc%2Ffull-record%2FWOS:000523357900003","View Full Record in Web of Science")</f>
        <v>View Full Record in Web of Science</v>
      </c>
    </row>
    <row r="535" ht="12.75" customHeight="1">
      <c r="A535" s="1" t="s">
        <v>72</v>
      </c>
      <c r="B535" s="1" t="s">
        <v>5233</v>
      </c>
      <c r="C535" s="1" t="s">
        <v>74</v>
      </c>
      <c r="D535" s="1" t="s">
        <v>74</v>
      </c>
      <c r="E535" s="1" t="s">
        <v>74</v>
      </c>
      <c r="F535" s="1" t="s">
        <v>5234</v>
      </c>
      <c r="G535" s="1" t="s">
        <v>74</v>
      </c>
      <c r="H535" s="1" t="s">
        <v>74</v>
      </c>
      <c r="I535" s="1" t="s">
        <v>5235</v>
      </c>
      <c r="J535" s="1" t="s">
        <v>5236</v>
      </c>
      <c r="K535" s="1" t="s">
        <v>74</v>
      </c>
      <c r="L535" s="1" t="s">
        <v>74</v>
      </c>
      <c r="M535" s="1" t="s">
        <v>74</v>
      </c>
      <c r="N535" s="1" t="s">
        <v>74</v>
      </c>
      <c r="O535" s="1" t="s">
        <v>74</v>
      </c>
      <c r="P535" s="1" t="s">
        <v>74</v>
      </c>
      <c r="Q535" s="1" t="s">
        <v>74</v>
      </c>
      <c r="R535" s="1" t="s">
        <v>74</v>
      </c>
      <c r="S535" s="1" t="s">
        <v>74</v>
      </c>
      <c r="T535" s="1" t="s">
        <v>74</v>
      </c>
      <c r="U535" s="1" t="s">
        <v>74</v>
      </c>
      <c r="V535" s="1" t="s">
        <v>5237</v>
      </c>
      <c r="W535" s="1" t="s">
        <v>74</v>
      </c>
      <c r="X535" s="1" t="s">
        <v>74</v>
      </c>
      <c r="Y535" s="1" t="s">
        <v>74</v>
      </c>
      <c r="Z535" s="1" t="s">
        <v>74</v>
      </c>
      <c r="AA535" s="1" t="s">
        <v>5238</v>
      </c>
      <c r="AB535" s="1" t="s">
        <v>5239</v>
      </c>
      <c r="AC535" s="1" t="s">
        <v>74</v>
      </c>
      <c r="AD535" s="1" t="s">
        <v>74</v>
      </c>
      <c r="AE535" s="1" t="s">
        <v>74</v>
      </c>
      <c r="AF535" s="1" t="s">
        <v>74</v>
      </c>
      <c r="AG535" s="1" t="s">
        <v>74</v>
      </c>
      <c r="AH535" s="1" t="s">
        <v>74</v>
      </c>
      <c r="AI535" s="1" t="s">
        <v>74</v>
      </c>
      <c r="AJ535" s="1" t="s">
        <v>74</v>
      </c>
      <c r="AK535" s="1" t="s">
        <v>74</v>
      </c>
      <c r="AL535" s="1" t="s">
        <v>74</v>
      </c>
      <c r="AM535" s="1" t="s">
        <v>74</v>
      </c>
      <c r="AN535" s="1" t="s">
        <v>74</v>
      </c>
      <c r="AO535" s="1" t="s">
        <v>5240</v>
      </c>
      <c r="AP535" s="1" t="s">
        <v>5241</v>
      </c>
      <c r="AQ535" s="1" t="s">
        <v>74</v>
      </c>
      <c r="AR535" s="1" t="s">
        <v>74</v>
      </c>
      <c r="AS535" s="1" t="s">
        <v>74</v>
      </c>
      <c r="AT535" s="1" t="s">
        <v>277</v>
      </c>
      <c r="AU535" s="1">
        <v>2020.0</v>
      </c>
      <c r="AV535" s="1">
        <v>36.0</v>
      </c>
      <c r="AW535" s="1" t="s">
        <v>74</v>
      </c>
      <c r="AX535" s="1" t="s">
        <v>74</v>
      </c>
      <c r="AY535" s="1" t="s">
        <v>74</v>
      </c>
      <c r="AZ535" s="1" t="s">
        <v>74</v>
      </c>
      <c r="BA535" s="1" t="s">
        <v>74</v>
      </c>
      <c r="BB535" s="1" t="s">
        <v>74</v>
      </c>
      <c r="BC535" s="1" t="s">
        <v>74</v>
      </c>
      <c r="BD535" s="1">
        <v>100815.0</v>
      </c>
      <c r="BE535" s="1" t="s">
        <v>5242</v>
      </c>
      <c r="BF535" s="2" t="str">
        <f>HYPERLINK("http://dx.doi.org/10.1016/j.ehb.2019.100815","http://dx.doi.org/10.1016/j.ehb.2019.100815")</f>
        <v>http://dx.doi.org/10.1016/j.ehb.2019.100815</v>
      </c>
      <c r="BG535" s="1" t="s">
        <v>74</v>
      </c>
      <c r="BH535" s="1" t="s">
        <v>74</v>
      </c>
      <c r="BI535" s="1" t="s">
        <v>74</v>
      </c>
      <c r="BJ535" s="1" t="s">
        <v>74</v>
      </c>
      <c r="BK535" s="1" t="s">
        <v>74</v>
      </c>
      <c r="BL535" s="1" t="s">
        <v>74</v>
      </c>
      <c r="BM535" s="1" t="s">
        <v>74</v>
      </c>
      <c r="BN535" s="1">
        <v>3.1543334E7</v>
      </c>
      <c r="BO535" s="1" t="s">
        <v>74</v>
      </c>
      <c r="BP535" s="1" t="s">
        <v>74</v>
      </c>
      <c r="BQ535" s="1" t="s">
        <v>74</v>
      </c>
      <c r="BR535" s="1" t="s">
        <v>74</v>
      </c>
      <c r="BS535" s="1" t="s">
        <v>5243</v>
      </c>
      <c r="BT535" s="1" t="str">
        <f>HYPERLINK("https%3A%2F%2Fwww.webofscience.com%2Fwos%2Fwoscc%2Ffull-record%2FWOS:000512477500013","View Full Record in Web of Science")</f>
        <v>View Full Record in Web of Science</v>
      </c>
    </row>
    <row r="536" ht="12.75" customHeight="1">
      <c r="A536" s="1" t="s">
        <v>72</v>
      </c>
      <c r="B536" s="1" t="s">
        <v>5244</v>
      </c>
      <c r="C536" s="1" t="s">
        <v>74</v>
      </c>
      <c r="D536" s="1" t="s">
        <v>74</v>
      </c>
      <c r="E536" s="1" t="s">
        <v>74</v>
      </c>
      <c r="F536" s="1" t="s">
        <v>947</v>
      </c>
      <c r="G536" s="1" t="s">
        <v>74</v>
      </c>
      <c r="H536" s="1" t="s">
        <v>74</v>
      </c>
      <c r="I536" s="1" t="s">
        <v>5245</v>
      </c>
      <c r="J536" s="1" t="s">
        <v>5246</v>
      </c>
      <c r="K536" s="1" t="s">
        <v>74</v>
      </c>
      <c r="L536" s="1" t="s">
        <v>74</v>
      </c>
      <c r="M536" s="1" t="s">
        <v>74</v>
      </c>
      <c r="N536" s="1" t="s">
        <v>74</v>
      </c>
      <c r="O536" s="1" t="s">
        <v>74</v>
      </c>
      <c r="P536" s="1" t="s">
        <v>74</v>
      </c>
      <c r="Q536" s="1" t="s">
        <v>74</v>
      </c>
      <c r="R536" s="1" t="s">
        <v>74</v>
      </c>
      <c r="S536" s="1" t="s">
        <v>74</v>
      </c>
      <c r="T536" s="1" t="s">
        <v>74</v>
      </c>
      <c r="U536" s="1" t="s">
        <v>74</v>
      </c>
      <c r="V536" s="1" t="s">
        <v>5247</v>
      </c>
      <c r="W536" s="1" t="s">
        <v>74</v>
      </c>
      <c r="X536" s="1" t="s">
        <v>74</v>
      </c>
      <c r="Y536" s="1" t="s">
        <v>74</v>
      </c>
      <c r="Z536" s="1" t="s">
        <v>74</v>
      </c>
      <c r="AA536" s="1" t="s">
        <v>74</v>
      </c>
      <c r="AB536" s="1" t="s">
        <v>5248</v>
      </c>
      <c r="AC536" s="1" t="s">
        <v>74</v>
      </c>
      <c r="AD536" s="1" t="s">
        <v>74</v>
      </c>
      <c r="AE536" s="1" t="s">
        <v>74</v>
      </c>
      <c r="AF536" s="1" t="s">
        <v>74</v>
      </c>
      <c r="AG536" s="1" t="s">
        <v>74</v>
      </c>
      <c r="AH536" s="1" t="s">
        <v>74</v>
      </c>
      <c r="AI536" s="1" t="s">
        <v>74</v>
      </c>
      <c r="AJ536" s="1" t="s">
        <v>74</v>
      </c>
      <c r="AK536" s="1" t="s">
        <v>74</v>
      </c>
      <c r="AL536" s="1" t="s">
        <v>74</v>
      </c>
      <c r="AM536" s="1" t="s">
        <v>74</v>
      </c>
      <c r="AN536" s="1" t="s">
        <v>74</v>
      </c>
      <c r="AO536" s="1" t="s">
        <v>5249</v>
      </c>
      <c r="AP536" s="1" t="s">
        <v>5250</v>
      </c>
      <c r="AQ536" s="1" t="s">
        <v>74</v>
      </c>
      <c r="AR536" s="1" t="s">
        <v>74</v>
      </c>
      <c r="AS536" s="1" t="s">
        <v>74</v>
      </c>
      <c r="AT536" s="1" t="s">
        <v>415</v>
      </c>
      <c r="AU536" s="1">
        <v>2019.0</v>
      </c>
      <c r="AV536" s="1">
        <v>40.0</v>
      </c>
      <c r="AW536" s="1">
        <v>4.0</v>
      </c>
      <c r="AX536" s="1" t="s">
        <v>74</v>
      </c>
      <c r="AY536" s="1" t="s">
        <v>74</v>
      </c>
      <c r="AZ536" s="1" t="s">
        <v>1042</v>
      </c>
      <c r="BA536" s="1" t="s">
        <v>74</v>
      </c>
      <c r="BB536" s="1">
        <v>387.0</v>
      </c>
      <c r="BC536" s="1">
        <v>411.0</v>
      </c>
      <c r="BD536" s="1" t="s">
        <v>74</v>
      </c>
      <c r="BE536" s="1" t="s">
        <v>5251</v>
      </c>
      <c r="BF536" s="2" t="str">
        <f>HYPERLINK("http://dx.doi.org/10.1007/s12122-019-09289-w","http://dx.doi.org/10.1007/s12122-019-09289-w")</f>
        <v>http://dx.doi.org/10.1007/s12122-019-09289-w</v>
      </c>
      <c r="BG536" s="1" t="s">
        <v>74</v>
      </c>
      <c r="BH536" s="1" t="s">
        <v>74</v>
      </c>
      <c r="BI536" s="1" t="s">
        <v>74</v>
      </c>
      <c r="BJ536" s="1" t="s">
        <v>74</v>
      </c>
      <c r="BK536" s="1" t="s">
        <v>74</v>
      </c>
      <c r="BL536" s="1" t="s">
        <v>74</v>
      </c>
      <c r="BM536" s="1" t="s">
        <v>74</v>
      </c>
      <c r="BN536" s="1" t="s">
        <v>74</v>
      </c>
      <c r="BO536" s="1" t="s">
        <v>74</v>
      </c>
      <c r="BP536" s="1" t="s">
        <v>74</v>
      </c>
      <c r="BQ536" s="1" t="s">
        <v>74</v>
      </c>
      <c r="BR536" s="1" t="s">
        <v>74</v>
      </c>
      <c r="BS536" s="1" t="s">
        <v>5252</v>
      </c>
      <c r="BT536" s="1" t="str">
        <f>HYPERLINK("https%3A%2F%2Fwww.webofscience.com%2Fwos%2Fwoscc%2Ffull-record%2FWOS:000501069500001","View Full Record in Web of Science")</f>
        <v>View Full Record in Web of Science</v>
      </c>
    </row>
    <row r="537" ht="12.75" customHeight="1">
      <c r="A537" s="1" t="s">
        <v>72</v>
      </c>
      <c r="B537" s="1" t="s">
        <v>5253</v>
      </c>
      <c r="C537" s="1" t="s">
        <v>74</v>
      </c>
      <c r="D537" s="1" t="s">
        <v>74</v>
      </c>
      <c r="E537" s="1" t="s">
        <v>74</v>
      </c>
      <c r="F537" s="1" t="s">
        <v>5254</v>
      </c>
      <c r="G537" s="1" t="s">
        <v>74</v>
      </c>
      <c r="H537" s="1" t="s">
        <v>74</v>
      </c>
      <c r="I537" s="1" t="s">
        <v>5255</v>
      </c>
      <c r="J537" s="1" t="s">
        <v>2925</v>
      </c>
      <c r="K537" s="1" t="s">
        <v>74</v>
      </c>
      <c r="L537" s="1" t="s">
        <v>74</v>
      </c>
      <c r="M537" s="1" t="s">
        <v>74</v>
      </c>
      <c r="N537" s="1" t="s">
        <v>74</v>
      </c>
      <c r="O537" s="1" t="s">
        <v>74</v>
      </c>
      <c r="P537" s="1" t="s">
        <v>74</v>
      </c>
      <c r="Q537" s="1" t="s">
        <v>74</v>
      </c>
      <c r="R537" s="1" t="s">
        <v>74</v>
      </c>
      <c r="S537" s="1" t="s">
        <v>74</v>
      </c>
      <c r="T537" s="1" t="s">
        <v>74</v>
      </c>
      <c r="U537" s="1" t="s">
        <v>74</v>
      </c>
      <c r="V537" s="1" t="s">
        <v>5256</v>
      </c>
      <c r="W537" s="1" t="s">
        <v>74</v>
      </c>
      <c r="X537" s="1" t="s">
        <v>74</v>
      </c>
      <c r="Y537" s="1" t="s">
        <v>74</v>
      </c>
      <c r="Z537" s="1" t="s">
        <v>74</v>
      </c>
      <c r="AA537" s="1" t="s">
        <v>5257</v>
      </c>
      <c r="AB537" s="1" t="s">
        <v>5258</v>
      </c>
      <c r="AC537" s="1" t="s">
        <v>74</v>
      </c>
      <c r="AD537" s="1" t="s">
        <v>74</v>
      </c>
      <c r="AE537" s="1" t="s">
        <v>74</v>
      </c>
      <c r="AF537" s="1" t="s">
        <v>74</v>
      </c>
      <c r="AG537" s="1" t="s">
        <v>74</v>
      </c>
      <c r="AH537" s="1" t="s">
        <v>74</v>
      </c>
      <c r="AI537" s="1" t="s">
        <v>74</v>
      </c>
      <c r="AJ537" s="1" t="s">
        <v>74</v>
      </c>
      <c r="AK537" s="1" t="s">
        <v>74</v>
      </c>
      <c r="AL537" s="1" t="s">
        <v>74</v>
      </c>
      <c r="AM537" s="1" t="s">
        <v>74</v>
      </c>
      <c r="AN537" s="1" t="s">
        <v>74</v>
      </c>
      <c r="AO537" s="1" t="s">
        <v>2928</v>
      </c>
      <c r="AP537" s="1" t="s">
        <v>74</v>
      </c>
      <c r="AQ537" s="1" t="s">
        <v>74</v>
      </c>
      <c r="AR537" s="1" t="s">
        <v>74</v>
      </c>
      <c r="AS537" s="1" t="s">
        <v>74</v>
      </c>
      <c r="AT537" s="1" t="s">
        <v>5259</v>
      </c>
      <c r="AU537" s="1">
        <v>2019.0</v>
      </c>
      <c r="AV537" s="1">
        <v>10.0</v>
      </c>
      <c r="AW537" s="1" t="s">
        <v>74</v>
      </c>
      <c r="AX537" s="1" t="s">
        <v>74</v>
      </c>
      <c r="AY537" s="1" t="s">
        <v>74</v>
      </c>
      <c r="AZ537" s="1" t="s">
        <v>74</v>
      </c>
      <c r="BA537" s="1" t="s">
        <v>74</v>
      </c>
      <c r="BB537" s="1" t="s">
        <v>74</v>
      </c>
      <c r="BC537" s="1" t="s">
        <v>74</v>
      </c>
      <c r="BD537" s="1">
        <v>2455.0</v>
      </c>
      <c r="BE537" s="1" t="s">
        <v>5260</v>
      </c>
      <c r="BF537" s="2" t="str">
        <f>HYPERLINK("http://dx.doi.org/10.3389/fmicb.2019.02455","http://dx.doi.org/10.3389/fmicb.2019.02455")</f>
        <v>http://dx.doi.org/10.3389/fmicb.2019.02455</v>
      </c>
      <c r="BG537" s="1" t="s">
        <v>74</v>
      </c>
      <c r="BH537" s="1" t="s">
        <v>74</v>
      </c>
      <c r="BI537" s="1" t="s">
        <v>74</v>
      </c>
      <c r="BJ537" s="1" t="s">
        <v>74</v>
      </c>
      <c r="BK537" s="1" t="s">
        <v>74</v>
      </c>
      <c r="BL537" s="1" t="s">
        <v>74</v>
      </c>
      <c r="BM537" s="1" t="s">
        <v>74</v>
      </c>
      <c r="BN537" s="1">
        <v>3.1736901E7</v>
      </c>
      <c r="BO537" s="1" t="s">
        <v>74</v>
      </c>
      <c r="BP537" s="1" t="s">
        <v>74</v>
      </c>
      <c r="BQ537" s="1" t="s">
        <v>74</v>
      </c>
      <c r="BR537" s="1" t="s">
        <v>74</v>
      </c>
      <c r="BS537" s="1" t="s">
        <v>5261</v>
      </c>
      <c r="BT537" s="1" t="str">
        <f>HYPERLINK("https%3A%2F%2Fwww.webofscience.com%2Fwos%2Fwoscc%2Ffull-record%2FWOS:000496487900001","View Full Record in Web of Science")</f>
        <v>View Full Record in Web of Science</v>
      </c>
    </row>
    <row r="538" ht="12.75" customHeight="1">
      <c r="A538" s="1" t="s">
        <v>72</v>
      </c>
      <c r="B538" s="1" t="s">
        <v>5262</v>
      </c>
      <c r="C538" s="1" t="s">
        <v>74</v>
      </c>
      <c r="D538" s="1" t="s">
        <v>74</v>
      </c>
      <c r="E538" s="1" t="s">
        <v>74</v>
      </c>
      <c r="F538" s="1" t="s">
        <v>5263</v>
      </c>
      <c r="G538" s="1" t="s">
        <v>74</v>
      </c>
      <c r="H538" s="1" t="s">
        <v>74</v>
      </c>
      <c r="I538" s="1" t="s">
        <v>5264</v>
      </c>
      <c r="J538" s="1" t="s">
        <v>5265</v>
      </c>
      <c r="K538" s="1" t="s">
        <v>74</v>
      </c>
      <c r="L538" s="1" t="s">
        <v>74</v>
      </c>
      <c r="M538" s="1" t="s">
        <v>74</v>
      </c>
      <c r="N538" s="1" t="s">
        <v>74</v>
      </c>
      <c r="O538" s="1" t="s">
        <v>74</v>
      </c>
      <c r="P538" s="1" t="s">
        <v>74</v>
      </c>
      <c r="Q538" s="1" t="s">
        <v>74</v>
      </c>
      <c r="R538" s="1" t="s">
        <v>74</v>
      </c>
      <c r="S538" s="1" t="s">
        <v>74</v>
      </c>
      <c r="T538" s="1" t="s">
        <v>74</v>
      </c>
      <c r="U538" s="1" t="s">
        <v>74</v>
      </c>
      <c r="V538" s="1" t="s">
        <v>5266</v>
      </c>
      <c r="W538" s="1" t="s">
        <v>74</v>
      </c>
      <c r="X538" s="1" t="s">
        <v>74</v>
      </c>
      <c r="Y538" s="1" t="s">
        <v>74</v>
      </c>
      <c r="Z538" s="1" t="s">
        <v>74</v>
      </c>
      <c r="AA538" s="1" t="s">
        <v>5267</v>
      </c>
      <c r="AB538" s="1" t="s">
        <v>5268</v>
      </c>
      <c r="AC538" s="1" t="s">
        <v>74</v>
      </c>
      <c r="AD538" s="1" t="s">
        <v>74</v>
      </c>
      <c r="AE538" s="1" t="s">
        <v>74</v>
      </c>
      <c r="AF538" s="1" t="s">
        <v>74</v>
      </c>
      <c r="AG538" s="1" t="s">
        <v>74</v>
      </c>
      <c r="AH538" s="1" t="s">
        <v>74</v>
      </c>
      <c r="AI538" s="1" t="s">
        <v>74</v>
      </c>
      <c r="AJ538" s="1" t="s">
        <v>74</v>
      </c>
      <c r="AK538" s="1" t="s">
        <v>74</v>
      </c>
      <c r="AL538" s="1" t="s">
        <v>74</v>
      </c>
      <c r="AM538" s="1" t="s">
        <v>74</v>
      </c>
      <c r="AN538" s="1" t="s">
        <v>74</v>
      </c>
      <c r="AO538" s="1" t="s">
        <v>5269</v>
      </c>
      <c r="AP538" s="1" t="s">
        <v>5270</v>
      </c>
      <c r="AQ538" s="1" t="s">
        <v>74</v>
      </c>
      <c r="AR538" s="1" t="s">
        <v>74</v>
      </c>
      <c r="AS538" s="1" t="s">
        <v>74</v>
      </c>
      <c r="AT538" s="1" t="s">
        <v>1654</v>
      </c>
      <c r="AU538" s="1">
        <v>2019.0</v>
      </c>
      <c r="AV538" s="1">
        <v>27.0</v>
      </c>
      <c r="AW538" s="1">
        <v>61.0</v>
      </c>
      <c r="AX538" s="1" t="s">
        <v>74</v>
      </c>
      <c r="AY538" s="1" t="s">
        <v>74</v>
      </c>
      <c r="AZ538" s="1" t="s">
        <v>74</v>
      </c>
      <c r="BA538" s="1" t="s">
        <v>74</v>
      </c>
      <c r="BB538" s="1">
        <v>33.0</v>
      </c>
      <c r="BC538" s="1">
        <v>43.0</v>
      </c>
      <c r="BD538" s="1" t="s">
        <v>74</v>
      </c>
      <c r="BE538" s="1" t="s">
        <v>5271</v>
      </c>
      <c r="BF538" s="2" t="str">
        <f>HYPERLINK("http://dx.doi.org/10.3916/C61-2019-03","http://dx.doi.org/10.3916/C61-2019-03")</f>
        <v>http://dx.doi.org/10.3916/C61-2019-03</v>
      </c>
      <c r="BG538" s="1" t="s">
        <v>74</v>
      </c>
      <c r="BH538" s="1" t="s">
        <v>74</v>
      </c>
      <c r="BI538" s="1" t="s">
        <v>74</v>
      </c>
      <c r="BJ538" s="1" t="s">
        <v>74</v>
      </c>
      <c r="BK538" s="1" t="s">
        <v>74</v>
      </c>
      <c r="BL538" s="1" t="s">
        <v>74</v>
      </c>
      <c r="BM538" s="1" t="s">
        <v>74</v>
      </c>
      <c r="BN538" s="1" t="s">
        <v>74</v>
      </c>
      <c r="BO538" s="1" t="s">
        <v>74</v>
      </c>
      <c r="BP538" s="1" t="s">
        <v>74</v>
      </c>
      <c r="BQ538" s="1" t="s">
        <v>74</v>
      </c>
      <c r="BR538" s="1" t="s">
        <v>74</v>
      </c>
      <c r="BS538" s="1" t="s">
        <v>5272</v>
      </c>
      <c r="BT538" s="1" t="str">
        <f>HYPERLINK("https%3A%2F%2Fwww.webofscience.com%2Fwos%2Fwoscc%2Ffull-record%2FWOS:000504768000003","View Full Record in Web of Science")</f>
        <v>View Full Record in Web of Science</v>
      </c>
    </row>
    <row r="539" ht="12.75" customHeight="1">
      <c r="A539" s="1" t="s">
        <v>72</v>
      </c>
      <c r="B539" s="1" t="s">
        <v>5273</v>
      </c>
      <c r="C539" s="1" t="s">
        <v>74</v>
      </c>
      <c r="D539" s="1" t="s">
        <v>74</v>
      </c>
      <c r="E539" s="1" t="s">
        <v>74</v>
      </c>
      <c r="F539" s="1" t="s">
        <v>5274</v>
      </c>
      <c r="G539" s="1" t="s">
        <v>74</v>
      </c>
      <c r="H539" s="1" t="s">
        <v>74</v>
      </c>
      <c r="I539" s="1" t="s">
        <v>5275</v>
      </c>
      <c r="J539" s="1" t="s">
        <v>5276</v>
      </c>
      <c r="K539" s="1" t="s">
        <v>74</v>
      </c>
      <c r="L539" s="1" t="s">
        <v>74</v>
      </c>
      <c r="M539" s="1" t="s">
        <v>74</v>
      </c>
      <c r="N539" s="1" t="s">
        <v>74</v>
      </c>
      <c r="O539" s="1" t="s">
        <v>74</v>
      </c>
      <c r="P539" s="1" t="s">
        <v>74</v>
      </c>
      <c r="Q539" s="1" t="s">
        <v>74</v>
      </c>
      <c r="R539" s="1" t="s">
        <v>74</v>
      </c>
      <c r="S539" s="1" t="s">
        <v>74</v>
      </c>
      <c r="T539" s="1" t="s">
        <v>74</v>
      </c>
      <c r="U539" s="1" t="s">
        <v>74</v>
      </c>
      <c r="V539" s="1" t="s">
        <v>5277</v>
      </c>
      <c r="W539" s="1" t="s">
        <v>74</v>
      </c>
      <c r="X539" s="1" t="s">
        <v>74</v>
      </c>
      <c r="Y539" s="1" t="s">
        <v>74</v>
      </c>
      <c r="Z539" s="1" t="s">
        <v>74</v>
      </c>
      <c r="AA539" s="1" t="s">
        <v>5278</v>
      </c>
      <c r="AB539" s="1" t="s">
        <v>5279</v>
      </c>
      <c r="AC539" s="1" t="s">
        <v>74</v>
      </c>
      <c r="AD539" s="1" t="s">
        <v>74</v>
      </c>
      <c r="AE539" s="1" t="s">
        <v>74</v>
      </c>
      <c r="AF539" s="1" t="s">
        <v>74</v>
      </c>
      <c r="AG539" s="1" t="s">
        <v>74</v>
      </c>
      <c r="AH539" s="1" t="s">
        <v>74</v>
      </c>
      <c r="AI539" s="1" t="s">
        <v>74</v>
      </c>
      <c r="AJ539" s="1" t="s">
        <v>74</v>
      </c>
      <c r="AK539" s="1" t="s">
        <v>74</v>
      </c>
      <c r="AL539" s="1" t="s">
        <v>74</v>
      </c>
      <c r="AM539" s="1" t="s">
        <v>74</v>
      </c>
      <c r="AN539" s="1" t="s">
        <v>74</v>
      </c>
      <c r="AO539" s="1" t="s">
        <v>5280</v>
      </c>
      <c r="AP539" s="1" t="s">
        <v>5281</v>
      </c>
      <c r="AQ539" s="1" t="s">
        <v>74</v>
      </c>
      <c r="AR539" s="1" t="s">
        <v>74</v>
      </c>
      <c r="AS539" s="1" t="s">
        <v>74</v>
      </c>
      <c r="AT539" s="1" t="s">
        <v>3489</v>
      </c>
      <c r="AU539" s="1">
        <v>2019.0</v>
      </c>
      <c r="AV539" s="1">
        <v>21.0</v>
      </c>
      <c r="AW539" s="1">
        <v>5.0</v>
      </c>
      <c r="AX539" s="1" t="s">
        <v>74</v>
      </c>
      <c r="AY539" s="1" t="s">
        <v>74</v>
      </c>
      <c r="AZ539" s="1" t="s">
        <v>74</v>
      </c>
      <c r="BA539" s="1" t="s">
        <v>74</v>
      </c>
      <c r="BB539" s="1">
        <v>6.0</v>
      </c>
      <c r="BC539" s="1">
        <v>10.0</v>
      </c>
      <c r="BD539" s="1" t="s">
        <v>74</v>
      </c>
      <c r="BE539" s="1" t="s">
        <v>5282</v>
      </c>
      <c r="BF539" s="2" t="str">
        <f>HYPERLINK("http://dx.doi.org/10.1109/MITP.2019.2900831","http://dx.doi.org/10.1109/MITP.2019.2900831")</f>
        <v>http://dx.doi.org/10.1109/MITP.2019.2900831</v>
      </c>
      <c r="BG539" s="1" t="s">
        <v>74</v>
      </c>
      <c r="BH539" s="1" t="s">
        <v>74</v>
      </c>
      <c r="BI539" s="1" t="s">
        <v>74</v>
      </c>
      <c r="BJ539" s="1" t="s">
        <v>74</v>
      </c>
      <c r="BK539" s="1" t="s">
        <v>74</v>
      </c>
      <c r="BL539" s="1" t="s">
        <v>74</v>
      </c>
      <c r="BM539" s="1" t="s">
        <v>74</v>
      </c>
      <c r="BN539" s="1" t="s">
        <v>74</v>
      </c>
      <c r="BO539" s="1" t="s">
        <v>74</v>
      </c>
      <c r="BP539" s="1" t="s">
        <v>74</v>
      </c>
      <c r="BQ539" s="1" t="s">
        <v>74</v>
      </c>
      <c r="BR539" s="1" t="s">
        <v>74</v>
      </c>
      <c r="BS539" s="1" t="s">
        <v>5283</v>
      </c>
      <c r="BT539" s="1" t="str">
        <f>HYPERLINK("https%3A%2F%2Fwww.webofscience.com%2Fwos%2Fwoscc%2Ffull-record%2FWOS:000485735800002","View Full Record in Web of Science")</f>
        <v>View Full Record in Web of Science</v>
      </c>
    </row>
    <row r="540" ht="12.75" customHeight="1">
      <c r="A540" s="1" t="s">
        <v>72</v>
      </c>
      <c r="B540" s="1" t="s">
        <v>5284</v>
      </c>
      <c r="C540" s="1" t="s">
        <v>74</v>
      </c>
      <c r="D540" s="1" t="s">
        <v>74</v>
      </c>
      <c r="E540" s="1" t="s">
        <v>74</v>
      </c>
      <c r="F540" s="1" t="s">
        <v>5285</v>
      </c>
      <c r="G540" s="1" t="s">
        <v>74</v>
      </c>
      <c r="H540" s="1" t="s">
        <v>74</v>
      </c>
      <c r="I540" s="1" t="s">
        <v>5286</v>
      </c>
      <c r="J540" s="1" t="s">
        <v>987</v>
      </c>
      <c r="K540" s="1" t="s">
        <v>74</v>
      </c>
      <c r="L540" s="1" t="s">
        <v>74</v>
      </c>
      <c r="M540" s="1" t="s">
        <v>74</v>
      </c>
      <c r="N540" s="1" t="s">
        <v>74</v>
      </c>
      <c r="O540" s="1" t="s">
        <v>74</v>
      </c>
      <c r="P540" s="1" t="s">
        <v>74</v>
      </c>
      <c r="Q540" s="1" t="s">
        <v>74</v>
      </c>
      <c r="R540" s="1" t="s">
        <v>74</v>
      </c>
      <c r="S540" s="1" t="s">
        <v>74</v>
      </c>
      <c r="T540" s="1" t="s">
        <v>74</v>
      </c>
      <c r="U540" s="1" t="s">
        <v>74</v>
      </c>
      <c r="V540" s="1" t="s">
        <v>5287</v>
      </c>
      <c r="W540" s="1" t="s">
        <v>74</v>
      </c>
      <c r="X540" s="1" t="s">
        <v>74</v>
      </c>
      <c r="Y540" s="1" t="s">
        <v>74</v>
      </c>
      <c r="Z540" s="1" t="s">
        <v>74</v>
      </c>
      <c r="AA540" s="1" t="s">
        <v>5288</v>
      </c>
      <c r="AB540" s="1" t="s">
        <v>3865</v>
      </c>
      <c r="AC540" s="1" t="s">
        <v>74</v>
      </c>
      <c r="AD540" s="1" t="s">
        <v>74</v>
      </c>
      <c r="AE540" s="1" t="s">
        <v>74</v>
      </c>
      <c r="AF540" s="1" t="s">
        <v>74</v>
      </c>
      <c r="AG540" s="1" t="s">
        <v>74</v>
      </c>
      <c r="AH540" s="1" t="s">
        <v>74</v>
      </c>
      <c r="AI540" s="1" t="s">
        <v>74</v>
      </c>
      <c r="AJ540" s="1" t="s">
        <v>74</v>
      </c>
      <c r="AK540" s="1" t="s">
        <v>74</v>
      </c>
      <c r="AL540" s="1" t="s">
        <v>74</v>
      </c>
      <c r="AM540" s="1" t="s">
        <v>74</v>
      </c>
      <c r="AN540" s="1" t="s">
        <v>74</v>
      </c>
      <c r="AO540" s="1" t="s">
        <v>991</v>
      </c>
      <c r="AP540" s="1" t="s">
        <v>74</v>
      </c>
      <c r="AQ540" s="1" t="s">
        <v>74</v>
      </c>
      <c r="AR540" s="1" t="s">
        <v>74</v>
      </c>
      <c r="AS540" s="1" t="s">
        <v>74</v>
      </c>
      <c r="AT540" s="1" t="s">
        <v>379</v>
      </c>
      <c r="AU540" s="1">
        <v>2019.0</v>
      </c>
      <c r="AV540" s="1">
        <v>64.0</v>
      </c>
      <c r="AW540" s="1">
        <v>3.0</v>
      </c>
      <c r="AX540" s="1" t="s">
        <v>74</v>
      </c>
      <c r="AY540" s="1" t="s">
        <v>74</v>
      </c>
      <c r="AZ540" s="1" t="s">
        <v>74</v>
      </c>
      <c r="BA540" s="1" t="s">
        <v>74</v>
      </c>
      <c r="BB540" s="1">
        <v>4513.0</v>
      </c>
      <c r="BC540" s="1">
        <v>4522.0</v>
      </c>
      <c r="BD540" s="1" t="s">
        <v>74</v>
      </c>
      <c r="BE540" s="1" t="s">
        <v>5289</v>
      </c>
      <c r="BF540" s="2" t="str">
        <f>HYPERLINK("http://dx.doi.org/10.4067/S0717-97072019000304513","http://dx.doi.org/10.4067/S0717-97072019000304513")</f>
        <v>http://dx.doi.org/10.4067/S0717-97072019000304513</v>
      </c>
      <c r="BG540" s="1" t="s">
        <v>74</v>
      </c>
      <c r="BH540" s="1" t="s">
        <v>74</v>
      </c>
      <c r="BI540" s="1" t="s">
        <v>74</v>
      </c>
      <c r="BJ540" s="1" t="s">
        <v>74</v>
      </c>
      <c r="BK540" s="1" t="s">
        <v>74</v>
      </c>
      <c r="BL540" s="1" t="s">
        <v>74</v>
      </c>
      <c r="BM540" s="1" t="s">
        <v>74</v>
      </c>
      <c r="BN540" s="1" t="s">
        <v>74</v>
      </c>
      <c r="BO540" s="1" t="s">
        <v>74</v>
      </c>
      <c r="BP540" s="1" t="s">
        <v>74</v>
      </c>
      <c r="BQ540" s="1" t="s">
        <v>74</v>
      </c>
      <c r="BR540" s="1" t="s">
        <v>74</v>
      </c>
      <c r="BS540" s="1" t="s">
        <v>5290</v>
      </c>
      <c r="BT540" s="1" t="str">
        <f>HYPERLINK("https%3A%2F%2Fwww.webofscience.com%2Fwos%2Fwoscc%2Ffull-record%2FWOS:000495892300004","View Full Record in Web of Science")</f>
        <v>View Full Record in Web of Science</v>
      </c>
    </row>
    <row r="541" ht="12.75" customHeight="1">
      <c r="A541" s="1" t="s">
        <v>72</v>
      </c>
      <c r="B541" s="1" t="s">
        <v>5291</v>
      </c>
      <c r="C541" s="1" t="s">
        <v>74</v>
      </c>
      <c r="D541" s="1" t="s">
        <v>74</v>
      </c>
      <c r="E541" s="1" t="s">
        <v>74</v>
      </c>
      <c r="F541" s="1" t="s">
        <v>5292</v>
      </c>
      <c r="G541" s="1" t="s">
        <v>74</v>
      </c>
      <c r="H541" s="1" t="s">
        <v>74</v>
      </c>
      <c r="I541" s="1" t="s">
        <v>5293</v>
      </c>
      <c r="J541" s="1" t="s">
        <v>5294</v>
      </c>
      <c r="K541" s="1" t="s">
        <v>74</v>
      </c>
      <c r="L541" s="1" t="s">
        <v>74</v>
      </c>
      <c r="M541" s="1" t="s">
        <v>74</v>
      </c>
      <c r="N541" s="1" t="s">
        <v>74</v>
      </c>
      <c r="O541" s="1" t="s">
        <v>74</v>
      </c>
      <c r="P541" s="1" t="s">
        <v>74</v>
      </c>
      <c r="Q541" s="1" t="s">
        <v>74</v>
      </c>
      <c r="R541" s="1" t="s">
        <v>74</v>
      </c>
      <c r="S541" s="1" t="s">
        <v>74</v>
      </c>
      <c r="T541" s="1" t="s">
        <v>74</v>
      </c>
      <c r="U541" s="1" t="s">
        <v>74</v>
      </c>
      <c r="V541" s="1" t="s">
        <v>5295</v>
      </c>
      <c r="W541" s="1" t="s">
        <v>74</v>
      </c>
      <c r="X541" s="1" t="s">
        <v>74</v>
      </c>
      <c r="Y541" s="1" t="s">
        <v>74</v>
      </c>
      <c r="Z541" s="1" t="s">
        <v>74</v>
      </c>
      <c r="AA541" s="1" t="s">
        <v>5296</v>
      </c>
      <c r="AB541" s="1" t="s">
        <v>5297</v>
      </c>
      <c r="AC541" s="1" t="s">
        <v>74</v>
      </c>
      <c r="AD541" s="1" t="s">
        <v>74</v>
      </c>
      <c r="AE541" s="1" t="s">
        <v>74</v>
      </c>
      <c r="AF541" s="1" t="s">
        <v>74</v>
      </c>
      <c r="AG541" s="1" t="s">
        <v>74</v>
      </c>
      <c r="AH541" s="1" t="s">
        <v>74</v>
      </c>
      <c r="AI541" s="1" t="s">
        <v>74</v>
      </c>
      <c r="AJ541" s="1" t="s">
        <v>74</v>
      </c>
      <c r="AK541" s="1" t="s">
        <v>74</v>
      </c>
      <c r="AL541" s="1" t="s">
        <v>74</v>
      </c>
      <c r="AM541" s="1" t="s">
        <v>74</v>
      </c>
      <c r="AN541" s="1" t="s">
        <v>74</v>
      </c>
      <c r="AO541" s="1" t="s">
        <v>5298</v>
      </c>
      <c r="AP541" s="1" t="s">
        <v>5299</v>
      </c>
      <c r="AQ541" s="1" t="s">
        <v>74</v>
      </c>
      <c r="AR541" s="1" t="s">
        <v>74</v>
      </c>
      <c r="AS541" s="1" t="s">
        <v>74</v>
      </c>
      <c r="AT541" s="1" t="s">
        <v>2781</v>
      </c>
      <c r="AU541" s="1">
        <v>2019.0</v>
      </c>
      <c r="AV541" s="1">
        <v>123.0</v>
      </c>
      <c r="AW541" s="1">
        <v>32.0</v>
      </c>
      <c r="AX541" s="1" t="s">
        <v>74</v>
      </c>
      <c r="AY541" s="1" t="s">
        <v>74</v>
      </c>
      <c r="AZ541" s="1" t="s">
        <v>74</v>
      </c>
      <c r="BA541" s="1" t="s">
        <v>74</v>
      </c>
      <c r="BB541" s="1">
        <v>19468.0</v>
      </c>
      <c r="BC541" s="1">
        <v>19478.0</v>
      </c>
      <c r="BD541" s="1" t="s">
        <v>74</v>
      </c>
      <c r="BE541" s="1" t="s">
        <v>5300</v>
      </c>
      <c r="BF541" s="2" t="str">
        <f>HYPERLINK("http://dx.doi.org/10.1021/acs.jpcc.9b03200","http://dx.doi.org/10.1021/acs.jpcc.9b03200")</f>
        <v>http://dx.doi.org/10.1021/acs.jpcc.9b03200</v>
      </c>
      <c r="BG541" s="1" t="s">
        <v>74</v>
      </c>
      <c r="BH541" s="1" t="s">
        <v>74</v>
      </c>
      <c r="BI541" s="1" t="s">
        <v>74</v>
      </c>
      <c r="BJ541" s="1" t="s">
        <v>74</v>
      </c>
      <c r="BK541" s="1" t="s">
        <v>74</v>
      </c>
      <c r="BL541" s="1" t="s">
        <v>74</v>
      </c>
      <c r="BM541" s="1" t="s">
        <v>74</v>
      </c>
      <c r="BN541" s="1" t="s">
        <v>74</v>
      </c>
      <c r="BO541" s="1" t="s">
        <v>74</v>
      </c>
      <c r="BP541" s="1" t="s">
        <v>74</v>
      </c>
      <c r="BQ541" s="1" t="s">
        <v>74</v>
      </c>
      <c r="BR541" s="1" t="s">
        <v>74</v>
      </c>
      <c r="BS541" s="1" t="s">
        <v>5301</v>
      </c>
      <c r="BT541" s="1" t="str">
        <f>HYPERLINK("https%3A%2F%2Fwww.webofscience.com%2Fwos%2Fwoscc%2Ffull-record%2FWOS:000481568900025","View Full Record in Web of Science")</f>
        <v>View Full Record in Web of Science</v>
      </c>
    </row>
    <row r="542" ht="12.75" customHeight="1">
      <c r="A542" s="1" t="s">
        <v>72</v>
      </c>
      <c r="B542" s="1" t="s">
        <v>5302</v>
      </c>
      <c r="C542" s="1" t="s">
        <v>74</v>
      </c>
      <c r="D542" s="1" t="s">
        <v>74</v>
      </c>
      <c r="E542" s="1" t="s">
        <v>74</v>
      </c>
      <c r="F542" s="1" t="s">
        <v>5303</v>
      </c>
      <c r="G542" s="1" t="s">
        <v>74</v>
      </c>
      <c r="H542" s="1" t="s">
        <v>74</v>
      </c>
      <c r="I542" s="1" t="s">
        <v>5304</v>
      </c>
      <c r="J542" s="1" t="s">
        <v>5305</v>
      </c>
      <c r="K542" s="1" t="s">
        <v>74</v>
      </c>
      <c r="L542" s="1" t="s">
        <v>74</v>
      </c>
      <c r="M542" s="1" t="s">
        <v>74</v>
      </c>
      <c r="N542" s="1" t="s">
        <v>74</v>
      </c>
      <c r="O542" s="1" t="s">
        <v>74</v>
      </c>
      <c r="P542" s="1" t="s">
        <v>74</v>
      </c>
      <c r="Q542" s="1" t="s">
        <v>74</v>
      </c>
      <c r="R542" s="1" t="s">
        <v>74</v>
      </c>
      <c r="S542" s="1" t="s">
        <v>74</v>
      </c>
      <c r="T542" s="1" t="s">
        <v>74</v>
      </c>
      <c r="U542" s="1" t="s">
        <v>74</v>
      </c>
      <c r="V542" s="1" t="s">
        <v>5306</v>
      </c>
      <c r="W542" s="1" t="s">
        <v>74</v>
      </c>
      <c r="X542" s="1" t="s">
        <v>74</v>
      </c>
      <c r="Y542" s="1" t="s">
        <v>74</v>
      </c>
      <c r="Z542" s="1" t="s">
        <v>74</v>
      </c>
      <c r="AA542" s="1" t="s">
        <v>5307</v>
      </c>
      <c r="AB542" s="1" t="s">
        <v>5308</v>
      </c>
      <c r="AC542" s="1" t="s">
        <v>74</v>
      </c>
      <c r="AD542" s="1" t="s">
        <v>74</v>
      </c>
      <c r="AE542" s="1" t="s">
        <v>74</v>
      </c>
      <c r="AF542" s="1" t="s">
        <v>74</v>
      </c>
      <c r="AG542" s="1" t="s">
        <v>74</v>
      </c>
      <c r="AH542" s="1" t="s">
        <v>74</v>
      </c>
      <c r="AI542" s="1" t="s">
        <v>74</v>
      </c>
      <c r="AJ542" s="1" t="s">
        <v>74</v>
      </c>
      <c r="AK542" s="1" t="s">
        <v>74</v>
      </c>
      <c r="AL542" s="1" t="s">
        <v>74</v>
      </c>
      <c r="AM542" s="1" t="s">
        <v>74</v>
      </c>
      <c r="AN542" s="1" t="s">
        <v>74</v>
      </c>
      <c r="AO542" s="1" t="s">
        <v>5309</v>
      </c>
      <c r="AP542" s="1" t="s">
        <v>5310</v>
      </c>
      <c r="AQ542" s="1" t="s">
        <v>74</v>
      </c>
      <c r="AR542" s="1" t="s">
        <v>74</v>
      </c>
      <c r="AS542" s="1" t="s">
        <v>74</v>
      </c>
      <c r="AT542" s="1" t="s">
        <v>621</v>
      </c>
      <c r="AU542" s="1">
        <v>2019.0</v>
      </c>
      <c r="AV542" s="1">
        <v>18.0</v>
      </c>
      <c r="AW542" s="1">
        <v>7.0</v>
      </c>
      <c r="AX542" s="1" t="s">
        <v>74</v>
      </c>
      <c r="AY542" s="1" t="s">
        <v>74</v>
      </c>
      <c r="AZ542" s="1" t="s">
        <v>74</v>
      </c>
      <c r="BA542" s="1" t="s">
        <v>74</v>
      </c>
      <c r="BB542" s="1" t="s">
        <v>74</v>
      </c>
      <c r="BC542" s="1" t="s">
        <v>74</v>
      </c>
      <c r="BD542" s="1">
        <v>1950135.0</v>
      </c>
      <c r="BE542" s="1" t="s">
        <v>5311</v>
      </c>
      <c r="BF542" s="2" t="str">
        <f>HYPERLINK("http://dx.doi.org/10.1142/S0219498819501354","http://dx.doi.org/10.1142/S0219498819501354")</f>
        <v>http://dx.doi.org/10.1142/S0219498819501354</v>
      </c>
      <c r="BG542" s="1" t="s">
        <v>74</v>
      </c>
      <c r="BH542" s="1" t="s">
        <v>74</v>
      </c>
      <c r="BI542" s="1" t="s">
        <v>74</v>
      </c>
      <c r="BJ542" s="1" t="s">
        <v>74</v>
      </c>
      <c r="BK542" s="1" t="s">
        <v>74</v>
      </c>
      <c r="BL542" s="1" t="s">
        <v>74</v>
      </c>
      <c r="BM542" s="1" t="s">
        <v>74</v>
      </c>
      <c r="BN542" s="1" t="s">
        <v>74</v>
      </c>
      <c r="BO542" s="1" t="s">
        <v>74</v>
      </c>
      <c r="BP542" s="1" t="s">
        <v>74</v>
      </c>
      <c r="BQ542" s="1" t="s">
        <v>74</v>
      </c>
      <c r="BR542" s="1" t="s">
        <v>74</v>
      </c>
      <c r="BS542" s="1" t="s">
        <v>5312</v>
      </c>
      <c r="BT542" s="1" t="str">
        <f>HYPERLINK("https%3A%2F%2Fwww.webofscience.com%2Fwos%2Fwoscc%2Ffull-record%2FWOS:000474373700015","View Full Record in Web of Science")</f>
        <v>View Full Record in Web of Science</v>
      </c>
    </row>
    <row r="543" ht="12.75" customHeight="1">
      <c r="A543" s="1" t="s">
        <v>72</v>
      </c>
      <c r="B543" s="1" t="s">
        <v>5313</v>
      </c>
      <c r="C543" s="1" t="s">
        <v>74</v>
      </c>
      <c r="D543" s="1" t="s">
        <v>74</v>
      </c>
      <c r="E543" s="1" t="s">
        <v>74</v>
      </c>
      <c r="F543" s="1" t="s">
        <v>5314</v>
      </c>
      <c r="G543" s="1" t="s">
        <v>74</v>
      </c>
      <c r="H543" s="1" t="s">
        <v>74</v>
      </c>
      <c r="I543" s="1" t="s">
        <v>5315</v>
      </c>
      <c r="J543" s="1" t="s">
        <v>5316</v>
      </c>
      <c r="K543" s="1" t="s">
        <v>74</v>
      </c>
      <c r="L543" s="1" t="s">
        <v>74</v>
      </c>
      <c r="M543" s="1" t="s">
        <v>74</v>
      </c>
      <c r="N543" s="1" t="s">
        <v>74</v>
      </c>
      <c r="O543" s="1" t="s">
        <v>74</v>
      </c>
      <c r="P543" s="1" t="s">
        <v>74</v>
      </c>
      <c r="Q543" s="1" t="s">
        <v>74</v>
      </c>
      <c r="R543" s="1" t="s">
        <v>74</v>
      </c>
      <c r="S543" s="1" t="s">
        <v>74</v>
      </c>
      <c r="T543" s="1" t="s">
        <v>74</v>
      </c>
      <c r="U543" s="1" t="s">
        <v>74</v>
      </c>
      <c r="V543" s="1" t="s">
        <v>5317</v>
      </c>
      <c r="W543" s="1" t="s">
        <v>74</v>
      </c>
      <c r="X543" s="1" t="s">
        <v>74</v>
      </c>
      <c r="Y543" s="1" t="s">
        <v>74</v>
      </c>
      <c r="Z543" s="1" t="s">
        <v>74</v>
      </c>
      <c r="AA543" s="1" t="s">
        <v>4533</v>
      </c>
      <c r="AB543" s="1" t="s">
        <v>5318</v>
      </c>
      <c r="AC543" s="1" t="s">
        <v>74</v>
      </c>
      <c r="AD543" s="1" t="s">
        <v>74</v>
      </c>
      <c r="AE543" s="1" t="s">
        <v>74</v>
      </c>
      <c r="AF543" s="1" t="s">
        <v>74</v>
      </c>
      <c r="AG543" s="1" t="s">
        <v>74</v>
      </c>
      <c r="AH543" s="1" t="s">
        <v>74</v>
      </c>
      <c r="AI543" s="1" t="s">
        <v>74</v>
      </c>
      <c r="AJ543" s="1" t="s">
        <v>74</v>
      </c>
      <c r="AK543" s="1" t="s">
        <v>74</v>
      </c>
      <c r="AL543" s="1" t="s">
        <v>74</v>
      </c>
      <c r="AM543" s="1" t="s">
        <v>74</v>
      </c>
      <c r="AN543" s="1" t="s">
        <v>74</v>
      </c>
      <c r="AO543" s="1" t="s">
        <v>5319</v>
      </c>
      <c r="AP543" s="1" t="s">
        <v>5320</v>
      </c>
      <c r="AQ543" s="1" t="s">
        <v>74</v>
      </c>
      <c r="AR543" s="1" t="s">
        <v>74</v>
      </c>
      <c r="AS543" s="1" t="s">
        <v>74</v>
      </c>
      <c r="AT543" s="1" t="s">
        <v>5321</v>
      </c>
      <c r="AU543" s="1">
        <v>2019.0</v>
      </c>
      <c r="AV543" s="1">
        <v>10.0</v>
      </c>
      <c r="AW543" s="1">
        <v>1.0</v>
      </c>
      <c r="AX543" s="1" t="s">
        <v>74</v>
      </c>
      <c r="AY543" s="1" t="s">
        <v>74</v>
      </c>
      <c r="AZ543" s="1" t="s">
        <v>74</v>
      </c>
      <c r="BA543" s="1" t="s">
        <v>74</v>
      </c>
      <c r="BB543" s="1">
        <v>58.0</v>
      </c>
      <c r="BC543" s="1">
        <v>80.0</v>
      </c>
      <c r="BD543" s="1" t="s">
        <v>74</v>
      </c>
      <c r="BE543" s="1" t="s">
        <v>5322</v>
      </c>
      <c r="BF543" s="2" t="str">
        <f>HYPERLINK("http://dx.doi.org/10.1108/IJLSS-01-2018-0001","http://dx.doi.org/10.1108/IJLSS-01-2018-0001")</f>
        <v>http://dx.doi.org/10.1108/IJLSS-01-2018-0001</v>
      </c>
      <c r="BG543" s="1" t="s">
        <v>74</v>
      </c>
      <c r="BH543" s="1" t="s">
        <v>74</v>
      </c>
      <c r="BI543" s="1" t="s">
        <v>74</v>
      </c>
      <c r="BJ543" s="1" t="s">
        <v>74</v>
      </c>
      <c r="BK543" s="1" t="s">
        <v>74</v>
      </c>
      <c r="BL543" s="1" t="s">
        <v>74</v>
      </c>
      <c r="BM543" s="1" t="s">
        <v>74</v>
      </c>
      <c r="BN543" s="1" t="s">
        <v>74</v>
      </c>
      <c r="BO543" s="1" t="s">
        <v>74</v>
      </c>
      <c r="BP543" s="1" t="s">
        <v>74</v>
      </c>
      <c r="BQ543" s="1" t="s">
        <v>74</v>
      </c>
      <c r="BR543" s="1" t="s">
        <v>74</v>
      </c>
      <c r="BS543" s="1" t="s">
        <v>5323</v>
      </c>
      <c r="BT543" s="1" t="str">
        <f>HYPERLINK("https%3A%2F%2Fwww.webofscience.com%2Fwos%2Fwoscc%2Ffull-record%2FWOS:000461199200004","View Full Record in Web of Science")</f>
        <v>View Full Record in Web of Science</v>
      </c>
    </row>
    <row r="544" ht="12.75" customHeight="1">
      <c r="A544" s="1" t="s">
        <v>147</v>
      </c>
      <c r="B544" s="1" t="s">
        <v>5324</v>
      </c>
      <c r="C544" s="1" t="s">
        <v>74</v>
      </c>
      <c r="D544" s="1" t="s">
        <v>5325</v>
      </c>
      <c r="E544" s="1" t="s">
        <v>74</v>
      </c>
      <c r="F544" s="1" t="s">
        <v>5326</v>
      </c>
      <c r="G544" s="1" t="s">
        <v>74</v>
      </c>
      <c r="H544" s="1" t="s">
        <v>74</v>
      </c>
      <c r="I544" s="1" t="s">
        <v>5327</v>
      </c>
      <c r="J544" s="1" t="s">
        <v>5328</v>
      </c>
      <c r="K544" s="1" t="s">
        <v>74</v>
      </c>
      <c r="L544" s="1" t="s">
        <v>74</v>
      </c>
      <c r="M544" s="1" t="s">
        <v>74</v>
      </c>
      <c r="N544" s="1" t="s">
        <v>74</v>
      </c>
      <c r="O544" s="1" t="s">
        <v>5329</v>
      </c>
      <c r="P544" s="1" t="s">
        <v>5330</v>
      </c>
      <c r="Q544" s="1" t="s">
        <v>5331</v>
      </c>
      <c r="R544" s="1" t="s">
        <v>74</v>
      </c>
      <c r="S544" s="1" t="s">
        <v>74</v>
      </c>
      <c r="T544" s="1" t="s">
        <v>74</v>
      </c>
      <c r="U544" s="1" t="s">
        <v>74</v>
      </c>
      <c r="V544" s="1" t="s">
        <v>5332</v>
      </c>
      <c r="W544" s="1" t="s">
        <v>74</v>
      </c>
      <c r="X544" s="1" t="s">
        <v>74</v>
      </c>
      <c r="Y544" s="1" t="s">
        <v>74</v>
      </c>
      <c r="Z544" s="1" t="s">
        <v>74</v>
      </c>
      <c r="AA544" s="1" t="s">
        <v>5333</v>
      </c>
      <c r="AB544" s="1" t="s">
        <v>74</v>
      </c>
      <c r="AC544" s="1" t="s">
        <v>74</v>
      </c>
      <c r="AD544" s="1" t="s">
        <v>74</v>
      </c>
      <c r="AE544" s="1" t="s">
        <v>74</v>
      </c>
      <c r="AF544" s="1" t="s">
        <v>74</v>
      </c>
      <c r="AG544" s="1" t="s">
        <v>74</v>
      </c>
      <c r="AH544" s="1" t="s">
        <v>74</v>
      </c>
      <c r="AI544" s="1" t="s">
        <v>74</v>
      </c>
      <c r="AJ544" s="1" t="s">
        <v>74</v>
      </c>
      <c r="AK544" s="1" t="s">
        <v>74</v>
      </c>
      <c r="AL544" s="1" t="s">
        <v>74</v>
      </c>
      <c r="AM544" s="1" t="s">
        <v>74</v>
      </c>
      <c r="AN544" s="1" t="s">
        <v>74</v>
      </c>
      <c r="AO544" s="1" t="s">
        <v>74</v>
      </c>
      <c r="AP544" s="1" t="s">
        <v>74</v>
      </c>
      <c r="AQ544" s="1" t="s">
        <v>5334</v>
      </c>
      <c r="AR544" s="1" t="s">
        <v>74</v>
      </c>
      <c r="AS544" s="1" t="s">
        <v>74</v>
      </c>
      <c r="AT544" s="1" t="s">
        <v>74</v>
      </c>
      <c r="AU544" s="1">
        <v>2019.0</v>
      </c>
      <c r="AV544" s="1" t="s">
        <v>74</v>
      </c>
      <c r="AW544" s="1" t="s">
        <v>74</v>
      </c>
      <c r="AX544" s="1" t="s">
        <v>74</v>
      </c>
      <c r="AY544" s="1" t="s">
        <v>74</v>
      </c>
      <c r="AZ544" s="1" t="s">
        <v>74</v>
      </c>
      <c r="BA544" s="1" t="s">
        <v>74</v>
      </c>
      <c r="BB544" s="1">
        <v>29.0</v>
      </c>
      <c r="BC544" s="1">
        <v>37.0</v>
      </c>
      <c r="BD544" s="1" t="s">
        <v>74</v>
      </c>
      <c r="BE544" s="1" t="s">
        <v>74</v>
      </c>
      <c r="BF544" s="1" t="s">
        <v>74</v>
      </c>
      <c r="BG544" s="1" t="s">
        <v>74</v>
      </c>
      <c r="BH544" s="1" t="s">
        <v>74</v>
      </c>
      <c r="BI544" s="1" t="s">
        <v>74</v>
      </c>
      <c r="BJ544" s="1" t="s">
        <v>74</v>
      </c>
      <c r="BK544" s="1" t="s">
        <v>74</v>
      </c>
      <c r="BL544" s="1" t="s">
        <v>74</v>
      </c>
      <c r="BM544" s="1" t="s">
        <v>74</v>
      </c>
      <c r="BN544" s="1" t="s">
        <v>74</v>
      </c>
      <c r="BO544" s="1" t="s">
        <v>74</v>
      </c>
      <c r="BP544" s="1" t="s">
        <v>74</v>
      </c>
      <c r="BQ544" s="1" t="s">
        <v>74</v>
      </c>
      <c r="BR544" s="1" t="s">
        <v>74</v>
      </c>
      <c r="BS544" s="1" t="s">
        <v>5335</v>
      </c>
      <c r="BT544" s="1" t="str">
        <f>HYPERLINK("https%3A%2F%2Fwww.webofscience.com%2Fwos%2Fwoscc%2Ffull-record%2FWOS:000550986200004","View Full Record in Web of Science")</f>
        <v>View Full Record in Web of Science</v>
      </c>
    </row>
    <row r="545" ht="12.75" customHeight="1">
      <c r="A545" s="1" t="s">
        <v>72</v>
      </c>
      <c r="B545" s="1" t="s">
        <v>5336</v>
      </c>
      <c r="C545" s="1" t="s">
        <v>74</v>
      </c>
      <c r="D545" s="1" t="s">
        <v>74</v>
      </c>
      <c r="E545" s="1" t="s">
        <v>74</v>
      </c>
      <c r="F545" s="1" t="s">
        <v>5337</v>
      </c>
      <c r="G545" s="1" t="s">
        <v>74</v>
      </c>
      <c r="H545" s="1" t="s">
        <v>74</v>
      </c>
      <c r="I545" s="1" t="s">
        <v>5338</v>
      </c>
      <c r="J545" s="1" t="s">
        <v>3368</v>
      </c>
      <c r="K545" s="1" t="s">
        <v>74</v>
      </c>
      <c r="L545" s="1" t="s">
        <v>74</v>
      </c>
      <c r="M545" s="1" t="s">
        <v>74</v>
      </c>
      <c r="N545" s="1" t="s">
        <v>74</v>
      </c>
      <c r="O545" s="1" t="s">
        <v>74</v>
      </c>
      <c r="P545" s="1" t="s">
        <v>74</v>
      </c>
      <c r="Q545" s="1" t="s">
        <v>74</v>
      </c>
      <c r="R545" s="1" t="s">
        <v>74</v>
      </c>
      <c r="S545" s="1" t="s">
        <v>74</v>
      </c>
      <c r="T545" s="1" t="s">
        <v>74</v>
      </c>
      <c r="U545" s="1" t="s">
        <v>74</v>
      </c>
      <c r="V545" s="1" t="s">
        <v>5339</v>
      </c>
      <c r="W545" s="1" t="s">
        <v>74</v>
      </c>
      <c r="X545" s="1" t="s">
        <v>74</v>
      </c>
      <c r="Y545" s="1" t="s">
        <v>74</v>
      </c>
      <c r="Z545" s="1" t="s">
        <v>74</v>
      </c>
      <c r="AA545" s="1" t="s">
        <v>74</v>
      </c>
      <c r="AB545" s="1" t="s">
        <v>5340</v>
      </c>
      <c r="AC545" s="1" t="s">
        <v>74</v>
      </c>
      <c r="AD545" s="1" t="s">
        <v>74</v>
      </c>
      <c r="AE545" s="1" t="s">
        <v>74</v>
      </c>
      <c r="AF545" s="1" t="s">
        <v>74</v>
      </c>
      <c r="AG545" s="1" t="s">
        <v>74</v>
      </c>
      <c r="AH545" s="1" t="s">
        <v>74</v>
      </c>
      <c r="AI545" s="1" t="s">
        <v>74</v>
      </c>
      <c r="AJ545" s="1" t="s">
        <v>74</v>
      </c>
      <c r="AK545" s="1" t="s">
        <v>74</v>
      </c>
      <c r="AL545" s="1" t="s">
        <v>74</v>
      </c>
      <c r="AM545" s="1" t="s">
        <v>74</v>
      </c>
      <c r="AN545" s="1" t="s">
        <v>74</v>
      </c>
      <c r="AO545" s="1" t="s">
        <v>3372</v>
      </c>
      <c r="AP545" s="1" t="s">
        <v>3373</v>
      </c>
      <c r="AQ545" s="1" t="s">
        <v>74</v>
      </c>
      <c r="AR545" s="1" t="s">
        <v>74</v>
      </c>
      <c r="AS545" s="1" t="s">
        <v>74</v>
      </c>
      <c r="AT545" s="1" t="s">
        <v>415</v>
      </c>
      <c r="AU545" s="1">
        <v>2018.0</v>
      </c>
      <c r="AV545" s="1">
        <v>20.0</v>
      </c>
      <c r="AW545" s="1">
        <v>8.0</v>
      </c>
      <c r="AX545" s="1" t="s">
        <v>74</v>
      </c>
      <c r="AY545" s="1" t="s">
        <v>74</v>
      </c>
      <c r="AZ545" s="1" t="s">
        <v>74</v>
      </c>
      <c r="BA545" s="1" t="s">
        <v>74</v>
      </c>
      <c r="BB545" s="1" t="s">
        <v>74</v>
      </c>
      <c r="BC545" s="1" t="s">
        <v>74</v>
      </c>
      <c r="BD545" s="1">
        <v>1750075.0</v>
      </c>
      <c r="BE545" s="1" t="s">
        <v>5341</v>
      </c>
      <c r="BF545" s="2" t="str">
        <f>HYPERLINK("http://dx.doi.org/10.1142/S0219199717500754","http://dx.doi.org/10.1142/S0219199717500754")</f>
        <v>http://dx.doi.org/10.1142/S0219199717500754</v>
      </c>
      <c r="BG545" s="1" t="s">
        <v>74</v>
      </c>
      <c r="BH545" s="1" t="s">
        <v>74</v>
      </c>
      <c r="BI545" s="1" t="s">
        <v>74</v>
      </c>
      <c r="BJ545" s="1" t="s">
        <v>74</v>
      </c>
      <c r="BK545" s="1" t="s">
        <v>74</v>
      </c>
      <c r="BL545" s="1" t="s">
        <v>74</v>
      </c>
      <c r="BM545" s="1" t="s">
        <v>74</v>
      </c>
      <c r="BN545" s="1" t="s">
        <v>74</v>
      </c>
      <c r="BO545" s="1" t="s">
        <v>74</v>
      </c>
      <c r="BP545" s="1" t="s">
        <v>74</v>
      </c>
      <c r="BQ545" s="1" t="s">
        <v>74</v>
      </c>
      <c r="BR545" s="1" t="s">
        <v>74</v>
      </c>
      <c r="BS545" s="1" t="s">
        <v>5342</v>
      </c>
      <c r="BT545" s="1" t="str">
        <f>HYPERLINK("https%3A%2F%2Fwww.webofscience.com%2Fwos%2Fwoscc%2Ffull-record%2FWOS:000452169500005","View Full Record in Web of Science")</f>
        <v>View Full Record in Web of Science</v>
      </c>
    </row>
    <row r="546" ht="12.75" customHeight="1">
      <c r="A546" s="1" t="s">
        <v>72</v>
      </c>
      <c r="B546" s="1" t="s">
        <v>5343</v>
      </c>
      <c r="C546" s="1" t="s">
        <v>74</v>
      </c>
      <c r="D546" s="1" t="s">
        <v>74</v>
      </c>
      <c r="E546" s="1" t="s">
        <v>74</v>
      </c>
      <c r="F546" s="1" t="s">
        <v>5344</v>
      </c>
      <c r="G546" s="1" t="s">
        <v>74</v>
      </c>
      <c r="H546" s="1" t="s">
        <v>74</v>
      </c>
      <c r="I546" s="1" t="s">
        <v>5345</v>
      </c>
      <c r="J546" s="1" t="s">
        <v>5346</v>
      </c>
      <c r="K546" s="1" t="s">
        <v>74</v>
      </c>
      <c r="L546" s="1" t="s">
        <v>74</v>
      </c>
      <c r="M546" s="1" t="s">
        <v>74</v>
      </c>
      <c r="N546" s="1" t="s">
        <v>74</v>
      </c>
      <c r="O546" s="1" t="s">
        <v>5347</v>
      </c>
      <c r="P546" s="1" t="s">
        <v>5348</v>
      </c>
      <c r="Q546" s="1" t="s">
        <v>5349</v>
      </c>
      <c r="R546" s="1" t="s">
        <v>5350</v>
      </c>
      <c r="S546" s="1" t="s">
        <v>74</v>
      </c>
      <c r="T546" s="1" t="s">
        <v>74</v>
      </c>
      <c r="U546" s="1" t="s">
        <v>74</v>
      </c>
      <c r="V546" s="1" t="s">
        <v>74</v>
      </c>
      <c r="W546" s="1" t="s">
        <v>74</v>
      </c>
      <c r="X546" s="1" t="s">
        <v>74</v>
      </c>
      <c r="Y546" s="1" t="s">
        <v>74</v>
      </c>
      <c r="Z546" s="1" t="s">
        <v>74</v>
      </c>
      <c r="AA546" s="1" t="s">
        <v>5351</v>
      </c>
      <c r="AB546" s="1" t="s">
        <v>1634</v>
      </c>
      <c r="AC546" s="1" t="s">
        <v>74</v>
      </c>
      <c r="AD546" s="1" t="s">
        <v>74</v>
      </c>
      <c r="AE546" s="1" t="s">
        <v>74</v>
      </c>
      <c r="AF546" s="1" t="s">
        <v>74</v>
      </c>
      <c r="AG546" s="1" t="s">
        <v>74</v>
      </c>
      <c r="AH546" s="1" t="s">
        <v>74</v>
      </c>
      <c r="AI546" s="1" t="s">
        <v>74</v>
      </c>
      <c r="AJ546" s="1" t="s">
        <v>74</v>
      </c>
      <c r="AK546" s="1" t="s">
        <v>74</v>
      </c>
      <c r="AL546" s="1" t="s">
        <v>74</v>
      </c>
      <c r="AM546" s="1" t="s">
        <v>74</v>
      </c>
      <c r="AN546" s="1" t="s">
        <v>74</v>
      </c>
      <c r="AO546" s="1" t="s">
        <v>5352</v>
      </c>
      <c r="AP546" s="1" t="s">
        <v>5353</v>
      </c>
      <c r="AQ546" s="1" t="s">
        <v>74</v>
      </c>
      <c r="AR546" s="1" t="s">
        <v>74</v>
      </c>
      <c r="AS546" s="1" t="s">
        <v>74</v>
      </c>
      <c r="AT546" s="1" t="s">
        <v>421</v>
      </c>
      <c r="AU546" s="1">
        <v>2017.0</v>
      </c>
      <c r="AV546" s="1">
        <v>49.0</v>
      </c>
      <c r="AW546" s="1">
        <v>5.0</v>
      </c>
      <c r="AX546" s="1" t="s">
        <v>74</v>
      </c>
      <c r="AY546" s="1">
        <v>1.0</v>
      </c>
      <c r="AZ546" s="1" t="s">
        <v>74</v>
      </c>
      <c r="BA546" s="1">
        <v>2197.0</v>
      </c>
      <c r="BB546" s="1">
        <v>612.0</v>
      </c>
      <c r="BC546" s="1">
        <v>612.0</v>
      </c>
      <c r="BD546" s="1" t="s">
        <v>74</v>
      </c>
      <c r="BE546" s="1" t="s">
        <v>5354</v>
      </c>
      <c r="BF546" s="2" t="str">
        <f>HYPERLINK("http://dx.doi.org/10.1249/01.mss.0000518604.34535.66","http://dx.doi.org/10.1249/01.mss.0000518604.34535.66")</f>
        <v>http://dx.doi.org/10.1249/01.mss.0000518604.34535.66</v>
      </c>
      <c r="BG546" s="1" t="s">
        <v>74</v>
      </c>
      <c r="BH546" s="1" t="s">
        <v>74</v>
      </c>
      <c r="BI546" s="1" t="s">
        <v>74</v>
      </c>
      <c r="BJ546" s="1" t="s">
        <v>74</v>
      </c>
      <c r="BK546" s="1" t="s">
        <v>74</v>
      </c>
      <c r="BL546" s="1" t="s">
        <v>74</v>
      </c>
      <c r="BM546" s="1" t="s">
        <v>74</v>
      </c>
      <c r="BN546" s="1" t="s">
        <v>74</v>
      </c>
      <c r="BO546" s="1" t="s">
        <v>74</v>
      </c>
      <c r="BP546" s="1" t="s">
        <v>74</v>
      </c>
      <c r="BQ546" s="1" t="s">
        <v>74</v>
      </c>
      <c r="BR546" s="1" t="s">
        <v>74</v>
      </c>
      <c r="BS546" s="1" t="s">
        <v>5355</v>
      </c>
      <c r="BT546" s="1" t="str">
        <f>HYPERLINK("https%3A%2F%2Fwww.webofscience.com%2Fwos%2Fwoscc%2Ffull-record%2FWOS:000415215700205","View Full Record in Web of Science")</f>
        <v>View Full Record in Web of Science</v>
      </c>
    </row>
    <row r="547" ht="12.75" customHeight="1">
      <c r="A547" s="1" t="s">
        <v>72</v>
      </c>
      <c r="B547" s="1" t="s">
        <v>5356</v>
      </c>
      <c r="C547" s="1" t="s">
        <v>74</v>
      </c>
      <c r="D547" s="1" t="s">
        <v>74</v>
      </c>
      <c r="E547" s="1" t="s">
        <v>74</v>
      </c>
      <c r="F547" s="1" t="s">
        <v>5357</v>
      </c>
      <c r="G547" s="1" t="s">
        <v>74</v>
      </c>
      <c r="H547" s="1" t="s">
        <v>74</v>
      </c>
      <c r="I547" s="1" t="s">
        <v>5358</v>
      </c>
      <c r="J547" s="1" t="s">
        <v>5359</v>
      </c>
      <c r="K547" s="1" t="s">
        <v>74</v>
      </c>
      <c r="L547" s="1" t="s">
        <v>74</v>
      </c>
      <c r="M547" s="1" t="s">
        <v>74</v>
      </c>
      <c r="N547" s="1" t="s">
        <v>74</v>
      </c>
      <c r="O547" s="1" t="s">
        <v>74</v>
      </c>
      <c r="P547" s="1" t="s">
        <v>74</v>
      </c>
      <c r="Q547" s="1" t="s">
        <v>74</v>
      </c>
      <c r="R547" s="1" t="s">
        <v>74</v>
      </c>
      <c r="S547" s="1" t="s">
        <v>74</v>
      </c>
      <c r="T547" s="1" t="s">
        <v>74</v>
      </c>
      <c r="U547" s="1" t="s">
        <v>74</v>
      </c>
      <c r="V547" s="1" t="s">
        <v>5360</v>
      </c>
      <c r="W547" s="1" t="s">
        <v>74</v>
      </c>
      <c r="X547" s="1" t="s">
        <v>74</v>
      </c>
      <c r="Y547" s="1" t="s">
        <v>74</v>
      </c>
      <c r="Z547" s="1" t="s">
        <v>74</v>
      </c>
      <c r="AA547" s="1" t="s">
        <v>5361</v>
      </c>
      <c r="AB547" s="1" t="s">
        <v>5362</v>
      </c>
      <c r="AC547" s="1" t="s">
        <v>74</v>
      </c>
      <c r="AD547" s="1" t="s">
        <v>74</v>
      </c>
      <c r="AE547" s="1" t="s">
        <v>74</v>
      </c>
      <c r="AF547" s="1" t="s">
        <v>74</v>
      </c>
      <c r="AG547" s="1" t="s">
        <v>74</v>
      </c>
      <c r="AH547" s="1" t="s">
        <v>74</v>
      </c>
      <c r="AI547" s="1" t="s">
        <v>74</v>
      </c>
      <c r="AJ547" s="1" t="s">
        <v>74</v>
      </c>
      <c r="AK547" s="1" t="s">
        <v>74</v>
      </c>
      <c r="AL547" s="1" t="s">
        <v>74</v>
      </c>
      <c r="AM547" s="1" t="s">
        <v>74</v>
      </c>
      <c r="AN547" s="1" t="s">
        <v>74</v>
      </c>
      <c r="AO547" s="1" t="s">
        <v>5363</v>
      </c>
      <c r="AP547" s="1" t="s">
        <v>74</v>
      </c>
      <c r="AQ547" s="1" t="s">
        <v>74</v>
      </c>
      <c r="AR547" s="1" t="s">
        <v>74</v>
      </c>
      <c r="AS547" s="1" t="s">
        <v>74</v>
      </c>
      <c r="AT547" s="1" t="s">
        <v>74</v>
      </c>
      <c r="AU547" s="1">
        <v>2017.0</v>
      </c>
      <c r="AV547" s="1">
        <v>10.0</v>
      </c>
      <c r="AW547" s="1" t="s">
        <v>74</v>
      </c>
      <c r="AX547" s="1" t="s">
        <v>74</v>
      </c>
      <c r="AY547" s="1">
        <v>1.0</v>
      </c>
      <c r="AZ547" s="1" t="s">
        <v>1042</v>
      </c>
      <c r="BA547" s="1" t="s">
        <v>74</v>
      </c>
      <c r="BB547" s="1" t="s">
        <v>74</v>
      </c>
      <c r="BC547" s="1" t="s">
        <v>74</v>
      </c>
      <c r="BD547" s="1">
        <v>1266176.0</v>
      </c>
      <c r="BE547" s="1" t="s">
        <v>5364</v>
      </c>
      <c r="BF547" s="2" t="str">
        <f>HYPERLINK("http://dx.doi.org/10.3402/gha.v9.32611","http://dx.doi.org/10.3402/gha.v9.32611")</f>
        <v>http://dx.doi.org/10.3402/gha.v9.32611</v>
      </c>
      <c r="BG547" s="1" t="s">
        <v>74</v>
      </c>
      <c r="BH547" s="1" t="s">
        <v>74</v>
      </c>
      <c r="BI547" s="1" t="s">
        <v>74</v>
      </c>
      <c r="BJ547" s="1" t="s">
        <v>74</v>
      </c>
      <c r="BK547" s="1" t="s">
        <v>74</v>
      </c>
      <c r="BL547" s="1" t="s">
        <v>74</v>
      </c>
      <c r="BM547" s="1" t="s">
        <v>74</v>
      </c>
      <c r="BN547" s="1">
        <v>2.8532306E7</v>
      </c>
      <c r="BO547" s="1" t="s">
        <v>74</v>
      </c>
      <c r="BP547" s="1" t="s">
        <v>74</v>
      </c>
      <c r="BQ547" s="1" t="s">
        <v>74</v>
      </c>
      <c r="BR547" s="1" t="s">
        <v>74</v>
      </c>
      <c r="BS547" s="1" t="s">
        <v>5365</v>
      </c>
      <c r="BT547" s="1" t="str">
        <f>HYPERLINK("https%3A%2F%2Fwww.webofscience.com%2Fwos%2Fwoscc%2Ffull-record%2FWOS:000402551800003","View Full Record in Web of Science")</f>
        <v>View Full Record in Web of Science</v>
      </c>
    </row>
    <row r="548" ht="12.75" customHeight="1">
      <c r="A548" s="1" t="s">
        <v>72</v>
      </c>
      <c r="B548" s="1" t="s">
        <v>5366</v>
      </c>
      <c r="C548" s="1" t="s">
        <v>74</v>
      </c>
      <c r="D548" s="1" t="s">
        <v>74</v>
      </c>
      <c r="E548" s="1" t="s">
        <v>74</v>
      </c>
      <c r="F548" s="1" t="s">
        <v>5367</v>
      </c>
      <c r="G548" s="1" t="s">
        <v>74</v>
      </c>
      <c r="H548" s="1" t="s">
        <v>74</v>
      </c>
      <c r="I548" s="1" t="s">
        <v>5368</v>
      </c>
      <c r="J548" s="1" t="s">
        <v>5369</v>
      </c>
      <c r="K548" s="1" t="s">
        <v>74</v>
      </c>
      <c r="L548" s="1" t="s">
        <v>74</v>
      </c>
      <c r="M548" s="1" t="s">
        <v>74</v>
      </c>
      <c r="N548" s="1" t="s">
        <v>74</v>
      </c>
      <c r="O548" s="1" t="s">
        <v>74</v>
      </c>
      <c r="P548" s="1" t="s">
        <v>74</v>
      </c>
      <c r="Q548" s="1" t="s">
        <v>74</v>
      </c>
      <c r="R548" s="1" t="s">
        <v>74</v>
      </c>
      <c r="S548" s="1" t="s">
        <v>74</v>
      </c>
      <c r="T548" s="1" t="s">
        <v>74</v>
      </c>
      <c r="U548" s="1" t="s">
        <v>74</v>
      </c>
      <c r="V548" s="1" t="s">
        <v>5370</v>
      </c>
      <c r="W548" s="1" t="s">
        <v>74</v>
      </c>
      <c r="X548" s="1" t="s">
        <v>74</v>
      </c>
      <c r="Y548" s="1" t="s">
        <v>74</v>
      </c>
      <c r="Z548" s="1" t="s">
        <v>74</v>
      </c>
      <c r="AA548" s="1" t="s">
        <v>5371</v>
      </c>
      <c r="AB548" s="1" t="s">
        <v>5372</v>
      </c>
      <c r="AC548" s="1" t="s">
        <v>74</v>
      </c>
      <c r="AD548" s="1" t="s">
        <v>74</v>
      </c>
      <c r="AE548" s="1" t="s">
        <v>74</v>
      </c>
      <c r="AF548" s="1" t="s">
        <v>74</v>
      </c>
      <c r="AG548" s="1" t="s">
        <v>74</v>
      </c>
      <c r="AH548" s="1" t="s">
        <v>74</v>
      </c>
      <c r="AI548" s="1" t="s">
        <v>74</v>
      </c>
      <c r="AJ548" s="1" t="s">
        <v>74</v>
      </c>
      <c r="AK548" s="1" t="s">
        <v>74</v>
      </c>
      <c r="AL548" s="1" t="s">
        <v>74</v>
      </c>
      <c r="AM548" s="1" t="s">
        <v>74</v>
      </c>
      <c r="AN548" s="1" t="s">
        <v>74</v>
      </c>
      <c r="AO548" s="1" t="s">
        <v>5373</v>
      </c>
      <c r="AP548" s="1" t="s">
        <v>5374</v>
      </c>
      <c r="AQ548" s="1" t="s">
        <v>74</v>
      </c>
      <c r="AR548" s="1" t="s">
        <v>74</v>
      </c>
      <c r="AS548" s="1" t="s">
        <v>74</v>
      </c>
      <c r="AT548" s="1" t="s">
        <v>964</v>
      </c>
      <c r="AU548" s="1">
        <v>2016.0</v>
      </c>
      <c r="AV548" s="1">
        <v>28.0</v>
      </c>
      <c r="AW548" s="1">
        <v>1.0</v>
      </c>
      <c r="AX548" s="1" t="s">
        <v>74</v>
      </c>
      <c r="AY548" s="1" t="s">
        <v>74</v>
      </c>
      <c r="AZ548" s="1" t="s">
        <v>74</v>
      </c>
      <c r="BA548" s="1" t="s">
        <v>74</v>
      </c>
      <c r="BB548" s="1">
        <v>130.0</v>
      </c>
      <c r="BC548" s="1">
        <v>156.0</v>
      </c>
      <c r="BD548" s="1" t="s">
        <v>74</v>
      </c>
      <c r="BE548" s="1" t="s">
        <v>5375</v>
      </c>
      <c r="BF548" s="2" t="str">
        <f>HYPERLINK("http://dx.doi.org/10.1080/11356405.2015.1120448","http://dx.doi.org/10.1080/11356405.2015.1120448")</f>
        <v>http://dx.doi.org/10.1080/11356405.2015.1120448</v>
      </c>
      <c r="BG548" s="1" t="s">
        <v>74</v>
      </c>
      <c r="BH548" s="1" t="s">
        <v>74</v>
      </c>
      <c r="BI548" s="1" t="s">
        <v>74</v>
      </c>
      <c r="BJ548" s="1" t="s">
        <v>74</v>
      </c>
      <c r="BK548" s="1" t="s">
        <v>74</v>
      </c>
      <c r="BL548" s="1" t="s">
        <v>74</v>
      </c>
      <c r="BM548" s="1" t="s">
        <v>74</v>
      </c>
      <c r="BN548" s="1" t="s">
        <v>74</v>
      </c>
      <c r="BO548" s="1" t="s">
        <v>74</v>
      </c>
      <c r="BP548" s="1" t="s">
        <v>74</v>
      </c>
      <c r="BQ548" s="1" t="s">
        <v>74</v>
      </c>
      <c r="BR548" s="1" t="s">
        <v>74</v>
      </c>
      <c r="BS548" s="1" t="s">
        <v>5376</v>
      </c>
      <c r="BT548" s="1" t="str">
        <f>HYPERLINK("https%3A%2F%2Fwww.webofscience.com%2Fwos%2Fwoscc%2Ffull-record%2FWOS:000372022400005","View Full Record in Web of Science")</f>
        <v>View Full Record in Web of Science</v>
      </c>
    </row>
    <row r="549" ht="12.75" customHeight="1">
      <c r="A549" s="1" t="s">
        <v>72</v>
      </c>
      <c r="B549" s="1" t="s">
        <v>5377</v>
      </c>
      <c r="C549" s="1" t="s">
        <v>74</v>
      </c>
      <c r="D549" s="1" t="s">
        <v>74</v>
      </c>
      <c r="E549" s="1" t="s">
        <v>74</v>
      </c>
      <c r="F549" s="1" t="s">
        <v>5378</v>
      </c>
      <c r="G549" s="1" t="s">
        <v>74</v>
      </c>
      <c r="H549" s="1" t="s">
        <v>74</v>
      </c>
      <c r="I549" s="1" t="s">
        <v>5379</v>
      </c>
      <c r="J549" s="1" t="s">
        <v>1107</v>
      </c>
      <c r="K549" s="1" t="s">
        <v>74</v>
      </c>
      <c r="L549" s="1" t="s">
        <v>74</v>
      </c>
      <c r="M549" s="1" t="s">
        <v>74</v>
      </c>
      <c r="N549" s="1" t="s">
        <v>74</v>
      </c>
      <c r="O549" s="1" t="s">
        <v>74</v>
      </c>
      <c r="P549" s="1" t="s">
        <v>74</v>
      </c>
      <c r="Q549" s="1" t="s">
        <v>74</v>
      </c>
      <c r="R549" s="1" t="s">
        <v>74</v>
      </c>
      <c r="S549" s="1" t="s">
        <v>74</v>
      </c>
      <c r="T549" s="1" t="s">
        <v>74</v>
      </c>
      <c r="U549" s="1" t="s">
        <v>74</v>
      </c>
      <c r="V549" s="1" t="s">
        <v>5380</v>
      </c>
      <c r="W549" s="1" t="s">
        <v>74</v>
      </c>
      <c r="X549" s="1" t="s">
        <v>74</v>
      </c>
      <c r="Y549" s="1" t="s">
        <v>74</v>
      </c>
      <c r="Z549" s="1" t="s">
        <v>74</v>
      </c>
      <c r="AA549" s="1" t="s">
        <v>5381</v>
      </c>
      <c r="AB549" s="1" t="s">
        <v>5382</v>
      </c>
      <c r="AC549" s="1" t="s">
        <v>74</v>
      </c>
      <c r="AD549" s="1" t="s">
        <v>74</v>
      </c>
      <c r="AE549" s="1" t="s">
        <v>74</v>
      </c>
      <c r="AF549" s="1" t="s">
        <v>74</v>
      </c>
      <c r="AG549" s="1" t="s">
        <v>74</v>
      </c>
      <c r="AH549" s="1" t="s">
        <v>74</v>
      </c>
      <c r="AI549" s="1" t="s">
        <v>74</v>
      </c>
      <c r="AJ549" s="1" t="s">
        <v>74</v>
      </c>
      <c r="AK549" s="1" t="s">
        <v>74</v>
      </c>
      <c r="AL549" s="1" t="s">
        <v>74</v>
      </c>
      <c r="AM549" s="1" t="s">
        <v>74</v>
      </c>
      <c r="AN549" s="1" t="s">
        <v>74</v>
      </c>
      <c r="AO549" s="1" t="s">
        <v>1113</v>
      </c>
      <c r="AP549" s="1" t="s">
        <v>1114</v>
      </c>
      <c r="AQ549" s="1" t="s">
        <v>74</v>
      </c>
      <c r="AR549" s="1" t="s">
        <v>74</v>
      </c>
      <c r="AS549" s="1" t="s">
        <v>74</v>
      </c>
      <c r="AT549" s="1" t="s">
        <v>5383</v>
      </c>
      <c r="AU549" s="1">
        <v>2015.0</v>
      </c>
      <c r="AV549" s="1">
        <v>300.0</v>
      </c>
      <c r="AW549" s="1" t="s">
        <v>74</v>
      </c>
      <c r="AX549" s="1" t="s">
        <v>74</v>
      </c>
      <c r="AY549" s="1" t="s">
        <v>74</v>
      </c>
      <c r="AZ549" s="1" t="s">
        <v>74</v>
      </c>
      <c r="BA549" s="1" t="s">
        <v>74</v>
      </c>
      <c r="BB549" s="1">
        <v>114.0</v>
      </c>
      <c r="BC549" s="1">
        <v>122.0</v>
      </c>
      <c r="BD549" s="1" t="s">
        <v>74</v>
      </c>
      <c r="BE549" s="1" t="s">
        <v>5384</v>
      </c>
      <c r="BF549" s="2" t="str">
        <f>HYPERLINK("http://dx.doi.org/10.1016/j.ecolmodel.2015.01.006","http://dx.doi.org/10.1016/j.ecolmodel.2015.01.006")</f>
        <v>http://dx.doi.org/10.1016/j.ecolmodel.2015.01.006</v>
      </c>
      <c r="BG549" s="1" t="s">
        <v>74</v>
      </c>
      <c r="BH549" s="1" t="s">
        <v>74</v>
      </c>
      <c r="BI549" s="1" t="s">
        <v>74</v>
      </c>
      <c r="BJ549" s="1" t="s">
        <v>74</v>
      </c>
      <c r="BK549" s="1" t="s">
        <v>74</v>
      </c>
      <c r="BL549" s="1" t="s">
        <v>74</v>
      </c>
      <c r="BM549" s="1" t="s">
        <v>74</v>
      </c>
      <c r="BN549" s="1" t="s">
        <v>74</v>
      </c>
      <c r="BO549" s="1" t="s">
        <v>74</v>
      </c>
      <c r="BP549" s="1" t="s">
        <v>74</v>
      </c>
      <c r="BQ549" s="1" t="s">
        <v>74</v>
      </c>
      <c r="BR549" s="1" t="s">
        <v>74</v>
      </c>
      <c r="BS549" s="1" t="s">
        <v>5385</v>
      </c>
      <c r="BT549" s="1" t="str">
        <f>HYPERLINK("https%3A%2F%2Fwww.webofscience.com%2Fwos%2Fwoscc%2Ffull-record%2FWOS:000350935300011","View Full Record in Web of Science")</f>
        <v>View Full Record in Web of Science</v>
      </c>
    </row>
    <row r="550" ht="12.75" customHeight="1">
      <c r="A550" s="1" t="s">
        <v>72</v>
      </c>
      <c r="B550" s="1" t="s">
        <v>5386</v>
      </c>
      <c r="C550" s="1" t="s">
        <v>74</v>
      </c>
      <c r="D550" s="1" t="s">
        <v>74</v>
      </c>
      <c r="E550" s="1" t="s">
        <v>74</v>
      </c>
      <c r="F550" s="1" t="s">
        <v>5387</v>
      </c>
      <c r="G550" s="1" t="s">
        <v>74</v>
      </c>
      <c r="H550" s="1" t="s">
        <v>74</v>
      </c>
      <c r="I550" s="1" t="s">
        <v>5388</v>
      </c>
      <c r="J550" s="1" t="s">
        <v>5389</v>
      </c>
      <c r="K550" s="1" t="s">
        <v>74</v>
      </c>
      <c r="L550" s="1" t="s">
        <v>74</v>
      </c>
      <c r="M550" s="1" t="s">
        <v>74</v>
      </c>
      <c r="N550" s="1" t="s">
        <v>74</v>
      </c>
      <c r="O550" s="1" t="s">
        <v>5390</v>
      </c>
      <c r="P550" s="1" t="s">
        <v>5391</v>
      </c>
      <c r="Q550" s="1" t="s">
        <v>5392</v>
      </c>
      <c r="R550" s="1" t="s">
        <v>5393</v>
      </c>
      <c r="S550" s="1" t="s">
        <v>74</v>
      </c>
      <c r="T550" s="1" t="s">
        <v>74</v>
      </c>
      <c r="U550" s="1" t="s">
        <v>74</v>
      </c>
      <c r="V550" s="1" t="s">
        <v>74</v>
      </c>
      <c r="W550" s="1" t="s">
        <v>74</v>
      </c>
      <c r="X550" s="1" t="s">
        <v>74</v>
      </c>
      <c r="Y550" s="1" t="s">
        <v>74</v>
      </c>
      <c r="Z550" s="1" t="s">
        <v>74</v>
      </c>
      <c r="AA550" s="1" t="s">
        <v>207</v>
      </c>
      <c r="AB550" s="1" t="s">
        <v>74</v>
      </c>
      <c r="AC550" s="1" t="s">
        <v>74</v>
      </c>
      <c r="AD550" s="1" t="s">
        <v>74</v>
      </c>
      <c r="AE550" s="1" t="s">
        <v>74</v>
      </c>
      <c r="AF550" s="1" t="s">
        <v>74</v>
      </c>
      <c r="AG550" s="1" t="s">
        <v>74</v>
      </c>
      <c r="AH550" s="1" t="s">
        <v>74</v>
      </c>
      <c r="AI550" s="1" t="s">
        <v>74</v>
      </c>
      <c r="AJ550" s="1" t="s">
        <v>74</v>
      </c>
      <c r="AK550" s="1" t="s">
        <v>74</v>
      </c>
      <c r="AL550" s="1" t="s">
        <v>74</v>
      </c>
      <c r="AM550" s="1" t="s">
        <v>74</v>
      </c>
      <c r="AN550" s="1" t="s">
        <v>74</v>
      </c>
      <c r="AO550" s="1" t="s">
        <v>5394</v>
      </c>
      <c r="AP550" s="1" t="s">
        <v>5395</v>
      </c>
      <c r="AQ550" s="1" t="s">
        <v>74</v>
      </c>
      <c r="AR550" s="1" t="s">
        <v>74</v>
      </c>
      <c r="AS550" s="1" t="s">
        <v>74</v>
      </c>
      <c r="AT550" s="1" t="s">
        <v>389</v>
      </c>
      <c r="AU550" s="1">
        <v>2015.0</v>
      </c>
      <c r="AV550" s="1">
        <v>135.0</v>
      </c>
      <c r="AW550" s="1">
        <v>2.0</v>
      </c>
      <c r="AX550" s="1" t="s">
        <v>74</v>
      </c>
      <c r="AY550" s="1" t="s">
        <v>341</v>
      </c>
      <c r="AZ550" s="1" t="s">
        <v>74</v>
      </c>
      <c r="BA550" s="1">
        <v>796.0</v>
      </c>
      <c r="BB550" s="1" t="s">
        <v>5396</v>
      </c>
      <c r="BC550" s="1" t="s">
        <v>5396</v>
      </c>
      <c r="BD550" s="1" t="s">
        <v>74</v>
      </c>
      <c r="BE550" s="1" t="s">
        <v>5397</v>
      </c>
      <c r="BF550" s="2" t="str">
        <f>HYPERLINK("http://dx.doi.org/10.1016/j.jaci.2014.12.1740","http://dx.doi.org/10.1016/j.jaci.2014.12.1740")</f>
        <v>http://dx.doi.org/10.1016/j.jaci.2014.12.1740</v>
      </c>
      <c r="BG550" s="1" t="s">
        <v>74</v>
      </c>
      <c r="BH550" s="1" t="s">
        <v>74</v>
      </c>
      <c r="BI550" s="1" t="s">
        <v>74</v>
      </c>
      <c r="BJ550" s="1" t="s">
        <v>74</v>
      </c>
      <c r="BK550" s="1" t="s">
        <v>74</v>
      </c>
      <c r="BL550" s="1" t="s">
        <v>74</v>
      </c>
      <c r="BM550" s="1" t="s">
        <v>74</v>
      </c>
      <c r="BN550" s="1" t="s">
        <v>74</v>
      </c>
      <c r="BO550" s="1" t="s">
        <v>74</v>
      </c>
      <c r="BP550" s="1" t="s">
        <v>74</v>
      </c>
      <c r="BQ550" s="1" t="s">
        <v>74</v>
      </c>
      <c r="BR550" s="1" t="s">
        <v>74</v>
      </c>
      <c r="BS550" s="1" t="s">
        <v>5398</v>
      </c>
      <c r="BT550" s="1" t="str">
        <f>HYPERLINK("https%3A%2F%2Fwww.webofscience.com%2Fwos%2Fwoscc%2Ffull-record%2FWOS:000361129600795","View Full Record in Web of Science")</f>
        <v>View Full Record in Web of Science</v>
      </c>
    </row>
    <row r="551" ht="12.75" customHeight="1">
      <c r="A551" s="1" t="s">
        <v>147</v>
      </c>
      <c r="B551" s="1" t="s">
        <v>1647</v>
      </c>
      <c r="C551" s="1" t="s">
        <v>74</v>
      </c>
      <c r="D551" s="1" t="s">
        <v>5399</v>
      </c>
      <c r="E551" s="1" t="s">
        <v>74</v>
      </c>
      <c r="F551" s="1" t="s">
        <v>1648</v>
      </c>
      <c r="G551" s="1" t="s">
        <v>74</v>
      </c>
      <c r="H551" s="1" t="s">
        <v>74</v>
      </c>
      <c r="I551" s="1" t="s">
        <v>5400</v>
      </c>
      <c r="J551" s="1" t="s">
        <v>5401</v>
      </c>
      <c r="K551" s="1" t="s">
        <v>3189</v>
      </c>
      <c r="L551" s="1" t="s">
        <v>74</v>
      </c>
      <c r="M551" s="1" t="s">
        <v>74</v>
      </c>
      <c r="N551" s="1" t="s">
        <v>74</v>
      </c>
      <c r="O551" s="1" t="s">
        <v>5402</v>
      </c>
      <c r="P551" s="1" t="s">
        <v>5403</v>
      </c>
      <c r="Q551" s="1" t="s">
        <v>800</v>
      </c>
      <c r="R551" s="1" t="s">
        <v>74</v>
      </c>
      <c r="S551" s="1" t="s">
        <v>74</v>
      </c>
      <c r="T551" s="1" t="s">
        <v>74</v>
      </c>
      <c r="U551" s="1" t="s">
        <v>74</v>
      </c>
      <c r="V551" s="1" t="s">
        <v>5404</v>
      </c>
      <c r="W551" s="1" t="s">
        <v>74</v>
      </c>
      <c r="X551" s="1" t="s">
        <v>74</v>
      </c>
      <c r="Y551" s="1" t="s">
        <v>74</v>
      </c>
      <c r="Z551" s="1" t="s">
        <v>74</v>
      </c>
      <c r="AA551" s="1" t="s">
        <v>1013</v>
      </c>
      <c r="AB551" s="1" t="s">
        <v>1014</v>
      </c>
      <c r="AC551" s="1" t="s">
        <v>74</v>
      </c>
      <c r="AD551" s="1" t="s">
        <v>74</v>
      </c>
      <c r="AE551" s="1" t="s">
        <v>74</v>
      </c>
      <c r="AF551" s="1" t="s">
        <v>74</v>
      </c>
      <c r="AG551" s="1" t="s">
        <v>74</v>
      </c>
      <c r="AH551" s="1" t="s">
        <v>74</v>
      </c>
      <c r="AI551" s="1" t="s">
        <v>74</v>
      </c>
      <c r="AJ551" s="1" t="s">
        <v>74</v>
      </c>
      <c r="AK551" s="1" t="s">
        <v>74</v>
      </c>
      <c r="AL551" s="1" t="s">
        <v>74</v>
      </c>
      <c r="AM551" s="1" t="s">
        <v>74</v>
      </c>
      <c r="AN551" s="1" t="s">
        <v>74</v>
      </c>
      <c r="AO551" s="1" t="s">
        <v>3197</v>
      </c>
      <c r="AP551" s="1" t="s">
        <v>3198</v>
      </c>
      <c r="AQ551" s="1" t="s">
        <v>5405</v>
      </c>
      <c r="AR551" s="1" t="s">
        <v>74</v>
      </c>
      <c r="AS551" s="1" t="s">
        <v>74</v>
      </c>
      <c r="AT551" s="1" t="s">
        <v>74</v>
      </c>
      <c r="AU551" s="1">
        <v>2015.0</v>
      </c>
      <c r="AV551" s="1">
        <v>9228.0</v>
      </c>
      <c r="AW551" s="1" t="s">
        <v>74</v>
      </c>
      <c r="AX551" s="1" t="s">
        <v>74</v>
      </c>
      <c r="AY551" s="1" t="s">
        <v>74</v>
      </c>
      <c r="AZ551" s="1" t="s">
        <v>74</v>
      </c>
      <c r="BA551" s="1" t="s">
        <v>74</v>
      </c>
      <c r="BB551" s="1">
        <v>102.0</v>
      </c>
      <c r="BC551" s="1">
        <v>114.0</v>
      </c>
      <c r="BD551" s="1" t="s">
        <v>74</v>
      </c>
      <c r="BE551" s="1" t="s">
        <v>5406</v>
      </c>
      <c r="BF551" s="2" t="str">
        <f>HYPERLINK("http://dx.doi.org/10.1007/978-3-319-23144-0_10","http://dx.doi.org/10.1007/978-3-319-23144-0_10")</f>
        <v>http://dx.doi.org/10.1007/978-3-319-23144-0_10</v>
      </c>
      <c r="BG551" s="1" t="s">
        <v>74</v>
      </c>
      <c r="BH551" s="1" t="s">
        <v>74</v>
      </c>
      <c r="BI551" s="1" t="s">
        <v>74</v>
      </c>
      <c r="BJ551" s="1" t="s">
        <v>74</v>
      </c>
      <c r="BK551" s="1" t="s">
        <v>74</v>
      </c>
      <c r="BL551" s="1" t="s">
        <v>74</v>
      </c>
      <c r="BM551" s="1" t="s">
        <v>74</v>
      </c>
      <c r="BN551" s="1" t="s">
        <v>74</v>
      </c>
      <c r="BO551" s="1" t="s">
        <v>74</v>
      </c>
      <c r="BP551" s="1" t="s">
        <v>74</v>
      </c>
      <c r="BQ551" s="1" t="s">
        <v>74</v>
      </c>
      <c r="BR551" s="1" t="s">
        <v>74</v>
      </c>
      <c r="BS551" s="1" t="s">
        <v>5407</v>
      </c>
      <c r="BT551" s="1" t="str">
        <f>HYPERLINK("https%3A%2F%2Fwww.webofscience.com%2Fwos%2Fwoscc%2Ffull-record%2FWOS:000363684200010","View Full Record in Web of Science")</f>
        <v>View Full Record in Web of Science</v>
      </c>
    </row>
    <row r="552" ht="12.75" customHeight="1">
      <c r="A552" s="1" t="s">
        <v>86</v>
      </c>
      <c r="B552" s="1" t="s">
        <v>87</v>
      </c>
      <c r="C552" s="1" t="s">
        <v>88</v>
      </c>
      <c r="D552" s="1" t="s">
        <v>74</v>
      </c>
      <c r="E552" s="1" t="s">
        <v>74</v>
      </c>
      <c r="F552" s="1" t="s">
        <v>89</v>
      </c>
      <c r="G552" s="1" t="s">
        <v>88</v>
      </c>
      <c r="H552" s="1" t="s">
        <v>74</v>
      </c>
      <c r="I552" s="1" t="s">
        <v>5408</v>
      </c>
      <c r="J552" s="1" t="s">
        <v>91</v>
      </c>
      <c r="K552" s="1" t="s">
        <v>74</v>
      </c>
      <c r="L552" s="1" t="s">
        <v>74</v>
      </c>
      <c r="M552" s="1" t="s">
        <v>74</v>
      </c>
      <c r="N552" s="1" t="s">
        <v>74</v>
      </c>
      <c r="O552" s="1" t="s">
        <v>74</v>
      </c>
      <c r="P552" s="1" t="s">
        <v>74</v>
      </c>
      <c r="Q552" s="1" t="s">
        <v>74</v>
      </c>
      <c r="R552" s="1" t="s">
        <v>74</v>
      </c>
      <c r="S552" s="1" t="s">
        <v>74</v>
      </c>
      <c r="T552" s="1" t="s">
        <v>74</v>
      </c>
      <c r="U552" s="1" t="s">
        <v>74</v>
      </c>
      <c r="V552" s="1" t="s">
        <v>74</v>
      </c>
      <c r="W552" s="1" t="s">
        <v>74</v>
      </c>
      <c r="X552" s="1" t="s">
        <v>74</v>
      </c>
      <c r="Y552" s="1" t="s">
        <v>74</v>
      </c>
      <c r="Z552" s="1" t="s">
        <v>74</v>
      </c>
      <c r="AA552" s="1" t="s">
        <v>74</v>
      </c>
      <c r="AB552" s="1" t="s">
        <v>74</v>
      </c>
      <c r="AC552" s="1" t="s">
        <v>74</v>
      </c>
      <c r="AD552" s="1" t="s">
        <v>74</v>
      </c>
      <c r="AE552" s="1" t="s">
        <v>74</v>
      </c>
      <c r="AF552" s="1" t="s">
        <v>74</v>
      </c>
      <c r="AG552" s="1" t="s">
        <v>74</v>
      </c>
      <c r="AH552" s="1" t="s">
        <v>74</v>
      </c>
      <c r="AI552" s="1" t="s">
        <v>74</v>
      </c>
      <c r="AJ552" s="1" t="s">
        <v>74</v>
      </c>
      <c r="AK552" s="1" t="s">
        <v>74</v>
      </c>
      <c r="AL552" s="1" t="s">
        <v>74</v>
      </c>
      <c r="AM552" s="1" t="s">
        <v>74</v>
      </c>
      <c r="AN552" s="1" t="s">
        <v>74</v>
      </c>
      <c r="AO552" s="1" t="s">
        <v>74</v>
      </c>
      <c r="AP552" s="1" t="s">
        <v>74</v>
      </c>
      <c r="AQ552" s="1" t="s">
        <v>92</v>
      </c>
      <c r="AR552" s="1" t="s">
        <v>74</v>
      </c>
      <c r="AS552" s="1" t="s">
        <v>74</v>
      </c>
      <c r="AT552" s="1" t="s">
        <v>74</v>
      </c>
      <c r="AU552" s="1">
        <v>2015.0</v>
      </c>
      <c r="AV552" s="1" t="s">
        <v>74</v>
      </c>
      <c r="AW552" s="1" t="s">
        <v>74</v>
      </c>
      <c r="AX552" s="1" t="s">
        <v>74</v>
      </c>
      <c r="AY552" s="1" t="s">
        <v>74</v>
      </c>
      <c r="AZ552" s="1" t="s">
        <v>74</v>
      </c>
      <c r="BA552" s="1" t="s">
        <v>74</v>
      </c>
      <c r="BB552" s="1">
        <v>101.0</v>
      </c>
      <c r="BC552" s="1">
        <v>108.0</v>
      </c>
      <c r="BD552" s="1" t="s">
        <v>74</v>
      </c>
      <c r="BE552" s="1" t="s">
        <v>74</v>
      </c>
      <c r="BF552" s="1" t="s">
        <v>74</v>
      </c>
      <c r="BG552" s="1" t="s">
        <v>74</v>
      </c>
      <c r="BH552" s="1" t="s">
        <v>74</v>
      </c>
      <c r="BI552" s="1" t="s">
        <v>74</v>
      </c>
      <c r="BJ552" s="1" t="s">
        <v>74</v>
      </c>
      <c r="BK552" s="1" t="s">
        <v>74</v>
      </c>
      <c r="BL552" s="1" t="s">
        <v>74</v>
      </c>
      <c r="BM552" s="1" t="s">
        <v>74</v>
      </c>
      <c r="BN552" s="1" t="s">
        <v>74</v>
      </c>
      <c r="BO552" s="1" t="s">
        <v>74</v>
      </c>
      <c r="BP552" s="1" t="s">
        <v>74</v>
      </c>
      <c r="BQ552" s="1" t="s">
        <v>74</v>
      </c>
      <c r="BR552" s="1" t="s">
        <v>74</v>
      </c>
      <c r="BS552" s="1" t="s">
        <v>5409</v>
      </c>
      <c r="BT552" s="1" t="str">
        <f>HYPERLINK("https%3A%2F%2Fwww.webofscience.com%2Fwos%2Fwoscc%2Ffull-record%2FWOS:000541676300008","View Full Record in Web of Science")</f>
        <v>View Full Record in Web of Science</v>
      </c>
    </row>
    <row r="553" ht="12.75" customHeight="1">
      <c r="A553" s="1" t="s">
        <v>72</v>
      </c>
      <c r="B553" s="1" t="s">
        <v>5410</v>
      </c>
      <c r="C553" s="1" t="s">
        <v>74</v>
      </c>
      <c r="D553" s="1" t="s">
        <v>74</v>
      </c>
      <c r="E553" s="1" t="s">
        <v>74</v>
      </c>
      <c r="F553" s="1" t="s">
        <v>5411</v>
      </c>
      <c r="G553" s="1" t="s">
        <v>74</v>
      </c>
      <c r="H553" s="1" t="s">
        <v>74</v>
      </c>
      <c r="I553" s="1" t="s">
        <v>5412</v>
      </c>
      <c r="J553" s="1" t="s">
        <v>5413</v>
      </c>
      <c r="K553" s="1" t="s">
        <v>74</v>
      </c>
      <c r="L553" s="1" t="s">
        <v>74</v>
      </c>
      <c r="M553" s="1" t="s">
        <v>74</v>
      </c>
      <c r="N553" s="1" t="s">
        <v>74</v>
      </c>
      <c r="O553" s="1" t="s">
        <v>74</v>
      </c>
      <c r="P553" s="1" t="s">
        <v>74</v>
      </c>
      <c r="Q553" s="1" t="s">
        <v>74</v>
      </c>
      <c r="R553" s="1" t="s">
        <v>74</v>
      </c>
      <c r="S553" s="1" t="s">
        <v>74</v>
      </c>
      <c r="T553" s="1" t="s">
        <v>74</v>
      </c>
      <c r="U553" s="1" t="s">
        <v>74</v>
      </c>
      <c r="V553" s="1" t="s">
        <v>5414</v>
      </c>
      <c r="W553" s="1" t="s">
        <v>74</v>
      </c>
      <c r="X553" s="1" t="s">
        <v>74</v>
      </c>
      <c r="Y553" s="1" t="s">
        <v>74</v>
      </c>
      <c r="Z553" s="1" t="s">
        <v>74</v>
      </c>
      <c r="AA553" s="1" t="s">
        <v>5415</v>
      </c>
      <c r="AB553" s="1" t="s">
        <v>5416</v>
      </c>
      <c r="AC553" s="1" t="s">
        <v>74</v>
      </c>
      <c r="AD553" s="1" t="s">
        <v>74</v>
      </c>
      <c r="AE553" s="1" t="s">
        <v>74</v>
      </c>
      <c r="AF553" s="1" t="s">
        <v>74</v>
      </c>
      <c r="AG553" s="1" t="s">
        <v>74</v>
      </c>
      <c r="AH553" s="1" t="s">
        <v>74</v>
      </c>
      <c r="AI553" s="1" t="s">
        <v>74</v>
      </c>
      <c r="AJ553" s="1" t="s">
        <v>74</v>
      </c>
      <c r="AK553" s="1" t="s">
        <v>74</v>
      </c>
      <c r="AL553" s="1" t="s">
        <v>74</v>
      </c>
      <c r="AM553" s="1" t="s">
        <v>74</v>
      </c>
      <c r="AN553" s="1" t="s">
        <v>74</v>
      </c>
      <c r="AO553" s="1" t="s">
        <v>5417</v>
      </c>
      <c r="AP553" s="1" t="s">
        <v>5418</v>
      </c>
      <c r="AQ553" s="1" t="s">
        <v>74</v>
      </c>
      <c r="AR553" s="1" t="s">
        <v>74</v>
      </c>
      <c r="AS553" s="1" t="s">
        <v>74</v>
      </c>
      <c r="AT553" s="1" t="s">
        <v>363</v>
      </c>
      <c r="AU553" s="1">
        <v>2014.0</v>
      </c>
      <c r="AV553" s="1">
        <v>36.0</v>
      </c>
      <c r="AW553" s="1">
        <v>10.0</v>
      </c>
      <c r="AX553" s="1" t="s">
        <v>74</v>
      </c>
      <c r="AY553" s="1" t="s">
        <v>74</v>
      </c>
      <c r="AZ553" s="1" t="s">
        <v>74</v>
      </c>
      <c r="BA553" s="1" t="s">
        <v>74</v>
      </c>
      <c r="BB553" s="1">
        <v>1999.0</v>
      </c>
      <c r="BC553" s="1">
        <v>2010.0</v>
      </c>
      <c r="BD553" s="1" t="s">
        <v>74</v>
      </c>
      <c r="BE553" s="1" t="s">
        <v>5419</v>
      </c>
      <c r="BF553" s="2" t="str">
        <f>HYPERLINK("http://dx.doi.org/10.1007/s10529-014-1575-5","http://dx.doi.org/10.1007/s10529-014-1575-5")</f>
        <v>http://dx.doi.org/10.1007/s10529-014-1575-5</v>
      </c>
      <c r="BG553" s="1" t="s">
        <v>74</v>
      </c>
      <c r="BH553" s="1" t="s">
        <v>74</v>
      </c>
      <c r="BI553" s="1" t="s">
        <v>74</v>
      </c>
      <c r="BJ553" s="1" t="s">
        <v>74</v>
      </c>
      <c r="BK553" s="1" t="s">
        <v>74</v>
      </c>
      <c r="BL553" s="1" t="s">
        <v>74</v>
      </c>
      <c r="BM553" s="1" t="s">
        <v>74</v>
      </c>
      <c r="BN553" s="1">
        <v>2.4930109E7</v>
      </c>
      <c r="BO553" s="1" t="s">
        <v>74</v>
      </c>
      <c r="BP553" s="1" t="s">
        <v>74</v>
      </c>
      <c r="BQ553" s="1" t="s">
        <v>74</v>
      </c>
      <c r="BR553" s="1" t="s">
        <v>74</v>
      </c>
      <c r="BS553" s="1" t="s">
        <v>5420</v>
      </c>
      <c r="BT553" s="1" t="str">
        <f>HYPERLINK("https%3A%2F%2Fwww.webofscience.com%2Fwos%2Fwoscc%2Ffull-record%2FWOS:000341486600011","View Full Record in Web of Science")</f>
        <v>View Full Record in Web of Science</v>
      </c>
    </row>
    <row r="554" ht="12.75" customHeight="1">
      <c r="A554" s="1" t="s">
        <v>72</v>
      </c>
      <c r="B554" s="1" t="s">
        <v>5421</v>
      </c>
      <c r="C554" s="1" t="s">
        <v>74</v>
      </c>
      <c r="D554" s="1" t="s">
        <v>74</v>
      </c>
      <c r="E554" s="1" t="s">
        <v>74</v>
      </c>
      <c r="F554" s="1" t="s">
        <v>5422</v>
      </c>
      <c r="G554" s="1" t="s">
        <v>74</v>
      </c>
      <c r="H554" s="1" t="s">
        <v>74</v>
      </c>
      <c r="I554" s="1" t="s">
        <v>5423</v>
      </c>
      <c r="J554" s="1" t="s">
        <v>3822</v>
      </c>
      <c r="K554" s="1" t="s">
        <v>74</v>
      </c>
      <c r="L554" s="1" t="s">
        <v>74</v>
      </c>
      <c r="M554" s="1" t="s">
        <v>74</v>
      </c>
      <c r="N554" s="1" t="s">
        <v>74</v>
      </c>
      <c r="O554" s="1" t="s">
        <v>74</v>
      </c>
      <c r="P554" s="1" t="s">
        <v>74</v>
      </c>
      <c r="Q554" s="1" t="s">
        <v>74</v>
      </c>
      <c r="R554" s="1" t="s">
        <v>74</v>
      </c>
      <c r="S554" s="1" t="s">
        <v>74</v>
      </c>
      <c r="T554" s="1" t="s">
        <v>74</v>
      </c>
      <c r="U554" s="1" t="s">
        <v>74</v>
      </c>
      <c r="V554" s="1" t="s">
        <v>5424</v>
      </c>
      <c r="W554" s="1" t="s">
        <v>74</v>
      </c>
      <c r="X554" s="1" t="s">
        <v>74</v>
      </c>
      <c r="Y554" s="1" t="s">
        <v>74</v>
      </c>
      <c r="Z554" s="1" t="s">
        <v>74</v>
      </c>
      <c r="AA554" s="1" t="s">
        <v>5425</v>
      </c>
      <c r="AB554" s="1" t="s">
        <v>5426</v>
      </c>
      <c r="AC554" s="1" t="s">
        <v>74</v>
      </c>
      <c r="AD554" s="1" t="s">
        <v>74</v>
      </c>
      <c r="AE554" s="1" t="s">
        <v>74</v>
      </c>
      <c r="AF554" s="1" t="s">
        <v>74</v>
      </c>
      <c r="AG554" s="1" t="s">
        <v>74</v>
      </c>
      <c r="AH554" s="1" t="s">
        <v>74</v>
      </c>
      <c r="AI554" s="1" t="s">
        <v>74</v>
      </c>
      <c r="AJ554" s="1" t="s">
        <v>74</v>
      </c>
      <c r="AK554" s="1" t="s">
        <v>74</v>
      </c>
      <c r="AL554" s="1" t="s">
        <v>74</v>
      </c>
      <c r="AM554" s="1" t="s">
        <v>74</v>
      </c>
      <c r="AN554" s="1" t="s">
        <v>74</v>
      </c>
      <c r="AO554" s="1" t="s">
        <v>3825</v>
      </c>
      <c r="AP554" s="1" t="s">
        <v>3826</v>
      </c>
      <c r="AQ554" s="1" t="s">
        <v>74</v>
      </c>
      <c r="AR554" s="1" t="s">
        <v>74</v>
      </c>
      <c r="AS554" s="1" t="s">
        <v>74</v>
      </c>
      <c r="AT554" s="1" t="s">
        <v>277</v>
      </c>
      <c r="AU554" s="1">
        <v>2014.0</v>
      </c>
      <c r="AV554" s="1">
        <v>141.0</v>
      </c>
      <c r="AW554" s="1" t="s">
        <v>74</v>
      </c>
      <c r="AX554" s="1" t="s">
        <v>74</v>
      </c>
      <c r="AY554" s="1" t="s">
        <v>74</v>
      </c>
      <c r="AZ554" s="1" t="s">
        <v>74</v>
      </c>
      <c r="BA554" s="1" t="s">
        <v>74</v>
      </c>
      <c r="BB554" s="1">
        <v>89.0</v>
      </c>
      <c r="BC554" s="1">
        <v>96.0</v>
      </c>
      <c r="BD554" s="1" t="s">
        <v>74</v>
      </c>
      <c r="BE554" s="1" t="s">
        <v>5427</v>
      </c>
      <c r="BF554" s="2" t="str">
        <f>HYPERLINK("http://dx.doi.org/10.1016/j.hydromet.2013.11.001","http://dx.doi.org/10.1016/j.hydromet.2013.11.001")</f>
        <v>http://dx.doi.org/10.1016/j.hydromet.2013.11.001</v>
      </c>
      <c r="BG554" s="1" t="s">
        <v>74</v>
      </c>
      <c r="BH554" s="1" t="s">
        <v>74</v>
      </c>
      <c r="BI554" s="1" t="s">
        <v>74</v>
      </c>
      <c r="BJ554" s="1" t="s">
        <v>74</v>
      </c>
      <c r="BK554" s="1" t="s">
        <v>74</v>
      </c>
      <c r="BL554" s="1" t="s">
        <v>74</v>
      </c>
      <c r="BM554" s="1" t="s">
        <v>74</v>
      </c>
      <c r="BN554" s="1" t="s">
        <v>74</v>
      </c>
      <c r="BO554" s="1" t="s">
        <v>74</v>
      </c>
      <c r="BP554" s="1" t="s">
        <v>74</v>
      </c>
      <c r="BQ554" s="1" t="s">
        <v>74</v>
      </c>
      <c r="BR554" s="1" t="s">
        <v>74</v>
      </c>
      <c r="BS554" s="1" t="s">
        <v>5428</v>
      </c>
      <c r="BT554" s="1" t="str">
        <f>HYPERLINK("https%3A%2F%2Fwww.webofscience.com%2Fwos%2Fwoscc%2Ffull-record%2FWOS:000331350400013","View Full Record in Web of Science")</f>
        <v>View Full Record in Web of Science</v>
      </c>
    </row>
    <row r="555" ht="12.75" customHeight="1">
      <c r="A555" s="1" t="s">
        <v>72</v>
      </c>
      <c r="B555" s="1" t="s">
        <v>1840</v>
      </c>
      <c r="C555" s="1" t="s">
        <v>74</v>
      </c>
      <c r="D555" s="1" t="s">
        <v>74</v>
      </c>
      <c r="E555" s="1" t="s">
        <v>74</v>
      </c>
      <c r="F555" s="1" t="s">
        <v>1841</v>
      </c>
      <c r="G555" s="1" t="s">
        <v>74</v>
      </c>
      <c r="H555" s="1" t="s">
        <v>74</v>
      </c>
      <c r="I555" s="1" t="s">
        <v>5429</v>
      </c>
      <c r="J555" s="1" t="s">
        <v>194</v>
      </c>
      <c r="K555" s="1" t="s">
        <v>74</v>
      </c>
      <c r="L555" s="1" t="s">
        <v>74</v>
      </c>
      <c r="M555" s="1" t="s">
        <v>74</v>
      </c>
      <c r="N555" s="1" t="s">
        <v>74</v>
      </c>
      <c r="O555" s="1" t="s">
        <v>74</v>
      </c>
      <c r="P555" s="1" t="s">
        <v>74</v>
      </c>
      <c r="Q555" s="1" t="s">
        <v>74</v>
      </c>
      <c r="R555" s="1" t="s">
        <v>74</v>
      </c>
      <c r="S555" s="1" t="s">
        <v>74</v>
      </c>
      <c r="T555" s="1" t="s">
        <v>74</v>
      </c>
      <c r="U555" s="1" t="s">
        <v>74</v>
      </c>
      <c r="V555" s="1" t="s">
        <v>5430</v>
      </c>
      <c r="W555" s="1" t="s">
        <v>74</v>
      </c>
      <c r="X555" s="1" t="s">
        <v>74</v>
      </c>
      <c r="Y555" s="1" t="s">
        <v>74</v>
      </c>
      <c r="Z555" s="1" t="s">
        <v>74</v>
      </c>
      <c r="AA555" s="1" t="s">
        <v>1844</v>
      </c>
      <c r="AB555" s="1" t="s">
        <v>197</v>
      </c>
      <c r="AC555" s="1" t="s">
        <v>74</v>
      </c>
      <c r="AD555" s="1" t="s">
        <v>74</v>
      </c>
      <c r="AE555" s="1" t="s">
        <v>74</v>
      </c>
      <c r="AF555" s="1" t="s">
        <v>74</v>
      </c>
      <c r="AG555" s="1" t="s">
        <v>74</v>
      </c>
      <c r="AH555" s="1" t="s">
        <v>74</v>
      </c>
      <c r="AI555" s="1" t="s">
        <v>74</v>
      </c>
      <c r="AJ555" s="1" t="s">
        <v>74</v>
      </c>
      <c r="AK555" s="1" t="s">
        <v>74</v>
      </c>
      <c r="AL555" s="1" t="s">
        <v>74</v>
      </c>
      <c r="AM555" s="1" t="s">
        <v>74</v>
      </c>
      <c r="AN555" s="1" t="s">
        <v>74</v>
      </c>
      <c r="AO555" s="1" t="s">
        <v>198</v>
      </c>
      <c r="AP555" s="1" t="s">
        <v>199</v>
      </c>
      <c r="AQ555" s="1" t="s">
        <v>74</v>
      </c>
      <c r="AR555" s="1" t="s">
        <v>74</v>
      </c>
      <c r="AS555" s="1" t="s">
        <v>74</v>
      </c>
      <c r="AT555" s="1" t="s">
        <v>1458</v>
      </c>
      <c r="AU555" s="1">
        <v>2013.0</v>
      </c>
      <c r="AV555" s="1">
        <v>92.0</v>
      </c>
      <c r="AW555" s="1">
        <v>8.0</v>
      </c>
      <c r="AX555" s="1" t="s">
        <v>74</v>
      </c>
      <c r="AY555" s="1" t="s">
        <v>74</v>
      </c>
      <c r="AZ555" s="1" t="s">
        <v>74</v>
      </c>
      <c r="BA555" s="1" t="s">
        <v>74</v>
      </c>
      <c r="BB555" s="1">
        <v>1731.0</v>
      </c>
      <c r="BC555" s="1">
        <v>1754.0</v>
      </c>
      <c r="BD555" s="1" t="s">
        <v>74</v>
      </c>
      <c r="BE555" s="1" t="s">
        <v>5431</v>
      </c>
      <c r="BF555" s="2" t="str">
        <f>HYPERLINK("http://dx.doi.org/10.1080/00036811.2012.698271","http://dx.doi.org/10.1080/00036811.2012.698271")</f>
        <v>http://dx.doi.org/10.1080/00036811.2012.698271</v>
      </c>
      <c r="BG555" s="1" t="s">
        <v>74</v>
      </c>
      <c r="BH555" s="1" t="s">
        <v>74</v>
      </c>
      <c r="BI555" s="1" t="s">
        <v>74</v>
      </c>
      <c r="BJ555" s="1" t="s">
        <v>74</v>
      </c>
      <c r="BK555" s="1" t="s">
        <v>74</v>
      </c>
      <c r="BL555" s="1" t="s">
        <v>74</v>
      </c>
      <c r="BM555" s="1" t="s">
        <v>74</v>
      </c>
      <c r="BN555" s="1" t="s">
        <v>74</v>
      </c>
      <c r="BO555" s="1" t="s">
        <v>74</v>
      </c>
      <c r="BP555" s="1" t="s">
        <v>74</v>
      </c>
      <c r="BQ555" s="1" t="s">
        <v>74</v>
      </c>
      <c r="BR555" s="1" t="s">
        <v>74</v>
      </c>
      <c r="BS555" s="1" t="s">
        <v>5432</v>
      </c>
      <c r="BT555" s="1" t="str">
        <f>HYPERLINK("https%3A%2F%2Fwww.webofscience.com%2Fwos%2Fwoscc%2Ffull-record%2FWOS:000321690700011","View Full Record in Web of Science")</f>
        <v>View Full Record in Web of Science</v>
      </c>
    </row>
    <row r="556" ht="12.75" customHeight="1">
      <c r="A556" s="1" t="s">
        <v>72</v>
      </c>
      <c r="B556" s="1" t="s">
        <v>5433</v>
      </c>
      <c r="C556" s="1" t="s">
        <v>74</v>
      </c>
      <c r="D556" s="1" t="s">
        <v>74</v>
      </c>
      <c r="E556" s="1" t="s">
        <v>74</v>
      </c>
      <c r="F556" s="1" t="s">
        <v>5434</v>
      </c>
      <c r="G556" s="1" t="s">
        <v>74</v>
      </c>
      <c r="H556" s="1" t="s">
        <v>74</v>
      </c>
      <c r="I556" s="1" t="s">
        <v>5435</v>
      </c>
      <c r="J556" s="1" t="s">
        <v>846</v>
      </c>
      <c r="K556" s="1" t="s">
        <v>74</v>
      </c>
      <c r="L556" s="1" t="s">
        <v>74</v>
      </c>
      <c r="M556" s="1" t="s">
        <v>74</v>
      </c>
      <c r="N556" s="1" t="s">
        <v>74</v>
      </c>
      <c r="O556" s="1" t="s">
        <v>74</v>
      </c>
      <c r="P556" s="1" t="s">
        <v>74</v>
      </c>
      <c r="Q556" s="1" t="s">
        <v>74</v>
      </c>
      <c r="R556" s="1" t="s">
        <v>74</v>
      </c>
      <c r="S556" s="1" t="s">
        <v>74</v>
      </c>
      <c r="T556" s="1" t="s">
        <v>74</v>
      </c>
      <c r="U556" s="1" t="s">
        <v>74</v>
      </c>
      <c r="V556" s="1" t="s">
        <v>5436</v>
      </c>
      <c r="W556" s="1" t="s">
        <v>74</v>
      </c>
      <c r="X556" s="1" t="s">
        <v>74</v>
      </c>
      <c r="Y556" s="1" t="s">
        <v>74</v>
      </c>
      <c r="Z556" s="1" t="s">
        <v>74</v>
      </c>
      <c r="AA556" s="1" t="s">
        <v>5437</v>
      </c>
      <c r="AB556" s="1" t="s">
        <v>5438</v>
      </c>
      <c r="AC556" s="1" t="s">
        <v>74</v>
      </c>
      <c r="AD556" s="1" t="s">
        <v>74</v>
      </c>
      <c r="AE556" s="1" t="s">
        <v>74</v>
      </c>
      <c r="AF556" s="1" t="s">
        <v>74</v>
      </c>
      <c r="AG556" s="1" t="s">
        <v>74</v>
      </c>
      <c r="AH556" s="1" t="s">
        <v>74</v>
      </c>
      <c r="AI556" s="1" t="s">
        <v>74</v>
      </c>
      <c r="AJ556" s="1" t="s">
        <v>74</v>
      </c>
      <c r="AK556" s="1" t="s">
        <v>74</v>
      </c>
      <c r="AL556" s="1" t="s">
        <v>74</v>
      </c>
      <c r="AM556" s="1" t="s">
        <v>74</v>
      </c>
      <c r="AN556" s="1" t="s">
        <v>74</v>
      </c>
      <c r="AO556" s="1" t="s">
        <v>850</v>
      </c>
      <c r="AP556" s="1" t="s">
        <v>74</v>
      </c>
      <c r="AQ556" s="1" t="s">
        <v>74</v>
      </c>
      <c r="AR556" s="1" t="s">
        <v>74</v>
      </c>
      <c r="AS556" s="1" t="s">
        <v>74</v>
      </c>
      <c r="AT556" s="1" t="s">
        <v>1526</v>
      </c>
      <c r="AU556" s="1">
        <v>2013.0</v>
      </c>
      <c r="AV556" s="1">
        <v>8.0</v>
      </c>
      <c r="AW556" s="1">
        <v>3.0</v>
      </c>
      <c r="AX556" s="1" t="s">
        <v>74</v>
      </c>
      <c r="AY556" s="1" t="s">
        <v>74</v>
      </c>
      <c r="AZ556" s="1" t="s">
        <v>74</v>
      </c>
      <c r="BA556" s="1" t="s">
        <v>74</v>
      </c>
      <c r="BB556" s="1" t="s">
        <v>74</v>
      </c>
      <c r="BC556" s="1" t="s">
        <v>74</v>
      </c>
      <c r="BD556" s="1" t="s">
        <v>5439</v>
      </c>
      <c r="BE556" s="1" t="s">
        <v>5440</v>
      </c>
      <c r="BF556" s="2" t="str">
        <f>HYPERLINK("http://dx.doi.org/10.1371/journal.pone.0058551","http://dx.doi.org/10.1371/journal.pone.0058551")</f>
        <v>http://dx.doi.org/10.1371/journal.pone.0058551</v>
      </c>
      <c r="BG556" s="1" t="s">
        <v>74</v>
      </c>
      <c r="BH556" s="1" t="s">
        <v>74</v>
      </c>
      <c r="BI556" s="1" t="s">
        <v>74</v>
      </c>
      <c r="BJ556" s="1" t="s">
        <v>74</v>
      </c>
      <c r="BK556" s="1" t="s">
        <v>74</v>
      </c>
      <c r="BL556" s="1" t="s">
        <v>74</v>
      </c>
      <c r="BM556" s="1" t="s">
        <v>74</v>
      </c>
      <c r="BN556" s="1">
        <v>2.3516506E7</v>
      </c>
      <c r="BO556" s="1" t="s">
        <v>74</v>
      </c>
      <c r="BP556" s="1" t="s">
        <v>74</v>
      </c>
      <c r="BQ556" s="1" t="s">
        <v>74</v>
      </c>
      <c r="BR556" s="1" t="s">
        <v>74</v>
      </c>
      <c r="BS556" s="1" t="s">
        <v>5441</v>
      </c>
      <c r="BT556" s="1" t="str">
        <f>HYPERLINK("https%3A%2F%2Fwww.webofscience.com%2Fwos%2Fwoscc%2Ffull-record%2FWOS:000316849200085","View Full Record in Web of Science")</f>
        <v>View Full Record in Web of Science</v>
      </c>
    </row>
    <row r="557" ht="12.75" customHeight="1">
      <c r="A557" s="1" t="s">
        <v>72</v>
      </c>
      <c r="B557" s="1" t="s">
        <v>5442</v>
      </c>
      <c r="C557" s="1" t="s">
        <v>74</v>
      </c>
      <c r="D557" s="1" t="s">
        <v>74</v>
      </c>
      <c r="E557" s="1" t="s">
        <v>74</v>
      </c>
      <c r="F557" s="1" t="s">
        <v>5443</v>
      </c>
      <c r="G557" s="1" t="s">
        <v>74</v>
      </c>
      <c r="H557" s="1" t="s">
        <v>74</v>
      </c>
      <c r="I557" s="1" t="s">
        <v>5444</v>
      </c>
      <c r="J557" s="1" t="s">
        <v>5445</v>
      </c>
      <c r="K557" s="1" t="s">
        <v>74</v>
      </c>
      <c r="L557" s="1" t="s">
        <v>74</v>
      </c>
      <c r="M557" s="1" t="s">
        <v>74</v>
      </c>
      <c r="N557" s="1" t="s">
        <v>74</v>
      </c>
      <c r="O557" s="1" t="s">
        <v>74</v>
      </c>
      <c r="P557" s="1" t="s">
        <v>74</v>
      </c>
      <c r="Q557" s="1" t="s">
        <v>74</v>
      </c>
      <c r="R557" s="1" t="s">
        <v>74</v>
      </c>
      <c r="S557" s="1" t="s">
        <v>74</v>
      </c>
      <c r="T557" s="1" t="s">
        <v>74</v>
      </c>
      <c r="U557" s="1" t="s">
        <v>74</v>
      </c>
      <c r="V557" s="1" t="s">
        <v>5446</v>
      </c>
      <c r="W557" s="1" t="s">
        <v>74</v>
      </c>
      <c r="X557" s="1" t="s">
        <v>74</v>
      </c>
      <c r="Y557" s="1" t="s">
        <v>74</v>
      </c>
      <c r="Z557" s="1" t="s">
        <v>74</v>
      </c>
      <c r="AA557" s="1" t="s">
        <v>74</v>
      </c>
      <c r="AB557" s="1" t="s">
        <v>5447</v>
      </c>
      <c r="AC557" s="1" t="s">
        <v>74</v>
      </c>
      <c r="AD557" s="1" t="s">
        <v>74</v>
      </c>
      <c r="AE557" s="1" t="s">
        <v>74</v>
      </c>
      <c r="AF557" s="1" t="s">
        <v>74</v>
      </c>
      <c r="AG557" s="1" t="s">
        <v>74</v>
      </c>
      <c r="AH557" s="1" t="s">
        <v>74</v>
      </c>
      <c r="AI557" s="1" t="s">
        <v>74</v>
      </c>
      <c r="AJ557" s="1" t="s">
        <v>74</v>
      </c>
      <c r="AK557" s="1" t="s">
        <v>74</v>
      </c>
      <c r="AL557" s="1" t="s">
        <v>74</v>
      </c>
      <c r="AM557" s="1" t="s">
        <v>74</v>
      </c>
      <c r="AN557" s="1" t="s">
        <v>74</v>
      </c>
      <c r="AO557" s="1" t="s">
        <v>5448</v>
      </c>
      <c r="AP557" s="1" t="s">
        <v>74</v>
      </c>
      <c r="AQ557" s="1" t="s">
        <v>74</v>
      </c>
      <c r="AR557" s="1" t="s">
        <v>74</v>
      </c>
      <c r="AS557" s="1" t="s">
        <v>74</v>
      </c>
      <c r="AT557" s="1" t="s">
        <v>277</v>
      </c>
      <c r="AU557" s="1">
        <v>2013.0</v>
      </c>
      <c r="AV557" s="1">
        <v>26.0</v>
      </c>
      <c r="AW557" s="1">
        <v>1.0</v>
      </c>
      <c r="AX557" s="1" t="s">
        <v>74</v>
      </c>
      <c r="AY557" s="1" t="s">
        <v>74</v>
      </c>
      <c r="AZ557" s="1" t="s">
        <v>74</v>
      </c>
      <c r="BA557" s="1" t="s">
        <v>74</v>
      </c>
      <c r="BB557" s="1">
        <v>297.0</v>
      </c>
      <c r="BC557" s="1">
        <v>305.0</v>
      </c>
      <c r="BD557" s="1" t="s">
        <v>74</v>
      </c>
      <c r="BE557" s="1" t="s">
        <v>5449</v>
      </c>
      <c r="BF557" s="2" t="str">
        <f>HYPERLINK("http://dx.doi.org/10.1088/0951-7715/26/1/297","http://dx.doi.org/10.1088/0951-7715/26/1/297")</f>
        <v>http://dx.doi.org/10.1088/0951-7715/26/1/297</v>
      </c>
      <c r="BG557" s="1" t="s">
        <v>74</v>
      </c>
      <c r="BH557" s="1" t="s">
        <v>74</v>
      </c>
      <c r="BI557" s="1" t="s">
        <v>74</v>
      </c>
      <c r="BJ557" s="1" t="s">
        <v>74</v>
      </c>
      <c r="BK557" s="1" t="s">
        <v>74</v>
      </c>
      <c r="BL557" s="1" t="s">
        <v>74</v>
      </c>
      <c r="BM557" s="1" t="s">
        <v>74</v>
      </c>
      <c r="BN557" s="1" t="s">
        <v>74</v>
      </c>
      <c r="BO557" s="1" t="s">
        <v>74</v>
      </c>
      <c r="BP557" s="1" t="s">
        <v>74</v>
      </c>
      <c r="BQ557" s="1" t="s">
        <v>74</v>
      </c>
      <c r="BR557" s="1" t="s">
        <v>74</v>
      </c>
      <c r="BS557" s="1" t="s">
        <v>5450</v>
      </c>
      <c r="BT557" s="1" t="str">
        <f>HYPERLINK("https%3A%2F%2Fwww.webofscience.com%2Fwos%2Fwoscc%2Ffull-record%2FWOS:000313745700017","View Full Record in Web of Science")</f>
        <v>View Full Record in Web of Science</v>
      </c>
    </row>
    <row r="558" ht="12.75" customHeight="1">
      <c r="A558" s="1" t="s">
        <v>72</v>
      </c>
      <c r="B558" s="1" t="s">
        <v>5451</v>
      </c>
      <c r="C558" s="1" t="s">
        <v>74</v>
      </c>
      <c r="D558" s="1" t="s">
        <v>74</v>
      </c>
      <c r="E558" s="1" t="s">
        <v>74</v>
      </c>
      <c r="F558" s="1" t="s">
        <v>5452</v>
      </c>
      <c r="G558" s="1" t="s">
        <v>74</v>
      </c>
      <c r="H558" s="1" t="s">
        <v>74</v>
      </c>
      <c r="I558" s="1" t="s">
        <v>5453</v>
      </c>
      <c r="J558" s="1" t="s">
        <v>184</v>
      </c>
      <c r="K558" s="1" t="s">
        <v>74</v>
      </c>
      <c r="L558" s="1" t="s">
        <v>74</v>
      </c>
      <c r="M558" s="1" t="s">
        <v>74</v>
      </c>
      <c r="N558" s="1" t="s">
        <v>74</v>
      </c>
      <c r="O558" s="1" t="s">
        <v>74</v>
      </c>
      <c r="P558" s="1" t="s">
        <v>74</v>
      </c>
      <c r="Q558" s="1" t="s">
        <v>74</v>
      </c>
      <c r="R558" s="1" t="s">
        <v>74</v>
      </c>
      <c r="S558" s="1" t="s">
        <v>74</v>
      </c>
      <c r="T558" s="1" t="s">
        <v>74</v>
      </c>
      <c r="U558" s="1" t="s">
        <v>74</v>
      </c>
      <c r="V558" s="1" t="s">
        <v>5454</v>
      </c>
      <c r="W558" s="1" t="s">
        <v>74</v>
      </c>
      <c r="X558" s="1" t="s">
        <v>74</v>
      </c>
      <c r="Y558" s="1" t="s">
        <v>74</v>
      </c>
      <c r="Z558" s="1" t="s">
        <v>74</v>
      </c>
      <c r="AA558" s="1" t="s">
        <v>5455</v>
      </c>
      <c r="AB558" s="1" t="s">
        <v>5456</v>
      </c>
      <c r="AC558" s="1" t="s">
        <v>74</v>
      </c>
      <c r="AD558" s="1" t="s">
        <v>74</v>
      </c>
      <c r="AE558" s="1" t="s">
        <v>74</v>
      </c>
      <c r="AF558" s="1" t="s">
        <v>74</v>
      </c>
      <c r="AG558" s="1" t="s">
        <v>74</v>
      </c>
      <c r="AH558" s="1" t="s">
        <v>74</v>
      </c>
      <c r="AI558" s="1" t="s">
        <v>74</v>
      </c>
      <c r="AJ558" s="1" t="s">
        <v>74</v>
      </c>
      <c r="AK558" s="1" t="s">
        <v>74</v>
      </c>
      <c r="AL558" s="1" t="s">
        <v>74</v>
      </c>
      <c r="AM558" s="1" t="s">
        <v>74</v>
      </c>
      <c r="AN558" s="1" t="s">
        <v>74</v>
      </c>
      <c r="AO558" s="1" t="s">
        <v>187</v>
      </c>
      <c r="AP558" s="1" t="s">
        <v>188</v>
      </c>
      <c r="AQ558" s="1" t="s">
        <v>74</v>
      </c>
      <c r="AR558" s="1" t="s">
        <v>74</v>
      </c>
      <c r="AS558" s="1" t="s">
        <v>74</v>
      </c>
      <c r="AT558" s="1" t="s">
        <v>112</v>
      </c>
      <c r="AU558" s="1">
        <v>2012.0</v>
      </c>
      <c r="AV558" s="1">
        <v>61.0</v>
      </c>
      <c r="AW558" s="1" t="s">
        <v>74</v>
      </c>
      <c r="AX558" s="1" t="s">
        <v>74</v>
      </c>
      <c r="AY558" s="1" t="s">
        <v>74</v>
      </c>
      <c r="AZ558" s="1" t="s">
        <v>74</v>
      </c>
      <c r="BA558" s="1" t="s">
        <v>74</v>
      </c>
      <c r="BB558" s="1">
        <v>50.0</v>
      </c>
      <c r="BC558" s="1">
        <v>60.0</v>
      </c>
      <c r="BD558" s="1" t="s">
        <v>74</v>
      </c>
      <c r="BE558" s="1" t="s">
        <v>5457</v>
      </c>
      <c r="BF558" s="2" t="str">
        <f>HYPERLINK("http://dx.doi.org/10.1016/j.ijthermalsci.2012.06.011","http://dx.doi.org/10.1016/j.ijthermalsci.2012.06.011")</f>
        <v>http://dx.doi.org/10.1016/j.ijthermalsci.2012.06.011</v>
      </c>
      <c r="BG558" s="1" t="s">
        <v>74</v>
      </c>
      <c r="BH558" s="1" t="s">
        <v>74</v>
      </c>
      <c r="BI558" s="1" t="s">
        <v>74</v>
      </c>
      <c r="BJ558" s="1" t="s">
        <v>74</v>
      </c>
      <c r="BK558" s="1" t="s">
        <v>74</v>
      </c>
      <c r="BL558" s="1" t="s">
        <v>74</v>
      </c>
      <c r="BM558" s="1" t="s">
        <v>74</v>
      </c>
      <c r="BN558" s="1" t="s">
        <v>74</v>
      </c>
      <c r="BO558" s="1" t="s">
        <v>74</v>
      </c>
      <c r="BP558" s="1" t="s">
        <v>74</v>
      </c>
      <c r="BQ558" s="1" t="s">
        <v>74</v>
      </c>
      <c r="BR558" s="1" t="s">
        <v>74</v>
      </c>
      <c r="BS558" s="1" t="s">
        <v>5458</v>
      </c>
      <c r="BT558" s="1" t="str">
        <f>HYPERLINK("https%3A%2F%2Fwww.webofscience.com%2Fwos%2Fwoscc%2Ffull-record%2FWOS:000309246800005","View Full Record in Web of Science")</f>
        <v>View Full Record in Web of Science</v>
      </c>
    </row>
    <row r="559" ht="12.75" customHeight="1">
      <c r="A559" s="1" t="s">
        <v>72</v>
      </c>
      <c r="B559" s="1" t="s">
        <v>5459</v>
      </c>
      <c r="C559" s="1" t="s">
        <v>74</v>
      </c>
      <c r="D559" s="1" t="s">
        <v>74</v>
      </c>
      <c r="E559" s="1" t="s">
        <v>74</v>
      </c>
      <c r="F559" s="1" t="s">
        <v>5460</v>
      </c>
      <c r="G559" s="1" t="s">
        <v>74</v>
      </c>
      <c r="H559" s="1" t="s">
        <v>74</v>
      </c>
      <c r="I559" s="1" t="s">
        <v>5461</v>
      </c>
      <c r="J559" s="1" t="s">
        <v>3156</v>
      </c>
      <c r="K559" s="1" t="s">
        <v>74</v>
      </c>
      <c r="L559" s="1" t="s">
        <v>74</v>
      </c>
      <c r="M559" s="1" t="s">
        <v>74</v>
      </c>
      <c r="N559" s="1" t="s">
        <v>74</v>
      </c>
      <c r="O559" s="1" t="s">
        <v>74</v>
      </c>
      <c r="P559" s="1" t="s">
        <v>74</v>
      </c>
      <c r="Q559" s="1" t="s">
        <v>74</v>
      </c>
      <c r="R559" s="1" t="s">
        <v>74</v>
      </c>
      <c r="S559" s="1" t="s">
        <v>74</v>
      </c>
      <c r="T559" s="1" t="s">
        <v>74</v>
      </c>
      <c r="U559" s="1" t="s">
        <v>74</v>
      </c>
      <c r="V559" s="1" t="s">
        <v>5462</v>
      </c>
      <c r="W559" s="1" t="s">
        <v>74</v>
      </c>
      <c r="X559" s="1" t="s">
        <v>74</v>
      </c>
      <c r="Y559" s="1" t="s">
        <v>74</v>
      </c>
      <c r="Z559" s="1" t="s">
        <v>74</v>
      </c>
      <c r="AA559" s="1" t="s">
        <v>3290</v>
      </c>
      <c r="AB559" s="1" t="s">
        <v>3291</v>
      </c>
      <c r="AC559" s="1" t="s">
        <v>74</v>
      </c>
      <c r="AD559" s="1" t="s">
        <v>74</v>
      </c>
      <c r="AE559" s="1" t="s">
        <v>74</v>
      </c>
      <c r="AF559" s="1" t="s">
        <v>74</v>
      </c>
      <c r="AG559" s="1" t="s">
        <v>74</v>
      </c>
      <c r="AH559" s="1" t="s">
        <v>74</v>
      </c>
      <c r="AI559" s="1" t="s">
        <v>74</v>
      </c>
      <c r="AJ559" s="1" t="s">
        <v>74</v>
      </c>
      <c r="AK559" s="1" t="s">
        <v>74</v>
      </c>
      <c r="AL559" s="1" t="s">
        <v>74</v>
      </c>
      <c r="AM559" s="1" t="s">
        <v>74</v>
      </c>
      <c r="AN559" s="1" t="s">
        <v>74</v>
      </c>
      <c r="AO559" s="1" t="s">
        <v>2865</v>
      </c>
      <c r="AP559" s="1" t="s">
        <v>2866</v>
      </c>
      <c r="AQ559" s="1" t="s">
        <v>74</v>
      </c>
      <c r="AR559" s="1" t="s">
        <v>74</v>
      </c>
      <c r="AS559" s="1" t="s">
        <v>74</v>
      </c>
      <c r="AT559" s="1" t="s">
        <v>289</v>
      </c>
      <c r="AU559" s="1">
        <v>2012.0</v>
      </c>
      <c r="AV559" s="1">
        <v>35.0</v>
      </c>
      <c r="AW559" s="1">
        <v>4.0</v>
      </c>
      <c r="AX559" s="1" t="s">
        <v>74</v>
      </c>
      <c r="AY559" s="1" t="s">
        <v>74</v>
      </c>
      <c r="AZ559" s="1" t="s">
        <v>74</v>
      </c>
      <c r="BA559" s="1" t="s">
        <v>74</v>
      </c>
      <c r="BB559" s="1">
        <v>880.0</v>
      </c>
      <c r="BC559" s="1">
        <v>889.0</v>
      </c>
      <c r="BD559" s="1" t="s">
        <v>74</v>
      </c>
      <c r="BE559" s="1" t="s">
        <v>5463</v>
      </c>
      <c r="BF559" s="2" t="str">
        <f>HYPERLINK("http://dx.doi.org/10.1016/j.ijrefrig.2011.11.017","http://dx.doi.org/10.1016/j.ijrefrig.2011.11.017")</f>
        <v>http://dx.doi.org/10.1016/j.ijrefrig.2011.11.017</v>
      </c>
      <c r="BG559" s="1" t="s">
        <v>74</v>
      </c>
      <c r="BH559" s="1" t="s">
        <v>74</v>
      </c>
      <c r="BI559" s="1" t="s">
        <v>74</v>
      </c>
      <c r="BJ559" s="1" t="s">
        <v>74</v>
      </c>
      <c r="BK559" s="1" t="s">
        <v>74</v>
      </c>
      <c r="BL559" s="1" t="s">
        <v>74</v>
      </c>
      <c r="BM559" s="1" t="s">
        <v>74</v>
      </c>
      <c r="BN559" s="1" t="s">
        <v>74</v>
      </c>
      <c r="BO559" s="1" t="s">
        <v>74</v>
      </c>
      <c r="BP559" s="1" t="s">
        <v>74</v>
      </c>
      <c r="BQ559" s="1" t="s">
        <v>74</v>
      </c>
      <c r="BR559" s="1" t="s">
        <v>74</v>
      </c>
      <c r="BS559" s="1" t="s">
        <v>5464</v>
      </c>
      <c r="BT559" s="1" t="str">
        <f>HYPERLINK("https%3A%2F%2Fwww.webofscience.com%2Fwos%2Fwoscc%2Ffull-record%2FWOS:000305655300015","View Full Record in Web of Science")</f>
        <v>View Full Record in Web of Science</v>
      </c>
    </row>
    <row r="560" ht="12.75" customHeight="1">
      <c r="A560" s="1" t="s">
        <v>72</v>
      </c>
      <c r="B560" s="1" t="s">
        <v>5465</v>
      </c>
      <c r="C560" s="1" t="s">
        <v>74</v>
      </c>
      <c r="D560" s="1" t="s">
        <v>74</v>
      </c>
      <c r="E560" s="1" t="s">
        <v>74</v>
      </c>
      <c r="F560" s="1" t="s">
        <v>5466</v>
      </c>
      <c r="G560" s="1" t="s">
        <v>74</v>
      </c>
      <c r="H560" s="1" t="s">
        <v>74</v>
      </c>
      <c r="I560" s="1" t="s">
        <v>5467</v>
      </c>
      <c r="J560" s="1" t="s">
        <v>4787</v>
      </c>
      <c r="K560" s="1" t="s">
        <v>74</v>
      </c>
      <c r="L560" s="1" t="s">
        <v>74</v>
      </c>
      <c r="M560" s="1" t="s">
        <v>74</v>
      </c>
      <c r="N560" s="1" t="s">
        <v>74</v>
      </c>
      <c r="O560" s="1" t="s">
        <v>74</v>
      </c>
      <c r="P560" s="1" t="s">
        <v>74</v>
      </c>
      <c r="Q560" s="1" t="s">
        <v>74</v>
      </c>
      <c r="R560" s="1" t="s">
        <v>74</v>
      </c>
      <c r="S560" s="1" t="s">
        <v>74</v>
      </c>
      <c r="T560" s="1" t="s">
        <v>74</v>
      </c>
      <c r="U560" s="1" t="s">
        <v>74</v>
      </c>
      <c r="V560" s="1" t="s">
        <v>5468</v>
      </c>
      <c r="W560" s="1" t="s">
        <v>74</v>
      </c>
      <c r="X560" s="1" t="s">
        <v>74</v>
      </c>
      <c r="Y560" s="1" t="s">
        <v>74</v>
      </c>
      <c r="Z560" s="1" t="s">
        <v>74</v>
      </c>
      <c r="AA560" s="1" t="s">
        <v>74</v>
      </c>
      <c r="AB560" s="1" t="s">
        <v>74</v>
      </c>
      <c r="AC560" s="1" t="s">
        <v>74</v>
      </c>
      <c r="AD560" s="1" t="s">
        <v>74</v>
      </c>
      <c r="AE560" s="1" t="s">
        <v>74</v>
      </c>
      <c r="AF560" s="1" t="s">
        <v>74</v>
      </c>
      <c r="AG560" s="1" t="s">
        <v>74</v>
      </c>
      <c r="AH560" s="1" t="s">
        <v>74</v>
      </c>
      <c r="AI560" s="1" t="s">
        <v>74</v>
      </c>
      <c r="AJ560" s="1" t="s">
        <v>74</v>
      </c>
      <c r="AK560" s="1" t="s">
        <v>74</v>
      </c>
      <c r="AL560" s="1" t="s">
        <v>74</v>
      </c>
      <c r="AM560" s="1" t="s">
        <v>74</v>
      </c>
      <c r="AN560" s="1" t="s">
        <v>74</v>
      </c>
      <c r="AO560" s="1" t="s">
        <v>4791</v>
      </c>
      <c r="AP560" s="1" t="s">
        <v>74</v>
      </c>
      <c r="AQ560" s="1" t="s">
        <v>74</v>
      </c>
      <c r="AR560" s="1" t="s">
        <v>74</v>
      </c>
      <c r="AS560" s="1" t="s">
        <v>74</v>
      </c>
      <c r="AT560" s="1" t="s">
        <v>490</v>
      </c>
      <c r="AU560" s="1">
        <v>2012.0</v>
      </c>
      <c r="AV560" s="1">
        <v>39.0</v>
      </c>
      <c r="AW560" s="1">
        <v>2.0</v>
      </c>
      <c r="AX560" s="1" t="s">
        <v>74</v>
      </c>
      <c r="AY560" s="1" t="s">
        <v>74</v>
      </c>
      <c r="AZ560" s="1" t="s">
        <v>74</v>
      </c>
      <c r="BA560" s="1" t="s">
        <v>74</v>
      </c>
      <c r="BB560" s="1">
        <v>289.0</v>
      </c>
      <c r="BC560" s="1">
        <v>298.0</v>
      </c>
      <c r="BD560" s="1" t="s">
        <v>74</v>
      </c>
      <c r="BE560" s="1" t="s">
        <v>5469</v>
      </c>
      <c r="BF560" s="2" t="str">
        <f>HYPERLINK("http://dx.doi.org/10.4067/S0718-16202012000200005","http://dx.doi.org/10.4067/S0718-16202012000200005")</f>
        <v>http://dx.doi.org/10.4067/S0718-16202012000200005</v>
      </c>
      <c r="BG560" s="1" t="s">
        <v>74</v>
      </c>
      <c r="BH560" s="1" t="s">
        <v>74</v>
      </c>
      <c r="BI560" s="1" t="s">
        <v>74</v>
      </c>
      <c r="BJ560" s="1" t="s">
        <v>74</v>
      </c>
      <c r="BK560" s="1" t="s">
        <v>74</v>
      </c>
      <c r="BL560" s="1" t="s">
        <v>74</v>
      </c>
      <c r="BM560" s="1" t="s">
        <v>74</v>
      </c>
      <c r="BN560" s="1" t="s">
        <v>74</v>
      </c>
      <c r="BO560" s="1" t="s">
        <v>74</v>
      </c>
      <c r="BP560" s="1" t="s">
        <v>74</v>
      </c>
      <c r="BQ560" s="1" t="s">
        <v>74</v>
      </c>
      <c r="BR560" s="1" t="s">
        <v>74</v>
      </c>
      <c r="BS560" s="1" t="s">
        <v>5470</v>
      </c>
      <c r="BT560" s="1" t="str">
        <f>HYPERLINK("https%3A%2F%2Fwww.webofscience.com%2Fwos%2Fwoscc%2Ffull-record%2FWOS:000307986500005","View Full Record in Web of Science")</f>
        <v>View Full Record in Web of Science</v>
      </c>
    </row>
    <row r="561" ht="12.75" customHeight="1">
      <c r="A561" s="1" t="s">
        <v>72</v>
      </c>
      <c r="B561" s="1" t="s">
        <v>5471</v>
      </c>
      <c r="C561" s="1" t="s">
        <v>74</v>
      </c>
      <c r="D561" s="1" t="s">
        <v>74</v>
      </c>
      <c r="E561" s="1" t="s">
        <v>74</v>
      </c>
      <c r="F561" s="1" t="s">
        <v>5472</v>
      </c>
      <c r="G561" s="1" t="s">
        <v>74</v>
      </c>
      <c r="H561" s="1" t="s">
        <v>74</v>
      </c>
      <c r="I561" s="1" t="s">
        <v>5473</v>
      </c>
      <c r="J561" s="1" t="s">
        <v>1200</v>
      </c>
      <c r="K561" s="1" t="s">
        <v>74</v>
      </c>
      <c r="L561" s="1" t="s">
        <v>74</v>
      </c>
      <c r="M561" s="1" t="s">
        <v>74</v>
      </c>
      <c r="N561" s="1" t="s">
        <v>74</v>
      </c>
      <c r="O561" s="1" t="s">
        <v>74</v>
      </c>
      <c r="P561" s="1" t="s">
        <v>74</v>
      </c>
      <c r="Q561" s="1" t="s">
        <v>74</v>
      </c>
      <c r="R561" s="1" t="s">
        <v>74</v>
      </c>
      <c r="S561" s="1" t="s">
        <v>74</v>
      </c>
      <c r="T561" s="1" t="s">
        <v>74</v>
      </c>
      <c r="U561" s="1" t="s">
        <v>74</v>
      </c>
      <c r="V561" s="1" t="s">
        <v>5474</v>
      </c>
      <c r="W561" s="1" t="s">
        <v>74</v>
      </c>
      <c r="X561" s="1" t="s">
        <v>74</v>
      </c>
      <c r="Y561" s="1" t="s">
        <v>74</v>
      </c>
      <c r="Z561" s="1" t="s">
        <v>74</v>
      </c>
      <c r="AA561" s="1" t="s">
        <v>5475</v>
      </c>
      <c r="AB561" s="1" t="s">
        <v>5476</v>
      </c>
      <c r="AC561" s="1" t="s">
        <v>74</v>
      </c>
      <c r="AD561" s="1" t="s">
        <v>74</v>
      </c>
      <c r="AE561" s="1" t="s">
        <v>74</v>
      </c>
      <c r="AF561" s="1" t="s">
        <v>74</v>
      </c>
      <c r="AG561" s="1" t="s">
        <v>74</v>
      </c>
      <c r="AH561" s="1" t="s">
        <v>74</v>
      </c>
      <c r="AI561" s="1" t="s">
        <v>74</v>
      </c>
      <c r="AJ561" s="1" t="s">
        <v>74</v>
      </c>
      <c r="AK561" s="1" t="s">
        <v>74</v>
      </c>
      <c r="AL561" s="1" t="s">
        <v>74</v>
      </c>
      <c r="AM561" s="1" t="s">
        <v>74</v>
      </c>
      <c r="AN561" s="1" t="s">
        <v>74</v>
      </c>
      <c r="AO561" s="1" t="s">
        <v>1204</v>
      </c>
      <c r="AP561" s="1" t="s">
        <v>1205</v>
      </c>
      <c r="AQ561" s="1" t="s">
        <v>74</v>
      </c>
      <c r="AR561" s="1" t="s">
        <v>74</v>
      </c>
      <c r="AS561" s="1" t="s">
        <v>74</v>
      </c>
      <c r="AT561" s="1" t="s">
        <v>841</v>
      </c>
      <c r="AU561" s="1">
        <v>2012.0</v>
      </c>
      <c r="AV561" s="1">
        <v>24.0</v>
      </c>
      <c r="AW561" s="1">
        <v>4.0</v>
      </c>
      <c r="AX561" s="1" t="s">
        <v>74</v>
      </c>
      <c r="AY561" s="1" t="s">
        <v>74</v>
      </c>
      <c r="AZ561" s="1" t="s">
        <v>1042</v>
      </c>
      <c r="BA561" s="1" t="s">
        <v>74</v>
      </c>
      <c r="BB561" s="1">
        <v>938.0</v>
      </c>
      <c r="BC561" s="1">
        <v>944.0</v>
      </c>
      <c r="BD561" s="1" t="s">
        <v>74</v>
      </c>
      <c r="BE561" s="1" t="s">
        <v>5477</v>
      </c>
      <c r="BF561" s="2" t="str">
        <f>HYPERLINK("http://dx.doi.org/10.1002/elan.201100607","http://dx.doi.org/10.1002/elan.201100607")</f>
        <v>http://dx.doi.org/10.1002/elan.201100607</v>
      </c>
      <c r="BG561" s="1" t="s">
        <v>74</v>
      </c>
      <c r="BH561" s="1" t="s">
        <v>74</v>
      </c>
      <c r="BI561" s="1" t="s">
        <v>74</v>
      </c>
      <c r="BJ561" s="1" t="s">
        <v>74</v>
      </c>
      <c r="BK561" s="1" t="s">
        <v>74</v>
      </c>
      <c r="BL561" s="1" t="s">
        <v>74</v>
      </c>
      <c r="BM561" s="1" t="s">
        <v>74</v>
      </c>
      <c r="BN561" s="1" t="s">
        <v>74</v>
      </c>
      <c r="BO561" s="1" t="s">
        <v>74</v>
      </c>
      <c r="BP561" s="1" t="s">
        <v>74</v>
      </c>
      <c r="BQ561" s="1" t="s">
        <v>74</v>
      </c>
      <c r="BR561" s="1" t="s">
        <v>74</v>
      </c>
      <c r="BS561" s="1" t="s">
        <v>5478</v>
      </c>
      <c r="BT561" s="1" t="str">
        <f>HYPERLINK("https%3A%2F%2Fwww.webofscience.com%2Fwos%2Fwoscc%2Ffull-record%2FWOS:000302160000029","View Full Record in Web of Science")</f>
        <v>View Full Record in Web of Science</v>
      </c>
    </row>
    <row r="562" ht="12.75" customHeight="1">
      <c r="A562" s="1" t="s">
        <v>72</v>
      </c>
      <c r="B562" s="1" t="s">
        <v>5479</v>
      </c>
      <c r="C562" s="1" t="s">
        <v>74</v>
      </c>
      <c r="D562" s="1" t="s">
        <v>74</v>
      </c>
      <c r="E562" s="1" t="s">
        <v>74</v>
      </c>
      <c r="F562" s="1" t="s">
        <v>5480</v>
      </c>
      <c r="G562" s="1" t="s">
        <v>74</v>
      </c>
      <c r="H562" s="1" t="s">
        <v>74</v>
      </c>
      <c r="I562" s="1" t="s">
        <v>5481</v>
      </c>
      <c r="J562" s="1" t="s">
        <v>5482</v>
      </c>
      <c r="K562" s="1" t="s">
        <v>74</v>
      </c>
      <c r="L562" s="1" t="s">
        <v>74</v>
      </c>
      <c r="M562" s="1" t="s">
        <v>74</v>
      </c>
      <c r="N562" s="1" t="s">
        <v>74</v>
      </c>
      <c r="O562" s="1" t="s">
        <v>74</v>
      </c>
      <c r="P562" s="1" t="s">
        <v>74</v>
      </c>
      <c r="Q562" s="1" t="s">
        <v>74</v>
      </c>
      <c r="R562" s="1" t="s">
        <v>74</v>
      </c>
      <c r="S562" s="1" t="s">
        <v>74</v>
      </c>
      <c r="T562" s="1" t="s">
        <v>74</v>
      </c>
      <c r="U562" s="1" t="s">
        <v>74</v>
      </c>
      <c r="V562" s="1" t="s">
        <v>5483</v>
      </c>
      <c r="W562" s="1" t="s">
        <v>74</v>
      </c>
      <c r="X562" s="1" t="s">
        <v>74</v>
      </c>
      <c r="Y562" s="1" t="s">
        <v>74</v>
      </c>
      <c r="Z562" s="1" t="s">
        <v>74</v>
      </c>
      <c r="AA562" s="1" t="s">
        <v>5484</v>
      </c>
      <c r="AB562" s="1" t="s">
        <v>5485</v>
      </c>
      <c r="AC562" s="1" t="s">
        <v>74</v>
      </c>
      <c r="AD562" s="1" t="s">
        <v>74</v>
      </c>
      <c r="AE562" s="1" t="s">
        <v>74</v>
      </c>
      <c r="AF562" s="1" t="s">
        <v>74</v>
      </c>
      <c r="AG562" s="1" t="s">
        <v>74</v>
      </c>
      <c r="AH562" s="1" t="s">
        <v>74</v>
      </c>
      <c r="AI562" s="1" t="s">
        <v>74</v>
      </c>
      <c r="AJ562" s="1" t="s">
        <v>74</v>
      </c>
      <c r="AK562" s="1" t="s">
        <v>74</v>
      </c>
      <c r="AL562" s="1" t="s">
        <v>74</v>
      </c>
      <c r="AM562" s="1" t="s">
        <v>74</v>
      </c>
      <c r="AN562" s="1" t="s">
        <v>74</v>
      </c>
      <c r="AO562" s="1" t="s">
        <v>5486</v>
      </c>
      <c r="AP562" s="1" t="s">
        <v>5487</v>
      </c>
      <c r="AQ562" s="1" t="s">
        <v>74</v>
      </c>
      <c r="AR562" s="1" t="s">
        <v>74</v>
      </c>
      <c r="AS562" s="1" t="s">
        <v>74</v>
      </c>
      <c r="AT562" s="1" t="s">
        <v>389</v>
      </c>
      <c r="AU562" s="1">
        <v>2012.0</v>
      </c>
      <c r="AV562" s="1">
        <v>160.0</v>
      </c>
      <c r="AW562" s="1">
        <v>3.0</v>
      </c>
      <c r="AX562" s="1" t="s">
        <v>74</v>
      </c>
      <c r="AY562" s="1" t="s">
        <v>74</v>
      </c>
      <c r="AZ562" s="1" t="s">
        <v>74</v>
      </c>
      <c r="BA562" s="1" t="s">
        <v>74</v>
      </c>
      <c r="BB562" s="1">
        <v>259.0</v>
      </c>
      <c r="BC562" s="1">
        <v>266.0</v>
      </c>
      <c r="BD562" s="1" t="s">
        <v>74</v>
      </c>
      <c r="BE562" s="1" t="s">
        <v>5488</v>
      </c>
      <c r="BF562" s="2" t="str">
        <f>HYPERLINK("http://dx.doi.org/10.1016/j.dam.2011.10.024","http://dx.doi.org/10.1016/j.dam.2011.10.024")</f>
        <v>http://dx.doi.org/10.1016/j.dam.2011.10.024</v>
      </c>
      <c r="BG562" s="1" t="s">
        <v>74</v>
      </c>
      <c r="BH562" s="1" t="s">
        <v>74</v>
      </c>
      <c r="BI562" s="1" t="s">
        <v>74</v>
      </c>
      <c r="BJ562" s="1" t="s">
        <v>74</v>
      </c>
      <c r="BK562" s="1" t="s">
        <v>74</v>
      </c>
      <c r="BL562" s="1" t="s">
        <v>74</v>
      </c>
      <c r="BM562" s="1" t="s">
        <v>74</v>
      </c>
      <c r="BN562" s="1" t="s">
        <v>74</v>
      </c>
      <c r="BO562" s="1" t="s">
        <v>74</v>
      </c>
      <c r="BP562" s="1" t="s">
        <v>74</v>
      </c>
      <c r="BQ562" s="1" t="s">
        <v>74</v>
      </c>
      <c r="BR562" s="1" t="s">
        <v>74</v>
      </c>
      <c r="BS562" s="1" t="s">
        <v>5489</v>
      </c>
      <c r="BT562" s="1" t="str">
        <f>HYPERLINK("https%3A%2F%2Fwww.webofscience.com%2Fwos%2Fwoscc%2Ffull-record%2FWOS:000299144900009","View Full Record in Web of Science")</f>
        <v>View Full Record in Web of Science</v>
      </c>
    </row>
    <row r="563" ht="12.75" customHeight="1">
      <c r="A563" s="1" t="s">
        <v>147</v>
      </c>
      <c r="B563" s="1" t="s">
        <v>3264</v>
      </c>
      <c r="C563" s="1" t="s">
        <v>74</v>
      </c>
      <c r="D563" s="1" t="s">
        <v>74</v>
      </c>
      <c r="E563" s="1" t="s">
        <v>793</v>
      </c>
      <c r="F563" s="1" t="s">
        <v>3265</v>
      </c>
      <c r="G563" s="1" t="s">
        <v>74</v>
      </c>
      <c r="H563" s="1" t="s">
        <v>74</v>
      </c>
      <c r="I563" s="1" t="s">
        <v>5490</v>
      </c>
      <c r="J563" s="1" t="s">
        <v>5491</v>
      </c>
      <c r="K563" s="1" t="s">
        <v>5492</v>
      </c>
      <c r="L563" s="1" t="s">
        <v>74</v>
      </c>
      <c r="M563" s="1" t="s">
        <v>74</v>
      </c>
      <c r="N563" s="1" t="s">
        <v>74</v>
      </c>
      <c r="O563" s="1" t="s">
        <v>5493</v>
      </c>
      <c r="P563" s="1" t="s">
        <v>5494</v>
      </c>
      <c r="Q563" s="1" t="s">
        <v>5495</v>
      </c>
      <c r="R563" s="1" t="s">
        <v>74</v>
      </c>
      <c r="S563" s="1" t="s">
        <v>74</v>
      </c>
      <c r="T563" s="1" t="s">
        <v>74</v>
      </c>
      <c r="U563" s="1" t="s">
        <v>74</v>
      </c>
      <c r="V563" s="1" t="s">
        <v>5496</v>
      </c>
      <c r="W563" s="1" t="s">
        <v>74</v>
      </c>
      <c r="X563" s="1" t="s">
        <v>74</v>
      </c>
      <c r="Y563" s="1" t="s">
        <v>74</v>
      </c>
      <c r="Z563" s="1" t="s">
        <v>74</v>
      </c>
      <c r="AA563" s="1" t="s">
        <v>74</v>
      </c>
      <c r="AB563" s="1" t="s">
        <v>3269</v>
      </c>
      <c r="AC563" s="1" t="s">
        <v>74</v>
      </c>
      <c r="AD563" s="1" t="s">
        <v>74</v>
      </c>
      <c r="AE563" s="1" t="s">
        <v>74</v>
      </c>
      <c r="AF563" s="1" t="s">
        <v>74</v>
      </c>
      <c r="AG563" s="1" t="s">
        <v>74</v>
      </c>
      <c r="AH563" s="1" t="s">
        <v>74</v>
      </c>
      <c r="AI563" s="1" t="s">
        <v>74</v>
      </c>
      <c r="AJ563" s="1" t="s">
        <v>74</v>
      </c>
      <c r="AK563" s="1" t="s">
        <v>74</v>
      </c>
      <c r="AL563" s="1" t="s">
        <v>74</v>
      </c>
      <c r="AM563" s="1" t="s">
        <v>74</v>
      </c>
      <c r="AN563" s="1" t="s">
        <v>74</v>
      </c>
      <c r="AO563" s="1" t="s">
        <v>5497</v>
      </c>
      <c r="AP563" s="1" t="s">
        <v>74</v>
      </c>
      <c r="AQ563" s="1" t="s">
        <v>5498</v>
      </c>
      <c r="AR563" s="1" t="s">
        <v>74</v>
      </c>
      <c r="AS563" s="1" t="s">
        <v>74</v>
      </c>
      <c r="AT563" s="1" t="s">
        <v>74</v>
      </c>
      <c r="AU563" s="1">
        <v>2012.0</v>
      </c>
      <c r="AV563" s="1" t="s">
        <v>74</v>
      </c>
      <c r="AW563" s="1" t="s">
        <v>74</v>
      </c>
      <c r="AX563" s="1" t="s">
        <v>74</v>
      </c>
      <c r="AY563" s="1" t="s">
        <v>74</v>
      </c>
      <c r="AZ563" s="1" t="s">
        <v>74</v>
      </c>
      <c r="BA563" s="1" t="s">
        <v>74</v>
      </c>
      <c r="BB563" s="1" t="s">
        <v>74</v>
      </c>
      <c r="BC563" s="1" t="s">
        <v>74</v>
      </c>
      <c r="BD563" s="1" t="s">
        <v>74</v>
      </c>
      <c r="BE563" s="1" t="s">
        <v>74</v>
      </c>
      <c r="BF563" s="1" t="s">
        <v>74</v>
      </c>
      <c r="BG563" s="1" t="s">
        <v>74</v>
      </c>
      <c r="BH563" s="1" t="s">
        <v>74</v>
      </c>
      <c r="BI563" s="1" t="s">
        <v>74</v>
      </c>
      <c r="BJ563" s="1" t="s">
        <v>74</v>
      </c>
      <c r="BK563" s="1" t="s">
        <v>74</v>
      </c>
      <c r="BL563" s="1" t="s">
        <v>74</v>
      </c>
      <c r="BM563" s="1" t="s">
        <v>74</v>
      </c>
      <c r="BN563" s="1" t="s">
        <v>74</v>
      </c>
      <c r="BO563" s="1" t="s">
        <v>74</v>
      </c>
      <c r="BP563" s="1" t="s">
        <v>74</v>
      </c>
      <c r="BQ563" s="1" t="s">
        <v>74</v>
      </c>
      <c r="BR563" s="1" t="s">
        <v>74</v>
      </c>
      <c r="BS563" s="1" t="s">
        <v>5499</v>
      </c>
      <c r="BT563" s="1" t="str">
        <f>HYPERLINK("https%3A%2F%2Fwww.webofscience.com%2Fwos%2Fwoscc%2Ffull-record%2FWOS:000309341300114","View Full Record in Web of Science")</f>
        <v>View Full Record in Web of Science</v>
      </c>
    </row>
    <row r="564" ht="12.75" customHeight="1">
      <c r="A564" s="1" t="s">
        <v>72</v>
      </c>
      <c r="B564" s="1" t="s">
        <v>5500</v>
      </c>
      <c r="C564" s="1" t="s">
        <v>74</v>
      </c>
      <c r="D564" s="1" t="s">
        <v>74</v>
      </c>
      <c r="E564" s="1" t="s">
        <v>74</v>
      </c>
      <c r="F564" s="1" t="s">
        <v>5501</v>
      </c>
      <c r="G564" s="1" t="s">
        <v>74</v>
      </c>
      <c r="H564" s="1" t="s">
        <v>74</v>
      </c>
      <c r="I564" s="1" t="s">
        <v>5502</v>
      </c>
      <c r="J564" s="1" t="s">
        <v>5503</v>
      </c>
      <c r="K564" s="1" t="s">
        <v>74</v>
      </c>
      <c r="L564" s="1" t="s">
        <v>74</v>
      </c>
      <c r="M564" s="1" t="s">
        <v>74</v>
      </c>
      <c r="N564" s="1" t="s">
        <v>74</v>
      </c>
      <c r="O564" s="1" t="s">
        <v>74</v>
      </c>
      <c r="P564" s="1" t="s">
        <v>74</v>
      </c>
      <c r="Q564" s="1" t="s">
        <v>74</v>
      </c>
      <c r="R564" s="1" t="s">
        <v>74</v>
      </c>
      <c r="S564" s="1" t="s">
        <v>74</v>
      </c>
      <c r="T564" s="1" t="s">
        <v>74</v>
      </c>
      <c r="U564" s="1" t="s">
        <v>74</v>
      </c>
      <c r="V564" s="1" t="s">
        <v>5504</v>
      </c>
      <c r="W564" s="1" t="s">
        <v>74</v>
      </c>
      <c r="X564" s="1" t="s">
        <v>74</v>
      </c>
      <c r="Y564" s="1" t="s">
        <v>74</v>
      </c>
      <c r="Z564" s="1" t="s">
        <v>74</v>
      </c>
      <c r="AA564" s="1" t="s">
        <v>74</v>
      </c>
      <c r="AB564" s="1" t="s">
        <v>5505</v>
      </c>
      <c r="AC564" s="1" t="s">
        <v>74</v>
      </c>
      <c r="AD564" s="1" t="s">
        <v>74</v>
      </c>
      <c r="AE564" s="1" t="s">
        <v>74</v>
      </c>
      <c r="AF564" s="1" t="s">
        <v>74</v>
      </c>
      <c r="AG564" s="1" t="s">
        <v>74</v>
      </c>
      <c r="AH564" s="1" t="s">
        <v>74</v>
      </c>
      <c r="AI564" s="1" t="s">
        <v>74</v>
      </c>
      <c r="AJ564" s="1" t="s">
        <v>74</v>
      </c>
      <c r="AK564" s="1" t="s">
        <v>74</v>
      </c>
      <c r="AL564" s="1" t="s">
        <v>74</v>
      </c>
      <c r="AM564" s="1" t="s">
        <v>74</v>
      </c>
      <c r="AN564" s="1" t="s">
        <v>74</v>
      </c>
      <c r="AO564" s="1" t="s">
        <v>4020</v>
      </c>
      <c r="AP564" s="1" t="s">
        <v>74</v>
      </c>
      <c r="AQ564" s="1" t="s">
        <v>74</v>
      </c>
      <c r="AR564" s="1" t="s">
        <v>74</v>
      </c>
      <c r="AS564" s="1" t="s">
        <v>74</v>
      </c>
      <c r="AT564" s="1" t="s">
        <v>74</v>
      </c>
      <c r="AU564" s="1">
        <v>2012.0</v>
      </c>
      <c r="AV564" s="1">
        <v>18.0</v>
      </c>
      <c r="AW564" s="1">
        <v>1.0</v>
      </c>
      <c r="AX564" s="1" t="s">
        <v>74</v>
      </c>
      <c r="AY564" s="1" t="s">
        <v>74</v>
      </c>
      <c r="AZ564" s="1" t="s">
        <v>74</v>
      </c>
      <c r="BA564" s="1" t="s">
        <v>74</v>
      </c>
      <c r="BB564" s="1">
        <v>111.0</v>
      </c>
      <c r="BC564" s="1">
        <v>120.0</v>
      </c>
      <c r="BD564" s="1" t="s">
        <v>74</v>
      </c>
      <c r="BE564" s="1" t="s">
        <v>5506</v>
      </c>
      <c r="BF564" s="2" t="str">
        <f>HYPERLINK("http://dx.doi.org/10.4067/S1726-569X2012000100010","http://dx.doi.org/10.4067/S1726-569X2012000100010")</f>
        <v>http://dx.doi.org/10.4067/S1726-569X2012000100010</v>
      </c>
      <c r="BG564" s="1" t="s">
        <v>74</v>
      </c>
      <c r="BH564" s="1" t="s">
        <v>74</v>
      </c>
      <c r="BI564" s="1" t="s">
        <v>74</v>
      </c>
      <c r="BJ564" s="1" t="s">
        <v>74</v>
      </c>
      <c r="BK564" s="1" t="s">
        <v>74</v>
      </c>
      <c r="BL564" s="1" t="s">
        <v>74</v>
      </c>
      <c r="BM564" s="1" t="s">
        <v>74</v>
      </c>
      <c r="BN564" s="1" t="s">
        <v>74</v>
      </c>
      <c r="BO564" s="1" t="s">
        <v>74</v>
      </c>
      <c r="BP564" s="1" t="s">
        <v>74</v>
      </c>
      <c r="BQ564" s="1" t="s">
        <v>74</v>
      </c>
      <c r="BR564" s="1" t="s">
        <v>74</v>
      </c>
      <c r="BS564" s="1" t="s">
        <v>5507</v>
      </c>
      <c r="BT564" s="1" t="str">
        <f>HYPERLINK("https%3A%2F%2Fwww.webofscience.com%2Fwos%2Fwoscc%2Ffull-record%2FWOS:000321117100010","View Full Record in Web of Science")</f>
        <v>View Full Record in Web of Science</v>
      </c>
    </row>
    <row r="565" ht="12.75" customHeight="1">
      <c r="A565" s="1" t="s">
        <v>72</v>
      </c>
      <c r="B565" s="1" t="s">
        <v>5508</v>
      </c>
      <c r="C565" s="1" t="s">
        <v>74</v>
      </c>
      <c r="D565" s="1" t="s">
        <v>74</v>
      </c>
      <c r="E565" s="1" t="s">
        <v>74</v>
      </c>
      <c r="F565" s="1" t="s">
        <v>5509</v>
      </c>
      <c r="G565" s="1" t="s">
        <v>74</v>
      </c>
      <c r="H565" s="1" t="s">
        <v>74</v>
      </c>
      <c r="I565" s="1" t="s">
        <v>5510</v>
      </c>
      <c r="J565" s="1" t="s">
        <v>5511</v>
      </c>
      <c r="K565" s="1" t="s">
        <v>74</v>
      </c>
      <c r="L565" s="1" t="s">
        <v>74</v>
      </c>
      <c r="M565" s="1" t="s">
        <v>74</v>
      </c>
      <c r="N565" s="1" t="s">
        <v>74</v>
      </c>
      <c r="O565" s="1" t="s">
        <v>74</v>
      </c>
      <c r="P565" s="1" t="s">
        <v>74</v>
      </c>
      <c r="Q565" s="1" t="s">
        <v>74</v>
      </c>
      <c r="R565" s="1" t="s">
        <v>74</v>
      </c>
      <c r="S565" s="1" t="s">
        <v>74</v>
      </c>
      <c r="T565" s="1" t="s">
        <v>74</v>
      </c>
      <c r="U565" s="1" t="s">
        <v>74</v>
      </c>
      <c r="V565" s="1" t="s">
        <v>5512</v>
      </c>
      <c r="W565" s="1" t="s">
        <v>74</v>
      </c>
      <c r="X565" s="1" t="s">
        <v>74</v>
      </c>
      <c r="Y565" s="1" t="s">
        <v>74</v>
      </c>
      <c r="Z565" s="1" t="s">
        <v>74</v>
      </c>
      <c r="AA565" s="1" t="s">
        <v>3520</v>
      </c>
      <c r="AB565" s="1" t="s">
        <v>3521</v>
      </c>
      <c r="AC565" s="1" t="s">
        <v>74</v>
      </c>
      <c r="AD565" s="1" t="s">
        <v>74</v>
      </c>
      <c r="AE565" s="1" t="s">
        <v>74</v>
      </c>
      <c r="AF565" s="1" t="s">
        <v>74</v>
      </c>
      <c r="AG565" s="1" t="s">
        <v>74</v>
      </c>
      <c r="AH565" s="1" t="s">
        <v>74</v>
      </c>
      <c r="AI565" s="1" t="s">
        <v>74</v>
      </c>
      <c r="AJ565" s="1" t="s">
        <v>74</v>
      </c>
      <c r="AK565" s="1" t="s">
        <v>74</v>
      </c>
      <c r="AL565" s="1" t="s">
        <v>74</v>
      </c>
      <c r="AM565" s="1" t="s">
        <v>74</v>
      </c>
      <c r="AN565" s="1" t="s">
        <v>74</v>
      </c>
      <c r="AO565" s="1" t="s">
        <v>5513</v>
      </c>
      <c r="AP565" s="1" t="s">
        <v>5514</v>
      </c>
      <c r="AQ565" s="1" t="s">
        <v>74</v>
      </c>
      <c r="AR565" s="1" t="s">
        <v>74</v>
      </c>
      <c r="AS565" s="1" t="s">
        <v>74</v>
      </c>
      <c r="AT565" s="1" t="s">
        <v>415</v>
      </c>
      <c r="AU565" s="1">
        <v>2011.0</v>
      </c>
      <c r="AV565" s="1">
        <v>3.0</v>
      </c>
      <c r="AW565" s="1">
        <v>4.0</v>
      </c>
      <c r="AX565" s="1" t="s">
        <v>74</v>
      </c>
      <c r="AY565" s="1" t="s">
        <v>74</v>
      </c>
      <c r="AZ565" s="1" t="s">
        <v>74</v>
      </c>
      <c r="BA565" s="1" t="s">
        <v>74</v>
      </c>
      <c r="BB565" s="1">
        <v>299.0</v>
      </c>
      <c r="BC565" s="1">
        <v>315.0</v>
      </c>
      <c r="BD565" s="1" t="s">
        <v>74</v>
      </c>
      <c r="BE565" s="1" t="s">
        <v>5515</v>
      </c>
      <c r="BF565" s="2" t="str">
        <f>HYPERLINK("http://dx.doi.org/10.1007/s12371-011-0045-x","http://dx.doi.org/10.1007/s12371-011-0045-x")</f>
        <v>http://dx.doi.org/10.1007/s12371-011-0045-x</v>
      </c>
      <c r="BG565" s="1" t="s">
        <v>74</v>
      </c>
      <c r="BH565" s="1" t="s">
        <v>74</v>
      </c>
      <c r="BI565" s="1" t="s">
        <v>74</v>
      </c>
      <c r="BJ565" s="1" t="s">
        <v>74</v>
      </c>
      <c r="BK565" s="1" t="s">
        <v>74</v>
      </c>
      <c r="BL565" s="1" t="s">
        <v>74</v>
      </c>
      <c r="BM565" s="1" t="s">
        <v>74</v>
      </c>
      <c r="BN565" s="1" t="s">
        <v>74</v>
      </c>
      <c r="BO565" s="1" t="s">
        <v>74</v>
      </c>
      <c r="BP565" s="1" t="s">
        <v>74</v>
      </c>
      <c r="BQ565" s="1" t="s">
        <v>74</v>
      </c>
      <c r="BR565" s="1" t="s">
        <v>74</v>
      </c>
      <c r="BS565" s="1" t="s">
        <v>5516</v>
      </c>
      <c r="BT565" s="1" t="str">
        <f>HYPERLINK("https%3A%2F%2Fwww.webofscience.com%2Fwos%2Fwoscc%2Ffull-record%2FWOS:000208779000004","View Full Record in Web of Science")</f>
        <v>View Full Record in Web of Science</v>
      </c>
    </row>
    <row r="566" ht="12.75" customHeight="1">
      <c r="A566" s="1" t="s">
        <v>72</v>
      </c>
      <c r="B566" s="1" t="s">
        <v>5517</v>
      </c>
      <c r="C566" s="1" t="s">
        <v>74</v>
      </c>
      <c r="D566" s="1" t="s">
        <v>74</v>
      </c>
      <c r="E566" s="1" t="s">
        <v>74</v>
      </c>
      <c r="F566" s="1" t="s">
        <v>5518</v>
      </c>
      <c r="G566" s="1" t="s">
        <v>74</v>
      </c>
      <c r="H566" s="1" t="s">
        <v>74</v>
      </c>
      <c r="I566" s="1" t="s">
        <v>5519</v>
      </c>
      <c r="J566" s="1" t="s">
        <v>360</v>
      </c>
      <c r="K566" s="1" t="s">
        <v>74</v>
      </c>
      <c r="L566" s="1" t="s">
        <v>74</v>
      </c>
      <c r="M566" s="1" t="s">
        <v>74</v>
      </c>
      <c r="N566" s="1" t="s">
        <v>74</v>
      </c>
      <c r="O566" s="1" t="s">
        <v>74</v>
      </c>
      <c r="P566" s="1" t="s">
        <v>74</v>
      </c>
      <c r="Q566" s="1" t="s">
        <v>74</v>
      </c>
      <c r="R566" s="1" t="s">
        <v>74</v>
      </c>
      <c r="S566" s="1" t="s">
        <v>74</v>
      </c>
      <c r="T566" s="1" t="s">
        <v>74</v>
      </c>
      <c r="U566" s="1" t="s">
        <v>74</v>
      </c>
      <c r="V566" s="1" t="s">
        <v>5520</v>
      </c>
      <c r="W566" s="1" t="s">
        <v>74</v>
      </c>
      <c r="X566" s="1" t="s">
        <v>74</v>
      </c>
      <c r="Y566" s="1" t="s">
        <v>74</v>
      </c>
      <c r="Z566" s="1" t="s">
        <v>74</v>
      </c>
      <c r="AA566" s="1" t="s">
        <v>74</v>
      </c>
      <c r="AB566" s="1" t="s">
        <v>5521</v>
      </c>
      <c r="AC566" s="1" t="s">
        <v>74</v>
      </c>
      <c r="AD566" s="1" t="s">
        <v>74</v>
      </c>
      <c r="AE566" s="1" t="s">
        <v>74</v>
      </c>
      <c r="AF566" s="1" t="s">
        <v>74</v>
      </c>
      <c r="AG566" s="1" t="s">
        <v>74</v>
      </c>
      <c r="AH566" s="1" t="s">
        <v>74</v>
      </c>
      <c r="AI566" s="1" t="s">
        <v>74</v>
      </c>
      <c r="AJ566" s="1" t="s">
        <v>74</v>
      </c>
      <c r="AK566" s="1" t="s">
        <v>74</v>
      </c>
      <c r="AL566" s="1" t="s">
        <v>74</v>
      </c>
      <c r="AM566" s="1" t="s">
        <v>74</v>
      </c>
      <c r="AN566" s="1" t="s">
        <v>74</v>
      </c>
      <c r="AO566" s="1" t="s">
        <v>362</v>
      </c>
      <c r="AP566" s="1" t="s">
        <v>833</v>
      </c>
      <c r="AQ566" s="1" t="s">
        <v>74</v>
      </c>
      <c r="AR566" s="1" t="s">
        <v>74</v>
      </c>
      <c r="AS566" s="1" t="s">
        <v>74</v>
      </c>
      <c r="AT566" s="1" t="s">
        <v>421</v>
      </c>
      <c r="AU566" s="1">
        <v>2011.0</v>
      </c>
      <c r="AV566" s="1">
        <v>139.0</v>
      </c>
      <c r="AW566" s="1">
        <v>5.0</v>
      </c>
      <c r="AX566" s="1" t="s">
        <v>74</v>
      </c>
      <c r="AY566" s="1" t="s">
        <v>74</v>
      </c>
      <c r="AZ566" s="1" t="s">
        <v>74</v>
      </c>
      <c r="BA566" s="1" t="s">
        <v>74</v>
      </c>
      <c r="BB566" s="1">
        <v>618.0</v>
      </c>
      <c r="BC566" s="1">
        <v>624.0</v>
      </c>
      <c r="BD566" s="1" t="s">
        <v>74</v>
      </c>
      <c r="BE566" s="1" t="s">
        <v>5522</v>
      </c>
      <c r="BF566" s="2" t="str">
        <f>HYPERLINK("http://dx.doi.org/10.4067/S0034-98872011000500009","http://dx.doi.org/10.4067/S0034-98872011000500009")</f>
        <v>http://dx.doi.org/10.4067/S0034-98872011000500009</v>
      </c>
      <c r="BG566" s="1" t="s">
        <v>74</v>
      </c>
      <c r="BH566" s="1" t="s">
        <v>74</v>
      </c>
      <c r="BI566" s="1" t="s">
        <v>74</v>
      </c>
      <c r="BJ566" s="1" t="s">
        <v>74</v>
      </c>
      <c r="BK566" s="1" t="s">
        <v>74</v>
      </c>
      <c r="BL566" s="1" t="s">
        <v>74</v>
      </c>
      <c r="BM566" s="1" t="s">
        <v>74</v>
      </c>
      <c r="BN566" s="1">
        <v>2.2051713E7</v>
      </c>
      <c r="BO566" s="1" t="s">
        <v>74</v>
      </c>
      <c r="BP566" s="1" t="s">
        <v>74</v>
      </c>
      <c r="BQ566" s="1" t="s">
        <v>74</v>
      </c>
      <c r="BR566" s="1" t="s">
        <v>74</v>
      </c>
      <c r="BS566" s="1" t="s">
        <v>5523</v>
      </c>
      <c r="BT566" s="1" t="str">
        <f>HYPERLINK("https%3A%2F%2Fwww.webofscience.com%2Fwos%2Fwoscc%2Ffull-record%2FWOS:000292415400009","View Full Record in Web of Science")</f>
        <v>View Full Record in Web of Science</v>
      </c>
    </row>
    <row r="567" ht="12.75" customHeight="1">
      <c r="A567" s="1" t="s">
        <v>72</v>
      </c>
      <c r="B567" s="1" t="s">
        <v>5524</v>
      </c>
      <c r="C567" s="1" t="s">
        <v>74</v>
      </c>
      <c r="D567" s="1" t="s">
        <v>74</v>
      </c>
      <c r="E567" s="1" t="s">
        <v>74</v>
      </c>
      <c r="F567" s="1" t="s">
        <v>5525</v>
      </c>
      <c r="G567" s="1" t="s">
        <v>74</v>
      </c>
      <c r="H567" s="1" t="s">
        <v>74</v>
      </c>
      <c r="I567" s="1" t="s">
        <v>5526</v>
      </c>
      <c r="J567" s="1" t="s">
        <v>5527</v>
      </c>
      <c r="K567" s="1" t="s">
        <v>74</v>
      </c>
      <c r="L567" s="1" t="s">
        <v>74</v>
      </c>
      <c r="M567" s="1" t="s">
        <v>74</v>
      </c>
      <c r="N567" s="1" t="s">
        <v>74</v>
      </c>
      <c r="O567" s="1" t="s">
        <v>74</v>
      </c>
      <c r="P567" s="1" t="s">
        <v>74</v>
      </c>
      <c r="Q567" s="1" t="s">
        <v>74</v>
      </c>
      <c r="R567" s="1" t="s">
        <v>74</v>
      </c>
      <c r="S567" s="1" t="s">
        <v>74</v>
      </c>
      <c r="T567" s="1" t="s">
        <v>74</v>
      </c>
      <c r="U567" s="1" t="s">
        <v>74</v>
      </c>
      <c r="V567" s="1" t="s">
        <v>5528</v>
      </c>
      <c r="W567" s="1" t="s">
        <v>74</v>
      </c>
      <c r="X567" s="1" t="s">
        <v>74</v>
      </c>
      <c r="Y567" s="1" t="s">
        <v>74</v>
      </c>
      <c r="Z567" s="1" t="s">
        <v>74</v>
      </c>
      <c r="AA567" s="1" t="s">
        <v>5529</v>
      </c>
      <c r="AB567" s="1" t="s">
        <v>5530</v>
      </c>
      <c r="AC567" s="1" t="s">
        <v>74</v>
      </c>
      <c r="AD567" s="1" t="s">
        <v>74</v>
      </c>
      <c r="AE567" s="1" t="s">
        <v>74</v>
      </c>
      <c r="AF567" s="1" t="s">
        <v>74</v>
      </c>
      <c r="AG567" s="1" t="s">
        <v>74</v>
      </c>
      <c r="AH567" s="1" t="s">
        <v>74</v>
      </c>
      <c r="AI567" s="1" t="s">
        <v>74</v>
      </c>
      <c r="AJ567" s="1" t="s">
        <v>74</v>
      </c>
      <c r="AK567" s="1" t="s">
        <v>74</v>
      </c>
      <c r="AL567" s="1" t="s">
        <v>74</v>
      </c>
      <c r="AM567" s="1" t="s">
        <v>74</v>
      </c>
      <c r="AN567" s="1" t="s">
        <v>74</v>
      </c>
      <c r="AO567" s="1" t="s">
        <v>5531</v>
      </c>
      <c r="AP567" s="1" t="s">
        <v>5532</v>
      </c>
      <c r="AQ567" s="1" t="s">
        <v>74</v>
      </c>
      <c r="AR567" s="1" t="s">
        <v>74</v>
      </c>
      <c r="AS567" s="1" t="s">
        <v>74</v>
      </c>
      <c r="AT567" s="1" t="s">
        <v>144</v>
      </c>
      <c r="AU567" s="1">
        <v>2011.0</v>
      </c>
      <c r="AV567" s="1">
        <v>43.0</v>
      </c>
      <c r="AW567" s="1">
        <v>1.0</v>
      </c>
      <c r="AX567" s="1" t="s">
        <v>74</v>
      </c>
      <c r="AY567" s="1" t="s">
        <v>74</v>
      </c>
      <c r="AZ567" s="1" t="s">
        <v>74</v>
      </c>
      <c r="BA567" s="1" t="s">
        <v>74</v>
      </c>
      <c r="BB567" s="1">
        <v>18.0</v>
      </c>
      <c r="BC567" s="1">
        <v>36.0</v>
      </c>
      <c r="BD567" s="1" t="s">
        <v>74</v>
      </c>
      <c r="BE567" s="1" t="s">
        <v>5533</v>
      </c>
      <c r="BF567" s="2" t="str">
        <f>HYPERLINK("http://dx.doi.org/10.3758/s13428-010-0040-1","http://dx.doi.org/10.3758/s13428-010-0040-1")</f>
        <v>http://dx.doi.org/10.3758/s13428-010-0040-1</v>
      </c>
      <c r="BG567" s="1" t="s">
        <v>74</v>
      </c>
      <c r="BH567" s="1" t="s">
        <v>74</v>
      </c>
      <c r="BI567" s="1" t="s">
        <v>74</v>
      </c>
      <c r="BJ567" s="1" t="s">
        <v>74</v>
      </c>
      <c r="BK567" s="1" t="s">
        <v>74</v>
      </c>
      <c r="BL567" s="1" t="s">
        <v>74</v>
      </c>
      <c r="BM567" s="1" t="s">
        <v>74</v>
      </c>
      <c r="BN567" s="1">
        <v>2.1287107E7</v>
      </c>
      <c r="BO567" s="1" t="s">
        <v>74</v>
      </c>
      <c r="BP567" s="1" t="s">
        <v>74</v>
      </c>
      <c r="BQ567" s="1" t="s">
        <v>74</v>
      </c>
      <c r="BR567" s="1" t="s">
        <v>74</v>
      </c>
      <c r="BS567" s="1" t="s">
        <v>5534</v>
      </c>
      <c r="BT567" s="1" t="str">
        <f>HYPERLINK("https%3A%2F%2Fwww.webofscience.com%2Fwos%2Fwoscc%2Ffull-record%2FWOS:000288020200003","View Full Record in Web of Science")</f>
        <v>View Full Record in Web of Science</v>
      </c>
    </row>
    <row r="568" ht="12.75" customHeight="1">
      <c r="A568" s="1" t="s">
        <v>72</v>
      </c>
      <c r="B568" s="1" t="s">
        <v>5535</v>
      </c>
      <c r="C568" s="1" t="s">
        <v>74</v>
      </c>
      <c r="D568" s="1" t="s">
        <v>74</v>
      </c>
      <c r="E568" s="1" t="s">
        <v>74</v>
      </c>
      <c r="F568" s="1" t="s">
        <v>5536</v>
      </c>
      <c r="G568" s="1" t="s">
        <v>74</v>
      </c>
      <c r="H568" s="1" t="s">
        <v>74</v>
      </c>
      <c r="I568" s="1" t="s">
        <v>5537</v>
      </c>
      <c r="J568" s="1" t="s">
        <v>118</v>
      </c>
      <c r="K568" s="1" t="s">
        <v>74</v>
      </c>
      <c r="L568" s="1" t="s">
        <v>74</v>
      </c>
      <c r="M568" s="1" t="s">
        <v>74</v>
      </c>
      <c r="N568" s="1" t="s">
        <v>74</v>
      </c>
      <c r="O568" s="1" t="s">
        <v>74</v>
      </c>
      <c r="P568" s="1" t="s">
        <v>74</v>
      </c>
      <c r="Q568" s="1" t="s">
        <v>74</v>
      </c>
      <c r="R568" s="1" t="s">
        <v>74</v>
      </c>
      <c r="S568" s="1" t="s">
        <v>74</v>
      </c>
      <c r="T568" s="1" t="s">
        <v>74</v>
      </c>
      <c r="U568" s="1" t="s">
        <v>74</v>
      </c>
      <c r="V568" s="1" t="s">
        <v>5538</v>
      </c>
      <c r="W568" s="1" t="s">
        <v>74</v>
      </c>
      <c r="X568" s="1" t="s">
        <v>74</v>
      </c>
      <c r="Y568" s="1" t="s">
        <v>74</v>
      </c>
      <c r="Z568" s="1" t="s">
        <v>74</v>
      </c>
      <c r="AA568" s="1" t="s">
        <v>229</v>
      </c>
      <c r="AB568" s="1" t="s">
        <v>74</v>
      </c>
      <c r="AC568" s="1" t="s">
        <v>74</v>
      </c>
      <c r="AD568" s="1" t="s">
        <v>74</v>
      </c>
      <c r="AE568" s="1" t="s">
        <v>74</v>
      </c>
      <c r="AF568" s="1" t="s">
        <v>74</v>
      </c>
      <c r="AG568" s="1" t="s">
        <v>74</v>
      </c>
      <c r="AH568" s="1" t="s">
        <v>74</v>
      </c>
      <c r="AI568" s="1" t="s">
        <v>74</v>
      </c>
      <c r="AJ568" s="1" t="s">
        <v>74</v>
      </c>
      <c r="AK568" s="1" t="s">
        <v>74</v>
      </c>
      <c r="AL568" s="1" t="s">
        <v>74</v>
      </c>
      <c r="AM568" s="1" t="s">
        <v>74</v>
      </c>
      <c r="AN568" s="1" t="s">
        <v>74</v>
      </c>
      <c r="AO568" s="1" t="s">
        <v>120</v>
      </c>
      <c r="AP568" s="1" t="s">
        <v>121</v>
      </c>
      <c r="AQ568" s="1" t="s">
        <v>74</v>
      </c>
      <c r="AR568" s="1" t="s">
        <v>74</v>
      </c>
      <c r="AS568" s="1" t="s">
        <v>74</v>
      </c>
      <c r="AT568" s="1" t="s">
        <v>415</v>
      </c>
      <c r="AU568" s="1">
        <v>2010.0</v>
      </c>
      <c r="AV568" s="1">
        <v>5.0</v>
      </c>
      <c r="AW568" s="1">
        <v>5.0</v>
      </c>
      <c r="AX568" s="1" t="s">
        <v>74</v>
      </c>
      <c r="AY568" s="1" t="s">
        <v>74</v>
      </c>
      <c r="AZ568" s="1" t="s">
        <v>74</v>
      </c>
      <c r="BA568" s="1" t="s">
        <v>74</v>
      </c>
      <c r="BB568" s="1">
        <v>799.0</v>
      </c>
      <c r="BC568" s="1">
        <v>812.0</v>
      </c>
      <c r="BD568" s="1" t="s">
        <v>74</v>
      </c>
      <c r="BE568" s="1" t="s">
        <v>74</v>
      </c>
      <c r="BF568" s="1" t="s">
        <v>74</v>
      </c>
      <c r="BG568" s="1" t="s">
        <v>74</v>
      </c>
      <c r="BH568" s="1" t="s">
        <v>74</v>
      </c>
      <c r="BI568" s="1" t="s">
        <v>74</v>
      </c>
      <c r="BJ568" s="1" t="s">
        <v>74</v>
      </c>
      <c r="BK568" s="1" t="s">
        <v>74</v>
      </c>
      <c r="BL568" s="1" t="s">
        <v>74</v>
      </c>
      <c r="BM568" s="1" t="s">
        <v>74</v>
      </c>
      <c r="BN568" s="1" t="s">
        <v>74</v>
      </c>
      <c r="BO568" s="1" t="s">
        <v>74</v>
      </c>
      <c r="BP568" s="1" t="s">
        <v>74</v>
      </c>
      <c r="BQ568" s="1" t="s">
        <v>74</v>
      </c>
      <c r="BR568" s="1" t="s">
        <v>74</v>
      </c>
      <c r="BS568" s="1" t="s">
        <v>5539</v>
      </c>
      <c r="BT568" s="1" t="str">
        <f>HYPERLINK("https%3A%2F%2Fwww.webofscience.com%2Fwos%2Fwoscc%2Ffull-record%2FWOS:000283908700022","View Full Record in Web of Science")</f>
        <v>View Full Record in Web of Science</v>
      </c>
    </row>
    <row r="569" ht="12.75" customHeight="1">
      <c r="A569" s="1" t="s">
        <v>72</v>
      </c>
      <c r="B569" s="1" t="s">
        <v>5540</v>
      </c>
      <c r="C569" s="1" t="s">
        <v>74</v>
      </c>
      <c r="D569" s="1" t="s">
        <v>74</v>
      </c>
      <c r="E569" s="1" t="s">
        <v>74</v>
      </c>
      <c r="F569" s="1" t="s">
        <v>5541</v>
      </c>
      <c r="G569" s="1" t="s">
        <v>74</v>
      </c>
      <c r="H569" s="1" t="s">
        <v>74</v>
      </c>
      <c r="I569" s="1" t="s">
        <v>5542</v>
      </c>
      <c r="J569" s="1" t="s">
        <v>5543</v>
      </c>
      <c r="K569" s="1" t="s">
        <v>74</v>
      </c>
      <c r="L569" s="1" t="s">
        <v>74</v>
      </c>
      <c r="M569" s="1" t="s">
        <v>74</v>
      </c>
      <c r="N569" s="1" t="s">
        <v>74</v>
      </c>
      <c r="O569" s="1" t="s">
        <v>74</v>
      </c>
      <c r="P569" s="1" t="s">
        <v>74</v>
      </c>
      <c r="Q569" s="1" t="s">
        <v>74</v>
      </c>
      <c r="R569" s="1" t="s">
        <v>74</v>
      </c>
      <c r="S569" s="1" t="s">
        <v>74</v>
      </c>
      <c r="T569" s="1" t="s">
        <v>74</v>
      </c>
      <c r="U569" s="1" t="s">
        <v>74</v>
      </c>
      <c r="V569" s="1" t="s">
        <v>5544</v>
      </c>
      <c r="W569" s="1" t="s">
        <v>74</v>
      </c>
      <c r="X569" s="1" t="s">
        <v>74</v>
      </c>
      <c r="Y569" s="1" t="s">
        <v>74</v>
      </c>
      <c r="Z569" s="1" t="s">
        <v>74</v>
      </c>
      <c r="AA569" s="1" t="s">
        <v>74</v>
      </c>
      <c r="AB569" s="1" t="s">
        <v>74</v>
      </c>
      <c r="AC569" s="1" t="s">
        <v>74</v>
      </c>
      <c r="AD569" s="1" t="s">
        <v>74</v>
      </c>
      <c r="AE569" s="1" t="s">
        <v>74</v>
      </c>
      <c r="AF569" s="1" t="s">
        <v>74</v>
      </c>
      <c r="AG569" s="1" t="s">
        <v>74</v>
      </c>
      <c r="AH569" s="1" t="s">
        <v>74</v>
      </c>
      <c r="AI569" s="1" t="s">
        <v>74</v>
      </c>
      <c r="AJ569" s="1" t="s">
        <v>74</v>
      </c>
      <c r="AK569" s="1" t="s">
        <v>74</v>
      </c>
      <c r="AL569" s="1" t="s">
        <v>74</v>
      </c>
      <c r="AM569" s="1" t="s">
        <v>74</v>
      </c>
      <c r="AN569" s="1" t="s">
        <v>74</v>
      </c>
      <c r="AO569" s="1" t="s">
        <v>5545</v>
      </c>
      <c r="AP569" s="1" t="s">
        <v>5546</v>
      </c>
      <c r="AQ569" s="1" t="s">
        <v>74</v>
      </c>
      <c r="AR569" s="1" t="s">
        <v>74</v>
      </c>
      <c r="AS569" s="1" t="s">
        <v>74</v>
      </c>
      <c r="AT569" s="1" t="s">
        <v>74</v>
      </c>
      <c r="AU569" s="1">
        <v>2010.0</v>
      </c>
      <c r="AV569" s="1">
        <v>28.0</v>
      </c>
      <c r="AW569" s="1">
        <v>2.0</v>
      </c>
      <c r="AX569" s="1" t="s">
        <v>74</v>
      </c>
      <c r="AY569" s="1" t="s">
        <v>74</v>
      </c>
      <c r="AZ569" s="1" t="s">
        <v>74</v>
      </c>
      <c r="BA569" s="1" t="s">
        <v>74</v>
      </c>
      <c r="BB569" s="1">
        <v>109.0</v>
      </c>
      <c r="BC569" s="1">
        <v>113.0</v>
      </c>
      <c r="BD569" s="1" t="s">
        <v>74</v>
      </c>
      <c r="BE569" s="1" t="s">
        <v>5547</v>
      </c>
      <c r="BF569" s="2" t="str">
        <f>HYPERLINK("http://dx.doi.org/10.1159/000309175","http://dx.doi.org/10.1159/000309175")</f>
        <v>http://dx.doi.org/10.1159/000309175</v>
      </c>
      <c r="BG569" s="1" t="s">
        <v>74</v>
      </c>
      <c r="BH569" s="1" t="s">
        <v>74</v>
      </c>
      <c r="BI569" s="1" t="s">
        <v>74</v>
      </c>
      <c r="BJ569" s="1" t="s">
        <v>74</v>
      </c>
      <c r="BK569" s="1" t="s">
        <v>74</v>
      </c>
      <c r="BL569" s="1" t="s">
        <v>74</v>
      </c>
      <c r="BM569" s="1" t="s">
        <v>74</v>
      </c>
      <c r="BN569" s="1">
        <v>2.0501972E7</v>
      </c>
      <c r="BO569" s="1" t="s">
        <v>74</v>
      </c>
      <c r="BP569" s="1" t="s">
        <v>74</v>
      </c>
      <c r="BQ569" s="1" t="s">
        <v>74</v>
      </c>
      <c r="BR569" s="1" t="s">
        <v>74</v>
      </c>
      <c r="BS569" s="1" t="s">
        <v>5548</v>
      </c>
      <c r="BT569" s="1" t="str">
        <f>HYPERLINK("https%3A%2F%2Fwww.webofscience.com%2Fwos%2Fwoscc%2Ffull-record%2FWOS:000281235900007","View Full Record in Web of Science")</f>
        <v>View Full Record in Web of Science</v>
      </c>
    </row>
    <row r="570" ht="12.75" customHeight="1">
      <c r="A570" s="1" t="s">
        <v>72</v>
      </c>
      <c r="B570" s="1" t="s">
        <v>5549</v>
      </c>
      <c r="C570" s="1" t="s">
        <v>74</v>
      </c>
      <c r="D570" s="1" t="s">
        <v>74</v>
      </c>
      <c r="E570" s="1" t="s">
        <v>74</v>
      </c>
      <c r="F570" s="1" t="s">
        <v>5550</v>
      </c>
      <c r="G570" s="1" t="s">
        <v>74</v>
      </c>
      <c r="H570" s="1" t="s">
        <v>74</v>
      </c>
      <c r="I570" s="1" t="s">
        <v>5551</v>
      </c>
      <c r="J570" s="1" t="s">
        <v>3895</v>
      </c>
      <c r="K570" s="1" t="s">
        <v>74</v>
      </c>
      <c r="L570" s="1" t="s">
        <v>74</v>
      </c>
      <c r="M570" s="1" t="s">
        <v>74</v>
      </c>
      <c r="N570" s="1" t="s">
        <v>74</v>
      </c>
      <c r="O570" s="1" t="s">
        <v>74</v>
      </c>
      <c r="P570" s="1" t="s">
        <v>74</v>
      </c>
      <c r="Q570" s="1" t="s">
        <v>74</v>
      </c>
      <c r="R570" s="1" t="s">
        <v>74</v>
      </c>
      <c r="S570" s="1" t="s">
        <v>74</v>
      </c>
      <c r="T570" s="1" t="s">
        <v>74</v>
      </c>
      <c r="U570" s="1" t="s">
        <v>74</v>
      </c>
      <c r="V570" s="1" t="s">
        <v>74</v>
      </c>
      <c r="W570" s="1" t="s">
        <v>74</v>
      </c>
      <c r="X570" s="1" t="s">
        <v>74</v>
      </c>
      <c r="Y570" s="1" t="s">
        <v>74</v>
      </c>
      <c r="Z570" s="1" t="s">
        <v>74</v>
      </c>
      <c r="AA570" s="1" t="s">
        <v>5552</v>
      </c>
      <c r="AB570" s="1" t="s">
        <v>5553</v>
      </c>
      <c r="AC570" s="1" t="s">
        <v>74</v>
      </c>
      <c r="AD570" s="1" t="s">
        <v>74</v>
      </c>
      <c r="AE570" s="1" t="s">
        <v>74</v>
      </c>
      <c r="AF570" s="1" t="s">
        <v>74</v>
      </c>
      <c r="AG570" s="1" t="s">
        <v>74</v>
      </c>
      <c r="AH570" s="1" t="s">
        <v>74</v>
      </c>
      <c r="AI570" s="1" t="s">
        <v>74</v>
      </c>
      <c r="AJ570" s="1" t="s">
        <v>74</v>
      </c>
      <c r="AK570" s="1" t="s">
        <v>74</v>
      </c>
      <c r="AL570" s="1" t="s">
        <v>74</v>
      </c>
      <c r="AM570" s="1" t="s">
        <v>74</v>
      </c>
      <c r="AN570" s="1" t="s">
        <v>74</v>
      </c>
      <c r="AO570" s="1" t="s">
        <v>3898</v>
      </c>
      <c r="AP570" s="1" t="s">
        <v>3899</v>
      </c>
      <c r="AQ570" s="1" t="s">
        <v>74</v>
      </c>
      <c r="AR570" s="1" t="s">
        <v>74</v>
      </c>
      <c r="AS570" s="1" t="s">
        <v>74</v>
      </c>
      <c r="AT570" s="1" t="s">
        <v>112</v>
      </c>
      <c r="AU570" s="1">
        <v>2009.0</v>
      </c>
      <c r="AV570" s="1">
        <v>122.0</v>
      </c>
      <c r="AW570" s="1">
        <v>1.0</v>
      </c>
      <c r="AX570" s="1" t="s">
        <v>74</v>
      </c>
      <c r="AY570" s="1" t="s">
        <v>74</v>
      </c>
      <c r="AZ570" s="1" t="s">
        <v>74</v>
      </c>
      <c r="BA570" s="1" t="s">
        <v>74</v>
      </c>
      <c r="BB570" s="1">
        <v>255.0</v>
      </c>
      <c r="BC570" s="1">
        <v>256.0</v>
      </c>
      <c r="BD570" s="1" t="s">
        <v>74</v>
      </c>
      <c r="BE570" s="1" t="s">
        <v>5554</v>
      </c>
      <c r="BF570" s="2" t="str">
        <f>HYPERLINK("http://dx.doi.org/10.1016/j.ijpe.2009.06.033","http://dx.doi.org/10.1016/j.ijpe.2009.06.033")</f>
        <v>http://dx.doi.org/10.1016/j.ijpe.2009.06.033</v>
      </c>
      <c r="BG570" s="1" t="s">
        <v>74</v>
      </c>
      <c r="BH570" s="1" t="s">
        <v>74</v>
      </c>
      <c r="BI570" s="1" t="s">
        <v>74</v>
      </c>
      <c r="BJ570" s="1" t="s">
        <v>74</v>
      </c>
      <c r="BK570" s="1" t="s">
        <v>74</v>
      </c>
      <c r="BL570" s="1" t="s">
        <v>74</v>
      </c>
      <c r="BM570" s="1" t="s">
        <v>74</v>
      </c>
      <c r="BN570" s="1" t="s">
        <v>74</v>
      </c>
      <c r="BO570" s="1" t="s">
        <v>74</v>
      </c>
      <c r="BP570" s="1" t="s">
        <v>74</v>
      </c>
      <c r="BQ570" s="1" t="s">
        <v>74</v>
      </c>
      <c r="BR570" s="1" t="s">
        <v>74</v>
      </c>
      <c r="BS570" s="1" t="s">
        <v>5555</v>
      </c>
      <c r="BT570" s="1" t="str">
        <f>HYPERLINK("https%3A%2F%2Fwww.webofscience.com%2Fwos%2Fwoscc%2Ffull-record%2FWOS:000271116400022","View Full Record in Web of Science")</f>
        <v>View Full Record in Web of Science</v>
      </c>
    </row>
    <row r="571" ht="12.75" customHeight="1">
      <c r="A571" s="1" t="s">
        <v>72</v>
      </c>
      <c r="B571" s="1" t="s">
        <v>5556</v>
      </c>
      <c r="C571" s="1" t="s">
        <v>74</v>
      </c>
      <c r="D571" s="1" t="s">
        <v>74</v>
      </c>
      <c r="E571" s="1" t="s">
        <v>74</v>
      </c>
      <c r="F571" s="1" t="s">
        <v>5557</v>
      </c>
      <c r="G571" s="1" t="s">
        <v>74</v>
      </c>
      <c r="H571" s="1" t="s">
        <v>74</v>
      </c>
      <c r="I571" s="1" t="s">
        <v>5558</v>
      </c>
      <c r="J571" s="1" t="s">
        <v>5559</v>
      </c>
      <c r="K571" s="1" t="s">
        <v>74</v>
      </c>
      <c r="L571" s="1" t="s">
        <v>74</v>
      </c>
      <c r="M571" s="1" t="s">
        <v>74</v>
      </c>
      <c r="N571" s="1" t="s">
        <v>74</v>
      </c>
      <c r="O571" s="1" t="s">
        <v>74</v>
      </c>
      <c r="P571" s="1" t="s">
        <v>74</v>
      </c>
      <c r="Q571" s="1" t="s">
        <v>74</v>
      </c>
      <c r="R571" s="1" t="s">
        <v>74</v>
      </c>
      <c r="S571" s="1" t="s">
        <v>74</v>
      </c>
      <c r="T571" s="1" t="s">
        <v>74</v>
      </c>
      <c r="U571" s="1" t="s">
        <v>74</v>
      </c>
      <c r="V571" s="1" t="s">
        <v>5560</v>
      </c>
      <c r="W571" s="1" t="s">
        <v>74</v>
      </c>
      <c r="X571" s="1" t="s">
        <v>74</v>
      </c>
      <c r="Y571" s="1" t="s">
        <v>74</v>
      </c>
      <c r="Z571" s="1" t="s">
        <v>74</v>
      </c>
      <c r="AA571" s="1" t="s">
        <v>74</v>
      </c>
      <c r="AB571" s="1" t="s">
        <v>5561</v>
      </c>
      <c r="AC571" s="1" t="s">
        <v>74</v>
      </c>
      <c r="AD571" s="1" t="s">
        <v>74</v>
      </c>
      <c r="AE571" s="1" t="s">
        <v>74</v>
      </c>
      <c r="AF571" s="1" t="s">
        <v>74</v>
      </c>
      <c r="AG571" s="1" t="s">
        <v>74</v>
      </c>
      <c r="AH571" s="1" t="s">
        <v>74</v>
      </c>
      <c r="AI571" s="1" t="s">
        <v>74</v>
      </c>
      <c r="AJ571" s="1" t="s">
        <v>74</v>
      </c>
      <c r="AK571" s="1" t="s">
        <v>74</v>
      </c>
      <c r="AL571" s="1" t="s">
        <v>74</v>
      </c>
      <c r="AM571" s="1" t="s">
        <v>74</v>
      </c>
      <c r="AN571" s="1" t="s">
        <v>74</v>
      </c>
      <c r="AO571" s="1" t="s">
        <v>5562</v>
      </c>
      <c r="AP571" s="1" t="s">
        <v>74</v>
      </c>
      <c r="AQ571" s="1" t="s">
        <v>74</v>
      </c>
      <c r="AR571" s="1" t="s">
        <v>74</v>
      </c>
      <c r="AS571" s="1" t="s">
        <v>74</v>
      </c>
      <c r="AT571" s="1" t="s">
        <v>621</v>
      </c>
      <c r="AU571" s="1">
        <v>2009.0</v>
      </c>
      <c r="AV571" s="1" t="s">
        <v>74</v>
      </c>
      <c r="AW571" s="1">
        <v>28.0</v>
      </c>
      <c r="AX571" s="1" t="s">
        <v>74</v>
      </c>
      <c r="AY571" s="1" t="s">
        <v>74</v>
      </c>
      <c r="AZ571" s="1" t="s">
        <v>74</v>
      </c>
      <c r="BA571" s="1" t="s">
        <v>74</v>
      </c>
      <c r="BB571" s="1">
        <v>119.0</v>
      </c>
      <c r="BC571" s="1">
        <v>133.0</v>
      </c>
      <c r="BD571" s="1" t="s">
        <v>74</v>
      </c>
      <c r="BE571" s="1" t="s">
        <v>74</v>
      </c>
      <c r="BF571" s="1" t="s">
        <v>74</v>
      </c>
      <c r="BG571" s="1" t="s">
        <v>74</v>
      </c>
      <c r="BH571" s="1" t="s">
        <v>74</v>
      </c>
      <c r="BI571" s="1" t="s">
        <v>74</v>
      </c>
      <c r="BJ571" s="1" t="s">
        <v>74</v>
      </c>
      <c r="BK571" s="1" t="s">
        <v>74</v>
      </c>
      <c r="BL571" s="1" t="s">
        <v>74</v>
      </c>
      <c r="BM571" s="1" t="s">
        <v>74</v>
      </c>
      <c r="BN571" s="1" t="s">
        <v>74</v>
      </c>
      <c r="BO571" s="1" t="s">
        <v>74</v>
      </c>
      <c r="BP571" s="1" t="s">
        <v>74</v>
      </c>
      <c r="BQ571" s="1" t="s">
        <v>74</v>
      </c>
      <c r="BR571" s="1" t="s">
        <v>74</v>
      </c>
      <c r="BS571" s="1" t="s">
        <v>5563</v>
      </c>
      <c r="BT571" s="1" t="str">
        <f>HYPERLINK("https%3A%2F%2Fwww.webofscience.com%2Fwos%2Fwoscc%2Ffull-record%2FWOS:000268595300008","View Full Record in Web of Science")</f>
        <v>View Full Record in Web of Science</v>
      </c>
    </row>
    <row r="572" ht="12.75" customHeight="1">
      <c r="A572" s="1" t="s">
        <v>72</v>
      </c>
      <c r="B572" s="1" t="s">
        <v>5564</v>
      </c>
      <c r="C572" s="1" t="s">
        <v>74</v>
      </c>
      <c r="D572" s="1" t="s">
        <v>74</v>
      </c>
      <c r="E572" s="1" t="s">
        <v>74</v>
      </c>
      <c r="F572" s="1" t="s">
        <v>5565</v>
      </c>
      <c r="G572" s="1" t="s">
        <v>74</v>
      </c>
      <c r="H572" s="1" t="s">
        <v>74</v>
      </c>
      <c r="I572" s="1" t="s">
        <v>5566</v>
      </c>
      <c r="J572" s="1" t="s">
        <v>5567</v>
      </c>
      <c r="K572" s="1" t="s">
        <v>74</v>
      </c>
      <c r="L572" s="1" t="s">
        <v>74</v>
      </c>
      <c r="M572" s="1" t="s">
        <v>74</v>
      </c>
      <c r="N572" s="1" t="s">
        <v>74</v>
      </c>
      <c r="O572" s="1" t="s">
        <v>74</v>
      </c>
      <c r="P572" s="1" t="s">
        <v>74</v>
      </c>
      <c r="Q572" s="1" t="s">
        <v>74</v>
      </c>
      <c r="R572" s="1" t="s">
        <v>74</v>
      </c>
      <c r="S572" s="1" t="s">
        <v>74</v>
      </c>
      <c r="T572" s="1" t="s">
        <v>74</v>
      </c>
      <c r="U572" s="1" t="s">
        <v>74</v>
      </c>
      <c r="V572" s="1" t="s">
        <v>74</v>
      </c>
      <c r="W572" s="1" t="s">
        <v>74</v>
      </c>
      <c r="X572" s="1" t="s">
        <v>74</v>
      </c>
      <c r="Y572" s="1" t="s">
        <v>74</v>
      </c>
      <c r="Z572" s="1" t="s">
        <v>74</v>
      </c>
      <c r="AA572" s="1" t="s">
        <v>74</v>
      </c>
      <c r="AB572" s="1" t="s">
        <v>74</v>
      </c>
      <c r="AC572" s="1" t="s">
        <v>74</v>
      </c>
      <c r="AD572" s="1" t="s">
        <v>74</v>
      </c>
      <c r="AE572" s="1" t="s">
        <v>74</v>
      </c>
      <c r="AF572" s="1" t="s">
        <v>74</v>
      </c>
      <c r="AG572" s="1" t="s">
        <v>74</v>
      </c>
      <c r="AH572" s="1" t="s">
        <v>74</v>
      </c>
      <c r="AI572" s="1" t="s">
        <v>74</v>
      </c>
      <c r="AJ572" s="1" t="s">
        <v>74</v>
      </c>
      <c r="AK572" s="1" t="s">
        <v>74</v>
      </c>
      <c r="AL572" s="1" t="s">
        <v>74</v>
      </c>
      <c r="AM572" s="1" t="s">
        <v>74</v>
      </c>
      <c r="AN572" s="1" t="s">
        <v>74</v>
      </c>
      <c r="AO572" s="1" t="s">
        <v>5568</v>
      </c>
      <c r="AP572" s="1" t="s">
        <v>74</v>
      </c>
      <c r="AQ572" s="1" t="s">
        <v>74</v>
      </c>
      <c r="AR572" s="1" t="s">
        <v>74</v>
      </c>
      <c r="AS572" s="1" t="s">
        <v>74</v>
      </c>
      <c r="AT572" s="1" t="s">
        <v>122</v>
      </c>
      <c r="AU572" s="1">
        <v>2008.0</v>
      </c>
      <c r="AV572" s="1">
        <v>37.0</v>
      </c>
      <c r="AW572" s="1">
        <v>110.0</v>
      </c>
      <c r="AX572" s="1" t="s">
        <v>74</v>
      </c>
      <c r="AY572" s="1" t="s">
        <v>74</v>
      </c>
      <c r="AZ572" s="1" t="s">
        <v>74</v>
      </c>
      <c r="BA572" s="1" t="s">
        <v>74</v>
      </c>
      <c r="BB572" s="1">
        <v>3.0</v>
      </c>
      <c r="BC572" s="1">
        <v>14.0</v>
      </c>
      <c r="BD572" s="1" t="s">
        <v>74</v>
      </c>
      <c r="BE572" s="1" t="s">
        <v>74</v>
      </c>
      <c r="BF572" s="1" t="s">
        <v>74</v>
      </c>
      <c r="BG572" s="1" t="s">
        <v>74</v>
      </c>
      <c r="BH572" s="1" t="s">
        <v>74</v>
      </c>
      <c r="BI572" s="1" t="s">
        <v>74</v>
      </c>
      <c r="BJ572" s="1" t="s">
        <v>74</v>
      </c>
      <c r="BK572" s="1" t="s">
        <v>74</v>
      </c>
      <c r="BL572" s="1" t="s">
        <v>74</v>
      </c>
      <c r="BM572" s="1" t="s">
        <v>74</v>
      </c>
      <c r="BN572" s="1" t="s">
        <v>74</v>
      </c>
      <c r="BO572" s="1" t="s">
        <v>74</v>
      </c>
      <c r="BP572" s="1" t="s">
        <v>74</v>
      </c>
      <c r="BQ572" s="1" t="s">
        <v>74</v>
      </c>
      <c r="BR572" s="1" t="s">
        <v>74</v>
      </c>
      <c r="BS572" s="1" t="s">
        <v>5569</v>
      </c>
      <c r="BT572" s="1" t="str">
        <f>HYPERLINK("https%3A%2F%2Fwww.webofscience.com%2Fwos%2Fwoscc%2Ffull-record%2FWOS:000262786500001","View Full Record in Web of Science")</f>
        <v>View Full Record in Web of Science</v>
      </c>
    </row>
    <row r="573" ht="12.75" customHeight="1">
      <c r="A573" s="1" t="s">
        <v>72</v>
      </c>
      <c r="B573" s="1" t="s">
        <v>5570</v>
      </c>
      <c r="C573" s="1" t="s">
        <v>74</v>
      </c>
      <c r="D573" s="1" t="s">
        <v>74</v>
      </c>
      <c r="E573" s="1" t="s">
        <v>74</v>
      </c>
      <c r="F573" s="1" t="s">
        <v>5571</v>
      </c>
      <c r="G573" s="1" t="s">
        <v>74</v>
      </c>
      <c r="H573" s="1" t="s">
        <v>74</v>
      </c>
      <c r="I573" s="1" t="s">
        <v>5572</v>
      </c>
      <c r="J573" s="1" t="s">
        <v>5573</v>
      </c>
      <c r="K573" s="1" t="s">
        <v>74</v>
      </c>
      <c r="L573" s="1" t="s">
        <v>74</v>
      </c>
      <c r="M573" s="1" t="s">
        <v>74</v>
      </c>
      <c r="N573" s="1" t="s">
        <v>74</v>
      </c>
      <c r="O573" s="1" t="s">
        <v>74</v>
      </c>
      <c r="P573" s="1" t="s">
        <v>74</v>
      </c>
      <c r="Q573" s="1" t="s">
        <v>74</v>
      </c>
      <c r="R573" s="1" t="s">
        <v>74</v>
      </c>
      <c r="S573" s="1" t="s">
        <v>74</v>
      </c>
      <c r="T573" s="1" t="s">
        <v>74</v>
      </c>
      <c r="U573" s="1" t="s">
        <v>74</v>
      </c>
      <c r="V573" s="1" t="s">
        <v>5574</v>
      </c>
      <c r="W573" s="1" t="s">
        <v>74</v>
      </c>
      <c r="X573" s="1" t="s">
        <v>74</v>
      </c>
      <c r="Y573" s="1" t="s">
        <v>74</v>
      </c>
      <c r="Z573" s="1" t="s">
        <v>74</v>
      </c>
      <c r="AA573" s="1" t="s">
        <v>1111</v>
      </c>
      <c r="AB573" s="1" t="s">
        <v>1112</v>
      </c>
      <c r="AC573" s="1" t="s">
        <v>74</v>
      </c>
      <c r="AD573" s="1" t="s">
        <v>74</v>
      </c>
      <c r="AE573" s="1" t="s">
        <v>74</v>
      </c>
      <c r="AF573" s="1" t="s">
        <v>74</v>
      </c>
      <c r="AG573" s="1" t="s">
        <v>74</v>
      </c>
      <c r="AH573" s="1" t="s">
        <v>74</v>
      </c>
      <c r="AI573" s="1" t="s">
        <v>74</v>
      </c>
      <c r="AJ573" s="1" t="s">
        <v>74</v>
      </c>
      <c r="AK573" s="1" t="s">
        <v>74</v>
      </c>
      <c r="AL573" s="1" t="s">
        <v>74</v>
      </c>
      <c r="AM573" s="1" t="s">
        <v>74</v>
      </c>
      <c r="AN573" s="1" t="s">
        <v>74</v>
      </c>
      <c r="AO573" s="1" t="s">
        <v>5575</v>
      </c>
      <c r="AP573" s="1" t="s">
        <v>5576</v>
      </c>
      <c r="AQ573" s="1" t="s">
        <v>74</v>
      </c>
      <c r="AR573" s="1" t="s">
        <v>74</v>
      </c>
      <c r="AS573" s="1" t="s">
        <v>74</v>
      </c>
      <c r="AT573" s="1" t="s">
        <v>74</v>
      </c>
      <c r="AU573" s="1">
        <v>2008.0</v>
      </c>
      <c r="AV573" s="1">
        <v>35.0</v>
      </c>
      <c r="AW573" s="1">
        <v>2.0</v>
      </c>
      <c r="AX573" s="1" t="s">
        <v>74</v>
      </c>
      <c r="AY573" s="1" t="s">
        <v>74</v>
      </c>
      <c r="AZ573" s="1" t="s">
        <v>74</v>
      </c>
      <c r="BA573" s="1" t="s">
        <v>74</v>
      </c>
      <c r="BB573" s="1">
        <v>134.0</v>
      </c>
      <c r="BC573" s="1">
        <v>139.0</v>
      </c>
      <c r="BD573" s="1" t="s">
        <v>74</v>
      </c>
      <c r="BE573" s="1" t="s">
        <v>5577</v>
      </c>
      <c r="BF573" s="2" t="str">
        <f>HYPERLINK("http://dx.doi.org/10.1071/WR07009","http://dx.doi.org/10.1071/WR07009")</f>
        <v>http://dx.doi.org/10.1071/WR07009</v>
      </c>
      <c r="BG573" s="1" t="s">
        <v>74</v>
      </c>
      <c r="BH573" s="1" t="s">
        <v>74</v>
      </c>
      <c r="BI573" s="1" t="s">
        <v>74</v>
      </c>
      <c r="BJ573" s="1" t="s">
        <v>74</v>
      </c>
      <c r="BK573" s="1" t="s">
        <v>74</v>
      </c>
      <c r="BL573" s="1" t="s">
        <v>74</v>
      </c>
      <c r="BM573" s="1" t="s">
        <v>74</v>
      </c>
      <c r="BN573" s="1" t="s">
        <v>74</v>
      </c>
      <c r="BO573" s="1" t="s">
        <v>74</v>
      </c>
      <c r="BP573" s="1" t="s">
        <v>74</v>
      </c>
      <c r="BQ573" s="1" t="s">
        <v>74</v>
      </c>
      <c r="BR573" s="1" t="s">
        <v>74</v>
      </c>
      <c r="BS573" s="1" t="s">
        <v>5578</v>
      </c>
      <c r="BT573" s="1" t="str">
        <f>HYPERLINK("https%3A%2F%2Fwww.webofscience.com%2Fwos%2Fwoscc%2Ffull-record%2FWOS:000255116800006","View Full Record in Web of Science")</f>
        <v>View Full Record in Web of Science</v>
      </c>
    </row>
    <row r="574" ht="12.75" customHeight="1">
      <c r="A574" s="1" t="s">
        <v>72</v>
      </c>
      <c r="B574" s="1" t="s">
        <v>5579</v>
      </c>
      <c r="C574" s="1" t="s">
        <v>74</v>
      </c>
      <c r="D574" s="1" t="s">
        <v>74</v>
      </c>
      <c r="E574" s="1" t="s">
        <v>74</v>
      </c>
      <c r="F574" s="1" t="s">
        <v>5580</v>
      </c>
      <c r="G574" s="1" t="s">
        <v>74</v>
      </c>
      <c r="H574" s="1" t="s">
        <v>74</v>
      </c>
      <c r="I574" s="1" t="s">
        <v>5581</v>
      </c>
      <c r="J574" s="1" t="s">
        <v>5582</v>
      </c>
      <c r="K574" s="1" t="s">
        <v>74</v>
      </c>
      <c r="L574" s="1" t="s">
        <v>74</v>
      </c>
      <c r="M574" s="1" t="s">
        <v>74</v>
      </c>
      <c r="N574" s="1" t="s">
        <v>74</v>
      </c>
      <c r="O574" s="1" t="s">
        <v>74</v>
      </c>
      <c r="P574" s="1" t="s">
        <v>74</v>
      </c>
      <c r="Q574" s="1" t="s">
        <v>74</v>
      </c>
      <c r="R574" s="1" t="s">
        <v>74</v>
      </c>
      <c r="S574" s="1" t="s">
        <v>74</v>
      </c>
      <c r="T574" s="1" t="s">
        <v>74</v>
      </c>
      <c r="U574" s="1" t="s">
        <v>74</v>
      </c>
      <c r="V574" s="1" t="s">
        <v>5583</v>
      </c>
      <c r="W574" s="1" t="s">
        <v>74</v>
      </c>
      <c r="X574" s="1" t="s">
        <v>74</v>
      </c>
      <c r="Y574" s="1" t="s">
        <v>74</v>
      </c>
      <c r="Z574" s="1" t="s">
        <v>74</v>
      </c>
      <c r="AA574" s="1" t="s">
        <v>5584</v>
      </c>
      <c r="AB574" s="1" t="s">
        <v>5585</v>
      </c>
      <c r="AC574" s="1" t="s">
        <v>74</v>
      </c>
      <c r="AD574" s="1" t="s">
        <v>74</v>
      </c>
      <c r="AE574" s="1" t="s">
        <v>74</v>
      </c>
      <c r="AF574" s="1" t="s">
        <v>74</v>
      </c>
      <c r="AG574" s="1" t="s">
        <v>74</v>
      </c>
      <c r="AH574" s="1" t="s">
        <v>74</v>
      </c>
      <c r="AI574" s="1" t="s">
        <v>74</v>
      </c>
      <c r="AJ574" s="1" t="s">
        <v>74</v>
      </c>
      <c r="AK574" s="1" t="s">
        <v>74</v>
      </c>
      <c r="AL574" s="1" t="s">
        <v>74</v>
      </c>
      <c r="AM574" s="1" t="s">
        <v>74</v>
      </c>
      <c r="AN574" s="1" t="s">
        <v>74</v>
      </c>
      <c r="AO574" s="1" t="s">
        <v>5586</v>
      </c>
      <c r="AP574" s="1" t="s">
        <v>5587</v>
      </c>
      <c r="AQ574" s="1" t="s">
        <v>74</v>
      </c>
      <c r="AR574" s="1" t="s">
        <v>74</v>
      </c>
      <c r="AS574" s="1" t="s">
        <v>74</v>
      </c>
      <c r="AT574" s="1" t="s">
        <v>415</v>
      </c>
      <c r="AU574" s="1">
        <v>2007.0</v>
      </c>
      <c r="AV574" s="1">
        <v>43.0</v>
      </c>
      <c r="AW574" s="1">
        <v>6.0</v>
      </c>
      <c r="AX574" s="1" t="s">
        <v>74</v>
      </c>
      <c r="AY574" s="1" t="s">
        <v>74</v>
      </c>
      <c r="AZ574" s="1" t="s">
        <v>74</v>
      </c>
      <c r="BA574" s="1" t="s">
        <v>74</v>
      </c>
      <c r="BB574" s="1">
        <v>1320.0</v>
      </c>
      <c r="BC574" s="1">
        <v>1328.0</v>
      </c>
      <c r="BD574" s="1" t="s">
        <v>74</v>
      </c>
      <c r="BE574" s="1" t="s">
        <v>5588</v>
      </c>
      <c r="BF574" s="2" t="str">
        <f>HYPERLINK("http://dx.doi.org/10.1111/j.1529-8817.2007.00413.x","http://dx.doi.org/10.1111/j.1529-8817.2007.00413.x")</f>
        <v>http://dx.doi.org/10.1111/j.1529-8817.2007.00413.x</v>
      </c>
      <c r="BG574" s="1" t="s">
        <v>74</v>
      </c>
      <c r="BH574" s="1" t="s">
        <v>74</v>
      </c>
      <c r="BI574" s="1" t="s">
        <v>74</v>
      </c>
      <c r="BJ574" s="1" t="s">
        <v>74</v>
      </c>
      <c r="BK574" s="1" t="s">
        <v>74</v>
      </c>
      <c r="BL574" s="1" t="s">
        <v>74</v>
      </c>
      <c r="BM574" s="1" t="s">
        <v>74</v>
      </c>
      <c r="BN574" s="1" t="s">
        <v>74</v>
      </c>
      <c r="BO574" s="1" t="s">
        <v>74</v>
      </c>
      <c r="BP574" s="1" t="s">
        <v>74</v>
      </c>
      <c r="BQ574" s="1" t="s">
        <v>74</v>
      </c>
      <c r="BR574" s="1" t="s">
        <v>74</v>
      </c>
      <c r="BS574" s="1" t="s">
        <v>5589</v>
      </c>
      <c r="BT574" s="1" t="str">
        <f>HYPERLINK("https%3A%2F%2Fwww.webofscience.com%2Fwos%2Fwoscc%2Ffull-record%2FWOS:000251416100021","View Full Record in Web of Science")</f>
        <v>View Full Record in Web of Science</v>
      </c>
    </row>
    <row r="575" ht="12.75" customHeight="1">
      <c r="A575" s="1" t="s">
        <v>72</v>
      </c>
      <c r="B575" s="1" t="s">
        <v>5590</v>
      </c>
      <c r="C575" s="1" t="s">
        <v>74</v>
      </c>
      <c r="D575" s="1" t="s">
        <v>74</v>
      </c>
      <c r="E575" s="1" t="s">
        <v>74</v>
      </c>
      <c r="F575" s="1" t="s">
        <v>5590</v>
      </c>
      <c r="G575" s="1" t="s">
        <v>74</v>
      </c>
      <c r="H575" s="1" t="s">
        <v>74</v>
      </c>
      <c r="I575" s="1" t="s">
        <v>5591</v>
      </c>
      <c r="J575" s="1" t="s">
        <v>4312</v>
      </c>
      <c r="K575" s="1" t="s">
        <v>74</v>
      </c>
      <c r="L575" s="1" t="s">
        <v>74</v>
      </c>
      <c r="M575" s="1" t="s">
        <v>74</v>
      </c>
      <c r="N575" s="1" t="s">
        <v>74</v>
      </c>
      <c r="O575" s="1" t="s">
        <v>74</v>
      </c>
      <c r="P575" s="1" t="s">
        <v>74</v>
      </c>
      <c r="Q575" s="1" t="s">
        <v>74</v>
      </c>
      <c r="R575" s="1" t="s">
        <v>74</v>
      </c>
      <c r="S575" s="1" t="s">
        <v>74</v>
      </c>
      <c r="T575" s="1" t="s">
        <v>74</v>
      </c>
      <c r="U575" s="1" t="s">
        <v>74</v>
      </c>
      <c r="V575" s="1" t="s">
        <v>5592</v>
      </c>
      <c r="W575" s="1" t="s">
        <v>74</v>
      </c>
      <c r="X575" s="1" t="s">
        <v>74</v>
      </c>
      <c r="Y575" s="1" t="s">
        <v>74</v>
      </c>
      <c r="Z575" s="1" t="s">
        <v>74</v>
      </c>
      <c r="AA575" s="1" t="s">
        <v>5593</v>
      </c>
      <c r="AB575" s="1" t="s">
        <v>5594</v>
      </c>
      <c r="AC575" s="1" t="s">
        <v>74</v>
      </c>
      <c r="AD575" s="1" t="s">
        <v>74</v>
      </c>
      <c r="AE575" s="1" t="s">
        <v>74</v>
      </c>
      <c r="AF575" s="1" t="s">
        <v>74</v>
      </c>
      <c r="AG575" s="1" t="s">
        <v>74</v>
      </c>
      <c r="AH575" s="1" t="s">
        <v>74</v>
      </c>
      <c r="AI575" s="1" t="s">
        <v>74</v>
      </c>
      <c r="AJ575" s="1" t="s">
        <v>74</v>
      </c>
      <c r="AK575" s="1" t="s">
        <v>74</v>
      </c>
      <c r="AL575" s="1" t="s">
        <v>74</v>
      </c>
      <c r="AM575" s="1" t="s">
        <v>74</v>
      </c>
      <c r="AN575" s="1" t="s">
        <v>74</v>
      </c>
      <c r="AO575" s="1" t="s">
        <v>4316</v>
      </c>
      <c r="AP575" s="1" t="s">
        <v>4317</v>
      </c>
      <c r="AQ575" s="1" t="s">
        <v>74</v>
      </c>
      <c r="AR575" s="1" t="s">
        <v>74</v>
      </c>
      <c r="AS575" s="1" t="s">
        <v>74</v>
      </c>
      <c r="AT575" s="1" t="s">
        <v>841</v>
      </c>
      <c r="AU575" s="1">
        <v>2006.0</v>
      </c>
      <c r="AV575" s="1">
        <v>73.0</v>
      </c>
      <c r="AW575" s="1">
        <v>4.0</v>
      </c>
      <c r="AX575" s="1">
        <v>1.0</v>
      </c>
      <c r="AY575" s="1" t="s">
        <v>74</v>
      </c>
      <c r="AZ575" s="1" t="s">
        <v>74</v>
      </c>
      <c r="BA575" s="1" t="s">
        <v>74</v>
      </c>
      <c r="BB575" s="1" t="s">
        <v>74</v>
      </c>
      <c r="BC575" s="1" t="s">
        <v>74</v>
      </c>
      <c r="BD575" s="1">
        <v>41305.0</v>
      </c>
      <c r="BE575" s="1" t="s">
        <v>5595</v>
      </c>
      <c r="BF575" s="2" t="str">
        <f>HYPERLINK("http://dx.doi.org/10.1103/PhysRevE.73.041305","http://dx.doi.org/10.1103/PhysRevE.73.041305")</f>
        <v>http://dx.doi.org/10.1103/PhysRevE.73.041305</v>
      </c>
      <c r="BG575" s="1" t="s">
        <v>74</v>
      </c>
      <c r="BH575" s="1" t="s">
        <v>74</v>
      </c>
      <c r="BI575" s="1" t="s">
        <v>74</v>
      </c>
      <c r="BJ575" s="1" t="s">
        <v>74</v>
      </c>
      <c r="BK575" s="1" t="s">
        <v>74</v>
      </c>
      <c r="BL575" s="1" t="s">
        <v>74</v>
      </c>
      <c r="BM575" s="1" t="s">
        <v>74</v>
      </c>
      <c r="BN575" s="1">
        <v>1.6711791E7</v>
      </c>
      <c r="BO575" s="1" t="s">
        <v>74</v>
      </c>
      <c r="BP575" s="1" t="s">
        <v>74</v>
      </c>
      <c r="BQ575" s="1" t="s">
        <v>74</v>
      </c>
      <c r="BR575" s="1" t="s">
        <v>74</v>
      </c>
      <c r="BS575" s="1" t="s">
        <v>5596</v>
      </c>
      <c r="BT575" s="1" t="str">
        <f>HYPERLINK("https%3A%2F%2Fwww.webofscience.com%2Fwos%2Fwoscc%2Ffull-record%2FWOS:000237146400019","View Full Record in Web of Science")</f>
        <v>View Full Record in Web of Science</v>
      </c>
    </row>
    <row r="576" ht="12.75" customHeight="1">
      <c r="A576" s="1" t="s">
        <v>72</v>
      </c>
      <c r="B576" s="1" t="s">
        <v>5597</v>
      </c>
      <c r="C576" s="1" t="s">
        <v>74</v>
      </c>
      <c r="D576" s="1" t="s">
        <v>74</v>
      </c>
      <c r="E576" s="1" t="s">
        <v>74</v>
      </c>
      <c r="F576" s="1" t="s">
        <v>5597</v>
      </c>
      <c r="G576" s="1" t="s">
        <v>74</v>
      </c>
      <c r="H576" s="1" t="s">
        <v>74</v>
      </c>
      <c r="I576" s="1" t="s">
        <v>5598</v>
      </c>
      <c r="J576" s="1" t="s">
        <v>5599</v>
      </c>
      <c r="K576" s="1" t="s">
        <v>74</v>
      </c>
      <c r="L576" s="1" t="s">
        <v>74</v>
      </c>
      <c r="M576" s="1" t="s">
        <v>74</v>
      </c>
      <c r="N576" s="1" t="s">
        <v>74</v>
      </c>
      <c r="O576" s="1" t="s">
        <v>74</v>
      </c>
      <c r="P576" s="1" t="s">
        <v>74</v>
      </c>
      <c r="Q576" s="1" t="s">
        <v>74</v>
      </c>
      <c r="R576" s="1" t="s">
        <v>74</v>
      </c>
      <c r="S576" s="1" t="s">
        <v>74</v>
      </c>
      <c r="T576" s="1" t="s">
        <v>74</v>
      </c>
      <c r="U576" s="1" t="s">
        <v>74</v>
      </c>
      <c r="V576" s="1" t="s">
        <v>5600</v>
      </c>
      <c r="W576" s="1" t="s">
        <v>74</v>
      </c>
      <c r="X576" s="1" t="s">
        <v>74</v>
      </c>
      <c r="Y576" s="1" t="s">
        <v>74</v>
      </c>
      <c r="Z576" s="1" t="s">
        <v>74</v>
      </c>
      <c r="AA576" s="1" t="s">
        <v>5601</v>
      </c>
      <c r="AB576" s="1" t="s">
        <v>5602</v>
      </c>
      <c r="AC576" s="1" t="s">
        <v>74</v>
      </c>
      <c r="AD576" s="1" t="s">
        <v>74</v>
      </c>
      <c r="AE576" s="1" t="s">
        <v>74</v>
      </c>
      <c r="AF576" s="1" t="s">
        <v>74</v>
      </c>
      <c r="AG576" s="1" t="s">
        <v>74</v>
      </c>
      <c r="AH576" s="1" t="s">
        <v>74</v>
      </c>
      <c r="AI576" s="1" t="s">
        <v>74</v>
      </c>
      <c r="AJ576" s="1" t="s">
        <v>74</v>
      </c>
      <c r="AK576" s="1" t="s">
        <v>74</v>
      </c>
      <c r="AL576" s="1" t="s">
        <v>74</v>
      </c>
      <c r="AM576" s="1" t="s">
        <v>74</v>
      </c>
      <c r="AN576" s="1" t="s">
        <v>74</v>
      </c>
      <c r="AO576" s="1" t="s">
        <v>5603</v>
      </c>
      <c r="AP576" s="1" t="s">
        <v>5604</v>
      </c>
      <c r="AQ576" s="1" t="s">
        <v>74</v>
      </c>
      <c r="AR576" s="1" t="s">
        <v>74</v>
      </c>
      <c r="AS576" s="1" t="s">
        <v>74</v>
      </c>
      <c r="AT576" s="1" t="s">
        <v>74</v>
      </c>
      <c r="AU576" s="1">
        <v>2006.0</v>
      </c>
      <c r="AV576" s="1">
        <v>38.0</v>
      </c>
      <c r="AW576" s="1">
        <v>4.0</v>
      </c>
      <c r="AX576" s="1" t="s">
        <v>74</v>
      </c>
      <c r="AY576" s="1" t="s">
        <v>74</v>
      </c>
      <c r="AZ576" s="1" t="s">
        <v>74</v>
      </c>
      <c r="BA576" s="1" t="s">
        <v>74</v>
      </c>
      <c r="BB576" s="1">
        <v>576.0</v>
      </c>
      <c r="BC576" s="1">
        <v>588.0</v>
      </c>
      <c r="BD576" s="1" t="s">
        <v>74</v>
      </c>
      <c r="BE576" s="1" t="s">
        <v>5605</v>
      </c>
      <c r="BF576" s="2" t="str">
        <f>HYPERLINK("http://dx.doi.org/10.1016/j.biocel.2005.10.018","http://dx.doi.org/10.1016/j.biocel.2005.10.018")</f>
        <v>http://dx.doi.org/10.1016/j.biocel.2005.10.018</v>
      </c>
      <c r="BG576" s="1" t="s">
        <v>74</v>
      </c>
      <c r="BH576" s="1" t="s">
        <v>74</v>
      </c>
      <c r="BI576" s="1" t="s">
        <v>74</v>
      </c>
      <c r="BJ576" s="1" t="s">
        <v>74</v>
      </c>
      <c r="BK576" s="1" t="s">
        <v>74</v>
      </c>
      <c r="BL576" s="1" t="s">
        <v>74</v>
      </c>
      <c r="BM576" s="1" t="s">
        <v>74</v>
      </c>
      <c r="BN576" s="1">
        <v>1.6330239E7</v>
      </c>
      <c r="BO576" s="1" t="s">
        <v>74</v>
      </c>
      <c r="BP576" s="1" t="s">
        <v>74</v>
      </c>
      <c r="BQ576" s="1" t="s">
        <v>74</v>
      </c>
      <c r="BR576" s="1" t="s">
        <v>74</v>
      </c>
      <c r="BS576" s="1" t="s">
        <v>5606</v>
      </c>
      <c r="BT576" s="1" t="str">
        <f>HYPERLINK("https%3A%2F%2Fwww.webofscience.com%2Fwos%2Fwoscc%2Ffull-record%2FWOS:000235705100010","View Full Record in Web of Science")</f>
        <v>View Full Record in Web of Science</v>
      </c>
    </row>
    <row r="577" ht="12.75" customHeight="1">
      <c r="A577" s="1" t="s">
        <v>72</v>
      </c>
      <c r="B577" s="1" t="s">
        <v>5607</v>
      </c>
      <c r="C577" s="1" t="s">
        <v>74</v>
      </c>
      <c r="D577" s="1" t="s">
        <v>74</v>
      </c>
      <c r="E577" s="1" t="s">
        <v>74</v>
      </c>
      <c r="F577" s="1" t="s">
        <v>5607</v>
      </c>
      <c r="G577" s="1" t="s">
        <v>74</v>
      </c>
      <c r="H577" s="1" t="s">
        <v>74</v>
      </c>
      <c r="I577" s="1" t="s">
        <v>5608</v>
      </c>
      <c r="J577" s="1" t="s">
        <v>5609</v>
      </c>
      <c r="K577" s="1" t="s">
        <v>74</v>
      </c>
      <c r="L577" s="1" t="s">
        <v>74</v>
      </c>
      <c r="M577" s="1" t="s">
        <v>74</v>
      </c>
      <c r="N577" s="1" t="s">
        <v>74</v>
      </c>
      <c r="O577" s="1" t="s">
        <v>5610</v>
      </c>
      <c r="P577" s="1" t="s">
        <v>5611</v>
      </c>
      <c r="Q577" s="1" t="s">
        <v>5612</v>
      </c>
      <c r="R577" s="1" t="s">
        <v>5613</v>
      </c>
      <c r="S577" s="1" t="s">
        <v>74</v>
      </c>
      <c r="T577" s="1" t="s">
        <v>74</v>
      </c>
      <c r="U577" s="1" t="s">
        <v>74</v>
      </c>
      <c r="V577" s="1" t="s">
        <v>5614</v>
      </c>
      <c r="W577" s="1" t="s">
        <v>74</v>
      </c>
      <c r="X577" s="1" t="s">
        <v>74</v>
      </c>
      <c r="Y577" s="1" t="s">
        <v>74</v>
      </c>
      <c r="Z577" s="1" t="s">
        <v>74</v>
      </c>
      <c r="AA577" s="1" t="s">
        <v>74</v>
      </c>
      <c r="AB577" s="1" t="s">
        <v>5615</v>
      </c>
      <c r="AC577" s="1" t="s">
        <v>74</v>
      </c>
      <c r="AD577" s="1" t="s">
        <v>74</v>
      </c>
      <c r="AE577" s="1" t="s">
        <v>74</v>
      </c>
      <c r="AF577" s="1" t="s">
        <v>74</v>
      </c>
      <c r="AG577" s="1" t="s">
        <v>74</v>
      </c>
      <c r="AH577" s="1" t="s">
        <v>74</v>
      </c>
      <c r="AI577" s="1" t="s">
        <v>74</v>
      </c>
      <c r="AJ577" s="1" t="s">
        <v>74</v>
      </c>
      <c r="AK577" s="1" t="s">
        <v>74</v>
      </c>
      <c r="AL577" s="1" t="s">
        <v>74</v>
      </c>
      <c r="AM577" s="1" t="s">
        <v>74</v>
      </c>
      <c r="AN577" s="1" t="s">
        <v>74</v>
      </c>
      <c r="AO577" s="1" t="s">
        <v>5616</v>
      </c>
      <c r="AP577" s="1" t="s">
        <v>5617</v>
      </c>
      <c r="AQ577" s="1" t="s">
        <v>74</v>
      </c>
      <c r="AR577" s="1" t="s">
        <v>74</v>
      </c>
      <c r="AS577" s="1" t="s">
        <v>74</v>
      </c>
      <c r="AT577" s="1" t="s">
        <v>363</v>
      </c>
      <c r="AU577" s="1">
        <v>2004.0</v>
      </c>
      <c r="AV577" s="1">
        <v>71.0</v>
      </c>
      <c r="AW577" s="1">
        <v>4.0</v>
      </c>
      <c r="AX577" s="1" t="s">
        <v>74</v>
      </c>
      <c r="AY577" s="1" t="s">
        <v>74</v>
      </c>
      <c r="AZ577" s="1" t="s">
        <v>74</v>
      </c>
      <c r="BA577" s="1" t="s">
        <v>74</v>
      </c>
      <c r="BB577" s="1">
        <v>1262.0</v>
      </c>
      <c r="BC577" s="1">
        <v>1269.0</v>
      </c>
      <c r="BD577" s="1" t="s">
        <v>74</v>
      </c>
      <c r="BE577" s="1" t="s">
        <v>5618</v>
      </c>
      <c r="BF577" s="2" t="str">
        <f>HYPERLINK("http://dx.doi.org/10.1095/biolreprod.104.027474","http://dx.doi.org/10.1095/biolreprod.104.027474")</f>
        <v>http://dx.doi.org/10.1095/biolreprod.104.027474</v>
      </c>
      <c r="BG577" s="1" t="s">
        <v>74</v>
      </c>
      <c r="BH577" s="1" t="s">
        <v>74</v>
      </c>
      <c r="BI577" s="1" t="s">
        <v>74</v>
      </c>
      <c r="BJ577" s="1" t="s">
        <v>74</v>
      </c>
      <c r="BK577" s="1" t="s">
        <v>74</v>
      </c>
      <c r="BL577" s="1" t="s">
        <v>74</v>
      </c>
      <c r="BM577" s="1" t="s">
        <v>74</v>
      </c>
      <c r="BN577" s="1">
        <v>1.5201197E7</v>
      </c>
      <c r="BO577" s="1" t="s">
        <v>74</v>
      </c>
      <c r="BP577" s="1" t="s">
        <v>74</v>
      </c>
      <c r="BQ577" s="1" t="s">
        <v>74</v>
      </c>
      <c r="BR577" s="1" t="s">
        <v>74</v>
      </c>
      <c r="BS577" s="1" t="s">
        <v>5619</v>
      </c>
      <c r="BT577" s="1" t="str">
        <f>HYPERLINK("https%3A%2F%2Fwww.webofscience.com%2Fwos%2Fwoscc%2Ffull-record%2FWOS:000224035400028","View Full Record in Web of Science")</f>
        <v>View Full Record in Web of Science</v>
      </c>
    </row>
    <row r="578" ht="12.75" customHeight="1">
      <c r="A578" s="1" t="s">
        <v>72</v>
      </c>
      <c r="B578" s="1" t="s">
        <v>5620</v>
      </c>
      <c r="C578" s="1" t="s">
        <v>74</v>
      </c>
      <c r="D578" s="1" t="s">
        <v>74</v>
      </c>
      <c r="E578" s="1" t="s">
        <v>74</v>
      </c>
      <c r="F578" s="1" t="s">
        <v>5620</v>
      </c>
      <c r="G578" s="1" t="s">
        <v>74</v>
      </c>
      <c r="H578" s="1" t="s">
        <v>74</v>
      </c>
      <c r="I578" s="1" t="s">
        <v>5621</v>
      </c>
      <c r="J578" s="1" t="s">
        <v>4957</v>
      </c>
      <c r="K578" s="1" t="s">
        <v>74</v>
      </c>
      <c r="L578" s="1" t="s">
        <v>74</v>
      </c>
      <c r="M578" s="1" t="s">
        <v>74</v>
      </c>
      <c r="N578" s="1" t="s">
        <v>74</v>
      </c>
      <c r="O578" s="1" t="s">
        <v>74</v>
      </c>
      <c r="P578" s="1" t="s">
        <v>74</v>
      </c>
      <c r="Q578" s="1" t="s">
        <v>74</v>
      </c>
      <c r="R578" s="1" t="s">
        <v>74</v>
      </c>
      <c r="S578" s="1" t="s">
        <v>74</v>
      </c>
      <c r="T578" s="1" t="s">
        <v>74</v>
      </c>
      <c r="U578" s="1" t="s">
        <v>74</v>
      </c>
      <c r="V578" s="1" t="s">
        <v>5622</v>
      </c>
      <c r="W578" s="1" t="s">
        <v>74</v>
      </c>
      <c r="X578" s="1" t="s">
        <v>74</v>
      </c>
      <c r="Y578" s="1" t="s">
        <v>74</v>
      </c>
      <c r="Z578" s="1" t="s">
        <v>74</v>
      </c>
      <c r="AA578" s="1" t="s">
        <v>5623</v>
      </c>
      <c r="AB578" s="1" t="s">
        <v>5624</v>
      </c>
      <c r="AC578" s="1" t="s">
        <v>74</v>
      </c>
      <c r="AD578" s="1" t="s">
        <v>74</v>
      </c>
      <c r="AE578" s="1" t="s">
        <v>74</v>
      </c>
      <c r="AF578" s="1" t="s">
        <v>74</v>
      </c>
      <c r="AG578" s="1" t="s">
        <v>74</v>
      </c>
      <c r="AH578" s="1" t="s">
        <v>74</v>
      </c>
      <c r="AI578" s="1" t="s">
        <v>74</v>
      </c>
      <c r="AJ578" s="1" t="s">
        <v>74</v>
      </c>
      <c r="AK578" s="1" t="s">
        <v>74</v>
      </c>
      <c r="AL578" s="1" t="s">
        <v>74</v>
      </c>
      <c r="AM578" s="1" t="s">
        <v>74</v>
      </c>
      <c r="AN578" s="1" t="s">
        <v>74</v>
      </c>
      <c r="AO578" s="1" t="s">
        <v>4961</v>
      </c>
      <c r="AP578" s="1" t="s">
        <v>4962</v>
      </c>
      <c r="AQ578" s="1" t="s">
        <v>74</v>
      </c>
      <c r="AR578" s="1" t="s">
        <v>74</v>
      </c>
      <c r="AS578" s="1" t="s">
        <v>74</v>
      </c>
      <c r="AT578" s="1" t="s">
        <v>4178</v>
      </c>
      <c r="AU578" s="1">
        <v>2004.0</v>
      </c>
      <c r="AV578" s="1">
        <v>323.0</v>
      </c>
      <c r="AW578" s="1" t="s">
        <v>222</v>
      </c>
      <c r="AX578" s="1" t="s">
        <v>74</v>
      </c>
      <c r="AY578" s="1" t="s">
        <v>74</v>
      </c>
      <c r="AZ578" s="1" t="s">
        <v>74</v>
      </c>
      <c r="BA578" s="1" t="s">
        <v>74</v>
      </c>
      <c r="BB578" s="1">
        <v>382.0</v>
      </c>
      <c r="BC578" s="1">
        <v>388.0</v>
      </c>
      <c r="BD578" s="1" t="s">
        <v>74</v>
      </c>
      <c r="BE578" s="1" t="s">
        <v>5625</v>
      </c>
      <c r="BF578" s="2" t="str">
        <f>HYPERLINK("http://dx.doi.org/10.1016/j.physleta.2004.02.043","http://dx.doi.org/10.1016/j.physleta.2004.02.043")</f>
        <v>http://dx.doi.org/10.1016/j.physleta.2004.02.043</v>
      </c>
      <c r="BG578" s="1" t="s">
        <v>74</v>
      </c>
      <c r="BH578" s="1" t="s">
        <v>74</v>
      </c>
      <c r="BI578" s="1" t="s">
        <v>74</v>
      </c>
      <c r="BJ578" s="1" t="s">
        <v>74</v>
      </c>
      <c r="BK578" s="1" t="s">
        <v>74</v>
      </c>
      <c r="BL578" s="1" t="s">
        <v>74</v>
      </c>
      <c r="BM578" s="1" t="s">
        <v>74</v>
      </c>
      <c r="BN578" s="1" t="s">
        <v>74</v>
      </c>
      <c r="BO578" s="1" t="s">
        <v>74</v>
      </c>
      <c r="BP578" s="1" t="s">
        <v>74</v>
      </c>
      <c r="BQ578" s="1" t="s">
        <v>74</v>
      </c>
      <c r="BR578" s="1" t="s">
        <v>74</v>
      </c>
      <c r="BS578" s="1" t="s">
        <v>5626</v>
      </c>
      <c r="BT578" s="1" t="str">
        <f>HYPERLINK("https%3A%2F%2Fwww.webofscience.com%2Fwos%2Fwoscc%2Ffull-record%2FWOS:000220317300008","View Full Record in Web of Science")</f>
        <v>View Full Record in Web of Science</v>
      </c>
    </row>
    <row r="579" ht="12.75" customHeight="1">
      <c r="A579" s="1" t="s">
        <v>72</v>
      </c>
      <c r="B579" s="1" t="s">
        <v>5627</v>
      </c>
      <c r="C579" s="1" t="s">
        <v>74</v>
      </c>
      <c r="D579" s="1" t="s">
        <v>74</v>
      </c>
      <c r="E579" s="1" t="s">
        <v>74</v>
      </c>
      <c r="F579" s="1" t="s">
        <v>5627</v>
      </c>
      <c r="G579" s="1" t="s">
        <v>74</v>
      </c>
      <c r="H579" s="1" t="s">
        <v>74</v>
      </c>
      <c r="I579" s="1" t="s">
        <v>5628</v>
      </c>
      <c r="J579" s="1" t="s">
        <v>5629</v>
      </c>
      <c r="K579" s="1" t="s">
        <v>74</v>
      </c>
      <c r="L579" s="1" t="s">
        <v>74</v>
      </c>
      <c r="M579" s="1" t="s">
        <v>74</v>
      </c>
      <c r="N579" s="1" t="s">
        <v>74</v>
      </c>
      <c r="O579" s="1" t="s">
        <v>74</v>
      </c>
      <c r="P579" s="1" t="s">
        <v>74</v>
      </c>
      <c r="Q579" s="1" t="s">
        <v>74</v>
      </c>
      <c r="R579" s="1" t="s">
        <v>74</v>
      </c>
      <c r="S579" s="1" t="s">
        <v>74</v>
      </c>
      <c r="T579" s="1" t="s">
        <v>74</v>
      </c>
      <c r="U579" s="1" t="s">
        <v>74</v>
      </c>
      <c r="V579" s="1" t="s">
        <v>74</v>
      </c>
      <c r="W579" s="1" t="s">
        <v>74</v>
      </c>
      <c r="X579" s="1" t="s">
        <v>74</v>
      </c>
      <c r="Y579" s="1" t="s">
        <v>74</v>
      </c>
      <c r="Z579" s="1" t="s">
        <v>74</v>
      </c>
      <c r="AA579" s="1" t="s">
        <v>5630</v>
      </c>
      <c r="AB579" s="1" t="s">
        <v>74</v>
      </c>
      <c r="AC579" s="1" t="s">
        <v>74</v>
      </c>
      <c r="AD579" s="1" t="s">
        <v>74</v>
      </c>
      <c r="AE579" s="1" t="s">
        <v>74</v>
      </c>
      <c r="AF579" s="1" t="s">
        <v>74</v>
      </c>
      <c r="AG579" s="1" t="s">
        <v>74</v>
      </c>
      <c r="AH579" s="1" t="s">
        <v>74</v>
      </c>
      <c r="AI579" s="1" t="s">
        <v>74</v>
      </c>
      <c r="AJ579" s="1" t="s">
        <v>74</v>
      </c>
      <c r="AK579" s="1" t="s">
        <v>74</v>
      </c>
      <c r="AL579" s="1" t="s">
        <v>74</v>
      </c>
      <c r="AM579" s="1" t="s">
        <v>74</v>
      </c>
      <c r="AN579" s="1" t="s">
        <v>74</v>
      </c>
      <c r="AO579" s="1" t="s">
        <v>5631</v>
      </c>
      <c r="AP579" s="1" t="s">
        <v>74</v>
      </c>
      <c r="AQ579" s="1" t="s">
        <v>74</v>
      </c>
      <c r="AR579" s="1" t="s">
        <v>74</v>
      </c>
      <c r="AS579" s="1" t="s">
        <v>74</v>
      </c>
      <c r="AT579" s="1" t="s">
        <v>4632</v>
      </c>
      <c r="AU579" s="1">
        <v>2002.0</v>
      </c>
      <c r="AV579" s="1">
        <v>224.0</v>
      </c>
      <c r="AW579" s="1" t="s">
        <v>74</v>
      </c>
      <c r="AX579" s="1">
        <v>1.0</v>
      </c>
      <c r="AY579" s="1" t="s">
        <v>74</v>
      </c>
      <c r="AZ579" s="1" t="s">
        <v>74</v>
      </c>
      <c r="BA579" s="1" t="s">
        <v>5632</v>
      </c>
      <c r="BB579" s="1" t="s">
        <v>5633</v>
      </c>
      <c r="BC579" s="1" t="s">
        <v>5633</v>
      </c>
      <c r="BD579" s="1" t="s">
        <v>74</v>
      </c>
      <c r="BE579" s="1" t="s">
        <v>74</v>
      </c>
      <c r="BF579" s="1" t="s">
        <v>74</v>
      </c>
      <c r="BG579" s="1" t="s">
        <v>74</v>
      </c>
      <c r="BH579" s="1" t="s">
        <v>74</v>
      </c>
      <c r="BI579" s="1" t="s">
        <v>74</v>
      </c>
      <c r="BJ579" s="1" t="s">
        <v>74</v>
      </c>
      <c r="BK579" s="1" t="s">
        <v>74</v>
      </c>
      <c r="BL579" s="1" t="s">
        <v>74</v>
      </c>
      <c r="BM579" s="1" t="s">
        <v>74</v>
      </c>
      <c r="BN579" s="1" t="s">
        <v>74</v>
      </c>
      <c r="BO579" s="1" t="s">
        <v>74</v>
      </c>
      <c r="BP579" s="1" t="s">
        <v>74</v>
      </c>
      <c r="BQ579" s="1" t="s">
        <v>74</v>
      </c>
      <c r="BR579" s="1" t="s">
        <v>74</v>
      </c>
      <c r="BS579" s="1" t="s">
        <v>5634</v>
      </c>
      <c r="BT579" s="1" t="str">
        <f>HYPERLINK("https%3A%2F%2Fwww.webofscience.com%2Fwos%2Fwoscc%2Ffull-record%2FWOS:000177422200743","View Full Record in Web of Science")</f>
        <v>View Full Record in Web of Science</v>
      </c>
    </row>
    <row r="580" ht="12.75" customHeight="1">
      <c r="A580" s="1" t="s">
        <v>72</v>
      </c>
      <c r="B580" s="1" t="s">
        <v>5635</v>
      </c>
      <c r="C580" s="1" t="s">
        <v>74</v>
      </c>
      <c r="D580" s="1" t="s">
        <v>74</v>
      </c>
      <c r="E580" s="1" t="s">
        <v>74</v>
      </c>
      <c r="F580" s="1" t="s">
        <v>5635</v>
      </c>
      <c r="G580" s="1" t="s">
        <v>74</v>
      </c>
      <c r="H580" s="1" t="s">
        <v>74</v>
      </c>
      <c r="I580" s="1" t="s">
        <v>5636</v>
      </c>
      <c r="J580" s="1" t="s">
        <v>413</v>
      </c>
      <c r="K580" s="1" t="s">
        <v>74</v>
      </c>
      <c r="L580" s="1" t="s">
        <v>74</v>
      </c>
      <c r="M580" s="1" t="s">
        <v>74</v>
      </c>
      <c r="N580" s="1" t="s">
        <v>74</v>
      </c>
      <c r="O580" s="1" t="s">
        <v>74</v>
      </c>
      <c r="P580" s="1" t="s">
        <v>74</v>
      </c>
      <c r="Q580" s="1" t="s">
        <v>74</v>
      </c>
      <c r="R580" s="1" t="s">
        <v>74</v>
      </c>
      <c r="S580" s="1" t="s">
        <v>74</v>
      </c>
      <c r="T580" s="1" t="s">
        <v>74</v>
      </c>
      <c r="U580" s="1" t="s">
        <v>74</v>
      </c>
      <c r="V580" s="1" t="s">
        <v>5637</v>
      </c>
      <c r="W580" s="1" t="s">
        <v>74</v>
      </c>
      <c r="X580" s="1" t="s">
        <v>74</v>
      </c>
      <c r="Y580" s="1" t="s">
        <v>74</v>
      </c>
      <c r="Z580" s="1" t="s">
        <v>74</v>
      </c>
      <c r="AA580" s="1" t="s">
        <v>74</v>
      </c>
      <c r="AB580" s="1" t="s">
        <v>74</v>
      </c>
      <c r="AC580" s="1" t="s">
        <v>74</v>
      </c>
      <c r="AD580" s="1" t="s">
        <v>74</v>
      </c>
      <c r="AE580" s="1" t="s">
        <v>74</v>
      </c>
      <c r="AF580" s="1" t="s">
        <v>74</v>
      </c>
      <c r="AG580" s="1" t="s">
        <v>74</v>
      </c>
      <c r="AH580" s="1" t="s">
        <v>74</v>
      </c>
      <c r="AI580" s="1" t="s">
        <v>74</v>
      </c>
      <c r="AJ580" s="1" t="s">
        <v>74</v>
      </c>
      <c r="AK580" s="1" t="s">
        <v>74</v>
      </c>
      <c r="AL580" s="1" t="s">
        <v>74</v>
      </c>
      <c r="AM580" s="1" t="s">
        <v>74</v>
      </c>
      <c r="AN580" s="1" t="s">
        <v>74</v>
      </c>
      <c r="AO580" s="1" t="s">
        <v>414</v>
      </c>
      <c r="AP580" s="1" t="s">
        <v>74</v>
      </c>
      <c r="AQ580" s="1" t="s">
        <v>74</v>
      </c>
      <c r="AR580" s="1" t="s">
        <v>74</v>
      </c>
      <c r="AS580" s="1" t="s">
        <v>74</v>
      </c>
      <c r="AT580" s="1" t="s">
        <v>289</v>
      </c>
      <c r="AU580" s="1">
        <v>2001.0</v>
      </c>
      <c r="AV580" s="1">
        <v>46.0</v>
      </c>
      <c r="AW580" s="1">
        <v>2.0</v>
      </c>
      <c r="AX580" s="1" t="s">
        <v>74</v>
      </c>
      <c r="AY580" s="1" t="s">
        <v>74</v>
      </c>
      <c r="AZ580" s="1" t="s">
        <v>74</v>
      </c>
      <c r="BA580" s="1" t="s">
        <v>74</v>
      </c>
      <c r="BB580" s="1">
        <v>165.0</v>
      </c>
      <c r="BC580" s="1">
        <v>173.0</v>
      </c>
      <c r="BD580" s="1" t="s">
        <v>74</v>
      </c>
      <c r="BE580" s="1" t="s">
        <v>74</v>
      </c>
      <c r="BF580" s="1" t="s">
        <v>74</v>
      </c>
      <c r="BG580" s="1" t="s">
        <v>74</v>
      </c>
      <c r="BH580" s="1" t="s">
        <v>74</v>
      </c>
      <c r="BI580" s="1" t="s">
        <v>74</v>
      </c>
      <c r="BJ580" s="1" t="s">
        <v>74</v>
      </c>
      <c r="BK580" s="1" t="s">
        <v>74</v>
      </c>
      <c r="BL580" s="1" t="s">
        <v>74</v>
      </c>
      <c r="BM580" s="1" t="s">
        <v>74</v>
      </c>
      <c r="BN580" s="1" t="s">
        <v>74</v>
      </c>
      <c r="BO580" s="1" t="s">
        <v>74</v>
      </c>
      <c r="BP580" s="1" t="s">
        <v>74</v>
      </c>
      <c r="BQ580" s="1" t="s">
        <v>74</v>
      </c>
      <c r="BR580" s="1" t="s">
        <v>74</v>
      </c>
      <c r="BS580" s="1" t="s">
        <v>5638</v>
      </c>
      <c r="BT580" s="1" t="str">
        <f>HYPERLINK("https%3A%2F%2Fwww.webofscience.com%2Fwos%2Fwoscc%2Ffull-record%2FWOS:000170137700010","View Full Record in Web of Science")</f>
        <v>View Full Record in Web of Science</v>
      </c>
    </row>
    <row r="581" ht="12.75" customHeight="1">
      <c r="A581" s="1" t="s">
        <v>72</v>
      </c>
      <c r="B581" s="1" t="s">
        <v>5639</v>
      </c>
      <c r="C581" s="1" t="s">
        <v>74</v>
      </c>
      <c r="D581" s="1" t="s">
        <v>74</v>
      </c>
      <c r="E581" s="1" t="s">
        <v>74</v>
      </c>
      <c r="F581" s="1" t="s">
        <v>5639</v>
      </c>
      <c r="G581" s="1" t="s">
        <v>74</v>
      </c>
      <c r="H581" s="1" t="s">
        <v>74</v>
      </c>
      <c r="I581" s="1" t="s">
        <v>5640</v>
      </c>
      <c r="J581" s="1" t="s">
        <v>413</v>
      </c>
      <c r="K581" s="1" t="s">
        <v>74</v>
      </c>
      <c r="L581" s="1" t="s">
        <v>74</v>
      </c>
      <c r="M581" s="1" t="s">
        <v>74</v>
      </c>
      <c r="N581" s="1" t="s">
        <v>74</v>
      </c>
      <c r="O581" s="1" t="s">
        <v>74</v>
      </c>
      <c r="P581" s="1" t="s">
        <v>74</v>
      </c>
      <c r="Q581" s="1" t="s">
        <v>74</v>
      </c>
      <c r="R581" s="1" t="s">
        <v>74</v>
      </c>
      <c r="S581" s="1" t="s">
        <v>74</v>
      </c>
      <c r="T581" s="1" t="s">
        <v>74</v>
      </c>
      <c r="U581" s="1" t="s">
        <v>74</v>
      </c>
      <c r="V581" s="1" t="s">
        <v>5641</v>
      </c>
      <c r="W581" s="1" t="s">
        <v>74</v>
      </c>
      <c r="X581" s="1" t="s">
        <v>74</v>
      </c>
      <c r="Y581" s="1" t="s">
        <v>74</v>
      </c>
      <c r="Z581" s="1" t="s">
        <v>74</v>
      </c>
      <c r="AA581" s="1" t="s">
        <v>5642</v>
      </c>
      <c r="AB581" s="1" t="s">
        <v>5643</v>
      </c>
      <c r="AC581" s="1" t="s">
        <v>74</v>
      </c>
      <c r="AD581" s="1" t="s">
        <v>74</v>
      </c>
      <c r="AE581" s="1" t="s">
        <v>74</v>
      </c>
      <c r="AF581" s="1" t="s">
        <v>74</v>
      </c>
      <c r="AG581" s="1" t="s">
        <v>74</v>
      </c>
      <c r="AH581" s="1" t="s">
        <v>74</v>
      </c>
      <c r="AI581" s="1" t="s">
        <v>74</v>
      </c>
      <c r="AJ581" s="1" t="s">
        <v>74</v>
      </c>
      <c r="AK581" s="1" t="s">
        <v>74</v>
      </c>
      <c r="AL581" s="1" t="s">
        <v>74</v>
      </c>
      <c r="AM581" s="1" t="s">
        <v>74</v>
      </c>
      <c r="AN581" s="1" t="s">
        <v>74</v>
      </c>
      <c r="AO581" s="1" t="s">
        <v>414</v>
      </c>
      <c r="AP581" s="1" t="s">
        <v>74</v>
      </c>
      <c r="AQ581" s="1" t="s">
        <v>74</v>
      </c>
      <c r="AR581" s="1" t="s">
        <v>74</v>
      </c>
      <c r="AS581" s="1" t="s">
        <v>74</v>
      </c>
      <c r="AT581" s="1" t="s">
        <v>144</v>
      </c>
      <c r="AU581" s="1">
        <v>2001.0</v>
      </c>
      <c r="AV581" s="1">
        <v>46.0</v>
      </c>
      <c r="AW581" s="1">
        <v>1.0</v>
      </c>
      <c r="AX581" s="1" t="s">
        <v>74</v>
      </c>
      <c r="AY581" s="1" t="s">
        <v>74</v>
      </c>
      <c r="AZ581" s="1" t="s">
        <v>74</v>
      </c>
      <c r="BA581" s="1" t="s">
        <v>74</v>
      </c>
      <c r="BB581" s="1">
        <v>91.0</v>
      </c>
      <c r="BC581" s="1">
        <v>97.0</v>
      </c>
      <c r="BD581" s="1" t="s">
        <v>74</v>
      </c>
      <c r="BE581" s="1" t="s">
        <v>74</v>
      </c>
      <c r="BF581" s="1" t="s">
        <v>74</v>
      </c>
      <c r="BG581" s="1" t="s">
        <v>74</v>
      </c>
      <c r="BH581" s="1" t="s">
        <v>74</v>
      </c>
      <c r="BI581" s="1" t="s">
        <v>74</v>
      </c>
      <c r="BJ581" s="1" t="s">
        <v>74</v>
      </c>
      <c r="BK581" s="1" t="s">
        <v>74</v>
      </c>
      <c r="BL581" s="1" t="s">
        <v>74</v>
      </c>
      <c r="BM581" s="1" t="s">
        <v>74</v>
      </c>
      <c r="BN581" s="1" t="s">
        <v>74</v>
      </c>
      <c r="BO581" s="1" t="s">
        <v>74</v>
      </c>
      <c r="BP581" s="1" t="s">
        <v>74</v>
      </c>
      <c r="BQ581" s="1" t="s">
        <v>74</v>
      </c>
      <c r="BR581" s="1" t="s">
        <v>74</v>
      </c>
      <c r="BS581" s="1" t="s">
        <v>5644</v>
      </c>
      <c r="BT581" s="1" t="str">
        <f>HYPERLINK("https%3A%2F%2Fwww.webofscience.com%2Fwos%2Fwoscc%2Ffull-record%2FWOS:000168175900014","View Full Record in Web of Science")</f>
        <v>View Full Record in Web of Science</v>
      </c>
    </row>
    <row r="582" ht="12.75" customHeight="1">
      <c r="A582" s="1" t="s">
        <v>72</v>
      </c>
      <c r="B582" s="1" t="s">
        <v>5645</v>
      </c>
      <c r="C582" s="1" t="s">
        <v>74</v>
      </c>
      <c r="D582" s="1" t="s">
        <v>74</v>
      </c>
      <c r="E582" s="1" t="s">
        <v>74</v>
      </c>
      <c r="F582" s="1" t="s">
        <v>5645</v>
      </c>
      <c r="G582" s="1" t="s">
        <v>74</v>
      </c>
      <c r="H582" s="1" t="s">
        <v>74</v>
      </c>
      <c r="I582" s="1" t="s">
        <v>5646</v>
      </c>
      <c r="J582" s="1" t="s">
        <v>997</v>
      </c>
      <c r="K582" s="1" t="s">
        <v>74</v>
      </c>
      <c r="L582" s="1" t="s">
        <v>74</v>
      </c>
      <c r="M582" s="1" t="s">
        <v>74</v>
      </c>
      <c r="N582" s="1" t="s">
        <v>74</v>
      </c>
      <c r="O582" s="1" t="s">
        <v>74</v>
      </c>
      <c r="P582" s="1" t="s">
        <v>74</v>
      </c>
      <c r="Q582" s="1" t="s">
        <v>74</v>
      </c>
      <c r="R582" s="1" t="s">
        <v>74</v>
      </c>
      <c r="S582" s="1" t="s">
        <v>74</v>
      </c>
      <c r="T582" s="1" t="s">
        <v>74</v>
      </c>
      <c r="U582" s="1" t="s">
        <v>74</v>
      </c>
      <c r="V582" s="1" t="s">
        <v>5647</v>
      </c>
      <c r="W582" s="1" t="s">
        <v>74</v>
      </c>
      <c r="X582" s="1" t="s">
        <v>74</v>
      </c>
      <c r="Y582" s="1" t="s">
        <v>74</v>
      </c>
      <c r="Z582" s="1" t="s">
        <v>74</v>
      </c>
      <c r="AA582" s="1" t="s">
        <v>5648</v>
      </c>
      <c r="AB582" s="1" t="s">
        <v>5649</v>
      </c>
      <c r="AC582" s="1" t="s">
        <v>74</v>
      </c>
      <c r="AD582" s="1" t="s">
        <v>74</v>
      </c>
      <c r="AE582" s="1" t="s">
        <v>74</v>
      </c>
      <c r="AF582" s="1" t="s">
        <v>74</v>
      </c>
      <c r="AG582" s="1" t="s">
        <v>74</v>
      </c>
      <c r="AH582" s="1" t="s">
        <v>74</v>
      </c>
      <c r="AI582" s="1" t="s">
        <v>74</v>
      </c>
      <c r="AJ582" s="1" t="s">
        <v>74</v>
      </c>
      <c r="AK582" s="1" t="s">
        <v>74</v>
      </c>
      <c r="AL582" s="1" t="s">
        <v>74</v>
      </c>
      <c r="AM582" s="1" t="s">
        <v>74</v>
      </c>
      <c r="AN582" s="1" t="s">
        <v>74</v>
      </c>
      <c r="AO582" s="1" t="s">
        <v>1000</v>
      </c>
      <c r="AP582" s="1" t="s">
        <v>1001</v>
      </c>
      <c r="AQ582" s="1" t="s">
        <v>74</v>
      </c>
      <c r="AR582" s="1" t="s">
        <v>74</v>
      </c>
      <c r="AS582" s="1" t="s">
        <v>74</v>
      </c>
      <c r="AT582" s="1" t="s">
        <v>3482</v>
      </c>
      <c r="AU582" s="1">
        <v>1998.0</v>
      </c>
      <c r="AV582" s="1">
        <v>58.0</v>
      </c>
      <c r="AW582" s="1">
        <v>12.0</v>
      </c>
      <c r="AX582" s="1" t="s">
        <v>74</v>
      </c>
      <c r="AY582" s="1" t="s">
        <v>74</v>
      </c>
      <c r="AZ582" s="1" t="s">
        <v>74</v>
      </c>
      <c r="BA582" s="1" t="s">
        <v>74</v>
      </c>
      <c r="BB582" s="1" t="s">
        <v>74</v>
      </c>
      <c r="BC582" s="1" t="s">
        <v>74</v>
      </c>
      <c r="BD582" s="1">
        <v>123504.0</v>
      </c>
      <c r="BE582" s="1" t="s">
        <v>5650</v>
      </c>
      <c r="BF582" s="2" t="str">
        <f>HYPERLINK("http://dx.doi.org/10.1103/PhysRevD.58.123504","http://dx.doi.org/10.1103/PhysRevD.58.123504")</f>
        <v>http://dx.doi.org/10.1103/PhysRevD.58.123504</v>
      </c>
      <c r="BG582" s="1" t="s">
        <v>74</v>
      </c>
      <c r="BH582" s="1" t="s">
        <v>74</v>
      </c>
      <c r="BI582" s="1" t="s">
        <v>74</v>
      </c>
      <c r="BJ582" s="1" t="s">
        <v>74</v>
      </c>
      <c r="BK582" s="1" t="s">
        <v>74</v>
      </c>
      <c r="BL582" s="1" t="s">
        <v>74</v>
      </c>
      <c r="BM582" s="1" t="s">
        <v>74</v>
      </c>
      <c r="BN582" s="1" t="s">
        <v>74</v>
      </c>
      <c r="BO582" s="1" t="s">
        <v>74</v>
      </c>
      <c r="BP582" s="1" t="s">
        <v>74</v>
      </c>
      <c r="BQ582" s="1" t="s">
        <v>74</v>
      </c>
      <c r="BR582" s="1" t="s">
        <v>74</v>
      </c>
      <c r="BS582" s="1" t="s">
        <v>5651</v>
      </c>
      <c r="BT582" s="1" t="str">
        <f>HYPERLINK("https%3A%2F%2Fwww.webofscience.com%2Fwos%2Fwoscc%2Ffull-record%2FWOS:000077903000015","View Full Record in Web of Science")</f>
        <v>View Full Record in Web of Science</v>
      </c>
    </row>
    <row r="583" ht="12.75" customHeight="1">
      <c r="A583" s="1" t="s">
        <v>72</v>
      </c>
      <c r="B583" s="1" t="s">
        <v>5652</v>
      </c>
      <c r="C583" s="1" t="s">
        <v>74</v>
      </c>
      <c r="D583" s="1" t="s">
        <v>74</v>
      </c>
      <c r="E583" s="1" t="s">
        <v>74</v>
      </c>
      <c r="F583" s="1" t="s">
        <v>5652</v>
      </c>
      <c r="G583" s="1" t="s">
        <v>74</v>
      </c>
      <c r="H583" s="1" t="s">
        <v>74</v>
      </c>
      <c r="I583" s="1" t="s">
        <v>5653</v>
      </c>
      <c r="J583" s="1" t="s">
        <v>5654</v>
      </c>
      <c r="K583" s="1" t="s">
        <v>74</v>
      </c>
      <c r="L583" s="1" t="s">
        <v>74</v>
      </c>
      <c r="M583" s="1" t="s">
        <v>74</v>
      </c>
      <c r="N583" s="1" t="s">
        <v>74</v>
      </c>
      <c r="O583" s="1" t="s">
        <v>74</v>
      </c>
      <c r="P583" s="1" t="s">
        <v>74</v>
      </c>
      <c r="Q583" s="1" t="s">
        <v>74</v>
      </c>
      <c r="R583" s="1" t="s">
        <v>74</v>
      </c>
      <c r="S583" s="1" t="s">
        <v>74</v>
      </c>
      <c r="T583" s="1" t="s">
        <v>74</v>
      </c>
      <c r="U583" s="1" t="s">
        <v>74</v>
      </c>
      <c r="V583" s="1" t="s">
        <v>5655</v>
      </c>
      <c r="W583" s="1" t="s">
        <v>74</v>
      </c>
      <c r="X583" s="1" t="s">
        <v>74</v>
      </c>
      <c r="Y583" s="1" t="s">
        <v>74</v>
      </c>
      <c r="Z583" s="1" t="s">
        <v>74</v>
      </c>
      <c r="AA583" s="1" t="s">
        <v>5656</v>
      </c>
      <c r="AB583" s="1" t="s">
        <v>74</v>
      </c>
      <c r="AC583" s="1" t="s">
        <v>74</v>
      </c>
      <c r="AD583" s="1" t="s">
        <v>74</v>
      </c>
      <c r="AE583" s="1" t="s">
        <v>74</v>
      </c>
      <c r="AF583" s="1" t="s">
        <v>74</v>
      </c>
      <c r="AG583" s="1" t="s">
        <v>74</v>
      </c>
      <c r="AH583" s="1" t="s">
        <v>74</v>
      </c>
      <c r="AI583" s="1" t="s">
        <v>74</v>
      </c>
      <c r="AJ583" s="1" t="s">
        <v>74</v>
      </c>
      <c r="AK583" s="1" t="s">
        <v>74</v>
      </c>
      <c r="AL583" s="1" t="s">
        <v>74</v>
      </c>
      <c r="AM583" s="1" t="s">
        <v>74</v>
      </c>
      <c r="AN583" s="1" t="s">
        <v>74</v>
      </c>
      <c r="AO583" s="1" t="s">
        <v>5657</v>
      </c>
      <c r="AP583" s="1" t="s">
        <v>5658</v>
      </c>
      <c r="AQ583" s="1" t="s">
        <v>74</v>
      </c>
      <c r="AR583" s="1" t="s">
        <v>74</v>
      </c>
      <c r="AS583" s="1" t="s">
        <v>74</v>
      </c>
      <c r="AT583" s="1" t="s">
        <v>112</v>
      </c>
      <c r="AU583" s="1">
        <v>1998.0</v>
      </c>
      <c r="AV583" s="1">
        <v>118.0</v>
      </c>
      <c r="AW583" s="1">
        <v>3.0</v>
      </c>
      <c r="AX583" s="1" t="s">
        <v>74</v>
      </c>
      <c r="AY583" s="1" t="s">
        <v>74</v>
      </c>
      <c r="AZ583" s="1" t="s">
        <v>74</v>
      </c>
      <c r="BA583" s="1" t="s">
        <v>74</v>
      </c>
      <c r="BB583" s="1">
        <v>1057.0</v>
      </c>
      <c r="BC583" s="1">
        <v>1065.0</v>
      </c>
      <c r="BD583" s="1" t="s">
        <v>74</v>
      </c>
      <c r="BE583" s="1" t="s">
        <v>5659</v>
      </c>
      <c r="BF583" s="2" t="str">
        <f>HYPERLINK("http://dx.doi.org/10.1104/pp.118.3.1057","http://dx.doi.org/10.1104/pp.118.3.1057")</f>
        <v>http://dx.doi.org/10.1104/pp.118.3.1057</v>
      </c>
      <c r="BG583" s="1" t="s">
        <v>74</v>
      </c>
      <c r="BH583" s="1" t="s">
        <v>74</v>
      </c>
      <c r="BI583" s="1" t="s">
        <v>74</v>
      </c>
      <c r="BJ583" s="1" t="s">
        <v>74</v>
      </c>
      <c r="BK583" s="1" t="s">
        <v>74</v>
      </c>
      <c r="BL583" s="1" t="s">
        <v>74</v>
      </c>
      <c r="BM583" s="1" t="s">
        <v>74</v>
      </c>
      <c r="BN583" s="1">
        <v>9808751.0</v>
      </c>
      <c r="BO583" s="1" t="s">
        <v>74</v>
      </c>
      <c r="BP583" s="1" t="s">
        <v>74</v>
      </c>
      <c r="BQ583" s="1" t="s">
        <v>74</v>
      </c>
      <c r="BR583" s="1" t="s">
        <v>74</v>
      </c>
      <c r="BS583" s="1" t="s">
        <v>5660</v>
      </c>
      <c r="BT583" s="1" t="str">
        <f>HYPERLINK("https%3A%2F%2Fwww.webofscience.com%2Fwos%2Fwoscc%2Ffull-record%2FWOS:000077028200038","View Full Record in Web of Science")</f>
        <v>View Full Record in Web of Science</v>
      </c>
    </row>
    <row r="584" ht="12.75" customHeight="1">
      <c r="A584" s="1" t="s">
        <v>72</v>
      </c>
      <c r="B584" s="1" t="s">
        <v>5661</v>
      </c>
      <c r="C584" s="1" t="s">
        <v>74</v>
      </c>
      <c r="D584" s="1" t="s">
        <v>74</v>
      </c>
      <c r="E584" s="1" t="s">
        <v>74</v>
      </c>
      <c r="F584" s="1" t="s">
        <v>5661</v>
      </c>
      <c r="G584" s="1" t="s">
        <v>74</v>
      </c>
      <c r="H584" s="1" t="s">
        <v>74</v>
      </c>
      <c r="I584" s="1" t="s">
        <v>5662</v>
      </c>
      <c r="J584" s="1" t="s">
        <v>527</v>
      </c>
      <c r="K584" s="1" t="s">
        <v>74</v>
      </c>
      <c r="L584" s="1" t="s">
        <v>74</v>
      </c>
      <c r="M584" s="1" t="s">
        <v>74</v>
      </c>
      <c r="N584" s="1" t="s">
        <v>74</v>
      </c>
      <c r="O584" s="1" t="s">
        <v>74</v>
      </c>
      <c r="P584" s="1" t="s">
        <v>74</v>
      </c>
      <c r="Q584" s="1" t="s">
        <v>74</v>
      </c>
      <c r="R584" s="1" t="s">
        <v>74</v>
      </c>
      <c r="S584" s="1" t="s">
        <v>74</v>
      </c>
      <c r="T584" s="1" t="s">
        <v>74</v>
      </c>
      <c r="U584" s="1" t="s">
        <v>74</v>
      </c>
      <c r="V584" s="1" t="s">
        <v>5663</v>
      </c>
      <c r="W584" s="1" t="s">
        <v>74</v>
      </c>
      <c r="X584" s="1" t="s">
        <v>74</v>
      </c>
      <c r="Y584" s="1" t="s">
        <v>74</v>
      </c>
      <c r="Z584" s="1" t="s">
        <v>74</v>
      </c>
      <c r="AA584" s="1" t="s">
        <v>5664</v>
      </c>
      <c r="AB584" s="1" t="s">
        <v>5665</v>
      </c>
      <c r="AC584" s="1" t="s">
        <v>74</v>
      </c>
      <c r="AD584" s="1" t="s">
        <v>74</v>
      </c>
      <c r="AE584" s="1" t="s">
        <v>74</v>
      </c>
      <c r="AF584" s="1" t="s">
        <v>74</v>
      </c>
      <c r="AG584" s="1" t="s">
        <v>74</v>
      </c>
      <c r="AH584" s="1" t="s">
        <v>74</v>
      </c>
      <c r="AI584" s="1" t="s">
        <v>74</v>
      </c>
      <c r="AJ584" s="1" t="s">
        <v>74</v>
      </c>
      <c r="AK584" s="1" t="s">
        <v>74</v>
      </c>
      <c r="AL584" s="1" t="s">
        <v>74</v>
      </c>
      <c r="AM584" s="1" t="s">
        <v>74</v>
      </c>
      <c r="AN584" s="1" t="s">
        <v>74</v>
      </c>
      <c r="AO584" s="1" t="s">
        <v>531</v>
      </c>
      <c r="AP584" s="1" t="s">
        <v>74</v>
      </c>
      <c r="AQ584" s="1" t="s">
        <v>74</v>
      </c>
      <c r="AR584" s="1" t="s">
        <v>74</v>
      </c>
      <c r="AS584" s="1" t="s">
        <v>74</v>
      </c>
      <c r="AT584" s="1" t="s">
        <v>74</v>
      </c>
      <c r="AU584" s="1">
        <v>1998.0</v>
      </c>
      <c r="AV584" s="1">
        <v>43.0</v>
      </c>
      <c r="AW584" s="1" t="s">
        <v>5666</v>
      </c>
      <c r="AX584" s="1" t="s">
        <v>74</v>
      </c>
      <c r="AY584" s="1" t="s">
        <v>74</v>
      </c>
      <c r="AZ584" s="1" t="s">
        <v>74</v>
      </c>
      <c r="BA584" s="1" t="s">
        <v>74</v>
      </c>
      <c r="BB584" s="1">
        <v>1821.0</v>
      </c>
      <c r="BC584" s="1">
        <v>1827.0</v>
      </c>
      <c r="BD584" s="1" t="s">
        <v>74</v>
      </c>
      <c r="BE584" s="1" t="s">
        <v>5667</v>
      </c>
      <c r="BF584" s="2" t="str">
        <f>HYPERLINK("http://dx.doi.org/10.1016/S0013-4686(97)00314-9","http://dx.doi.org/10.1016/S0013-4686(97)00314-9")</f>
        <v>http://dx.doi.org/10.1016/S0013-4686(97)00314-9</v>
      </c>
      <c r="BG584" s="1" t="s">
        <v>74</v>
      </c>
      <c r="BH584" s="1" t="s">
        <v>74</v>
      </c>
      <c r="BI584" s="1" t="s">
        <v>74</v>
      </c>
      <c r="BJ584" s="1" t="s">
        <v>74</v>
      </c>
      <c r="BK584" s="1" t="s">
        <v>74</v>
      </c>
      <c r="BL584" s="1" t="s">
        <v>74</v>
      </c>
      <c r="BM584" s="1" t="s">
        <v>74</v>
      </c>
      <c r="BN584" s="1" t="s">
        <v>74</v>
      </c>
      <c r="BO584" s="1" t="s">
        <v>74</v>
      </c>
      <c r="BP584" s="1" t="s">
        <v>74</v>
      </c>
      <c r="BQ584" s="1" t="s">
        <v>74</v>
      </c>
      <c r="BR584" s="1" t="s">
        <v>74</v>
      </c>
      <c r="BS584" s="1" t="s">
        <v>5668</v>
      </c>
      <c r="BT584" s="1" t="str">
        <f>HYPERLINK("https%3A%2F%2Fwww.webofscience.com%2Fwos%2Fwoscc%2Ffull-record%2FWOS:000074191100018","View Full Record in Web of Science")</f>
        <v>View Full Record in Web of Science</v>
      </c>
    </row>
    <row r="585" ht="12.75" customHeight="1">
      <c r="A585" s="1" t="s">
        <v>72</v>
      </c>
      <c r="B585" s="1" t="s">
        <v>5669</v>
      </c>
      <c r="C585" s="1" t="s">
        <v>74</v>
      </c>
      <c r="D585" s="1" t="s">
        <v>74</v>
      </c>
      <c r="E585" s="1" t="s">
        <v>74</v>
      </c>
      <c r="F585" s="1" t="s">
        <v>5669</v>
      </c>
      <c r="G585" s="1" t="s">
        <v>74</v>
      </c>
      <c r="H585" s="1" t="s">
        <v>74</v>
      </c>
      <c r="I585" s="1" t="s">
        <v>5670</v>
      </c>
      <c r="J585" s="1" t="s">
        <v>527</v>
      </c>
      <c r="K585" s="1" t="s">
        <v>74</v>
      </c>
      <c r="L585" s="1" t="s">
        <v>74</v>
      </c>
      <c r="M585" s="1" t="s">
        <v>74</v>
      </c>
      <c r="N585" s="1" t="s">
        <v>74</v>
      </c>
      <c r="O585" s="1" t="s">
        <v>74</v>
      </c>
      <c r="P585" s="1" t="s">
        <v>74</v>
      </c>
      <c r="Q585" s="1" t="s">
        <v>74</v>
      </c>
      <c r="R585" s="1" t="s">
        <v>74</v>
      </c>
      <c r="S585" s="1" t="s">
        <v>74</v>
      </c>
      <c r="T585" s="1" t="s">
        <v>74</v>
      </c>
      <c r="U585" s="1" t="s">
        <v>74</v>
      </c>
      <c r="V585" s="1" t="s">
        <v>5671</v>
      </c>
      <c r="W585" s="1" t="s">
        <v>74</v>
      </c>
      <c r="X585" s="1" t="s">
        <v>74</v>
      </c>
      <c r="Y585" s="1" t="s">
        <v>74</v>
      </c>
      <c r="Z585" s="1" t="s">
        <v>74</v>
      </c>
      <c r="AA585" s="1" t="s">
        <v>5672</v>
      </c>
      <c r="AB585" s="1" t="s">
        <v>5673</v>
      </c>
      <c r="AC585" s="1" t="s">
        <v>74</v>
      </c>
      <c r="AD585" s="1" t="s">
        <v>74</v>
      </c>
      <c r="AE585" s="1" t="s">
        <v>74</v>
      </c>
      <c r="AF585" s="1" t="s">
        <v>74</v>
      </c>
      <c r="AG585" s="1" t="s">
        <v>74</v>
      </c>
      <c r="AH585" s="1" t="s">
        <v>74</v>
      </c>
      <c r="AI585" s="1" t="s">
        <v>74</v>
      </c>
      <c r="AJ585" s="1" t="s">
        <v>74</v>
      </c>
      <c r="AK585" s="1" t="s">
        <v>74</v>
      </c>
      <c r="AL585" s="1" t="s">
        <v>74</v>
      </c>
      <c r="AM585" s="1" t="s">
        <v>74</v>
      </c>
      <c r="AN585" s="1" t="s">
        <v>74</v>
      </c>
      <c r="AO585" s="1" t="s">
        <v>531</v>
      </c>
      <c r="AP585" s="1" t="s">
        <v>74</v>
      </c>
      <c r="AQ585" s="1" t="s">
        <v>74</v>
      </c>
      <c r="AR585" s="1" t="s">
        <v>74</v>
      </c>
      <c r="AS585" s="1" t="s">
        <v>74</v>
      </c>
      <c r="AT585" s="1" t="s">
        <v>74</v>
      </c>
      <c r="AU585" s="1">
        <v>1997.0</v>
      </c>
      <c r="AV585" s="1">
        <v>42.0</v>
      </c>
      <c r="AW585" s="1" t="s">
        <v>5674</v>
      </c>
      <c r="AX585" s="1" t="s">
        <v>74</v>
      </c>
      <c r="AY585" s="1" t="s">
        <v>74</v>
      </c>
      <c r="AZ585" s="1" t="s">
        <v>74</v>
      </c>
      <c r="BA585" s="1" t="s">
        <v>74</v>
      </c>
      <c r="BB585" s="1">
        <v>3453.0</v>
      </c>
      <c r="BC585" s="1">
        <v>3459.0</v>
      </c>
      <c r="BD585" s="1" t="s">
        <v>74</v>
      </c>
      <c r="BE585" s="1" t="s">
        <v>5675</v>
      </c>
      <c r="BF585" s="2" t="str">
        <f>HYPERLINK("http://dx.doi.org/10.1016/S0013-4686(97)00039-X","http://dx.doi.org/10.1016/S0013-4686(97)00039-X")</f>
        <v>http://dx.doi.org/10.1016/S0013-4686(97)00039-X</v>
      </c>
      <c r="BG585" s="1" t="s">
        <v>74</v>
      </c>
      <c r="BH585" s="1" t="s">
        <v>74</v>
      </c>
      <c r="BI585" s="1" t="s">
        <v>74</v>
      </c>
      <c r="BJ585" s="1" t="s">
        <v>74</v>
      </c>
      <c r="BK585" s="1" t="s">
        <v>74</v>
      </c>
      <c r="BL585" s="1" t="s">
        <v>74</v>
      </c>
      <c r="BM585" s="1" t="s">
        <v>74</v>
      </c>
      <c r="BN585" s="1" t="s">
        <v>74</v>
      </c>
      <c r="BO585" s="1" t="s">
        <v>74</v>
      </c>
      <c r="BP585" s="1" t="s">
        <v>74</v>
      </c>
      <c r="BQ585" s="1" t="s">
        <v>74</v>
      </c>
      <c r="BR585" s="1" t="s">
        <v>74</v>
      </c>
      <c r="BS585" s="1" t="s">
        <v>5676</v>
      </c>
      <c r="BT585" s="1" t="str">
        <f>HYPERLINK("https%3A%2F%2Fwww.webofscience.com%2Fwos%2Fwoscc%2Ffull-record%2FWOS:A1997YG12500005","View Full Record in Web of Science")</f>
        <v>View Full Record in Web of Science</v>
      </c>
    </row>
    <row r="586" ht="12.75" customHeight="1">
      <c r="A586" s="1" t="s">
        <v>72</v>
      </c>
      <c r="B586" s="1" t="s">
        <v>5677</v>
      </c>
      <c r="C586" s="1" t="s">
        <v>74</v>
      </c>
      <c r="D586" s="1" t="s">
        <v>74</v>
      </c>
      <c r="E586" s="1" t="s">
        <v>74</v>
      </c>
      <c r="F586" s="1" t="s">
        <v>5677</v>
      </c>
      <c r="G586" s="1" t="s">
        <v>74</v>
      </c>
      <c r="H586" s="1" t="s">
        <v>74</v>
      </c>
      <c r="I586" s="1" t="s">
        <v>5678</v>
      </c>
      <c r="J586" s="1" t="s">
        <v>1733</v>
      </c>
      <c r="K586" s="1" t="s">
        <v>74</v>
      </c>
      <c r="L586" s="1" t="s">
        <v>74</v>
      </c>
      <c r="M586" s="1" t="s">
        <v>74</v>
      </c>
      <c r="N586" s="1" t="s">
        <v>74</v>
      </c>
      <c r="O586" s="1" t="s">
        <v>74</v>
      </c>
      <c r="P586" s="1" t="s">
        <v>74</v>
      </c>
      <c r="Q586" s="1" t="s">
        <v>74</v>
      </c>
      <c r="R586" s="1" t="s">
        <v>74</v>
      </c>
      <c r="S586" s="1" t="s">
        <v>74</v>
      </c>
      <c r="T586" s="1" t="s">
        <v>74</v>
      </c>
      <c r="U586" s="1" t="s">
        <v>74</v>
      </c>
      <c r="V586" s="1" t="s">
        <v>5679</v>
      </c>
      <c r="W586" s="1" t="s">
        <v>74</v>
      </c>
      <c r="X586" s="1" t="s">
        <v>74</v>
      </c>
      <c r="Y586" s="1" t="s">
        <v>74</v>
      </c>
      <c r="Z586" s="1" t="s">
        <v>74</v>
      </c>
      <c r="AA586" s="1" t="s">
        <v>4077</v>
      </c>
      <c r="AB586" s="1" t="s">
        <v>74</v>
      </c>
      <c r="AC586" s="1" t="s">
        <v>74</v>
      </c>
      <c r="AD586" s="1" t="s">
        <v>74</v>
      </c>
      <c r="AE586" s="1" t="s">
        <v>74</v>
      </c>
      <c r="AF586" s="1" t="s">
        <v>74</v>
      </c>
      <c r="AG586" s="1" t="s">
        <v>74</v>
      </c>
      <c r="AH586" s="1" t="s">
        <v>74</v>
      </c>
      <c r="AI586" s="1" t="s">
        <v>74</v>
      </c>
      <c r="AJ586" s="1" t="s">
        <v>74</v>
      </c>
      <c r="AK586" s="1" t="s">
        <v>74</v>
      </c>
      <c r="AL586" s="1" t="s">
        <v>74</v>
      </c>
      <c r="AM586" s="1" t="s">
        <v>74</v>
      </c>
      <c r="AN586" s="1" t="s">
        <v>74</v>
      </c>
      <c r="AO586" s="1" t="s">
        <v>1737</v>
      </c>
      <c r="AP586" s="1" t="s">
        <v>74</v>
      </c>
      <c r="AQ586" s="1" t="s">
        <v>74</v>
      </c>
      <c r="AR586" s="1" t="s">
        <v>74</v>
      </c>
      <c r="AS586" s="1" t="s">
        <v>74</v>
      </c>
      <c r="AT586" s="1" t="s">
        <v>74</v>
      </c>
      <c r="AU586" s="1">
        <v>1997.0</v>
      </c>
      <c r="AV586" s="1">
        <v>14.0</v>
      </c>
      <c r="AW586" s="1">
        <v>1.0</v>
      </c>
      <c r="AX586" s="1" t="s">
        <v>74</v>
      </c>
      <c r="AY586" s="1" t="s">
        <v>74</v>
      </c>
      <c r="AZ586" s="1" t="s">
        <v>74</v>
      </c>
      <c r="BA586" s="1" t="s">
        <v>74</v>
      </c>
      <c r="BB586" s="1">
        <v>119.0</v>
      </c>
      <c r="BC586" s="1">
        <v>142.0</v>
      </c>
      <c r="BD586" s="1" t="s">
        <v>74</v>
      </c>
      <c r="BE586" s="1" t="s">
        <v>5680</v>
      </c>
      <c r="BF586" s="2" t="str">
        <f>HYPERLINK("http://dx.doi.org/10.1016/S0294-1449(97)80151-5","http://dx.doi.org/10.1016/S0294-1449(97)80151-5")</f>
        <v>http://dx.doi.org/10.1016/S0294-1449(97)80151-5</v>
      </c>
      <c r="BG586" s="1" t="s">
        <v>74</v>
      </c>
      <c r="BH586" s="1" t="s">
        <v>74</v>
      </c>
      <c r="BI586" s="1" t="s">
        <v>74</v>
      </c>
      <c r="BJ586" s="1" t="s">
        <v>74</v>
      </c>
      <c r="BK586" s="1" t="s">
        <v>74</v>
      </c>
      <c r="BL586" s="1" t="s">
        <v>74</v>
      </c>
      <c r="BM586" s="1" t="s">
        <v>74</v>
      </c>
      <c r="BN586" s="1" t="s">
        <v>74</v>
      </c>
      <c r="BO586" s="1" t="s">
        <v>74</v>
      </c>
      <c r="BP586" s="1" t="s">
        <v>74</v>
      </c>
      <c r="BQ586" s="1" t="s">
        <v>74</v>
      </c>
      <c r="BR586" s="1" t="s">
        <v>74</v>
      </c>
      <c r="BS586" s="1" t="s">
        <v>5681</v>
      </c>
      <c r="BT586" s="1" t="str">
        <f>HYPERLINK("https%3A%2F%2Fwww.webofscience.com%2Fwos%2Fwoscc%2Ffull-record%2FWOS:A1997WP39400004","View Full Record in Web of Science")</f>
        <v>View Full Record in Web of Science</v>
      </c>
    </row>
    <row r="587" ht="12.75" customHeight="1">
      <c r="A587" s="1" t="s">
        <v>72</v>
      </c>
      <c r="B587" s="1" t="s">
        <v>5682</v>
      </c>
      <c r="C587" s="1" t="s">
        <v>74</v>
      </c>
      <c r="D587" s="1" t="s">
        <v>74</v>
      </c>
      <c r="E587" s="1" t="s">
        <v>74</v>
      </c>
      <c r="F587" s="1" t="s">
        <v>5682</v>
      </c>
      <c r="G587" s="1" t="s">
        <v>74</v>
      </c>
      <c r="H587" s="1" t="s">
        <v>74</v>
      </c>
      <c r="I587" s="1" t="s">
        <v>5683</v>
      </c>
      <c r="J587" s="1" t="s">
        <v>5684</v>
      </c>
      <c r="K587" s="1" t="s">
        <v>74</v>
      </c>
      <c r="L587" s="1" t="s">
        <v>74</v>
      </c>
      <c r="M587" s="1" t="s">
        <v>74</v>
      </c>
      <c r="N587" s="1" t="s">
        <v>74</v>
      </c>
      <c r="O587" s="1" t="s">
        <v>74</v>
      </c>
      <c r="P587" s="1" t="s">
        <v>74</v>
      </c>
      <c r="Q587" s="1" t="s">
        <v>74</v>
      </c>
      <c r="R587" s="1" t="s">
        <v>74</v>
      </c>
      <c r="S587" s="1" t="s">
        <v>74</v>
      </c>
      <c r="T587" s="1" t="s">
        <v>74</v>
      </c>
      <c r="U587" s="1" t="s">
        <v>74</v>
      </c>
      <c r="V587" s="1" t="s">
        <v>5685</v>
      </c>
      <c r="W587" s="1" t="s">
        <v>74</v>
      </c>
      <c r="X587" s="1" t="s">
        <v>74</v>
      </c>
      <c r="Y587" s="1" t="s">
        <v>74</v>
      </c>
      <c r="Z587" s="1" t="s">
        <v>74</v>
      </c>
      <c r="AA587" s="1" t="s">
        <v>5686</v>
      </c>
      <c r="AB587" s="1" t="s">
        <v>5687</v>
      </c>
      <c r="AC587" s="1" t="s">
        <v>74</v>
      </c>
      <c r="AD587" s="1" t="s">
        <v>74</v>
      </c>
      <c r="AE587" s="1" t="s">
        <v>74</v>
      </c>
      <c r="AF587" s="1" t="s">
        <v>74</v>
      </c>
      <c r="AG587" s="1" t="s">
        <v>74</v>
      </c>
      <c r="AH587" s="1" t="s">
        <v>74</v>
      </c>
      <c r="AI587" s="1" t="s">
        <v>74</v>
      </c>
      <c r="AJ587" s="1" t="s">
        <v>74</v>
      </c>
      <c r="AK587" s="1" t="s">
        <v>74</v>
      </c>
      <c r="AL587" s="1" t="s">
        <v>74</v>
      </c>
      <c r="AM587" s="1" t="s">
        <v>74</v>
      </c>
      <c r="AN587" s="1" t="s">
        <v>74</v>
      </c>
      <c r="AO587" s="1" t="s">
        <v>5688</v>
      </c>
      <c r="AP587" s="1" t="s">
        <v>74</v>
      </c>
      <c r="AQ587" s="1" t="s">
        <v>74</v>
      </c>
      <c r="AR587" s="1" t="s">
        <v>74</v>
      </c>
      <c r="AS587" s="1" t="s">
        <v>74</v>
      </c>
      <c r="AT587" s="1" t="s">
        <v>211</v>
      </c>
      <c r="AU587" s="1">
        <v>1995.0</v>
      </c>
      <c r="AV587" s="1">
        <v>35.0</v>
      </c>
      <c r="AW587" s="1">
        <v>4.0</v>
      </c>
      <c r="AX587" s="1" t="s">
        <v>74</v>
      </c>
      <c r="AY587" s="1" t="s">
        <v>74</v>
      </c>
      <c r="AZ587" s="1" t="s">
        <v>74</v>
      </c>
      <c r="BA587" s="1" t="s">
        <v>74</v>
      </c>
      <c r="BB587" s="1">
        <v>752.0</v>
      </c>
      <c r="BC587" s="1">
        <v>758.0</v>
      </c>
      <c r="BD587" s="1" t="s">
        <v>74</v>
      </c>
      <c r="BE587" s="1" t="s">
        <v>5689</v>
      </c>
      <c r="BF587" s="2" t="str">
        <f>HYPERLINK("http://dx.doi.org/10.1021/ci00026a013","http://dx.doi.org/10.1021/ci00026a013")</f>
        <v>http://dx.doi.org/10.1021/ci00026a013</v>
      </c>
      <c r="BG587" s="1" t="s">
        <v>74</v>
      </c>
      <c r="BH587" s="1" t="s">
        <v>74</v>
      </c>
      <c r="BI587" s="1" t="s">
        <v>74</v>
      </c>
      <c r="BJ587" s="1" t="s">
        <v>74</v>
      </c>
      <c r="BK587" s="1" t="s">
        <v>74</v>
      </c>
      <c r="BL587" s="1" t="s">
        <v>74</v>
      </c>
      <c r="BM587" s="1" t="s">
        <v>74</v>
      </c>
      <c r="BN587" s="1" t="s">
        <v>74</v>
      </c>
      <c r="BO587" s="1" t="s">
        <v>74</v>
      </c>
      <c r="BP587" s="1" t="s">
        <v>74</v>
      </c>
      <c r="BQ587" s="1" t="s">
        <v>74</v>
      </c>
      <c r="BR587" s="1" t="s">
        <v>74</v>
      </c>
      <c r="BS587" s="1" t="s">
        <v>5690</v>
      </c>
      <c r="BT587" s="1" t="str">
        <f>HYPERLINK("https%3A%2F%2Fwww.webofscience.com%2Fwos%2Fwoscc%2Ffull-record%2FWOS:A1995RL82500013","View Full Record in Web of Science")</f>
        <v>View Full Record in Web of Science</v>
      </c>
    </row>
    <row r="588" ht="12.75" customHeight="1">
      <c r="A588" s="1" t="s">
        <v>72</v>
      </c>
      <c r="B588" s="1" t="s">
        <v>5691</v>
      </c>
      <c r="C588" s="1" t="s">
        <v>74</v>
      </c>
      <c r="D588" s="1" t="s">
        <v>74</v>
      </c>
      <c r="E588" s="1" t="s">
        <v>74</v>
      </c>
      <c r="F588" s="1" t="s">
        <v>5691</v>
      </c>
      <c r="G588" s="1" t="s">
        <v>74</v>
      </c>
      <c r="H588" s="1" t="s">
        <v>74</v>
      </c>
      <c r="I588" s="1" t="s">
        <v>5692</v>
      </c>
      <c r="J588" s="1" t="s">
        <v>5693</v>
      </c>
      <c r="K588" s="1" t="s">
        <v>74</v>
      </c>
      <c r="L588" s="1" t="s">
        <v>74</v>
      </c>
      <c r="M588" s="1" t="s">
        <v>74</v>
      </c>
      <c r="N588" s="1" t="s">
        <v>74</v>
      </c>
      <c r="O588" s="1" t="s">
        <v>74</v>
      </c>
      <c r="P588" s="1" t="s">
        <v>74</v>
      </c>
      <c r="Q588" s="1" t="s">
        <v>74</v>
      </c>
      <c r="R588" s="1" t="s">
        <v>74</v>
      </c>
      <c r="S588" s="1" t="s">
        <v>74</v>
      </c>
      <c r="T588" s="1" t="s">
        <v>74</v>
      </c>
      <c r="U588" s="1" t="s">
        <v>74</v>
      </c>
      <c r="V588" s="1" t="s">
        <v>74</v>
      </c>
      <c r="W588" s="1" t="s">
        <v>74</v>
      </c>
      <c r="X588" s="1" t="s">
        <v>74</v>
      </c>
      <c r="Y588" s="1" t="s">
        <v>74</v>
      </c>
      <c r="Z588" s="1" t="s">
        <v>74</v>
      </c>
      <c r="AA588" s="1" t="s">
        <v>5694</v>
      </c>
      <c r="AB588" s="1" t="s">
        <v>74</v>
      </c>
      <c r="AC588" s="1" t="s">
        <v>74</v>
      </c>
      <c r="AD588" s="1" t="s">
        <v>74</v>
      </c>
      <c r="AE588" s="1" t="s">
        <v>74</v>
      </c>
      <c r="AF588" s="1" t="s">
        <v>74</v>
      </c>
      <c r="AG588" s="1" t="s">
        <v>74</v>
      </c>
      <c r="AH588" s="1" t="s">
        <v>74</v>
      </c>
      <c r="AI588" s="1" t="s">
        <v>74</v>
      </c>
      <c r="AJ588" s="1" t="s">
        <v>74</v>
      </c>
      <c r="AK588" s="1" t="s">
        <v>74</v>
      </c>
      <c r="AL588" s="1" t="s">
        <v>74</v>
      </c>
      <c r="AM588" s="1" t="s">
        <v>74</v>
      </c>
      <c r="AN588" s="1" t="s">
        <v>74</v>
      </c>
      <c r="AO588" s="1" t="s">
        <v>5695</v>
      </c>
      <c r="AP588" s="1" t="s">
        <v>74</v>
      </c>
      <c r="AQ588" s="1" t="s">
        <v>74</v>
      </c>
      <c r="AR588" s="1" t="s">
        <v>74</v>
      </c>
      <c r="AS588" s="1" t="s">
        <v>74</v>
      </c>
      <c r="AT588" s="1" t="s">
        <v>74</v>
      </c>
      <c r="AU588" s="1">
        <v>1994.0</v>
      </c>
      <c r="AV588" s="1">
        <v>8.0</v>
      </c>
      <c r="AW588" s="1">
        <v>3.0</v>
      </c>
      <c r="AX588" s="1" t="s">
        <v>74</v>
      </c>
      <c r="AY588" s="1" t="s">
        <v>74</v>
      </c>
      <c r="AZ588" s="1" t="s">
        <v>74</v>
      </c>
      <c r="BA588" s="1" t="s">
        <v>74</v>
      </c>
      <c r="BB588" s="1">
        <v>265.0</v>
      </c>
      <c r="BC588" s="1">
        <v>265.0</v>
      </c>
      <c r="BD588" s="1" t="s">
        <v>74</v>
      </c>
      <c r="BE588" s="1" t="s">
        <v>74</v>
      </c>
      <c r="BF588" s="1" t="s">
        <v>74</v>
      </c>
      <c r="BG588" s="1" t="s">
        <v>74</v>
      </c>
      <c r="BH588" s="1" t="s">
        <v>74</v>
      </c>
      <c r="BI588" s="1" t="s">
        <v>74</v>
      </c>
      <c r="BJ588" s="1" t="s">
        <v>74</v>
      </c>
      <c r="BK588" s="1" t="s">
        <v>74</v>
      </c>
      <c r="BL588" s="1" t="s">
        <v>74</v>
      </c>
      <c r="BM588" s="1" t="s">
        <v>74</v>
      </c>
      <c r="BN588" s="1" t="s">
        <v>74</v>
      </c>
      <c r="BO588" s="1" t="s">
        <v>74</v>
      </c>
      <c r="BP588" s="1" t="s">
        <v>74</v>
      </c>
      <c r="BQ588" s="1" t="s">
        <v>74</v>
      </c>
      <c r="BR588" s="1" t="s">
        <v>74</v>
      </c>
      <c r="BS588" s="1" t="s">
        <v>5696</v>
      </c>
      <c r="BT588" s="1" t="str">
        <f>HYPERLINK("https%3A%2F%2Fwww.webofscience.com%2Fwos%2Fwoscc%2Ffull-record%2FWOS:A1994QH05700060","View Full Record in Web of Science")</f>
        <v>View Full Record in Web of Science</v>
      </c>
    </row>
    <row r="589" ht="12.75" customHeight="1">
      <c r="A589" s="1" t="s">
        <v>72</v>
      </c>
      <c r="B589" s="1" t="s">
        <v>5697</v>
      </c>
      <c r="C589" s="1" t="s">
        <v>74</v>
      </c>
      <c r="D589" s="1" t="s">
        <v>74</v>
      </c>
      <c r="E589" s="1" t="s">
        <v>74</v>
      </c>
      <c r="F589" s="1" t="s">
        <v>5697</v>
      </c>
      <c r="G589" s="1" t="s">
        <v>74</v>
      </c>
      <c r="H589" s="1" t="s">
        <v>74</v>
      </c>
      <c r="I589" s="1" t="s">
        <v>5698</v>
      </c>
      <c r="J589" s="1" t="s">
        <v>5699</v>
      </c>
      <c r="K589" s="1" t="s">
        <v>74</v>
      </c>
      <c r="L589" s="1" t="s">
        <v>74</v>
      </c>
      <c r="M589" s="1" t="s">
        <v>74</v>
      </c>
      <c r="N589" s="1" t="s">
        <v>74</v>
      </c>
      <c r="O589" s="1" t="s">
        <v>74</v>
      </c>
      <c r="P589" s="1" t="s">
        <v>74</v>
      </c>
      <c r="Q589" s="1" t="s">
        <v>74</v>
      </c>
      <c r="R589" s="1" t="s">
        <v>74</v>
      </c>
      <c r="S589" s="1" t="s">
        <v>74</v>
      </c>
      <c r="T589" s="1" t="s">
        <v>74</v>
      </c>
      <c r="U589" s="1" t="s">
        <v>74</v>
      </c>
      <c r="V589" s="1" t="s">
        <v>5700</v>
      </c>
      <c r="W589" s="1" t="s">
        <v>74</v>
      </c>
      <c r="X589" s="1" t="s">
        <v>74</v>
      </c>
      <c r="Y589" s="1" t="s">
        <v>74</v>
      </c>
      <c r="Z589" s="1" t="s">
        <v>74</v>
      </c>
      <c r="AA589" s="1" t="s">
        <v>74</v>
      </c>
      <c r="AB589" s="1" t="s">
        <v>74</v>
      </c>
      <c r="AC589" s="1" t="s">
        <v>74</v>
      </c>
      <c r="AD589" s="1" t="s">
        <v>74</v>
      </c>
      <c r="AE589" s="1" t="s">
        <v>74</v>
      </c>
      <c r="AF589" s="1" t="s">
        <v>74</v>
      </c>
      <c r="AG589" s="1" t="s">
        <v>74</v>
      </c>
      <c r="AH589" s="1" t="s">
        <v>74</v>
      </c>
      <c r="AI589" s="1" t="s">
        <v>74</v>
      </c>
      <c r="AJ589" s="1" t="s">
        <v>74</v>
      </c>
      <c r="AK589" s="1" t="s">
        <v>74</v>
      </c>
      <c r="AL589" s="1" t="s">
        <v>74</v>
      </c>
      <c r="AM589" s="1" t="s">
        <v>74</v>
      </c>
      <c r="AN589" s="1" t="s">
        <v>74</v>
      </c>
      <c r="AO589" s="1" t="s">
        <v>5701</v>
      </c>
      <c r="AP589" s="1" t="s">
        <v>74</v>
      </c>
      <c r="AQ589" s="1" t="s">
        <v>74</v>
      </c>
      <c r="AR589" s="1" t="s">
        <v>74</v>
      </c>
      <c r="AS589" s="1" t="s">
        <v>74</v>
      </c>
      <c r="AT589" s="1" t="s">
        <v>379</v>
      </c>
      <c r="AU589" s="1">
        <v>1993.0</v>
      </c>
      <c r="AV589" s="1">
        <v>207.0</v>
      </c>
      <c r="AW589" s="1">
        <v>1.0</v>
      </c>
      <c r="AX589" s="1" t="s">
        <v>74</v>
      </c>
      <c r="AY589" s="1" t="s">
        <v>74</v>
      </c>
      <c r="AZ589" s="1" t="s">
        <v>74</v>
      </c>
      <c r="BA589" s="1" t="s">
        <v>74</v>
      </c>
      <c r="BB589" s="1">
        <v>47.0</v>
      </c>
      <c r="BC589" s="1">
        <v>53.0</v>
      </c>
      <c r="BD589" s="1" t="s">
        <v>74</v>
      </c>
      <c r="BE589" s="1" t="s">
        <v>5702</v>
      </c>
      <c r="BF589" s="2" t="str">
        <f>HYPERLINK("http://dx.doi.org/10.1007/BF00659129","http://dx.doi.org/10.1007/BF00659129")</f>
        <v>http://dx.doi.org/10.1007/BF00659129</v>
      </c>
      <c r="BG589" s="1" t="s">
        <v>74</v>
      </c>
      <c r="BH589" s="1" t="s">
        <v>74</v>
      </c>
      <c r="BI589" s="1" t="s">
        <v>74</v>
      </c>
      <c r="BJ589" s="1" t="s">
        <v>74</v>
      </c>
      <c r="BK589" s="1" t="s">
        <v>74</v>
      </c>
      <c r="BL589" s="1" t="s">
        <v>74</v>
      </c>
      <c r="BM589" s="1" t="s">
        <v>74</v>
      </c>
      <c r="BN589" s="1" t="s">
        <v>74</v>
      </c>
      <c r="BO589" s="1" t="s">
        <v>74</v>
      </c>
      <c r="BP589" s="1" t="s">
        <v>74</v>
      </c>
      <c r="BQ589" s="1" t="s">
        <v>74</v>
      </c>
      <c r="BR589" s="1" t="s">
        <v>74</v>
      </c>
      <c r="BS589" s="1" t="s">
        <v>5703</v>
      </c>
      <c r="BT589" s="1" t="str">
        <f>HYPERLINK("https%3A%2F%2Fwww.webofscience.com%2Fwos%2Fwoscc%2Ffull-record%2FWOS:A1993MH30800006","View Full Record in Web of Science")</f>
        <v>View Full Record in Web of Science</v>
      </c>
    </row>
    <row r="590" ht="12.75" customHeight="1">
      <c r="A590" s="1" t="s">
        <v>72</v>
      </c>
      <c r="B590" s="1" t="s">
        <v>5704</v>
      </c>
      <c r="C590" s="1" t="s">
        <v>74</v>
      </c>
      <c r="D590" s="1" t="s">
        <v>74</v>
      </c>
      <c r="E590" s="1" t="s">
        <v>74</v>
      </c>
      <c r="F590" s="1" t="s">
        <v>5704</v>
      </c>
      <c r="G590" s="1" t="s">
        <v>74</v>
      </c>
      <c r="H590" s="1" t="s">
        <v>74</v>
      </c>
      <c r="I590" s="1" t="s">
        <v>5705</v>
      </c>
      <c r="J590" s="1" t="s">
        <v>5706</v>
      </c>
      <c r="K590" s="1" t="s">
        <v>74</v>
      </c>
      <c r="L590" s="1" t="s">
        <v>74</v>
      </c>
      <c r="M590" s="1" t="s">
        <v>74</v>
      </c>
      <c r="N590" s="1" t="s">
        <v>74</v>
      </c>
      <c r="O590" s="1" t="s">
        <v>74</v>
      </c>
      <c r="P590" s="1" t="s">
        <v>74</v>
      </c>
      <c r="Q590" s="1" t="s">
        <v>74</v>
      </c>
      <c r="R590" s="1" t="s">
        <v>74</v>
      </c>
      <c r="S590" s="1" t="s">
        <v>74</v>
      </c>
      <c r="T590" s="1" t="s">
        <v>74</v>
      </c>
      <c r="U590" s="1" t="s">
        <v>74</v>
      </c>
      <c r="V590" s="1" t="s">
        <v>74</v>
      </c>
      <c r="W590" s="1" t="s">
        <v>74</v>
      </c>
      <c r="X590" s="1" t="s">
        <v>74</v>
      </c>
      <c r="Y590" s="1" t="s">
        <v>74</v>
      </c>
      <c r="Z590" s="1" t="s">
        <v>74</v>
      </c>
      <c r="AA590" s="1" t="s">
        <v>5707</v>
      </c>
      <c r="AB590" s="1" t="s">
        <v>5708</v>
      </c>
      <c r="AC590" s="1" t="s">
        <v>74</v>
      </c>
      <c r="AD590" s="1" t="s">
        <v>74</v>
      </c>
      <c r="AE590" s="1" t="s">
        <v>74</v>
      </c>
      <c r="AF590" s="1" t="s">
        <v>74</v>
      </c>
      <c r="AG590" s="1" t="s">
        <v>74</v>
      </c>
      <c r="AH590" s="1" t="s">
        <v>74</v>
      </c>
      <c r="AI590" s="1" t="s">
        <v>74</v>
      </c>
      <c r="AJ590" s="1" t="s">
        <v>74</v>
      </c>
      <c r="AK590" s="1" t="s">
        <v>74</v>
      </c>
      <c r="AL590" s="1" t="s">
        <v>74</v>
      </c>
      <c r="AM590" s="1" t="s">
        <v>74</v>
      </c>
      <c r="AN590" s="1" t="s">
        <v>74</v>
      </c>
      <c r="AO590" s="1" t="s">
        <v>5709</v>
      </c>
      <c r="AP590" s="1" t="s">
        <v>74</v>
      </c>
      <c r="AQ590" s="1" t="s">
        <v>74</v>
      </c>
      <c r="AR590" s="1" t="s">
        <v>74</v>
      </c>
      <c r="AS590" s="1" t="s">
        <v>74</v>
      </c>
      <c r="AT590" s="1" t="s">
        <v>5710</v>
      </c>
      <c r="AU590" s="1">
        <v>1990.0</v>
      </c>
      <c r="AV590" s="1">
        <v>23.0</v>
      </c>
      <c r="AW590" s="1">
        <v>9.0</v>
      </c>
      <c r="AX590" s="1" t="s">
        <v>74</v>
      </c>
      <c r="AY590" s="1" t="s">
        <v>74</v>
      </c>
      <c r="AZ590" s="1" t="s">
        <v>74</v>
      </c>
      <c r="BA590" s="1" t="s">
        <v>74</v>
      </c>
      <c r="BB590" s="1">
        <v>1513.0</v>
      </c>
      <c r="BC590" s="1">
        <v>1518.0</v>
      </c>
      <c r="BD590" s="1" t="s">
        <v>74</v>
      </c>
      <c r="BE590" s="1" t="s">
        <v>5711</v>
      </c>
      <c r="BF590" s="2" t="str">
        <f>HYPERLINK("http://dx.doi.org/10.1088/0305-4470/23/9/015","http://dx.doi.org/10.1088/0305-4470/23/9/015")</f>
        <v>http://dx.doi.org/10.1088/0305-4470/23/9/015</v>
      </c>
      <c r="BG590" s="1" t="s">
        <v>74</v>
      </c>
      <c r="BH590" s="1" t="s">
        <v>74</v>
      </c>
      <c r="BI590" s="1" t="s">
        <v>74</v>
      </c>
      <c r="BJ590" s="1" t="s">
        <v>74</v>
      </c>
      <c r="BK590" s="1" t="s">
        <v>74</v>
      </c>
      <c r="BL590" s="1" t="s">
        <v>74</v>
      </c>
      <c r="BM590" s="1" t="s">
        <v>74</v>
      </c>
      <c r="BN590" s="1" t="s">
        <v>74</v>
      </c>
      <c r="BO590" s="1" t="s">
        <v>74</v>
      </c>
      <c r="BP590" s="1" t="s">
        <v>74</v>
      </c>
      <c r="BQ590" s="1" t="s">
        <v>74</v>
      </c>
      <c r="BR590" s="1" t="s">
        <v>74</v>
      </c>
      <c r="BS590" s="1" t="s">
        <v>5712</v>
      </c>
      <c r="BT590" s="1" t="str">
        <f>HYPERLINK("https%3A%2F%2Fwww.webofscience.com%2Fwos%2Fwoscc%2Ffull-record%2FWOS:A1990DC51600015","View Full Record in Web of Science")</f>
        <v>View Full Record in Web of Science</v>
      </c>
    </row>
    <row r="591" ht="12.75" customHeight="1">
      <c r="A591" s="1" t="s">
        <v>72</v>
      </c>
      <c r="B591" s="1" t="s">
        <v>5713</v>
      </c>
      <c r="C591" s="1" t="s">
        <v>74</v>
      </c>
      <c r="D591" s="1" t="s">
        <v>74</v>
      </c>
      <c r="E591" s="1" t="s">
        <v>74</v>
      </c>
      <c r="F591" s="1" t="s">
        <v>5713</v>
      </c>
      <c r="G591" s="1" t="s">
        <v>74</v>
      </c>
      <c r="H591" s="1" t="s">
        <v>74</v>
      </c>
      <c r="I591" s="1" t="s">
        <v>5714</v>
      </c>
      <c r="J591" s="1" t="s">
        <v>5715</v>
      </c>
      <c r="K591" s="1" t="s">
        <v>74</v>
      </c>
      <c r="L591" s="1" t="s">
        <v>74</v>
      </c>
      <c r="M591" s="1" t="s">
        <v>74</v>
      </c>
      <c r="N591" s="1" t="s">
        <v>74</v>
      </c>
      <c r="O591" s="1" t="s">
        <v>74</v>
      </c>
      <c r="P591" s="1" t="s">
        <v>74</v>
      </c>
      <c r="Q591" s="1" t="s">
        <v>74</v>
      </c>
      <c r="R591" s="1" t="s">
        <v>74</v>
      </c>
      <c r="S591" s="1" t="s">
        <v>74</v>
      </c>
      <c r="T591" s="1" t="s">
        <v>74</v>
      </c>
      <c r="U591" s="1" t="s">
        <v>74</v>
      </c>
      <c r="V591" s="1" t="s">
        <v>74</v>
      </c>
      <c r="W591" s="1" t="s">
        <v>74</v>
      </c>
      <c r="X591" s="1" t="s">
        <v>74</v>
      </c>
      <c r="Y591" s="1" t="s">
        <v>74</v>
      </c>
      <c r="Z591" s="1" t="s">
        <v>74</v>
      </c>
      <c r="AA591" s="1" t="s">
        <v>74</v>
      </c>
      <c r="AB591" s="1" t="s">
        <v>74</v>
      </c>
      <c r="AC591" s="1" t="s">
        <v>74</v>
      </c>
      <c r="AD591" s="1" t="s">
        <v>74</v>
      </c>
      <c r="AE591" s="1" t="s">
        <v>74</v>
      </c>
      <c r="AF591" s="1" t="s">
        <v>74</v>
      </c>
      <c r="AG591" s="1" t="s">
        <v>74</v>
      </c>
      <c r="AH591" s="1" t="s">
        <v>74</v>
      </c>
      <c r="AI591" s="1" t="s">
        <v>74</v>
      </c>
      <c r="AJ591" s="1" t="s">
        <v>74</v>
      </c>
      <c r="AK591" s="1" t="s">
        <v>74</v>
      </c>
      <c r="AL591" s="1" t="s">
        <v>74</v>
      </c>
      <c r="AM591" s="1" t="s">
        <v>74</v>
      </c>
      <c r="AN591" s="1" t="s">
        <v>74</v>
      </c>
      <c r="AO591" s="1" t="s">
        <v>5716</v>
      </c>
      <c r="AP591" s="1" t="s">
        <v>74</v>
      </c>
      <c r="AQ591" s="1" t="s">
        <v>74</v>
      </c>
      <c r="AR591" s="1" t="s">
        <v>74</v>
      </c>
      <c r="AS591" s="1" t="s">
        <v>74</v>
      </c>
      <c r="AT591" s="1" t="s">
        <v>74</v>
      </c>
      <c r="AU591" s="1">
        <v>1985.0</v>
      </c>
      <c r="AV591" s="1" t="s">
        <v>74</v>
      </c>
      <c r="AW591" s="1">
        <v>10.0</v>
      </c>
      <c r="AX591" s="1" t="s">
        <v>74</v>
      </c>
      <c r="AY591" s="1" t="s">
        <v>74</v>
      </c>
      <c r="AZ591" s="1" t="s">
        <v>74</v>
      </c>
      <c r="BA591" s="1" t="s">
        <v>74</v>
      </c>
      <c r="BB591" s="1">
        <v>975.0</v>
      </c>
      <c r="BC591" s="1">
        <v>977.0</v>
      </c>
      <c r="BD591" s="1" t="s">
        <v>74</v>
      </c>
      <c r="BE591" s="1" t="s">
        <v>74</v>
      </c>
      <c r="BF591" s="1" t="s">
        <v>74</v>
      </c>
      <c r="BG591" s="1" t="s">
        <v>74</v>
      </c>
      <c r="BH591" s="1" t="s">
        <v>74</v>
      </c>
      <c r="BI591" s="1" t="s">
        <v>74</v>
      </c>
      <c r="BJ591" s="1" t="s">
        <v>74</v>
      </c>
      <c r="BK591" s="1" t="s">
        <v>74</v>
      </c>
      <c r="BL591" s="1" t="s">
        <v>74</v>
      </c>
      <c r="BM591" s="1" t="s">
        <v>74</v>
      </c>
      <c r="BN591" s="1" t="s">
        <v>74</v>
      </c>
      <c r="BO591" s="1" t="s">
        <v>74</v>
      </c>
      <c r="BP591" s="1" t="s">
        <v>74</v>
      </c>
      <c r="BQ591" s="1" t="s">
        <v>74</v>
      </c>
      <c r="BR591" s="1" t="s">
        <v>74</v>
      </c>
      <c r="BS591" s="1" t="s">
        <v>5717</v>
      </c>
      <c r="BT591" s="1" t="str">
        <f>HYPERLINK("https%3A%2F%2Fwww.webofscience.com%2Fwos%2Fwoscc%2Ffull-record%2FWOS:A1985AUA6100030","View Full Record in Web of Science")</f>
        <v>View Full Record in Web of Science</v>
      </c>
    </row>
    <row r="592" ht="12.75" customHeight="1">
      <c r="A592" s="1" t="s">
        <v>72</v>
      </c>
      <c r="B592" s="1" t="s">
        <v>5718</v>
      </c>
      <c r="C592" s="1" t="s">
        <v>74</v>
      </c>
      <c r="D592" s="1" t="s">
        <v>74</v>
      </c>
      <c r="E592" s="1" t="s">
        <v>74</v>
      </c>
      <c r="F592" s="1" t="s">
        <v>5718</v>
      </c>
      <c r="G592" s="1" t="s">
        <v>74</v>
      </c>
      <c r="H592" s="1" t="s">
        <v>74</v>
      </c>
      <c r="I592" s="1" t="s">
        <v>5719</v>
      </c>
      <c r="J592" s="1" t="s">
        <v>1266</v>
      </c>
      <c r="K592" s="1" t="s">
        <v>74</v>
      </c>
      <c r="L592" s="1" t="s">
        <v>74</v>
      </c>
      <c r="M592" s="1" t="s">
        <v>74</v>
      </c>
      <c r="N592" s="1" t="s">
        <v>74</v>
      </c>
      <c r="O592" s="1" t="s">
        <v>74</v>
      </c>
      <c r="P592" s="1" t="s">
        <v>74</v>
      </c>
      <c r="Q592" s="1" t="s">
        <v>74</v>
      </c>
      <c r="R592" s="1" t="s">
        <v>74</v>
      </c>
      <c r="S592" s="1" t="s">
        <v>74</v>
      </c>
      <c r="T592" s="1" t="s">
        <v>74</v>
      </c>
      <c r="U592" s="1" t="s">
        <v>74</v>
      </c>
      <c r="V592" s="1" t="s">
        <v>74</v>
      </c>
      <c r="W592" s="1" t="s">
        <v>74</v>
      </c>
      <c r="X592" s="1" t="s">
        <v>74</v>
      </c>
      <c r="Y592" s="1" t="s">
        <v>74</v>
      </c>
      <c r="Z592" s="1" t="s">
        <v>74</v>
      </c>
      <c r="AA592" s="1" t="s">
        <v>74</v>
      </c>
      <c r="AB592" s="1" t="s">
        <v>74</v>
      </c>
      <c r="AC592" s="1" t="s">
        <v>74</v>
      </c>
      <c r="AD592" s="1" t="s">
        <v>74</v>
      </c>
      <c r="AE592" s="1" t="s">
        <v>74</v>
      </c>
      <c r="AF592" s="1" t="s">
        <v>74</v>
      </c>
      <c r="AG592" s="1" t="s">
        <v>74</v>
      </c>
      <c r="AH592" s="1" t="s">
        <v>74</v>
      </c>
      <c r="AI592" s="1" t="s">
        <v>74</v>
      </c>
      <c r="AJ592" s="1" t="s">
        <v>74</v>
      </c>
      <c r="AK592" s="1" t="s">
        <v>74</v>
      </c>
      <c r="AL592" s="1" t="s">
        <v>74</v>
      </c>
      <c r="AM592" s="1" t="s">
        <v>74</v>
      </c>
      <c r="AN592" s="1" t="s">
        <v>74</v>
      </c>
      <c r="AO592" s="1" t="s">
        <v>1268</v>
      </c>
      <c r="AP592" s="1" t="s">
        <v>74</v>
      </c>
      <c r="AQ592" s="1" t="s">
        <v>74</v>
      </c>
      <c r="AR592" s="1" t="s">
        <v>74</v>
      </c>
      <c r="AS592" s="1" t="s">
        <v>74</v>
      </c>
      <c r="AT592" s="1" t="s">
        <v>74</v>
      </c>
      <c r="AU592" s="1">
        <v>1980.0</v>
      </c>
      <c r="AV592" s="1">
        <v>16.0</v>
      </c>
      <c r="AW592" s="1">
        <v>8.0</v>
      </c>
      <c r="AX592" s="1" t="s">
        <v>74</v>
      </c>
      <c r="AY592" s="1" t="s">
        <v>74</v>
      </c>
      <c r="AZ592" s="1" t="s">
        <v>74</v>
      </c>
      <c r="BA592" s="1" t="s">
        <v>74</v>
      </c>
      <c r="BB592" s="1">
        <v>793.0</v>
      </c>
      <c r="BC592" s="1">
        <v>797.0</v>
      </c>
      <c r="BD592" s="1" t="s">
        <v>74</v>
      </c>
      <c r="BE592" s="1" t="s">
        <v>5720</v>
      </c>
      <c r="BF592" s="2" t="str">
        <f>HYPERLINK("http://dx.doi.org/10.1016/0014-3057(80)90051-8","http://dx.doi.org/10.1016/0014-3057(80)90051-8")</f>
        <v>http://dx.doi.org/10.1016/0014-3057(80)90051-8</v>
      </c>
      <c r="BG592" s="1" t="s">
        <v>74</v>
      </c>
      <c r="BH592" s="1" t="s">
        <v>74</v>
      </c>
      <c r="BI592" s="1" t="s">
        <v>74</v>
      </c>
      <c r="BJ592" s="1" t="s">
        <v>74</v>
      </c>
      <c r="BK592" s="1" t="s">
        <v>74</v>
      </c>
      <c r="BL592" s="1" t="s">
        <v>74</v>
      </c>
      <c r="BM592" s="1" t="s">
        <v>74</v>
      </c>
      <c r="BN592" s="1" t="s">
        <v>74</v>
      </c>
      <c r="BO592" s="1" t="s">
        <v>74</v>
      </c>
      <c r="BP592" s="1" t="s">
        <v>74</v>
      </c>
      <c r="BQ592" s="1" t="s">
        <v>74</v>
      </c>
      <c r="BR592" s="1" t="s">
        <v>74</v>
      </c>
      <c r="BS592" s="1" t="s">
        <v>5721</v>
      </c>
      <c r="BT592" s="1" t="str">
        <f>HYPERLINK("https%3A%2F%2Fwww.webofscience.com%2Fwos%2Fwoscc%2Ffull-record%2FWOS:A1980KF47500020","View Full Record in Web of Science")</f>
        <v>View Full Record in Web of Science</v>
      </c>
    </row>
    <row r="593" ht="12.75" customHeight="1">
      <c r="A593" s="1" t="s">
        <v>72</v>
      </c>
      <c r="B593" s="1" t="s">
        <v>5722</v>
      </c>
      <c r="C593" s="1" t="s">
        <v>74</v>
      </c>
      <c r="D593" s="1" t="s">
        <v>74</v>
      </c>
      <c r="E593" s="1" t="s">
        <v>74</v>
      </c>
      <c r="F593" s="1" t="s">
        <v>5722</v>
      </c>
      <c r="G593" s="1" t="s">
        <v>74</v>
      </c>
      <c r="H593" s="1" t="s">
        <v>74</v>
      </c>
      <c r="I593" s="1" t="s">
        <v>5723</v>
      </c>
      <c r="J593" s="1" t="s">
        <v>5724</v>
      </c>
      <c r="K593" s="1" t="s">
        <v>74</v>
      </c>
      <c r="L593" s="1" t="s">
        <v>74</v>
      </c>
      <c r="M593" s="1" t="s">
        <v>74</v>
      </c>
      <c r="N593" s="1" t="s">
        <v>74</v>
      </c>
      <c r="O593" s="1" t="s">
        <v>74</v>
      </c>
      <c r="P593" s="1" t="s">
        <v>74</v>
      </c>
      <c r="Q593" s="1" t="s">
        <v>74</v>
      </c>
      <c r="R593" s="1" t="s">
        <v>74</v>
      </c>
      <c r="S593" s="1" t="s">
        <v>74</v>
      </c>
      <c r="T593" s="1" t="s">
        <v>74</v>
      </c>
      <c r="U593" s="1" t="s">
        <v>74</v>
      </c>
      <c r="V593" s="1" t="s">
        <v>74</v>
      </c>
      <c r="W593" s="1" t="s">
        <v>74</v>
      </c>
      <c r="X593" s="1" t="s">
        <v>74</v>
      </c>
      <c r="Y593" s="1" t="s">
        <v>74</v>
      </c>
      <c r="Z593" s="1" t="s">
        <v>74</v>
      </c>
      <c r="AA593" s="1" t="s">
        <v>74</v>
      </c>
      <c r="AB593" s="1" t="s">
        <v>74</v>
      </c>
      <c r="AC593" s="1" t="s">
        <v>74</v>
      </c>
      <c r="AD593" s="1" t="s">
        <v>74</v>
      </c>
      <c r="AE593" s="1" t="s">
        <v>74</v>
      </c>
      <c r="AF593" s="1" t="s">
        <v>74</v>
      </c>
      <c r="AG593" s="1" t="s">
        <v>74</v>
      </c>
      <c r="AH593" s="1" t="s">
        <v>74</v>
      </c>
      <c r="AI593" s="1" t="s">
        <v>74</v>
      </c>
      <c r="AJ593" s="1" t="s">
        <v>74</v>
      </c>
      <c r="AK593" s="1" t="s">
        <v>74</v>
      </c>
      <c r="AL593" s="1" t="s">
        <v>74</v>
      </c>
      <c r="AM593" s="1" t="s">
        <v>74</v>
      </c>
      <c r="AN593" s="1" t="s">
        <v>74</v>
      </c>
      <c r="AO593" s="1" t="s">
        <v>5725</v>
      </c>
      <c r="AP593" s="1" t="s">
        <v>74</v>
      </c>
      <c r="AQ593" s="1" t="s">
        <v>74</v>
      </c>
      <c r="AR593" s="1" t="s">
        <v>74</v>
      </c>
      <c r="AS593" s="1" t="s">
        <v>74</v>
      </c>
      <c r="AT593" s="1" t="s">
        <v>74</v>
      </c>
      <c r="AU593" s="1">
        <v>1978.0</v>
      </c>
      <c r="AV593" s="1">
        <v>10.0</v>
      </c>
      <c r="AW593" s="1">
        <v>11.0</v>
      </c>
      <c r="AX593" s="1" t="s">
        <v>74</v>
      </c>
      <c r="AY593" s="1" t="s">
        <v>74</v>
      </c>
      <c r="AZ593" s="1" t="s">
        <v>74</v>
      </c>
      <c r="BA593" s="1" t="s">
        <v>74</v>
      </c>
      <c r="BB593" s="1">
        <v>1167.0</v>
      </c>
      <c r="BC593" s="1">
        <v>1182.0</v>
      </c>
      <c r="BD593" s="1" t="s">
        <v>74</v>
      </c>
      <c r="BE593" s="1" t="s">
        <v>5726</v>
      </c>
      <c r="BF593" s="2" t="str">
        <f>HYPERLINK("http://dx.doi.org/10.1002/kin.550101107","http://dx.doi.org/10.1002/kin.550101107")</f>
        <v>http://dx.doi.org/10.1002/kin.550101107</v>
      </c>
      <c r="BG593" s="1" t="s">
        <v>74</v>
      </c>
      <c r="BH593" s="1" t="s">
        <v>74</v>
      </c>
      <c r="BI593" s="1" t="s">
        <v>74</v>
      </c>
      <c r="BJ593" s="1" t="s">
        <v>74</v>
      </c>
      <c r="BK593" s="1" t="s">
        <v>74</v>
      </c>
      <c r="BL593" s="1" t="s">
        <v>74</v>
      </c>
      <c r="BM593" s="1" t="s">
        <v>74</v>
      </c>
      <c r="BN593" s="1" t="s">
        <v>74</v>
      </c>
      <c r="BO593" s="1" t="s">
        <v>74</v>
      </c>
      <c r="BP593" s="1" t="s">
        <v>74</v>
      </c>
      <c r="BQ593" s="1" t="s">
        <v>74</v>
      </c>
      <c r="BR593" s="1" t="s">
        <v>74</v>
      </c>
      <c r="BS593" s="1" t="s">
        <v>5727</v>
      </c>
      <c r="BT593" s="1" t="str">
        <f>HYPERLINK("https%3A%2F%2Fwww.webofscience.com%2Fwos%2Fwoscc%2Ffull-record%2FWOS:A1978FW62500006","View Full Record in Web of Science")</f>
        <v>View Full Record in Web of Science</v>
      </c>
    </row>
    <row r="594" ht="12.75" customHeight="1">
      <c r="A594" s="1" t="s">
        <v>72</v>
      </c>
      <c r="B594" s="1" t="s">
        <v>5728</v>
      </c>
      <c r="C594" s="1" t="s">
        <v>74</v>
      </c>
      <c r="D594" s="1" t="s">
        <v>74</v>
      </c>
      <c r="E594" s="1" t="s">
        <v>74</v>
      </c>
      <c r="F594" s="1" t="s">
        <v>5728</v>
      </c>
      <c r="G594" s="1" t="s">
        <v>74</v>
      </c>
      <c r="H594" s="1" t="s">
        <v>74</v>
      </c>
      <c r="I594" s="1" t="s">
        <v>5729</v>
      </c>
      <c r="J594" s="1" t="s">
        <v>5730</v>
      </c>
      <c r="K594" s="1" t="s">
        <v>74</v>
      </c>
      <c r="L594" s="1" t="s">
        <v>74</v>
      </c>
      <c r="M594" s="1" t="s">
        <v>74</v>
      </c>
      <c r="N594" s="1" t="s">
        <v>74</v>
      </c>
      <c r="O594" s="1" t="s">
        <v>74</v>
      </c>
      <c r="P594" s="1" t="s">
        <v>74</v>
      </c>
      <c r="Q594" s="1" t="s">
        <v>74</v>
      </c>
      <c r="R594" s="1" t="s">
        <v>74</v>
      </c>
      <c r="S594" s="1" t="s">
        <v>74</v>
      </c>
      <c r="T594" s="1" t="s">
        <v>74</v>
      </c>
      <c r="U594" s="1" t="s">
        <v>74</v>
      </c>
      <c r="V594" s="1" t="s">
        <v>74</v>
      </c>
      <c r="W594" s="1" t="s">
        <v>74</v>
      </c>
      <c r="X594" s="1" t="s">
        <v>74</v>
      </c>
      <c r="Y594" s="1" t="s">
        <v>74</v>
      </c>
      <c r="Z594" s="1" t="s">
        <v>74</v>
      </c>
      <c r="AA594" s="1" t="s">
        <v>402</v>
      </c>
      <c r="AB594" s="1" t="s">
        <v>403</v>
      </c>
      <c r="AC594" s="1" t="s">
        <v>74</v>
      </c>
      <c r="AD594" s="1" t="s">
        <v>74</v>
      </c>
      <c r="AE594" s="1" t="s">
        <v>74</v>
      </c>
      <c r="AF594" s="1" t="s">
        <v>74</v>
      </c>
      <c r="AG594" s="1" t="s">
        <v>74</v>
      </c>
      <c r="AH594" s="1" t="s">
        <v>74</v>
      </c>
      <c r="AI594" s="1" t="s">
        <v>74</v>
      </c>
      <c r="AJ594" s="1" t="s">
        <v>74</v>
      </c>
      <c r="AK594" s="1" t="s">
        <v>74</v>
      </c>
      <c r="AL594" s="1" t="s">
        <v>74</v>
      </c>
      <c r="AM594" s="1" t="s">
        <v>74</v>
      </c>
      <c r="AN594" s="1" t="s">
        <v>74</v>
      </c>
      <c r="AO594" s="1" t="s">
        <v>5731</v>
      </c>
      <c r="AP594" s="1" t="s">
        <v>74</v>
      </c>
      <c r="AQ594" s="1" t="s">
        <v>74</v>
      </c>
      <c r="AR594" s="1" t="s">
        <v>74</v>
      </c>
      <c r="AS594" s="1" t="s">
        <v>74</v>
      </c>
      <c r="AT594" s="1" t="s">
        <v>74</v>
      </c>
      <c r="AU594" s="1">
        <v>1978.0</v>
      </c>
      <c r="AV594" s="1">
        <v>9.0</v>
      </c>
      <c r="AW594" s="1">
        <v>1.0</v>
      </c>
      <c r="AX594" s="1" t="s">
        <v>74</v>
      </c>
      <c r="AY594" s="1" t="s">
        <v>74</v>
      </c>
      <c r="AZ594" s="1" t="s">
        <v>74</v>
      </c>
      <c r="BA594" s="1" t="s">
        <v>74</v>
      </c>
      <c r="BB594" s="1">
        <v>69.0</v>
      </c>
      <c r="BC594" s="1">
        <v>72.0</v>
      </c>
      <c r="BD594" s="1" t="s">
        <v>74</v>
      </c>
      <c r="BE594" s="1" t="s">
        <v>5732</v>
      </c>
      <c r="BF594" s="2" t="str">
        <f>HYPERLINK("http://dx.doi.org/10.1016/0047-2670(78)87007-5","http://dx.doi.org/10.1016/0047-2670(78)87007-5")</f>
        <v>http://dx.doi.org/10.1016/0047-2670(78)87007-5</v>
      </c>
      <c r="BG594" s="1" t="s">
        <v>74</v>
      </c>
      <c r="BH594" s="1" t="s">
        <v>74</v>
      </c>
      <c r="BI594" s="1" t="s">
        <v>74</v>
      </c>
      <c r="BJ594" s="1" t="s">
        <v>74</v>
      </c>
      <c r="BK594" s="1" t="s">
        <v>74</v>
      </c>
      <c r="BL594" s="1" t="s">
        <v>74</v>
      </c>
      <c r="BM594" s="1" t="s">
        <v>74</v>
      </c>
      <c r="BN594" s="1" t="s">
        <v>74</v>
      </c>
      <c r="BO594" s="1" t="s">
        <v>74</v>
      </c>
      <c r="BP594" s="1" t="s">
        <v>74</v>
      </c>
      <c r="BQ594" s="1" t="s">
        <v>74</v>
      </c>
      <c r="BR594" s="1" t="s">
        <v>74</v>
      </c>
      <c r="BS594" s="1" t="s">
        <v>5733</v>
      </c>
      <c r="BT594" s="1" t="str">
        <f>HYPERLINK("https%3A%2F%2Fwww.webofscience.com%2Fwos%2Fwoscc%2Ffull-record%2FWOS:A1978FF46200007","View Full Record in Web of Science")</f>
        <v>View Full Record in Web of Science</v>
      </c>
    </row>
    <row r="595" ht="12.75" customHeight="1">
      <c r="A595" s="1" t="s">
        <v>72</v>
      </c>
      <c r="B595" s="1" t="s">
        <v>5734</v>
      </c>
      <c r="C595" s="1" t="s">
        <v>74</v>
      </c>
      <c r="D595" s="1" t="s">
        <v>74</v>
      </c>
      <c r="E595" s="1" t="s">
        <v>74</v>
      </c>
      <c r="F595" s="1" t="s">
        <v>5735</v>
      </c>
      <c r="G595" s="1" t="s">
        <v>74</v>
      </c>
      <c r="H595" s="1" t="s">
        <v>74</v>
      </c>
      <c r="I595" s="1" t="s">
        <v>5736</v>
      </c>
      <c r="J595" s="1" t="s">
        <v>5737</v>
      </c>
      <c r="K595" s="1" t="s">
        <v>74</v>
      </c>
      <c r="L595" s="1" t="s">
        <v>74</v>
      </c>
      <c r="M595" s="1" t="s">
        <v>74</v>
      </c>
      <c r="N595" s="1" t="s">
        <v>74</v>
      </c>
      <c r="O595" s="1" t="s">
        <v>74</v>
      </c>
      <c r="P595" s="1" t="s">
        <v>74</v>
      </c>
      <c r="Q595" s="1" t="s">
        <v>74</v>
      </c>
      <c r="R595" s="1" t="s">
        <v>74</v>
      </c>
      <c r="S595" s="1" t="s">
        <v>74</v>
      </c>
      <c r="T595" s="1" t="s">
        <v>74</v>
      </c>
      <c r="U595" s="1" t="s">
        <v>74</v>
      </c>
      <c r="V595" s="1" t="s">
        <v>5738</v>
      </c>
      <c r="W595" s="1" t="s">
        <v>74</v>
      </c>
      <c r="X595" s="1" t="s">
        <v>74</v>
      </c>
      <c r="Y595" s="1" t="s">
        <v>74</v>
      </c>
      <c r="Z595" s="1" t="s">
        <v>74</v>
      </c>
      <c r="AA595" s="1" t="s">
        <v>5739</v>
      </c>
      <c r="AB595" s="1" t="s">
        <v>5740</v>
      </c>
      <c r="AC595" s="1" t="s">
        <v>74</v>
      </c>
      <c r="AD595" s="1" t="s">
        <v>74</v>
      </c>
      <c r="AE595" s="1" t="s">
        <v>74</v>
      </c>
      <c r="AF595" s="1" t="s">
        <v>74</v>
      </c>
      <c r="AG595" s="1" t="s">
        <v>74</v>
      </c>
      <c r="AH595" s="1" t="s">
        <v>74</v>
      </c>
      <c r="AI595" s="1" t="s">
        <v>74</v>
      </c>
      <c r="AJ595" s="1" t="s">
        <v>74</v>
      </c>
      <c r="AK595" s="1" t="s">
        <v>74</v>
      </c>
      <c r="AL595" s="1" t="s">
        <v>74</v>
      </c>
      <c r="AM595" s="1" t="s">
        <v>74</v>
      </c>
      <c r="AN595" s="1" t="s">
        <v>74</v>
      </c>
      <c r="AO595" s="1" t="s">
        <v>5741</v>
      </c>
      <c r="AP595" s="1" t="s">
        <v>5742</v>
      </c>
      <c r="AQ595" s="1" t="s">
        <v>74</v>
      </c>
      <c r="AR595" s="1" t="s">
        <v>74</v>
      </c>
      <c r="AS595" s="1" t="s">
        <v>74</v>
      </c>
      <c r="AT595" s="1" t="s">
        <v>1666</v>
      </c>
      <c r="AU595" s="1">
        <v>2025.0</v>
      </c>
      <c r="AV595" s="1">
        <v>75.0</v>
      </c>
      <c r="AW595" s="1">
        <v>6.0</v>
      </c>
      <c r="AX595" s="1" t="s">
        <v>74</v>
      </c>
      <c r="AY595" s="1" t="s">
        <v>74</v>
      </c>
      <c r="AZ595" s="1" t="s">
        <v>74</v>
      </c>
      <c r="BA595" s="1" t="s">
        <v>74</v>
      </c>
      <c r="BB595" s="1">
        <v>4740.0</v>
      </c>
      <c r="BC595" s="1">
        <v>4755.0</v>
      </c>
      <c r="BD595" s="1" t="s">
        <v>74</v>
      </c>
      <c r="BE595" s="1" t="s">
        <v>5743</v>
      </c>
      <c r="BF595" s="2" t="str">
        <f>HYPERLINK("http://dx.doi.org/10.1016/j.asr.2024.12.047","http://dx.doi.org/10.1016/j.asr.2024.12.047")</f>
        <v>http://dx.doi.org/10.1016/j.asr.2024.12.047</v>
      </c>
      <c r="BG595" s="1" t="s">
        <v>74</v>
      </c>
      <c r="BH595" s="1" t="s">
        <v>2086</v>
      </c>
      <c r="BI595" s="1" t="s">
        <v>74</v>
      </c>
      <c r="BJ595" s="1" t="s">
        <v>74</v>
      </c>
      <c r="BK595" s="1" t="s">
        <v>74</v>
      </c>
      <c r="BL595" s="1" t="s">
        <v>74</v>
      </c>
      <c r="BM595" s="1" t="s">
        <v>74</v>
      </c>
      <c r="BN595" s="1" t="s">
        <v>74</v>
      </c>
      <c r="BO595" s="1" t="s">
        <v>74</v>
      </c>
      <c r="BP595" s="1" t="s">
        <v>74</v>
      </c>
      <c r="BQ595" s="1" t="s">
        <v>74</v>
      </c>
      <c r="BR595" s="1" t="s">
        <v>74</v>
      </c>
      <c r="BS595" s="1" t="s">
        <v>5744</v>
      </c>
      <c r="BT595" s="1" t="str">
        <f>HYPERLINK("https%3A%2F%2Fwww.webofscience.com%2Fwos%2Fwoscc%2Ffull-record%2FWOS:001440261900001","View Full Record in Web of Science")</f>
        <v>View Full Record in Web of Science</v>
      </c>
    </row>
    <row r="596" ht="12.75" customHeight="1">
      <c r="A596" s="1" t="s">
        <v>72</v>
      </c>
      <c r="B596" s="1" t="s">
        <v>5745</v>
      </c>
      <c r="C596" s="1" t="s">
        <v>74</v>
      </c>
      <c r="D596" s="1" t="s">
        <v>74</v>
      </c>
      <c r="E596" s="1" t="s">
        <v>74</v>
      </c>
      <c r="F596" s="1" t="s">
        <v>5746</v>
      </c>
      <c r="G596" s="1" t="s">
        <v>74</v>
      </c>
      <c r="H596" s="1" t="s">
        <v>74</v>
      </c>
      <c r="I596" s="1" t="s">
        <v>5747</v>
      </c>
      <c r="J596" s="1" t="s">
        <v>2244</v>
      </c>
      <c r="K596" s="1" t="s">
        <v>74</v>
      </c>
      <c r="L596" s="1" t="s">
        <v>74</v>
      </c>
      <c r="M596" s="1" t="s">
        <v>74</v>
      </c>
      <c r="N596" s="1" t="s">
        <v>74</v>
      </c>
      <c r="O596" s="1" t="s">
        <v>74</v>
      </c>
      <c r="P596" s="1" t="s">
        <v>74</v>
      </c>
      <c r="Q596" s="1" t="s">
        <v>74</v>
      </c>
      <c r="R596" s="1" t="s">
        <v>74</v>
      </c>
      <c r="S596" s="1" t="s">
        <v>74</v>
      </c>
      <c r="T596" s="1" t="s">
        <v>74</v>
      </c>
      <c r="U596" s="1" t="s">
        <v>74</v>
      </c>
      <c r="V596" s="1" t="s">
        <v>5748</v>
      </c>
      <c r="W596" s="1" t="s">
        <v>74</v>
      </c>
      <c r="X596" s="1" t="s">
        <v>74</v>
      </c>
      <c r="Y596" s="1" t="s">
        <v>74</v>
      </c>
      <c r="Z596" s="1" t="s">
        <v>74</v>
      </c>
      <c r="AA596" s="1" t="s">
        <v>74</v>
      </c>
      <c r="AB596" s="1" t="s">
        <v>74</v>
      </c>
      <c r="AC596" s="1" t="s">
        <v>74</v>
      </c>
      <c r="AD596" s="1" t="s">
        <v>74</v>
      </c>
      <c r="AE596" s="1" t="s">
        <v>74</v>
      </c>
      <c r="AF596" s="1" t="s">
        <v>74</v>
      </c>
      <c r="AG596" s="1" t="s">
        <v>74</v>
      </c>
      <c r="AH596" s="1" t="s">
        <v>74</v>
      </c>
      <c r="AI596" s="1" t="s">
        <v>74</v>
      </c>
      <c r="AJ596" s="1" t="s">
        <v>74</v>
      </c>
      <c r="AK596" s="1" t="s">
        <v>74</v>
      </c>
      <c r="AL596" s="1" t="s">
        <v>74</v>
      </c>
      <c r="AM596" s="1" t="s">
        <v>74</v>
      </c>
      <c r="AN596" s="1" t="s">
        <v>74</v>
      </c>
      <c r="AO596" s="1" t="s">
        <v>2248</v>
      </c>
      <c r="AP596" s="1" t="s">
        <v>2249</v>
      </c>
      <c r="AQ596" s="1" t="s">
        <v>74</v>
      </c>
      <c r="AR596" s="1" t="s">
        <v>74</v>
      </c>
      <c r="AS596" s="1" t="s">
        <v>74</v>
      </c>
      <c r="AT596" s="1" t="s">
        <v>277</v>
      </c>
      <c r="AU596" s="1">
        <v>2025.0</v>
      </c>
      <c r="AV596" s="1">
        <v>35.0</v>
      </c>
      <c r="AW596" s="1">
        <v>1.0</v>
      </c>
      <c r="AX596" s="1" t="s">
        <v>74</v>
      </c>
      <c r="AY596" s="1" t="s">
        <v>74</v>
      </c>
      <c r="AZ596" s="1" t="s">
        <v>74</v>
      </c>
      <c r="BA596" s="1" t="s">
        <v>74</v>
      </c>
      <c r="BB596" s="1">
        <v>33.0</v>
      </c>
      <c r="BC596" s="1">
        <v>33.0</v>
      </c>
      <c r="BD596" s="1" t="s">
        <v>74</v>
      </c>
      <c r="BE596" s="1" t="s">
        <v>5749</v>
      </c>
      <c r="BF596" s="2" t="str">
        <f>HYPERLINK("http://dx.doi.org/10.7770/CUHSD-V35NIART635","http://dx.doi.org/10.7770/CUHSD-V35NIART635")</f>
        <v>http://dx.doi.org/10.7770/CUHSD-V35NIART635</v>
      </c>
      <c r="BG596" s="1" t="s">
        <v>74</v>
      </c>
      <c r="BH596" s="1" t="s">
        <v>74</v>
      </c>
      <c r="BI596" s="1" t="s">
        <v>74</v>
      </c>
      <c r="BJ596" s="1" t="s">
        <v>74</v>
      </c>
      <c r="BK596" s="1" t="s">
        <v>74</v>
      </c>
      <c r="BL596" s="1" t="s">
        <v>74</v>
      </c>
      <c r="BM596" s="1" t="s">
        <v>74</v>
      </c>
      <c r="BN596" s="1" t="s">
        <v>74</v>
      </c>
      <c r="BO596" s="1" t="s">
        <v>74</v>
      </c>
      <c r="BP596" s="1" t="s">
        <v>74</v>
      </c>
      <c r="BQ596" s="1" t="s">
        <v>74</v>
      </c>
      <c r="BR596" s="1" t="s">
        <v>74</v>
      </c>
      <c r="BS596" s="1" t="s">
        <v>5750</v>
      </c>
      <c r="BT596" s="1" t="str">
        <f>HYPERLINK("https%3A%2F%2Fwww.webofscience.com%2Fwos%2Fwoscc%2Ffull-record%2FWOS:001401767300001","View Full Record in Web of Science")</f>
        <v>View Full Record in Web of Science</v>
      </c>
    </row>
    <row r="597" ht="12.75" customHeight="1">
      <c r="A597" s="1" t="s">
        <v>72</v>
      </c>
      <c r="B597" s="1" t="s">
        <v>5751</v>
      </c>
      <c r="C597" s="1" t="s">
        <v>74</v>
      </c>
      <c r="D597" s="1" t="s">
        <v>74</v>
      </c>
      <c r="E597" s="1" t="s">
        <v>74</v>
      </c>
      <c r="F597" s="1" t="s">
        <v>5752</v>
      </c>
      <c r="G597" s="1" t="s">
        <v>74</v>
      </c>
      <c r="H597" s="1" t="s">
        <v>74</v>
      </c>
      <c r="I597" s="1" t="s">
        <v>5753</v>
      </c>
      <c r="J597" s="1" t="s">
        <v>5754</v>
      </c>
      <c r="K597" s="1" t="s">
        <v>74</v>
      </c>
      <c r="L597" s="1" t="s">
        <v>74</v>
      </c>
      <c r="M597" s="1" t="s">
        <v>74</v>
      </c>
      <c r="N597" s="1" t="s">
        <v>74</v>
      </c>
      <c r="O597" s="1" t="s">
        <v>74</v>
      </c>
      <c r="P597" s="1" t="s">
        <v>74</v>
      </c>
      <c r="Q597" s="1" t="s">
        <v>74</v>
      </c>
      <c r="R597" s="1" t="s">
        <v>74</v>
      </c>
      <c r="S597" s="1" t="s">
        <v>74</v>
      </c>
      <c r="T597" s="1" t="s">
        <v>74</v>
      </c>
      <c r="U597" s="1" t="s">
        <v>74</v>
      </c>
      <c r="V597" s="1" t="s">
        <v>5755</v>
      </c>
      <c r="W597" s="1" t="s">
        <v>74</v>
      </c>
      <c r="X597" s="1" t="s">
        <v>74</v>
      </c>
      <c r="Y597" s="1" t="s">
        <v>74</v>
      </c>
      <c r="Z597" s="1" t="s">
        <v>74</v>
      </c>
      <c r="AA597" s="1" t="s">
        <v>74</v>
      </c>
      <c r="AB597" s="1" t="s">
        <v>5756</v>
      </c>
      <c r="AC597" s="1" t="s">
        <v>74</v>
      </c>
      <c r="AD597" s="1" t="s">
        <v>74</v>
      </c>
      <c r="AE597" s="1" t="s">
        <v>74</v>
      </c>
      <c r="AF597" s="1" t="s">
        <v>74</v>
      </c>
      <c r="AG597" s="1" t="s">
        <v>74</v>
      </c>
      <c r="AH597" s="1" t="s">
        <v>74</v>
      </c>
      <c r="AI597" s="1" t="s">
        <v>74</v>
      </c>
      <c r="AJ597" s="1" t="s">
        <v>74</v>
      </c>
      <c r="AK597" s="1" t="s">
        <v>74</v>
      </c>
      <c r="AL597" s="1" t="s">
        <v>74</v>
      </c>
      <c r="AM597" s="1" t="s">
        <v>74</v>
      </c>
      <c r="AN597" s="1" t="s">
        <v>74</v>
      </c>
      <c r="AO597" s="1" t="s">
        <v>5757</v>
      </c>
      <c r="AP597" s="1" t="s">
        <v>5758</v>
      </c>
      <c r="AQ597" s="1" t="s">
        <v>74</v>
      </c>
      <c r="AR597" s="1" t="s">
        <v>74</v>
      </c>
      <c r="AS597" s="1" t="s">
        <v>74</v>
      </c>
      <c r="AT597" s="1" t="s">
        <v>1948</v>
      </c>
      <c r="AU597" s="1">
        <v>2025.0</v>
      </c>
      <c r="AV597" s="1">
        <v>109.0</v>
      </c>
      <c r="AW597" s="1" t="s">
        <v>74</v>
      </c>
      <c r="AX597" s="1" t="s">
        <v>74</v>
      </c>
      <c r="AY597" s="1" t="s">
        <v>74</v>
      </c>
      <c r="AZ597" s="1" t="s">
        <v>74</v>
      </c>
      <c r="BA597" s="1" t="s">
        <v>74</v>
      </c>
      <c r="BB597" s="1" t="s">
        <v>74</v>
      </c>
      <c r="BC597" s="1" t="s">
        <v>74</v>
      </c>
      <c r="BD597" s="1">
        <v>115087.0</v>
      </c>
      <c r="BE597" s="1" t="s">
        <v>5759</v>
      </c>
      <c r="BF597" s="2" t="str">
        <f>HYPERLINK("http://dx.doi.org/10.1016/j.est.2024.115087","http://dx.doi.org/10.1016/j.est.2024.115087")</f>
        <v>http://dx.doi.org/10.1016/j.est.2024.115087</v>
      </c>
      <c r="BG597" s="1" t="s">
        <v>74</v>
      </c>
      <c r="BH597" s="1" t="s">
        <v>5760</v>
      </c>
      <c r="BI597" s="1" t="s">
        <v>74</v>
      </c>
      <c r="BJ597" s="1" t="s">
        <v>74</v>
      </c>
      <c r="BK597" s="1" t="s">
        <v>74</v>
      </c>
      <c r="BL597" s="1" t="s">
        <v>74</v>
      </c>
      <c r="BM597" s="1" t="s">
        <v>74</v>
      </c>
      <c r="BN597" s="1" t="s">
        <v>74</v>
      </c>
      <c r="BO597" s="1" t="s">
        <v>74</v>
      </c>
      <c r="BP597" s="1" t="s">
        <v>74</v>
      </c>
      <c r="BQ597" s="1" t="s">
        <v>74</v>
      </c>
      <c r="BR597" s="1" t="s">
        <v>74</v>
      </c>
      <c r="BS597" s="1" t="s">
        <v>5761</v>
      </c>
      <c r="BT597" s="1" t="str">
        <f>HYPERLINK("https%3A%2F%2Fwww.webofscience.com%2Fwos%2Fwoscc%2Ffull-record%2FWOS:001402619100001","View Full Record in Web of Science")</f>
        <v>View Full Record in Web of Science</v>
      </c>
    </row>
    <row r="598" ht="12.75" customHeight="1">
      <c r="A598" s="1" t="s">
        <v>72</v>
      </c>
      <c r="B598" s="1" t="s">
        <v>5762</v>
      </c>
      <c r="C598" s="1" t="s">
        <v>74</v>
      </c>
      <c r="D598" s="1" t="s">
        <v>74</v>
      </c>
      <c r="E598" s="1" t="s">
        <v>74</v>
      </c>
      <c r="F598" s="1" t="s">
        <v>5763</v>
      </c>
      <c r="G598" s="1" t="s">
        <v>74</v>
      </c>
      <c r="H598" s="1" t="s">
        <v>74</v>
      </c>
      <c r="I598" s="1" t="s">
        <v>5764</v>
      </c>
      <c r="J598" s="1" t="s">
        <v>5765</v>
      </c>
      <c r="K598" s="1" t="s">
        <v>74</v>
      </c>
      <c r="L598" s="1" t="s">
        <v>74</v>
      </c>
      <c r="M598" s="1" t="s">
        <v>74</v>
      </c>
      <c r="N598" s="1" t="s">
        <v>74</v>
      </c>
      <c r="O598" s="1" t="s">
        <v>74</v>
      </c>
      <c r="P598" s="1" t="s">
        <v>74</v>
      </c>
      <c r="Q598" s="1" t="s">
        <v>74</v>
      </c>
      <c r="R598" s="1" t="s">
        <v>74</v>
      </c>
      <c r="S598" s="1" t="s">
        <v>74</v>
      </c>
      <c r="T598" s="1" t="s">
        <v>74</v>
      </c>
      <c r="U598" s="1" t="s">
        <v>74</v>
      </c>
      <c r="V598" s="1" t="s">
        <v>5766</v>
      </c>
      <c r="W598" s="1" t="s">
        <v>74</v>
      </c>
      <c r="X598" s="1" t="s">
        <v>74</v>
      </c>
      <c r="Y598" s="1" t="s">
        <v>74</v>
      </c>
      <c r="Z598" s="1" t="s">
        <v>74</v>
      </c>
      <c r="AA598" s="1" t="s">
        <v>5767</v>
      </c>
      <c r="AB598" s="1" t="s">
        <v>5768</v>
      </c>
      <c r="AC598" s="1" t="s">
        <v>74</v>
      </c>
      <c r="AD598" s="1" t="s">
        <v>74</v>
      </c>
      <c r="AE598" s="1" t="s">
        <v>74</v>
      </c>
      <c r="AF598" s="1" t="s">
        <v>74</v>
      </c>
      <c r="AG598" s="1" t="s">
        <v>74</v>
      </c>
      <c r="AH598" s="1" t="s">
        <v>74</v>
      </c>
      <c r="AI598" s="1" t="s">
        <v>74</v>
      </c>
      <c r="AJ598" s="1" t="s">
        <v>74</v>
      </c>
      <c r="AK598" s="1" t="s">
        <v>74</v>
      </c>
      <c r="AL598" s="1" t="s">
        <v>74</v>
      </c>
      <c r="AM598" s="1" t="s">
        <v>74</v>
      </c>
      <c r="AN598" s="1" t="s">
        <v>74</v>
      </c>
      <c r="AO598" s="1" t="s">
        <v>5769</v>
      </c>
      <c r="AP598" s="1" t="s">
        <v>5770</v>
      </c>
      <c r="AQ598" s="1" t="s">
        <v>74</v>
      </c>
      <c r="AR598" s="1" t="s">
        <v>74</v>
      </c>
      <c r="AS598" s="1" t="s">
        <v>74</v>
      </c>
      <c r="AT598" s="1" t="s">
        <v>5771</v>
      </c>
      <c r="AU598" s="1">
        <v>2024.0</v>
      </c>
      <c r="AV598" s="1">
        <v>45.0</v>
      </c>
      <c r="AW598" s="1">
        <v>4.0</v>
      </c>
      <c r="AX598" s="1" t="s">
        <v>74</v>
      </c>
      <c r="AY598" s="1" t="s">
        <v>74</v>
      </c>
      <c r="AZ598" s="1" t="s">
        <v>74</v>
      </c>
      <c r="BA598" s="1" t="s">
        <v>74</v>
      </c>
      <c r="BB598" s="1" t="s">
        <v>74</v>
      </c>
      <c r="BC598" s="1" t="s">
        <v>74</v>
      </c>
      <c r="BD598" s="1">
        <v>45602.0</v>
      </c>
      <c r="BE598" s="1" t="s">
        <v>5772</v>
      </c>
      <c r="BF598" s="2" t="str">
        <f>HYPERLINK("http://dx.doi.org/10.1088/1361-6404/ad3d44","http://dx.doi.org/10.1088/1361-6404/ad3d44")</f>
        <v>http://dx.doi.org/10.1088/1361-6404/ad3d44</v>
      </c>
      <c r="BG598" s="1" t="s">
        <v>74</v>
      </c>
      <c r="BH598" s="1" t="s">
        <v>74</v>
      </c>
      <c r="BI598" s="1" t="s">
        <v>74</v>
      </c>
      <c r="BJ598" s="1" t="s">
        <v>74</v>
      </c>
      <c r="BK598" s="1" t="s">
        <v>74</v>
      </c>
      <c r="BL598" s="1" t="s">
        <v>74</v>
      </c>
      <c r="BM598" s="1" t="s">
        <v>74</v>
      </c>
      <c r="BN598" s="1" t="s">
        <v>74</v>
      </c>
      <c r="BO598" s="1" t="s">
        <v>74</v>
      </c>
      <c r="BP598" s="1" t="s">
        <v>74</v>
      </c>
      <c r="BQ598" s="1" t="s">
        <v>74</v>
      </c>
      <c r="BR598" s="1" t="s">
        <v>74</v>
      </c>
      <c r="BS598" s="1" t="s">
        <v>5773</v>
      </c>
      <c r="BT598" s="1" t="str">
        <f>HYPERLINK("https%3A%2F%2Fwww.webofscience.com%2Fwos%2Fwoscc%2Ffull-record%2FWOS:001268757700001","View Full Record in Web of Science")</f>
        <v>View Full Record in Web of Science</v>
      </c>
    </row>
    <row r="599" ht="12.75" customHeight="1">
      <c r="A599" s="1" t="s">
        <v>72</v>
      </c>
      <c r="B599" s="1" t="s">
        <v>5774</v>
      </c>
      <c r="C599" s="1" t="s">
        <v>74</v>
      </c>
      <c r="D599" s="1" t="s">
        <v>74</v>
      </c>
      <c r="E599" s="1" t="s">
        <v>74</v>
      </c>
      <c r="F599" s="1" t="s">
        <v>5775</v>
      </c>
      <c r="G599" s="1" t="s">
        <v>74</v>
      </c>
      <c r="H599" s="1" t="s">
        <v>74</v>
      </c>
      <c r="I599" s="1" t="s">
        <v>5776</v>
      </c>
      <c r="J599" s="1" t="s">
        <v>5777</v>
      </c>
      <c r="K599" s="1" t="s">
        <v>74</v>
      </c>
      <c r="L599" s="1" t="s">
        <v>74</v>
      </c>
      <c r="M599" s="1" t="s">
        <v>74</v>
      </c>
      <c r="N599" s="1" t="s">
        <v>74</v>
      </c>
      <c r="O599" s="1" t="s">
        <v>74</v>
      </c>
      <c r="P599" s="1" t="s">
        <v>74</v>
      </c>
      <c r="Q599" s="1" t="s">
        <v>74</v>
      </c>
      <c r="R599" s="1" t="s">
        <v>74</v>
      </c>
      <c r="S599" s="1" t="s">
        <v>74</v>
      </c>
      <c r="T599" s="1" t="s">
        <v>74</v>
      </c>
      <c r="U599" s="1" t="s">
        <v>74</v>
      </c>
      <c r="V599" s="1" t="s">
        <v>5778</v>
      </c>
      <c r="W599" s="1" t="s">
        <v>74</v>
      </c>
      <c r="X599" s="1" t="s">
        <v>74</v>
      </c>
      <c r="Y599" s="1" t="s">
        <v>74</v>
      </c>
      <c r="Z599" s="1" t="s">
        <v>74</v>
      </c>
      <c r="AA599" s="1" t="s">
        <v>74</v>
      </c>
      <c r="AB599" s="1" t="s">
        <v>74</v>
      </c>
      <c r="AC599" s="1" t="s">
        <v>74</v>
      </c>
      <c r="AD599" s="1" t="s">
        <v>74</v>
      </c>
      <c r="AE599" s="1" t="s">
        <v>74</v>
      </c>
      <c r="AF599" s="1" t="s">
        <v>74</v>
      </c>
      <c r="AG599" s="1" t="s">
        <v>74</v>
      </c>
      <c r="AH599" s="1" t="s">
        <v>74</v>
      </c>
      <c r="AI599" s="1" t="s">
        <v>74</v>
      </c>
      <c r="AJ599" s="1" t="s">
        <v>74</v>
      </c>
      <c r="AK599" s="1" t="s">
        <v>74</v>
      </c>
      <c r="AL599" s="1" t="s">
        <v>74</v>
      </c>
      <c r="AM599" s="1" t="s">
        <v>74</v>
      </c>
      <c r="AN599" s="1" t="s">
        <v>74</v>
      </c>
      <c r="AO599" s="1" t="s">
        <v>5779</v>
      </c>
      <c r="AP599" s="1" t="s">
        <v>74</v>
      </c>
      <c r="AQ599" s="1" t="s">
        <v>74</v>
      </c>
      <c r="AR599" s="1" t="s">
        <v>74</v>
      </c>
      <c r="AS599" s="1" t="s">
        <v>74</v>
      </c>
      <c r="AT599" s="1" t="s">
        <v>1948</v>
      </c>
      <c r="AU599" s="1">
        <v>2024.0</v>
      </c>
      <c r="AV599" s="1">
        <v>25.0</v>
      </c>
      <c r="AW599" s="1" t="s">
        <v>74</v>
      </c>
      <c r="AX599" s="1" t="s">
        <v>74</v>
      </c>
      <c r="AY599" s="1" t="s">
        <v>74</v>
      </c>
      <c r="AZ599" s="1" t="s">
        <v>74</v>
      </c>
      <c r="BA599" s="1" t="s">
        <v>74</v>
      </c>
      <c r="BB599" s="1" t="s">
        <v>74</v>
      </c>
      <c r="BC599" s="1" t="s">
        <v>74</v>
      </c>
      <c r="BD599" s="1" t="s">
        <v>5780</v>
      </c>
      <c r="BE599" s="1" t="s">
        <v>5781</v>
      </c>
      <c r="BF599" s="2" t="str">
        <f>HYPERLINK("http://dx.doi.org/10.14201/eks.31170","http://dx.doi.org/10.14201/eks.31170")</f>
        <v>http://dx.doi.org/10.14201/eks.31170</v>
      </c>
      <c r="BG599" s="1" t="s">
        <v>74</v>
      </c>
      <c r="BH599" s="1" t="s">
        <v>74</v>
      </c>
      <c r="BI599" s="1" t="s">
        <v>74</v>
      </c>
      <c r="BJ599" s="1" t="s">
        <v>74</v>
      </c>
      <c r="BK599" s="1" t="s">
        <v>74</v>
      </c>
      <c r="BL599" s="1" t="s">
        <v>74</v>
      </c>
      <c r="BM599" s="1" t="s">
        <v>74</v>
      </c>
      <c r="BN599" s="1" t="s">
        <v>74</v>
      </c>
      <c r="BO599" s="1" t="s">
        <v>74</v>
      </c>
      <c r="BP599" s="1" t="s">
        <v>74</v>
      </c>
      <c r="BQ599" s="1" t="s">
        <v>74</v>
      </c>
      <c r="BR599" s="1" t="s">
        <v>74</v>
      </c>
      <c r="BS599" s="1" t="s">
        <v>5782</v>
      </c>
      <c r="BT599" s="1" t="str">
        <f>HYPERLINK("https%3A%2F%2Fwww.webofscience.com%2Fwos%2Fwoscc%2Ffull-record%2FWOS:001203849000001","View Full Record in Web of Science")</f>
        <v>View Full Record in Web of Science</v>
      </c>
    </row>
    <row r="600" ht="12.75" customHeight="1">
      <c r="A600" s="1" t="s">
        <v>72</v>
      </c>
      <c r="B600" s="1" t="s">
        <v>5783</v>
      </c>
      <c r="C600" s="1" t="s">
        <v>74</v>
      </c>
      <c r="D600" s="1" t="s">
        <v>74</v>
      </c>
      <c r="E600" s="1" t="s">
        <v>74</v>
      </c>
      <c r="F600" s="1" t="s">
        <v>5784</v>
      </c>
      <c r="G600" s="1" t="s">
        <v>74</v>
      </c>
      <c r="H600" s="1" t="s">
        <v>74</v>
      </c>
      <c r="I600" s="1" t="s">
        <v>5785</v>
      </c>
      <c r="J600" s="1" t="s">
        <v>5786</v>
      </c>
      <c r="K600" s="1" t="s">
        <v>74</v>
      </c>
      <c r="L600" s="1" t="s">
        <v>74</v>
      </c>
      <c r="M600" s="1" t="s">
        <v>74</v>
      </c>
      <c r="N600" s="1" t="s">
        <v>74</v>
      </c>
      <c r="O600" s="1" t="s">
        <v>74</v>
      </c>
      <c r="P600" s="1" t="s">
        <v>74</v>
      </c>
      <c r="Q600" s="1" t="s">
        <v>74</v>
      </c>
      <c r="R600" s="1" t="s">
        <v>74</v>
      </c>
      <c r="S600" s="1" t="s">
        <v>74</v>
      </c>
      <c r="T600" s="1" t="s">
        <v>74</v>
      </c>
      <c r="U600" s="1" t="s">
        <v>74</v>
      </c>
      <c r="V600" s="1" t="s">
        <v>5787</v>
      </c>
      <c r="W600" s="1" t="s">
        <v>74</v>
      </c>
      <c r="X600" s="1" t="s">
        <v>74</v>
      </c>
      <c r="Y600" s="1" t="s">
        <v>74</v>
      </c>
      <c r="Z600" s="1" t="s">
        <v>74</v>
      </c>
      <c r="AA600" s="1" t="s">
        <v>5788</v>
      </c>
      <c r="AB600" s="1" t="s">
        <v>5789</v>
      </c>
      <c r="AC600" s="1" t="s">
        <v>74</v>
      </c>
      <c r="AD600" s="1" t="s">
        <v>74</v>
      </c>
      <c r="AE600" s="1" t="s">
        <v>74</v>
      </c>
      <c r="AF600" s="1" t="s">
        <v>74</v>
      </c>
      <c r="AG600" s="1" t="s">
        <v>74</v>
      </c>
      <c r="AH600" s="1" t="s">
        <v>74</v>
      </c>
      <c r="AI600" s="1" t="s">
        <v>74</v>
      </c>
      <c r="AJ600" s="1" t="s">
        <v>74</v>
      </c>
      <c r="AK600" s="1" t="s">
        <v>74</v>
      </c>
      <c r="AL600" s="1" t="s">
        <v>74</v>
      </c>
      <c r="AM600" s="1" t="s">
        <v>74</v>
      </c>
      <c r="AN600" s="1" t="s">
        <v>74</v>
      </c>
      <c r="AO600" s="1" t="s">
        <v>5790</v>
      </c>
      <c r="AP600" s="1" t="s">
        <v>74</v>
      </c>
      <c r="AQ600" s="1" t="s">
        <v>74</v>
      </c>
      <c r="AR600" s="1" t="s">
        <v>74</v>
      </c>
      <c r="AS600" s="1" t="s">
        <v>74</v>
      </c>
      <c r="AT600" s="1" t="s">
        <v>379</v>
      </c>
      <c r="AU600" s="1">
        <v>2022.0</v>
      </c>
      <c r="AV600" s="1">
        <v>74.0</v>
      </c>
      <c r="AW600" s="1" t="s">
        <v>74</v>
      </c>
      <c r="AX600" s="1" t="s">
        <v>74</v>
      </c>
      <c r="AY600" s="1" t="s">
        <v>74</v>
      </c>
      <c r="AZ600" s="1" t="s">
        <v>74</v>
      </c>
      <c r="BA600" s="1" t="s">
        <v>74</v>
      </c>
      <c r="BB600" s="1" t="s">
        <v>74</v>
      </c>
      <c r="BC600" s="1" t="s">
        <v>74</v>
      </c>
      <c r="BD600" s="1">
        <v>101187.0</v>
      </c>
      <c r="BE600" s="1" t="s">
        <v>5791</v>
      </c>
      <c r="BF600" s="2" t="str">
        <f>HYPERLINK("http://dx.doi.org/10.1016/j.stueduc.2022.101187","http://dx.doi.org/10.1016/j.stueduc.2022.101187")</f>
        <v>http://dx.doi.org/10.1016/j.stueduc.2022.101187</v>
      </c>
      <c r="BG600" s="1" t="s">
        <v>74</v>
      </c>
      <c r="BH600" s="1" t="s">
        <v>4518</v>
      </c>
      <c r="BI600" s="1" t="s">
        <v>74</v>
      </c>
      <c r="BJ600" s="1" t="s">
        <v>74</v>
      </c>
      <c r="BK600" s="1" t="s">
        <v>74</v>
      </c>
      <c r="BL600" s="1" t="s">
        <v>74</v>
      </c>
      <c r="BM600" s="1" t="s">
        <v>74</v>
      </c>
      <c r="BN600" s="1" t="s">
        <v>74</v>
      </c>
      <c r="BO600" s="1" t="s">
        <v>74</v>
      </c>
      <c r="BP600" s="1" t="s">
        <v>74</v>
      </c>
      <c r="BQ600" s="1" t="s">
        <v>74</v>
      </c>
      <c r="BR600" s="1" t="s">
        <v>74</v>
      </c>
      <c r="BS600" s="1" t="s">
        <v>5792</v>
      </c>
      <c r="BT600" s="1" t="str">
        <f>HYPERLINK("https%3A%2F%2Fwww.webofscience.com%2Fwos%2Fwoscc%2Ffull-record%2FWOS:000834011700001","View Full Record in Web of Science")</f>
        <v>View Full Record in Web of Science</v>
      </c>
    </row>
    <row r="601" ht="12.75" customHeight="1">
      <c r="A601" s="1" t="s">
        <v>72</v>
      </c>
      <c r="B601" s="1" t="s">
        <v>5793</v>
      </c>
      <c r="C601" s="1" t="s">
        <v>74</v>
      </c>
      <c r="D601" s="1" t="s">
        <v>74</v>
      </c>
      <c r="E601" s="1" t="s">
        <v>74</v>
      </c>
      <c r="F601" s="1" t="s">
        <v>5794</v>
      </c>
      <c r="G601" s="1" t="s">
        <v>74</v>
      </c>
      <c r="H601" s="1" t="s">
        <v>74</v>
      </c>
      <c r="I601" s="1" t="s">
        <v>5795</v>
      </c>
      <c r="J601" s="1" t="s">
        <v>5202</v>
      </c>
      <c r="K601" s="1" t="s">
        <v>74</v>
      </c>
      <c r="L601" s="1" t="s">
        <v>74</v>
      </c>
      <c r="M601" s="1" t="s">
        <v>74</v>
      </c>
      <c r="N601" s="1" t="s">
        <v>74</v>
      </c>
      <c r="O601" s="1" t="s">
        <v>74</v>
      </c>
      <c r="P601" s="1" t="s">
        <v>74</v>
      </c>
      <c r="Q601" s="1" t="s">
        <v>74</v>
      </c>
      <c r="R601" s="1" t="s">
        <v>74</v>
      </c>
      <c r="S601" s="1" t="s">
        <v>74</v>
      </c>
      <c r="T601" s="1" t="s">
        <v>74</v>
      </c>
      <c r="U601" s="1" t="s">
        <v>74</v>
      </c>
      <c r="V601" s="1" t="s">
        <v>5796</v>
      </c>
      <c r="W601" s="1" t="s">
        <v>74</v>
      </c>
      <c r="X601" s="1" t="s">
        <v>74</v>
      </c>
      <c r="Y601" s="1" t="s">
        <v>74</v>
      </c>
      <c r="Z601" s="1" t="s">
        <v>74</v>
      </c>
      <c r="AA601" s="1" t="s">
        <v>74</v>
      </c>
      <c r="AB601" s="1" t="s">
        <v>5797</v>
      </c>
      <c r="AC601" s="1" t="s">
        <v>74</v>
      </c>
      <c r="AD601" s="1" t="s">
        <v>74</v>
      </c>
      <c r="AE601" s="1" t="s">
        <v>74</v>
      </c>
      <c r="AF601" s="1" t="s">
        <v>74</v>
      </c>
      <c r="AG601" s="1" t="s">
        <v>74</v>
      </c>
      <c r="AH601" s="1" t="s">
        <v>74</v>
      </c>
      <c r="AI601" s="1" t="s">
        <v>74</v>
      </c>
      <c r="AJ601" s="1" t="s">
        <v>74</v>
      </c>
      <c r="AK601" s="1" t="s">
        <v>74</v>
      </c>
      <c r="AL601" s="1" t="s">
        <v>74</v>
      </c>
      <c r="AM601" s="1" t="s">
        <v>74</v>
      </c>
      <c r="AN601" s="1" t="s">
        <v>74</v>
      </c>
      <c r="AO601" s="1" t="s">
        <v>5206</v>
      </c>
      <c r="AP601" s="1" t="s">
        <v>5207</v>
      </c>
      <c r="AQ601" s="1" t="s">
        <v>74</v>
      </c>
      <c r="AR601" s="1" t="s">
        <v>74</v>
      </c>
      <c r="AS601" s="1" t="s">
        <v>74</v>
      </c>
      <c r="AT601" s="1" t="s">
        <v>277</v>
      </c>
      <c r="AU601" s="1">
        <v>2022.0</v>
      </c>
      <c r="AV601" s="1">
        <v>67.0</v>
      </c>
      <c r="AW601" s="1" t="s">
        <v>74</v>
      </c>
      <c r="AX601" s="1" t="s">
        <v>74</v>
      </c>
      <c r="AY601" s="1" t="s">
        <v>74</v>
      </c>
      <c r="AZ601" s="1" t="s">
        <v>74</v>
      </c>
      <c r="BA601" s="1" t="s">
        <v>74</v>
      </c>
      <c r="BB601" s="1" t="s">
        <v>74</v>
      </c>
      <c r="BC601" s="1" t="s">
        <v>74</v>
      </c>
      <c r="BD601" s="1">
        <v>127418.0</v>
      </c>
      <c r="BE601" s="1" t="s">
        <v>5798</v>
      </c>
      <c r="BF601" s="2" t="str">
        <f>HYPERLINK("http://dx.doi.org/10.1016/j.ufug.2021.127418","http://dx.doi.org/10.1016/j.ufug.2021.127418")</f>
        <v>http://dx.doi.org/10.1016/j.ufug.2021.127418</v>
      </c>
      <c r="BG601" s="1" t="s">
        <v>74</v>
      </c>
      <c r="BH601" s="1" t="s">
        <v>74</v>
      </c>
      <c r="BI601" s="1" t="s">
        <v>74</v>
      </c>
      <c r="BJ601" s="1" t="s">
        <v>74</v>
      </c>
      <c r="BK601" s="1" t="s">
        <v>74</v>
      </c>
      <c r="BL601" s="1" t="s">
        <v>74</v>
      </c>
      <c r="BM601" s="1" t="s">
        <v>74</v>
      </c>
      <c r="BN601" s="1" t="s">
        <v>74</v>
      </c>
      <c r="BO601" s="1" t="s">
        <v>74</v>
      </c>
      <c r="BP601" s="1" t="s">
        <v>74</v>
      </c>
      <c r="BQ601" s="1" t="s">
        <v>74</v>
      </c>
      <c r="BR601" s="1" t="s">
        <v>74</v>
      </c>
      <c r="BS601" s="1" t="s">
        <v>5799</v>
      </c>
      <c r="BT601" s="1" t="str">
        <f>HYPERLINK("https%3A%2F%2Fwww.webofscience.com%2Fwos%2Fwoscc%2Ffull-record%2FWOS:000789615400001","View Full Record in Web of Science")</f>
        <v>View Full Record in Web of Science</v>
      </c>
    </row>
    <row r="602" ht="12.75" customHeight="1">
      <c r="A602" s="1" t="s">
        <v>72</v>
      </c>
      <c r="B602" s="1" t="s">
        <v>5800</v>
      </c>
      <c r="C602" s="1" t="s">
        <v>74</v>
      </c>
      <c r="D602" s="1" t="s">
        <v>74</v>
      </c>
      <c r="E602" s="1" t="s">
        <v>74</v>
      </c>
      <c r="F602" s="1" t="s">
        <v>5801</v>
      </c>
      <c r="G602" s="1" t="s">
        <v>74</v>
      </c>
      <c r="H602" s="1" t="s">
        <v>74</v>
      </c>
      <c r="I602" s="1" t="s">
        <v>5802</v>
      </c>
      <c r="J602" s="1" t="s">
        <v>2351</v>
      </c>
      <c r="K602" s="1" t="s">
        <v>74</v>
      </c>
      <c r="L602" s="1" t="s">
        <v>74</v>
      </c>
      <c r="M602" s="1" t="s">
        <v>74</v>
      </c>
      <c r="N602" s="1" t="s">
        <v>74</v>
      </c>
      <c r="O602" s="1" t="s">
        <v>74</v>
      </c>
      <c r="P602" s="1" t="s">
        <v>74</v>
      </c>
      <c r="Q602" s="1" t="s">
        <v>74</v>
      </c>
      <c r="R602" s="1" t="s">
        <v>74</v>
      </c>
      <c r="S602" s="1" t="s">
        <v>74</v>
      </c>
      <c r="T602" s="1" t="s">
        <v>74</v>
      </c>
      <c r="U602" s="1" t="s">
        <v>74</v>
      </c>
      <c r="V602" s="1" t="s">
        <v>5803</v>
      </c>
      <c r="W602" s="1" t="s">
        <v>74</v>
      </c>
      <c r="X602" s="1" t="s">
        <v>74</v>
      </c>
      <c r="Y602" s="1" t="s">
        <v>74</v>
      </c>
      <c r="Z602" s="1" t="s">
        <v>74</v>
      </c>
      <c r="AA602" s="1" t="s">
        <v>5804</v>
      </c>
      <c r="AB602" s="1" t="s">
        <v>74</v>
      </c>
      <c r="AC602" s="1" t="s">
        <v>74</v>
      </c>
      <c r="AD602" s="1" t="s">
        <v>74</v>
      </c>
      <c r="AE602" s="1" t="s">
        <v>74</v>
      </c>
      <c r="AF602" s="1" t="s">
        <v>74</v>
      </c>
      <c r="AG602" s="1" t="s">
        <v>74</v>
      </c>
      <c r="AH602" s="1" t="s">
        <v>74</v>
      </c>
      <c r="AI602" s="1" t="s">
        <v>74</v>
      </c>
      <c r="AJ602" s="1" t="s">
        <v>74</v>
      </c>
      <c r="AK602" s="1" t="s">
        <v>74</v>
      </c>
      <c r="AL602" s="1" t="s">
        <v>74</v>
      </c>
      <c r="AM602" s="1" t="s">
        <v>74</v>
      </c>
      <c r="AN602" s="1" t="s">
        <v>74</v>
      </c>
      <c r="AO602" s="1" t="s">
        <v>2355</v>
      </c>
      <c r="AP602" s="1" t="s">
        <v>74</v>
      </c>
      <c r="AQ602" s="1" t="s">
        <v>74</v>
      </c>
      <c r="AR602" s="1" t="s">
        <v>74</v>
      </c>
      <c r="AS602" s="1" t="s">
        <v>74</v>
      </c>
      <c r="AT602" s="1" t="s">
        <v>277</v>
      </c>
      <c r="AU602" s="1">
        <v>2022.0</v>
      </c>
      <c r="AV602" s="1">
        <v>11.0</v>
      </c>
      <c r="AW602" s="1">
        <v>1.0</v>
      </c>
      <c r="AX602" s="1" t="s">
        <v>74</v>
      </c>
      <c r="AY602" s="1" t="s">
        <v>74</v>
      </c>
      <c r="AZ602" s="1" t="s">
        <v>74</v>
      </c>
      <c r="BA602" s="1" t="s">
        <v>74</v>
      </c>
      <c r="BB602" s="1" t="s">
        <v>74</v>
      </c>
      <c r="BC602" s="1" t="s">
        <v>74</v>
      </c>
      <c r="BD602" s="1">
        <v>86.0</v>
      </c>
      <c r="BE602" s="1" t="s">
        <v>5805</v>
      </c>
      <c r="BF602" s="2" t="str">
        <f>HYPERLINK("http://dx.doi.org/10.3390/plants11010086","http://dx.doi.org/10.3390/plants11010086")</f>
        <v>http://dx.doi.org/10.3390/plants11010086</v>
      </c>
      <c r="BG602" s="1" t="s">
        <v>74</v>
      </c>
      <c r="BH602" s="1" t="s">
        <v>74</v>
      </c>
      <c r="BI602" s="1" t="s">
        <v>74</v>
      </c>
      <c r="BJ602" s="1" t="s">
        <v>74</v>
      </c>
      <c r="BK602" s="1" t="s">
        <v>74</v>
      </c>
      <c r="BL602" s="1" t="s">
        <v>74</v>
      </c>
      <c r="BM602" s="1" t="s">
        <v>74</v>
      </c>
      <c r="BN602" s="1">
        <v>3.5009088E7</v>
      </c>
      <c r="BO602" s="1" t="s">
        <v>74</v>
      </c>
      <c r="BP602" s="1" t="s">
        <v>74</v>
      </c>
      <c r="BQ602" s="1" t="s">
        <v>74</v>
      </c>
      <c r="BR602" s="1" t="s">
        <v>74</v>
      </c>
      <c r="BS602" s="1" t="s">
        <v>5806</v>
      </c>
      <c r="BT602" s="1" t="str">
        <f>HYPERLINK("https%3A%2F%2Fwww.webofscience.com%2Fwos%2Fwoscc%2Ffull-record%2FWOS:000758861500001","View Full Record in Web of Science")</f>
        <v>View Full Record in Web of Science</v>
      </c>
    </row>
    <row r="603" ht="12.75" customHeight="1">
      <c r="A603" s="1" t="s">
        <v>72</v>
      </c>
      <c r="B603" s="1" t="s">
        <v>5807</v>
      </c>
      <c r="C603" s="1" t="s">
        <v>74</v>
      </c>
      <c r="D603" s="1" t="s">
        <v>74</v>
      </c>
      <c r="E603" s="1" t="s">
        <v>74</v>
      </c>
      <c r="F603" s="1" t="s">
        <v>5808</v>
      </c>
      <c r="G603" s="1" t="s">
        <v>74</v>
      </c>
      <c r="H603" s="1" t="s">
        <v>74</v>
      </c>
      <c r="I603" s="1" t="s">
        <v>5809</v>
      </c>
      <c r="J603" s="1" t="s">
        <v>5810</v>
      </c>
      <c r="K603" s="1" t="s">
        <v>74</v>
      </c>
      <c r="L603" s="1" t="s">
        <v>74</v>
      </c>
      <c r="M603" s="1" t="s">
        <v>74</v>
      </c>
      <c r="N603" s="1" t="s">
        <v>74</v>
      </c>
      <c r="O603" s="1" t="s">
        <v>74</v>
      </c>
      <c r="P603" s="1" t="s">
        <v>74</v>
      </c>
      <c r="Q603" s="1" t="s">
        <v>74</v>
      </c>
      <c r="R603" s="1" t="s">
        <v>74</v>
      </c>
      <c r="S603" s="1" t="s">
        <v>74</v>
      </c>
      <c r="T603" s="1" t="s">
        <v>74</v>
      </c>
      <c r="U603" s="1" t="s">
        <v>74</v>
      </c>
      <c r="V603" s="1" t="s">
        <v>5811</v>
      </c>
      <c r="W603" s="1" t="s">
        <v>74</v>
      </c>
      <c r="X603" s="1" t="s">
        <v>74</v>
      </c>
      <c r="Y603" s="1" t="s">
        <v>74</v>
      </c>
      <c r="Z603" s="1" t="s">
        <v>74</v>
      </c>
      <c r="AA603" s="1" t="s">
        <v>5812</v>
      </c>
      <c r="AB603" s="1" t="s">
        <v>5813</v>
      </c>
      <c r="AC603" s="1" t="s">
        <v>74</v>
      </c>
      <c r="AD603" s="1" t="s">
        <v>74</v>
      </c>
      <c r="AE603" s="1" t="s">
        <v>74</v>
      </c>
      <c r="AF603" s="1" t="s">
        <v>74</v>
      </c>
      <c r="AG603" s="1" t="s">
        <v>74</v>
      </c>
      <c r="AH603" s="1" t="s">
        <v>74</v>
      </c>
      <c r="AI603" s="1" t="s">
        <v>74</v>
      </c>
      <c r="AJ603" s="1" t="s">
        <v>74</v>
      </c>
      <c r="AK603" s="1" t="s">
        <v>74</v>
      </c>
      <c r="AL603" s="1" t="s">
        <v>74</v>
      </c>
      <c r="AM603" s="1" t="s">
        <v>74</v>
      </c>
      <c r="AN603" s="1" t="s">
        <v>74</v>
      </c>
      <c r="AO603" s="1" t="s">
        <v>74</v>
      </c>
      <c r="AP603" s="1" t="s">
        <v>5814</v>
      </c>
      <c r="AQ603" s="1" t="s">
        <v>74</v>
      </c>
      <c r="AR603" s="1" t="s">
        <v>74</v>
      </c>
      <c r="AS603" s="1" t="s">
        <v>74</v>
      </c>
      <c r="AT603" s="1" t="s">
        <v>363</v>
      </c>
      <c r="AU603" s="1">
        <v>2021.0</v>
      </c>
      <c r="AV603" s="1">
        <v>11.0</v>
      </c>
      <c r="AW603" s="1">
        <v>10.0</v>
      </c>
      <c r="AX603" s="1" t="s">
        <v>74</v>
      </c>
      <c r="AY603" s="1" t="s">
        <v>74</v>
      </c>
      <c r="AZ603" s="1" t="s">
        <v>74</v>
      </c>
      <c r="BA603" s="1" t="s">
        <v>74</v>
      </c>
      <c r="BB603" s="1" t="s">
        <v>74</v>
      </c>
      <c r="BC603" s="1" t="s">
        <v>74</v>
      </c>
      <c r="BD603" s="1">
        <v>1546.0</v>
      </c>
      <c r="BE603" s="1" t="s">
        <v>5815</v>
      </c>
      <c r="BF603" s="2" t="str">
        <f>HYPERLINK("http://dx.doi.org/10.3390/met11101546","http://dx.doi.org/10.3390/met11101546")</f>
        <v>http://dx.doi.org/10.3390/met11101546</v>
      </c>
      <c r="BG603" s="1" t="s">
        <v>74</v>
      </c>
      <c r="BH603" s="1" t="s">
        <v>74</v>
      </c>
      <c r="BI603" s="1" t="s">
        <v>74</v>
      </c>
      <c r="BJ603" s="1" t="s">
        <v>74</v>
      </c>
      <c r="BK603" s="1" t="s">
        <v>74</v>
      </c>
      <c r="BL603" s="1" t="s">
        <v>74</v>
      </c>
      <c r="BM603" s="1" t="s">
        <v>74</v>
      </c>
      <c r="BN603" s="1" t="s">
        <v>74</v>
      </c>
      <c r="BO603" s="1" t="s">
        <v>74</v>
      </c>
      <c r="BP603" s="1" t="s">
        <v>74</v>
      </c>
      <c r="BQ603" s="1" t="s">
        <v>74</v>
      </c>
      <c r="BR603" s="1" t="s">
        <v>74</v>
      </c>
      <c r="BS603" s="1" t="s">
        <v>5816</v>
      </c>
      <c r="BT603" s="1" t="str">
        <f>HYPERLINK("https%3A%2F%2Fwww.webofscience.com%2Fwos%2Fwoscc%2Ffull-record%2FWOS:000712448500001","View Full Record in Web of Science")</f>
        <v>View Full Record in Web of Science</v>
      </c>
    </row>
    <row r="604" ht="12.75" customHeight="1">
      <c r="A604" s="1" t="s">
        <v>72</v>
      </c>
      <c r="B604" s="1" t="s">
        <v>5817</v>
      </c>
      <c r="C604" s="1" t="s">
        <v>74</v>
      </c>
      <c r="D604" s="1" t="s">
        <v>74</v>
      </c>
      <c r="E604" s="1" t="s">
        <v>74</v>
      </c>
      <c r="F604" s="1" t="s">
        <v>5818</v>
      </c>
      <c r="G604" s="1" t="s">
        <v>74</v>
      </c>
      <c r="H604" s="1" t="s">
        <v>74</v>
      </c>
      <c r="I604" s="1" t="s">
        <v>5819</v>
      </c>
      <c r="J604" s="1" t="s">
        <v>5820</v>
      </c>
      <c r="K604" s="1" t="s">
        <v>74</v>
      </c>
      <c r="L604" s="1" t="s">
        <v>74</v>
      </c>
      <c r="M604" s="1" t="s">
        <v>74</v>
      </c>
      <c r="N604" s="1" t="s">
        <v>74</v>
      </c>
      <c r="O604" s="1" t="s">
        <v>74</v>
      </c>
      <c r="P604" s="1" t="s">
        <v>74</v>
      </c>
      <c r="Q604" s="1" t="s">
        <v>74</v>
      </c>
      <c r="R604" s="1" t="s">
        <v>74</v>
      </c>
      <c r="S604" s="1" t="s">
        <v>74</v>
      </c>
      <c r="T604" s="1" t="s">
        <v>74</v>
      </c>
      <c r="U604" s="1" t="s">
        <v>74</v>
      </c>
      <c r="V604" s="1" t="s">
        <v>5821</v>
      </c>
      <c r="W604" s="1" t="s">
        <v>74</v>
      </c>
      <c r="X604" s="1" t="s">
        <v>74</v>
      </c>
      <c r="Y604" s="1" t="s">
        <v>74</v>
      </c>
      <c r="Z604" s="1" t="s">
        <v>74</v>
      </c>
      <c r="AA604" s="1" t="s">
        <v>5822</v>
      </c>
      <c r="AB604" s="1" t="s">
        <v>5823</v>
      </c>
      <c r="AC604" s="1" t="s">
        <v>74</v>
      </c>
      <c r="AD604" s="1" t="s">
        <v>74</v>
      </c>
      <c r="AE604" s="1" t="s">
        <v>74</v>
      </c>
      <c r="AF604" s="1" t="s">
        <v>74</v>
      </c>
      <c r="AG604" s="1" t="s">
        <v>74</v>
      </c>
      <c r="AH604" s="1" t="s">
        <v>74</v>
      </c>
      <c r="AI604" s="1" t="s">
        <v>74</v>
      </c>
      <c r="AJ604" s="1" t="s">
        <v>74</v>
      </c>
      <c r="AK604" s="1" t="s">
        <v>74</v>
      </c>
      <c r="AL604" s="1" t="s">
        <v>74</v>
      </c>
      <c r="AM604" s="1" t="s">
        <v>74</v>
      </c>
      <c r="AN604" s="1" t="s">
        <v>74</v>
      </c>
      <c r="AO604" s="1" t="s">
        <v>5824</v>
      </c>
      <c r="AP604" s="1" t="s">
        <v>5825</v>
      </c>
      <c r="AQ604" s="1" t="s">
        <v>74</v>
      </c>
      <c r="AR604" s="1" t="s">
        <v>74</v>
      </c>
      <c r="AS604" s="1" t="s">
        <v>74</v>
      </c>
      <c r="AT604" s="1" t="s">
        <v>5826</v>
      </c>
      <c r="AU604" s="1">
        <v>2021.0</v>
      </c>
      <c r="AV604" s="1">
        <v>751.0</v>
      </c>
      <c r="AW604" s="1" t="s">
        <v>74</v>
      </c>
      <c r="AX604" s="1" t="s">
        <v>74</v>
      </c>
      <c r="AY604" s="1" t="s">
        <v>74</v>
      </c>
      <c r="AZ604" s="1" t="s">
        <v>74</v>
      </c>
      <c r="BA604" s="1" t="s">
        <v>74</v>
      </c>
      <c r="BB604" s="1" t="s">
        <v>74</v>
      </c>
      <c r="BC604" s="1" t="s">
        <v>74</v>
      </c>
      <c r="BD604" s="1">
        <v>141623.0</v>
      </c>
      <c r="BE604" s="1" t="s">
        <v>5827</v>
      </c>
      <c r="BF604" s="2" t="str">
        <f>HYPERLINK("http://dx.doi.org/10.1016/j.scitotenv.2020.141623","http://dx.doi.org/10.1016/j.scitotenv.2020.141623")</f>
        <v>http://dx.doi.org/10.1016/j.scitotenv.2020.141623</v>
      </c>
      <c r="BG604" s="1" t="s">
        <v>74</v>
      </c>
      <c r="BH604" s="1" t="s">
        <v>74</v>
      </c>
      <c r="BI604" s="1" t="s">
        <v>74</v>
      </c>
      <c r="BJ604" s="1" t="s">
        <v>74</v>
      </c>
      <c r="BK604" s="1" t="s">
        <v>74</v>
      </c>
      <c r="BL604" s="1" t="s">
        <v>74</v>
      </c>
      <c r="BM604" s="1" t="s">
        <v>74</v>
      </c>
      <c r="BN604" s="1">
        <v>3.2877793E7</v>
      </c>
      <c r="BO604" s="1" t="s">
        <v>74</v>
      </c>
      <c r="BP604" s="1" t="s">
        <v>74</v>
      </c>
      <c r="BQ604" s="1" t="s">
        <v>74</v>
      </c>
      <c r="BR604" s="1" t="s">
        <v>74</v>
      </c>
      <c r="BS604" s="1" t="s">
        <v>5828</v>
      </c>
      <c r="BT604" s="1" t="str">
        <f>HYPERLINK("https%3A%2F%2Fwww.webofscience.com%2Fwos%2Fwoscc%2Ffull-record%2FWOS:000587300800032","View Full Record in Web of Science")</f>
        <v>View Full Record in Web of Science</v>
      </c>
    </row>
    <row r="605" ht="12.75" customHeight="1">
      <c r="A605" s="1" t="s">
        <v>86</v>
      </c>
      <c r="B605" s="1" t="s">
        <v>5829</v>
      </c>
      <c r="C605" s="1" t="s">
        <v>74</v>
      </c>
      <c r="D605" s="1" t="s">
        <v>5830</v>
      </c>
      <c r="E605" s="1" t="s">
        <v>74</v>
      </c>
      <c r="F605" s="1" t="s">
        <v>5831</v>
      </c>
      <c r="G605" s="1" t="s">
        <v>74</v>
      </c>
      <c r="H605" s="1" t="s">
        <v>74</v>
      </c>
      <c r="I605" s="1" t="s">
        <v>5832</v>
      </c>
      <c r="J605" s="1" t="s">
        <v>5833</v>
      </c>
      <c r="K605" s="1" t="s">
        <v>5834</v>
      </c>
      <c r="L605" s="1" t="s">
        <v>74</v>
      </c>
      <c r="M605" s="1" t="s">
        <v>74</v>
      </c>
      <c r="N605" s="1" t="s">
        <v>74</v>
      </c>
      <c r="O605" s="1" t="s">
        <v>74</v>
      </c>
      <c r="P605" s="1" t="s">
        <v>74</v>
      </c>
      <c r="Q605" s="1" t="s">
        <v>74</v>
      </c>
      <c r="R605" s="1" t="s">
        <v>74</v>
      </c>
      <c r="S605" s="1" t="s">
        <v>74</v>
      </c>
      <c r="T605" s="1" t="s">
        <v>74</v>
      </c>
      <c r="U605" s="1" t="s">
        <v>74</v>
      </c>
      <c r="V605" s="1" t="s">
        <v>74</v>
      </c>
      <c r="W605" s="1" t="s">
        <v>74</v>
      </c>
      <c r="X605" s="1" t="s">
        <v>74</v>
      </c>
      <c r="Y605" s="1" t="s">
        <v>74</v>
      </c>
      <c r="Z605" s="1" t="s">
        <v>74</v>
      </c>
      <c r="AA605" s="1" t="s">
        <v>5835</v>
      </c>
      <c r="AB605" s="1" t="s">
        <v>74</v>
      </c>
      <c r="AC605" s="1" t="s">
        <v>74</v>
      </c>
      <c r="AD605" s="1" t="s">
        <v>74</v>
      </c>
      <c r="AE605" s="1" t="s">
        <v>74</v>
      </c>
      <c r="AF605" s="1" t="s">
        <v>74</v>
      </c>
      <c r="AG605" s="1" t="s">
        <v>74</v>
      </c>
      <c r="AH605" s="1" t="s">
        <v>74</v>
      </c>
      <c r="AI605" s="1" t="s">
        <v>74</v>
      </c>
      <c r="AJ605" s="1" t="s">
        <v>74</v>
      </c>
      <c r="AK605" s="1" t="s">
        <v>74</v>
      </c>
      <c r="AL605" s="1" t="s">
        <v>74</v>
      </c>
      <c r="AM605" s="1" t="s">
        <v>74</v>
      </c>
      <c r="AN605" s="1" t="s">
        <v>74</v>
      </c>
      <c r="AO605" s="1" t="s">
        <v>74</v>
      </c>
      <c r="AP605" s="1" t="s">
        <v>74</v>
      </c>
      <c r="AQ605" s="1" t="s">
        <v>5836</v>
      </c>
      <c r="AR605" s="1" t="s">
        <v>74</v>
      </c>
      <c r="AS605" s="1" t="s">
        <v>74</v>
      </c>
      <c r="AT605" s="1" t="s">
        <v>74</v>
      </c>
      <c r="AU605" s="1">
        <v>2021.0</v>
      </c>
      <c r="AV605" s="1" t="s">
        <v>74</v>
      </c>
      <c r="AW605" s="1" t="s">
        <v>74</v>
      </c>
      <c r="AX605" s="1" t="s">
        <v>74</v>
      </c>
      <c r="AY605" s="1" t="s">
        <v>74</v>
      </c>
      <c r="AZ605" s="1" t="s">
        <v>74</v>
      </c>
      <c r="BA605" s="1" t="s">
        <v>74</v>
      </c>
      <c r="BB605" s="1">
        <v>239.0</v>
      </c>
      <c r="BC605" s="1">
        <v>259.0</v>
      </c>
      <c r="BD605" s="1" t="s">
        <v>74</v>
      </c>
      <c r="BE605" s="1" t="s">
        <v>74</v>
      </c>
      <c r="BF605" s="1" t="s">
        <v>74</v>
      </c>
      <c r="BG605" s="1" t="s">
        <v>74</v>
      </c>
      <c r="BH605" s="1" t="s">
        <v>74</v>
      </c>
      <c r="BI605" s="1" t="s">
        <v>74</v>
      </c>
      <c r="BJ605" s="1" t="s">
        <v>74</v>
      </c>
      <c r="BK605" s="1" t="s">
        <v>74</v>
      </c>
      <c r="BL605" s="1" t="s">
        <v>74</v>
      </c>
      <c r="BM605" s="1" t="s">
        <v>74</v>
      </c>
      <c r="BN605" s="1" t="s">
        <v>74</v>
      </c>
      <c r="BO605" s="1" t="s">
        <v>74</v>
      </c>
      <c r="BP605" s="1" t="s">
        <v>74</v>
      </c>
      <c r="BQ605" s="1" t="s">
        <v>74</v>
      </c>
      <c r="BR605" s="1" t="s">
        <v>74</v>
      </c>
      <c r="BS605" s="1" t="s">
        <v>5837</v>
      </c>
      <c r="BT605" s="1" t="str">
        <f>HYPERLINK("https%3A%2F%2Fwww.webofscience.com%2Fwos%2Fwoscc%2Ffull-record%2FWOS:000847273400014","View Full Record in Web of Science")</f>
        <v>View Full Record in Web of Science</v>
      </c>
    </row>
    <row r="606" ht="12.75" customHeight="1">
      <c r="A606" s="1" t="s">
        <v>72</v>
      </c>
      <c r="B606" s="1" t="s">
        <v>5838</v>
      </c>
      <c r="C606" s="1" t="s">
        <v>74</v>
      </c>
      <c r="D606" s="1" t="s">
        <v>74</v>
      </c>
      <c r="E606" s="1" t="s">
        <v>74</v>
      </c>
      <c r="F606" s="1" t="s">
        <v>5839</v>
      </c>
      <c r="G606" s="1" t="s">
        <v>74</v>
      </c>
      <c r="H606" s="1" t="s">
        <v>74</v>
      </c>
      <c r="I606" s="1" t="s">
        <v>5840</v>
      </c>
      <c r="J606" s="1" t="s">
        <v>5841</v>
      </c>
      <c r="K606" s="1" t="s">
        <v>74</v>
      </c>
      <c r="L606" s="1" t="s">
        <v>74</v>
      </c>
      <c r="M606" s="1" t="s">
        <v>74</v>
      </c>
      <c r="N606" s="1" t="s">
        <v>74</v>
      </c>
      <c r="O606" s="1" t="s">
        <v>74</v>
      </c>
      <c r="P606" s="1" t="s">
        <v>74</v>
      </c>
      <c r="Q606" s="1" t="s">
        <v>74</v>
      </c>
      <c r="R606" s="1" t="s">
        <v>74</v>
      </c>
      <c r="S606" s="1" t="s">
        <v>74</v>
      </c>
      <c r="T606" s="1" t="s">
        <v>74</v>
      </c>
      <c r="U606" s="1" t="s">
        <v>74</v>
      </c>
      <c r="V606" s="1" t="s">
        <v>5842</v>
      </c>
      <c r="W606" s="1" t="s">
        <v>74</v>
      </c>
      <c r="X606" s="1" t="s">
        <v>74</v>
      </c>
      <c r="Y606" s="1" t="s">
        <v>74</v>
      </c>
      <c r="Z606" s="1" t="s">
        <v>74</v>
      </c>
      <c r="AA606" s="1" t="s">
        <v>74</v>
      </c>
      <c r="AB606" s="1" t="s">
        <v>74</v>
      </c>
      <c r="AC606" s="1" t="s">
        <v>74</v>
      </c>
      <c r="AD606" s="1" t="s">
        <v>74</v>
      </c>
      <c r="AE606" s="1" t="s">
        <v>74</v>
      </c>
      <c r="AF606" s="1" t="s">
        <v>74</v>
      </c>
      <c r="AG606" s="1" t="s">
        <v>74</v>
      </c>
      <c r="AH606" s="1" t="s">
        <v>74</v>
      </c>
      <c r="AI606" s="1" t="s">
        <v>74</v>
      </c>
      <c r="AJ606" s="1" t="s">
        <v>74</v>
      </c>
      <c r="AK606" s="1" t="s">
        <v>74</v>
      </c>
      <c r="AL606" s="1" t="s">
        <v>74</v>
      </c>
      <c r="AM606" s="1" t="s">
        <v>74</v>
      </c>
      <c r="AN606" s="1" t="s">
        <v>74</v>
      </c>
      <c r="AO606" s="1" t="s">
        <v>5843</v>
      </c>
      <c r="AP606" s="1" t="s">
        <v>5844</v>
      </c>
      <c r="AQ606" s="1" t="s">
        <v>74</v>
      </c>
      <c r="AR606" s="1" t="s">
        <v>74</v>
      </c>
      <c r="AS606" s="1" t="s">
        <v>74</v>
      </c>
      <c r="AT606" s="1" t="s">
        <v>74</v>
      </c>
      <c r="AU606" s="1">
        <v>2021.0</v>
      </c>
      <c r="AV606" s="1">
        <v>40.0</v>
      </c>
      <c r="AW606" s="1">
        <v>113.0</v>
      </c>
      <c r="AX606" s="1" t="s">
        <v>74</v>
      </c>
      <c r="AY606" s="1" t="s">
        <v>74</v>
      </c>
      <c r="AZ606" s="1" t="s">
        <v>74</v>
      </c>
      <c r="BA606" s="1" t="s">
        <v>74</v>
      </c>
      <c r="BB606" s="1">
        <v>49.0</v>
      </c>
      <c r="BC606" s="1">
        <v>65.0</v>
      </c>
      <c r="BD606" s="1" t="s">
        <v>74</v>
      </c>
      <c r="BE606" s="1" t="s">
        <v>5845</v>
      </c>
      <c r="BF606" s="2" t="str">
        <f>HYPERLINK("http://dx.doi.org/10.29192/claeh.40.1.4","http://dx.doi.org/10.29192/claeh.40.1.4")</f>
        <v>http://dx.doi.org/10.29192/claeh.40.1.4</v>
      </c>
      <c r="BG606" s="1" t="s">
        <v>74</v>
      </c>
      <c r="BH606" s="1" t="s">
        <v>74</v>
      </c>
      <c r="BI606" s="1" t="s">
        <v>74</v>
      </c>
      <c r="BJ606" s="1" t="s">
        <v>74</v>
      </c>
      <c r="BK606" s="1" t="s">
        <v>74</v>
      </c>
      <c r="BL606" s="1" t="s">
        <v>74</v>
      </c>
      <c r="BM606" s="1" t="s">
        <v>74</v>
      </c>
      <c r="BN606" s="1" t="s">
        <v>74</v>
      </c>
      <c r="BO606" s="1" t="s">
        <v>74</v>
      </c>
      <c r="BP606" s="1" t="s">
        <v>74</v>
      </c>
      <c r="BQ606" s="1" t="s">
        <v>74</v>
      </c>
      <c r="BR606" s="1" t="s">
        <v>74</v>
      </c>
      <c r="BS606" s="1" t="s">
        <v>5846</v>
      </c>
      <c r="BT606" s="1" t="str">
        <f>HYPERLINK("https%3A%2F%2Fwww.webofscience.com%2Fwos%2Fwoscc%2Ffull-record%2FWOS:000668565600004","View Full Record in Web of Science")</f>
        <v>View Full Record in Web of Science</v>
      </c>
    </row>
    <row r="607" ht="12.75" customHeight="1">
      <c r="A607" s="1" t="s">
        <v>72</v>
      </c>
      <c r="B607" s="1" t="s">
        <v>2088</v>
      </c>
      <c r="C607" s="1" t="s">
        <v>74</v>
      </c>
      <c r="D607" s="1" t="s">
        <v>74</v>
      </c>
      <c r="E607" s="1" t="s">
        <v>74</v>
      </c>
      <c r="F607" s="1" t="s">
        <v>2089</v>
      </c>
      <c r="G607" s="1" t="s">
        <v>74</v>
      </c>
      <c r="H607" s="1" t="s">
        <v>74</v>
      </c>
      <c r="I607" s="1" t="s">
        <v>5847</v>
      </c>
      <c r="J607" s="1" t="s">
        <v>2091</v>
      </c>
      <c r="K607" s="1" t="s">
        <v>74</v>
      </c>
      <c r="L607" s="1" t="s">
        <v>74</v>
      </c>
      <c r="M607" s="1" t="s">
        <v>74</v>
      </c>
      <c r="N607" s="1" t="s">
        <v>74</v>
      </c>
      <c r="O607" s="1" t="s">
        <v>74</v>
      </c>
      <c r="P607" s="1" t="s">
        <v>74</v>
      </c>
      <c r="Q607" s="1" t="s">
        <v>74</v>
      </c>
      <c r="R607" s="1" t="s">
        <v>74</v>
      </c>
      <c r="S607" s="1" t="s">
        <v>74</v>
      </c>
      <c r="T607" s="1" t="s">
        <v>74</v>
      </c>
      <c r="U607" s="1" t="s">
        <v>74</v>
      </c>
      <c r="V607" s="1" t="s">
        <v>5848</v>
      </c>
      <c r="W607" s="1" t="s">
        <v>74</v>
      </c>
      <c r="X607" s="1" t="s">
        <v>74</v>
      </c>
      <c r="Y607" s="1" t="s">
        <v>74</v>
      </c>
      <c r="Z607" s="1" t="s">
        <v>74</v>
      </c>
      <c r="AA607" s="1" t="s">
        <v>74</v>
      </c>
      <c r="AB607" s="1" t="s">
        <v>74</v>
      </c>
      <c r="AC607" s="1" t="s">
        <v>74</v>
      </c>
      <c r="AD607" s="1" t="s">
        <v>74</v>
      </c>
      <c r="AE607" s="1" t="s">
        <v>74</v>
      </c>
      <c r="AF607" s="1" t="s">
        <v>74</v>
      </c>
      <c r="AG607" s="1" t="s">
        <v>74</v>
      </c>
      <c r="AH607" s="1" t="s">
        <v>74</v>
      </c>
      <c r="AI607" s="1" t="s">
        <v>74</v>
      </c>
      <c r="AJ607" s="1" t="s">
        <v>74</v>
      </c>
      <c r="AK607" s="1" t="s">
        <v>74</v>
      </c>
      <c r="AL607" s="1" t="s">
        <v>74</v>
      </c>
      <c r="AM607" s="1" t="s">
        <v>74</v>
      </c>
      <c r="AN607" s="1" t="s">
        <v>74</v>
      </c>
      <c r="AO607" s="1" t="s">
        <v>2093</v>
      </c>
      <c r="AP607" s="1" t="s">
        <v>74</v>
      </c>
      <c r="AQ607" s="1" t="s">
        <v>74</v>
      </c>
      <c r="AR607" s="1" t="s">
        <v>74</v>
      </c>
      <c r="AS607" s="1" t="s">
        <v>74</v>
      </c>
      <c r="AT607" s="1" t="s">
        <v>930</v>
      </c>
      <c r="AU607" s="1">
        <v>2020.0</v>
      </c>
      <c r="AV607" s="1">
        <v>87.0</v>
      </c>
      <c r="AW607" s="1">
        <v>348.0</v>
      </c>
      <c r="AX607" s="1" t="s">
        <v>74</v>
      </c>
      <c r="AY607" s="1" t="s">
        <v>74</v>
      </c>
      <c r="AZ607" s="1" t="s">
        <v>74</v>
      </c>
      <c r="BA607" s="1" t="s">
        <v>74</v>
      </c>
      <c r="BB607" s="1">
        <v>985.0</v>
      </c>
      <c r="BC607" s="1">
        <v>1031.0</v>
      </c>
      <c r="BD607" s="1" t="s">
        <v>74</v>
      </c>
      <c r="BE607" s="1" t="s">
        <v>5849</v>
      </c>
      <c r="BF607" s="2" t="str">
        <f>HYPERLINK("http://dx.doi.org/10.20430/ete.v87i348.1146","http://dx.doi.org/10.20430/ete.v87i348.1146")</f>
        <v>http://dx.doi.org/10.20430/ete.v87i348.1146</v>
      </c>
      <c r="BG607" s="1" t="s">
        <v>74</v>
      </c>
      <c r="BH607" s="1" t="s">
        <v>74</v>
      </c>
      <c r="BI607" s="1" t="s">
        <v>74</v>
      </c>
      <c r="BJ607" s="1" t="s">
        <v>74</v>
      </c>
      <c r="BK607" s="1" t="s">
        <v>74</v>
      </c>
      <c r="BL607" s="1" t="s">
        <v>74</v>
      </c>
      <c r="BM607" s="1" t="s">
        <v>74</v>
      </c>
      <c r="BN607" s="1" t="s">
        <v>74</v>
      </c>
      <c r="BO607" s="1" t="s">
        <v>74</v>
      </c>
      <c r="BP607" s="1" t="s">
        <v>74</v>
      </c>
      <c r="BQ607" s="1" t="s">
        <v>74</v>
      </c>
      <c r="BR607" s="1" t="s">
        <v>74</v>
      </c>
      <c r="BS607" s="1" t="s">
        <v>5850</v>
      </c>
      <c r="BT607" s="1" t="str">
        <f>HYPERLINK("https%3A%2F%2Fwww.webofscience.com%2Fwos%2Fwoscc%2Ffull-record%2FWOS:000579009600004","View Full Record in Web of Science")</f>
        <v>View Full Record in Web of Science</v>
      </c>
    </row>
    <row r="608" ht="12.75" customHeight="1">
      <c r="A608" s="1" t="s">
        <v>72</v>
      </c>
      <c r="B608" s="1" t="s">
        <v>5851</v>
      </c>
      <c r="C608" s="1" t="s">
        <v>74</v>
      </c>
      <c r="D608" s="1" t="s">
        <v>74</v>
      </c>
      <c r="E608" s="1" t="s">
        <v>74</v>
      </c>
      <c r="F608" s="1" t="s">
        <v>5852</v>
      </c>
      <c r="G608" s="1" t="s">
        <v>74</v>
      </c>
      <c r="H608" s="1" t="s">
        <v>74</v>
      </c>
      <c r="I608" s="1" t="s">
        <v>5853</v>
      </c>
      <c r="J608" s="1" t="s">
        <v>5854</v>
      </c>
      <c r="K608" s="1" t="s">
        <v>74</v>
      </c>
      <c r="L608" s="1" t="s">
        <v>74</v>
      </c>
      <c r="M608" s="1" t="s">
        <v>74</v>
      </c>
      <c r="N608" s="1" t="s">
        <v>74</v>
      </c>
      <c r="O608" s="1" t="s">
        <v>74</v>
      </c>
      <c r="P608" s="1" t="s">
        <v>74</v>
      </c>
      <c r="Q608" s="1" t="s">
        <v>74</v>
      </c>
      <c r="R608" s="1" t="s">
        <v>74</v>
      </c>
      <c r="S608" s="1" t="s">
        <v>74</v>
      </c>
      <c r="T608" s="1" t="s">
        <v>74</v>
      </c>
      <c r="U608" s="1" t="s">
        <v>74</v>
      </c>
      <c r="V608" s="1" t="s">
        <v>5855</v>
      </c>
      <c r="W608" s="1" t="s">
        <v>74</v>
      </c>
      <c r="X608" s="1" t="s">
        <v>74</v>
      </c>
      <c r="Y608" s="1" t="s">
        <v>74</v>
      </c>
      <c r="Z608" s="1" t="s">
        <v>74</v>
      </c>
      <c r="AA608" s="1" t="s">
        <v>5856</v>
      </c>
      <c r="AB608" s="1" t="s">
        <v>5857</v>
      </c>
      <c r="AC608" s="1" t="s">
        <v>74</v>
      </c>
      <c r="AD608" s="1" t="s">
        <v>74</v>
      </c>
      <c r="AE608" s="1" t="s">
        <v>74</v>
      </c>
      <c r="AF608" s="1" t="s">
        <v>74</v>
      </c>
      <c r="AG608" s="1" t="s">
        <v>74</v>
      </c>
      <c r="AH608" s="1" t="s">
        <v>74</v>
      </c>
      <c r="AI608" s="1" t="s">
        <v>74</v>
      </c>
      <c r="AJ608" s="1" t="s">
        <v>74</v>
      </c>
      <c r="AK608" s="1" t="s">
        <v>74</v>
      </c>
      <c r="AL608" s="1" t="s">
        <v>74</v>
      </c>
      <c r="AM608" s="1" t="s">
        <v>74</v>
      </c>
      <c r="AN608" s="1" t="s">
        <v>74</v>
      </c>
      <c r="AO608" s="1" t="s">
        <v>5858</v>
      </c>
      <c r="AP608" s="1" t="s">
        <v>5859</v>
      </c>
      <c r="AQ608" s="1" t="s">
        <v>74</v>
      </c>
      <c r="AR608" s="1" t="s">
        <v>74</v>
      </c>
      <c r="AS608" s="1" t="s">
        <v>74</v>
      </c>
      <c r="AT608" s="1" t="s">
        <v>112</v>
      </c>
      <c r="AU608" s="1">
        <v>2020.0</v>
      </c>
      <c r="AV608" s="1">
        <v>40.0</v>
      </c>
      <c r="AW608" s="1">
        <v>4.0</v>
      </c>
      <c r="AX608" s="1" t="s">
        <v>74</v>
      </c>
      <c r="AY608" s="1" t="s">
        <v>74</v>
      </c>
      <c r="AZ608" s="1" t="s">
        <v>74</v>
      </c>
      <c r="BA608" s="1" t="s">
        <v>74</v>
      </c>
      <c r="BB608" s="1">
        <v>494.0</v>
      </c>
      <c r="BC608" s="1">
        <v>509.0</v>
      </c>
      <c r="BD608" s="1">
        <v>2.63395720914571E14</v>
      </c>
      <c r="BE608" s="1" t="s">
        <v>5860</v>
      </c>
      <c r="BF608" s="2" t="str">
        <f>HYPERLINK("http://dx.doi.org/10.1177/0263395720914571","http://dx.doi.org/10.1177/0263395720914571")</f>
        <v>http://dx.doi.org/10.1177/0263395720914571</v>
      </c>
      <c r="BG608" s="1" t="s">
        <v>74</v>
      </c>
      <c r="BH608" s="1" t="s">
        <v>5861</v>
      </c>
      <c r="BI608" s="1" t="s">
        <v>74</v>
      </c>
      <c r="BJ608" s="1" t="s">
        <v>74</v>
      </c>
      <c r="BK608" s="1" t="s">
        <v>74</v>
      </c>
      <c r="BL608" s="1" t="s">
        <v>74</v>
      </c>
      <c r="BM608" s="1" t="s">
        <v>74</v>
      </c>
      <c r="BN608" s="1" t="s">
        <v>74</v>
      </c>
      <c r="BO608" s="1" t="s">
        <v>74</v>
      </c>
      <c r="BP608" s="1" t="s">
        <v>74</v>
      </c>
      <c r="BQ608" s="1" t="s">
        <v>74</v>
      </c>
      <c r="BR608" s="1" t="s">
        <v>74</v>
      </c>
      <c r="BS608" s="1" t="s">
        <v>5862</v>
      </c>
      <c r="BT608" s="1" t="str">
        <f>HYPERLINK("https%3A%2F%2Fwww.webofscience.com%2Fwos%2Fwoscc%2Ffull-record%2FWOS:000523119900001","View Full Record in Web of Science")</f>
        <v>View Full Record in Web of Science</v>
      </c>
    </row>
    <row r="609" ht="12.75" customHeight="1">
      <c r="A609" s="1" t="s">
        <v>72</v>
      </c>
      <c r="B609" s="1" t="s">
        <v>5863</v>
      </c>
      <c r="C609" s="1" t="s">
        <v>74</v>
      </c>
      <c r="D609" s="1" t="s">
        <v>74</v>
      </c>
      <c r="E609" s="1" t="s">
        <v>74</v>
      </c>
      <c r="F609" s="1" t="s">
        <v>5864</v>
      </c>
      <c r="G609" s="1" t="s">
        <v>74</v>
      </c>
      <c r="H609" s="1" t="s">
        <v>74</v>
      </c>
      <c r="I609" s="1" t="s">
        <v>5865</v>
      </c>
      <c r="J609" s="1" t="s">
        <v>2393</v>
      </c>
      <c r="K609" s="1" t="s">
        <v>74</v>
      </c>
      <c r="L609" s="1" t="s">
        <v>74</v>
      </c>
      <c r="M609" s="1" t="s">
        <v>74</v>
      </c>
      <c r="N609" s="1" t="s">
        <v>74</v>
      </c>
      <c r="O609" s="1" t="s">
        <v>74</v>
      </c>
      <c r="P609" s="1" t="s">
        <v>74</v>
      </c>
      <c r="Q609" s="1" t="s">
        <v>74</v>
      </c>
      <c r="R609" s="1" t="s">
        <v>74</v>
      </c>
      <c r="S609" s="1" t="s">
        <v>74</v>
      </c>
      <c r="T609" s="1" t="s">
        <v>74</v>
      </c>
      <c r="U609" s="1" t="s">
        <v>74</v>
      </c>
      <c r="V609" s="1" t="s">
        <v>5866</v>
      </c>
      <c r="W609" s="1" t="s">
        <v>74</v>
      </c>
      <c r="X609" s="1" t="s">
        <v>74</v>
      </c>
      <c r="Y609" s="1" t="s">
        <v>74</v>
      </c>
      <c r="Z609" s="1" t="s">
        <v>74</v>
      </c>
      <c r="AA609" s="1" t="s">
        <v>5867</v>
      </c>
      <c r="AB609" s="1" t="s">
        <v>5868</v>
      </c>
      <c r="AC609" s="1" t="s">
        <v>74</v>
      </c>
      <c r="AD609" s="1" t="s">
        <v>74</v>
      </c>
      <c r="AE609" s="1" t="s">
        <v>74</v>
      </c>
      <c r="AF609" s="1" t="s">
        <v>74</v>
      </c>
      <c r="AG609" s="1" t="s">
        <v>74</v>
      </c>
      <c r="AH609" s="1" t="s">
        <v>74</v>
      </c>
      <c r="AI609" s="1" t="s">
        <v>74</v>
      </c>
      <c r="AJ609" s="1" t="s">
        <v>74</v>
      </c>
      <c r="AK609" s="1" t="s">
        <v>74</v>
      </c>
      <c r="AL609" s="1" t="s">
        <v>74</v>
      </c>
      <c r="AM609" s="1" t="s">
        <v>74</v>
      </c>
      <c r="AN609" s="1" t="s">
        <v>74</v>
      </c>
      <c r="AO609" s="1" t="s">
        <v>2397</v>
      </c>
      <c r="AP609" s="1" t="s">
        <v>2398</v>
      </c>
      <c r="AQ609" s="1" t="s">
        <v>74</v>
      </c>
      <c r="AR609" s="1" t="s">
        <v>74</v>
      </c>
      <c r="AS609" s="1" t="s">
        <v>74</v>
      </c>
      <c r="AT609" s="1" t="s">
        <v>5869</v>
      </c>
      <c r="AU609" s="1">
        <v>2020.0</v>
      </c>
      <c r="AV609" s="1">
        <v>381.0</v>
      </c>
      <c r="AW609" s="1" t="s">
        <v>74</v>
      </c>
      <c r="AX609" s="1" t="s">
        <v>74</v>
      </c>
      <c r="AY609" s="1" t="s">
        <v>74</v>
      </c>
      <c r="AZ609" s="1" t="s">
        <v>74</v>
      </c>
      <c r="BA609" s="1" t="s">
        <v>74</v>
      </c>
      <c r="BB609" s="1" t="s">
        <v>74</v>
      </c>
      <c r="BC609" s="1" t="s">
        <v>74</v>
      </c>
      <c r="BD609" s="1">
        <v>122674.0</v>
      </c>
      <c r="BE609" s="1" t="s">
        <v>5870</v>
      </c>
      <c r="BF609" s="2" t="str">
        <f>HYPERLINK("http://dx.doi.org/10.1016/j.cej.2019.122674","http://dx.doi.org/10.1016/j.cej.2019.122674")</f>
        <v>http://dx.doi.org/10.1016/j.cej.2019.122674</v>
      </c>
      <c r="BG609" s="1" t="s">
        <v>74</v>
      </c>
      <c r="BH609" s="1" t="s">
        <v>74</v>
      </c>
      <c r="BI609" s="1" t="s">
        <v>74</v>
      </c>
      <c r="BJ609" s="1" t="s">
        <v>74</v>
      </c>
      <c r="BK609" s="1" t="s">
        <v>74</v>
      </c>
      <c r="BL609" s="1" t="s">
        <v>74</v>
      </c>
      <c r="BM609" s="1" t="s">
        <v>74</v>
      </c>
      <c r="BN609" s="1" t="s">
        <v>74</v>
      </c>
      <c r="BO609" s="1" t="s">
        <v>74</v>
      </c>
      <c r="BP609" s="1" t="s">
        <v>74</v>
      </c>
      <c r="BQ609" s="1" t="s">
        <v>74</v>
      </c>
      <c r="BR609" s="1" t="s">
        <v>74</v>
      </c>
      <c r="BS609" s="1" t="s">
        <v>5871</v>
      </c>
      <c r="BT609" s="1" t="str">
        <f>HYPERLINK("https%3A%2F%2Fwww.webofscience.com%2Fwos%2Fwoscc%2Ffull-record%2FWOS:000499066900037","View Full Record in Web of Science")</f>
        <v>View Full Record in Web of Science</v>
      </c>
    </row>
    <row r="610" ht="12.75" customHeight="1">
      <c r="A610" s="1" t="s">
        <v>147</v>
      </c>
      <c r="B610" s="1" t="s">
        <v>5872</v>
      </c>
      <c r="C610" s="1" t="s">
        <v>74</v>
      </c>
      <c r="D610" s="1" t="s">
        <v>74</v>
      </c>
      <c r="E610" s="1" t="s">
        <v>793</v>
      </c>
      <c r="F610" s="1" t="s">
        <v>5873</v>
      </c>
      <c r="G610" s="1" t="s">
        <v>74</v>
      </c>
      <c r="H610" s="1" t="s">
        <v>74</v>
      </c>
      <c r="I610" s="1" t="s">
        <v>5874</v>
      </c>
      <c r="J610" s="1" t="s">
        <v>5875</v>
      </c>
      <c r="K610" s="1" t="s">
        <v>3110</v>
      </c>
      <c r="L610" s="1" t="s">
        <v>74</v>
      </c>
      <c r="M610" s="1" t="s">
        <v>74</v>
      </c>
      <c r="N610" s="1" t="s">
        <v>74</v>
      </c>
      <c r="O610" s="1" t="s">
        <v>5876</v>
      </c>
      <c r="P610" s="1" t="s">
        <v>5877</v>
      </c>
      <c r="Q610" s="1" t="s">
        <v>5878</v>
      </c>
      <c r="R610" s="1" t="s">
        <v>5879</v>
      </c>
      <c r="S610" s="1" t="s">
        <v>5880</v>
      </c>
      <c r="T610" s="1" t="s">
        <v>74</v>
      </c>
      <c r="U610" s="1" t="s">
        <v>74</v>
      </c>
      <c r="V610" s="1" t="s">
        <v>5881</v>
      </c>
      <c r="W610" s="1" t="s">
        <v>74</v>
      </c>
      <c r="X610" s="1" t="s">
        <v>74</v>
      </c>
      <c r="Y610" s="1" t="s">
        <v>74</v>
      </c>
      <c r="Z610" s="1" t="s">
        <v>74</v>
      </c>
      <c r="AA610" s="1" t="s">
        <v>5882</v>
      </c>
      <c r="AB610" s="1" t="s">
        <v>5883</v>
      </c>
      <c r="AC610" s="1" t="s">
        <v>74</v>
      </c>
      <c r="AD610" s="1" t="s">
        <v>74</v>
      </c>
      <c r="AE610" s="1" t="s">
        <v>74</v>
      </c>
      <c r="AF610" s="1" t="s">
        <v>74</v>
      </c>
      <c r="AG610" s="1" t="s">
        <v>74</v>
      </c>
      <c r="AH610" s="1" t="s">
        <v>74</v>
      </c>
      <c r="AI610" s="1" t="s">
        <v>74</v>
      </c>
      <c r="AJ610" s="1" t="s">
        <v>74</v>
      </c>
      <c r="AK610" s="1" t="s">
        <v>74</v>
      </c>
      <c r="AL610" s="1" t="s">
        <v>74</v>
      </c>
      <c r="AM610" s="1" t="s">
        <v>74</v>
      </c>
      <c r="AN610" s="1" t="s">
        <v>74</v>
      </c>
      <c r="AO610" s="1" t="s">
        <v>3117</v>
      </c>
      <c r="AP610" s="1" t="s">
        <v>74</v>
      </c>
      <c r="AQ610" s="1" t="s">
        <v>5884</v>
      </c>
      <c r="AR610" s="1" t="s">
        <v>74</v>
      </c>
      <c r="AS610" s="1" t="s">
        <v>74</v>
      </c>
      <c r="AT610" s="1" t="s">
        <v>74</v>
      </c>
      <c r="AU610" s="1">
        <v>2020.0</v>
      </c>
      <c r="AV610" s="1" t="s">
        <v>74</v>
      </c>
      <c r="AW610" s="1" t="s">
        <v>74</v>
      </c>
      <c r="AX610" s="1" t="s">
        <v>74</v>
      </c>
      <c r="AY610" s="1" t="s">
        <v>74</v>
      </c>
      <c r="AZ610" s="1" t="s">
        <v>74</v>
      </c>
      <c r="BA610" s="1" t="s">
        <v>74</v>
      </c>
      <c r="BB610" s="1" t="s">
        <v>74</v>
      </c>
      <c r="BC610" s="1" t="s">
        <v>74</v>
      </c>
      <c r="BD610" s="1" t="s">
        <v>74</v>
      </c>
      <c r="BE610" s="1" t="s">
        <v>5885</v>
      </c>
      <c r="BF610" s="2" t="str">
        <f>HYPERLINK("http://dx.doi.org/10.1109/sccc51225.2020.9281149","http://dx.doi.org/10.1109/sccc51225.2020.9281149")</f>
        <v>http://dx.doi.org/10.1109/sccc51225.2020.9281149</v>
      </c>
      <c r="BG610" s="1" t="s">
        <v>74</v>
      </c>
      <c r="BH610" s="1" t="s">
        <v>74</v>
      </c>
      <c r="BI610" s="1" t="s">
        <v>74</v>
      </c>
      <c r="BJ610" s="1" t="s">
        <v>74</v>
      </c>
      <c r="BK610" s="1" t="s">
        <v>74</v>
      </c>
      <c r="BL610" s="1" t="s">
        <v>74</v>
      </c>
      <c r="BM610" s="1" t="s">
        <v>74</v>
      </c>
      <c r="BN610" s="1" t="s">
        <v>74</v>
      </c>
      <c r="BO610" s="1" t="s">
        <v>74</v>
      </c>
      <c r="BP610" s="1" t="s">
        <v>74</v>
      </c>
      <c r="BQ610" s="1" t="s">
        <v>74</v>
      </c>
      <c r="BR610" s="1" t="s">
        <v>74</v>
      </c>
      <c r="BS610" s="1" t="s">
        <v>5886</v>
      </c>
      <c r="BT610" s="1" t="str">
        <f>HYPERLINK("https%3A%2F%2Fwww.webofscience.com%2Fwos%2Fwoscc%2Ffull-record%2FWOS:000848755600003","View Full Record in Web of Science")</f>
        <v>View Full Record in Web of Science</v>
      </c>
    </row>
    <row r="611" ht="12.75" customHeight="1">
      <c r="A611" s="1" t="s">
        <v>72</v>
      </c>
      <c r="B611" s="1" t="s">
        <v>4462</v>
      </c>
      <c r="C611" s="1" t="s">
        <v>74</v>
      </c>
      <c r="D611" s="1" t="s">
        <v>74</v>
      </c>
      <c r="E611" s="1" t="s">
        <v>74</v>
      </c>
      <c r="F611" s="1" t="s">
        <v>4463</v>
      </c>
      <c r="G611" s="1" t="s">
        <v>74</v>
      </c>
      <c r="H611" s="1" t="s">
        <v>74</v>
      </c>
      <c r="I611" s="1" t="s">
        <v>5887</v>
      </c>
      <c r="J611" s="1" t="s">
        <v>5888</v>
      </c>
      <c r="K611" s="1" t="s">
        <v>74</v>
      </c>
      <c r="L611" s="1" t="s">
        <v>74</v>
      </c>
      <c r="M611" s="1" t="s">
        <v>74</v>
      </c>
      <c r="N611" s="1" t="s">
        <v>74</v>
      </c>
      <c r="O611" s="1" t="s">
        <v>74</v>
      </c>
      <c r="P611" s="1" t="s">
        <v>74</v>
      </c>
      <c r="Q611" s="1" t="s">
        <v>74</v>
      </c>
      <c r="R611" s="1" t="s">
        <v>74</v>
      </c>
      <c r="S611" s="1" t="s">
        <v>74</v>
      </c>
      <c r="T611" s="1" t="s">
        <v>74</v>
      </c>
      <c r="U611" s="1" t="s">
        <v>74</v>
      </c>
      <c r="V611" s="1" t="s">
        <v>5889</v>
      </c>
      <c r="W611" s="1" t="s">
        <v>74</v>
      </c>
      <c r="X611" s="1" t="s">
        <v>74</v>
      </c>
      <c r="Y611" s="1" t="s">
        <v>74</v>
      </c>
      <c r="Z611" s="1" t="s">
        <v>74</v>
      </c>
      <c r="AA611" s="1" t="s">
        <v>1403</v>
      </c>
      <c r="AB611" s="1" t="s">
        <v>787</v>
      </c>
      <c r="AC611" s="1" t="s">
        <v>74</v>
      </c>
      <c r="AD611" s="1" t="s">
        <v>74</v>
      </c>
      <c r="AE611" s="1" t="s">
        <v>74</v>
      </c>
      <c r="AF611" s="1" t="s">
        <v>74</v>
      </c>
      <c r="AG611" s="1" t="s">
        <v>74</v>
      </c>
      <c r="AH611" s="1" t="s">
        <v>74</v>
      </c>
      <c r="AI611" s="1" t="s">
        <v>74</v>
      </c>
      <c r="AJ611" s="1" t="s">
        <v>74</v>
      </c>
      <c r="AK611" s="1" t="s">
        <v>74</v>
      </c>
      <c r="AL611" s="1" t="s">
        <v>74</v>
      </c>
      <c r="AM611" s="1" t="s">
        <v>74</v>
      </c>
      <c r="AN611" s="1" t="s">
        <v>74</v>
      </c>
      <c r="AO611" s="1" t="s">
        <v>5890</v>
      </c>
      <c r="AP611" s="1" t="s">
        <v>5891</v>
      </c>
      <c r="AQ611" s="1" t="s">
        <v>74</v>
      </c>
      <c r="AR611" s="1" t="s">
        <v>74</v>
      </c>
      <c r="AS611" s="1" t="s">
        <v>74</v>
      </c>
      <c r="AT611" s="1" t="s">
        <v>277</v>
      </c>
      <c r="AU611" s="1">
        <v>2020.0</v>
      </c>
      <c r="AV611" s="1">
        <v>40.0</v>
      </c>
      <c r="AW611" s="1">
        <v>1.0</v>
      </c>
      <c r="AX611" s="1" t="s">
        <v>74</v>
      </c>
      <c r="AY611" s="1" t="s">
        <v>74</v>
      </c>
      <c r="AZ611" s="1" t="s">
        <v>74</v>
      </c>
      <c r="BA611" s="1" t="s">
        <v>74</v>
      </c>
      <c r="BB611" s="1">
        <v>509.0</v>
      </c>
      <c r="BC611" s="1">
        <v>528.0</v>
      </c>
      <c r="BD611" s="1" t="s">
        <v>74</v>
      </c>
      <c r="BE611" s="1" t="s">
        <v>5892</v>
      </c>
      <c r="BF611" s="2" t="str">
        <f>HYPERLINK("http://dx.doi.org/10.3934/dcds.2020020","http://dx.doi.org/10.3934/dcds.2020020")</f>
        <v>http://dx.doi.org/10.3934/dcds.2020020</v>
      </c>
      <c r="BG611" s="1" t="s">
        <v>74</v>
      </c>
      <c r="BH611" s="1" t="s">
        <v>74</v>
      </c>
      <c r="BI611" s="1" t="s">
        <v>74</v>
      </c>
      <c r="BJ611" s="1" t="s">
        <v>74</v>
      </c>
      <c r="BK611" s="1" t="s">
        <v>74</v>
      </c>
      <c r="BL611" s="1" t="s">
        <v>74</v>
      </c>
      <c r="BM611" s="1" t="s">
        <v>74</v>
      </c>
      <c r="BN611" s="1" t="s">
        <v>74</v>
      </c>
      <c r="BO611" s="1" t="s">
        <v>74</v>
      </c>
      <c r="BP611" s="1" t="s">
        <v>74</v>
      </c>
      <c r="BQ611" s="1" t="s">
        <v>74</v>
      </c>
      <c r="BR611" s="1" t="s">
        <v>74</v>
      </c>
      <c r="BS611" s="1" t="s">
        <v>5893</v>
      </c>
      <c r="BT611" s="1" t="str">
        <f>HYPERLINK("https%3A%2F%2Fwww.webofscience.com%2Fwos%2Fwoscc%2Ffull-record%2FWOS:000496748500020","View Full Record in Web of Science")</f>
        <v>View Full Record in Web of Science</v>
      </c>
    </row>
    <row r="612" ht="12.75" customHeight="1">
      <c r="A612" s="1" t="s">
        <v>72</v>
      </c>
      <c r="B612" s="1" t="s">
        <v>5894</v>
      </c>
      <c r="C612" s="1" t="s">
        <v>74</v>
      </c>
      <c r="D612" s="1" t="s">
        <v>74</v>
      </c>
      <c r="E612" s="1" t="s">
        <v>74</v>
      </c>
      <c r="F612" s="1" t="s">
        <v>5895</v>
      </c>
      <c r="G612" s="1" t="s">
        <v>74</v>
      </c>
      <c r="H612" s="1" t="s">
        <v>74</v>
      </c>
      <c r="I612" s="1" t="s">
        <v>5896</v>
      </c>
      <c r="J612" s="1" t="s">
        <v>4787</v>
      </c>
      <c r="K612" s="1" t="s">
        <v>74</v>
      </c>
      <c r="L612" s="1" t="s">
        <v>74</v>
      </c>
      <c r="M612" s="1" t="s">
        <v>74</v>
      </c>
      <c r="N612" s="1" t="s">
        <v>74</v>
      </c>
      <c r="O612" s="1" t="s">
        <v>74</v>
      </c>
      <c r="P612" s="1" t="s">
        <v>74</v>
      </c>
      <c r="Q612" s="1" t="s">
        <v>74</v>
      </c>
      <c r="R612" s="1" t="s">
        <v>74</v>
      </c>
      <c r="S612" s="1" t="s">
        <v>74</v>
      </c>
      <c r="T612" s="1" t="s">
        <v>74</v>
      </c>
      <c r="U612" s="1" t="s">
        <v>74</v>
      </c>
      <c r="V612" s="1" t="s">
        <v>5897</v>
      </c>
      <c r="W612" s="1" t="s">
        <v>74</v>
      </c>
      <c r="X612" s="1" t="s">
        <v>74</v>
      </c>
      <c r="Y612" s="1" t="s">
        <v>74</v>
      </c>
      <c r="Z612" s="1" t="s">
        <v>74</v>
      </c>
      <c r="AA612" s="1" t="s">
        <v>74</v>
      </c>
      <c r="AB612" s="1" t="s">
        <v>74</v>
      </c>
      <c r="AC612" s="1" t="s">
        <v>74</v>
      </c>
      <c r="AD612" s="1" t="s">
        <v>74</v>
      </c>
      <c r="AE612" s="1" t="s">
        <v>74</v>
      </c>
      <c r="AF612" s="1" t="s">
        <v>74</v>
      </c>
      <c r="AG612" s="1" t="s">
        <v>74</v>
      </c>
      <c r="AH612" s="1" t="s">
        <v>74</v>
      </c>
      <c r="AI612" s="1" t="s">
        <v>74</v>
      </c>
      <c r="AJ612" s="1" t="s">
        <v>74</v>
      </c>
      <c r="AK612" s="1" t="s">
        <v>74</v>
      </c>
      <c r="AL612" s="1" t="s">
        <v>74</v>
      </c>
      <c r="AM612" s="1" t="s">
        <v>74</v>
      </c>
      <c r="AN612" s="1" t="s">
        <v>74</v>
      </c>
      <c r="AO612" s="1" t="s">
        <v>4791</v>
      </c>
      <c r="AP612" s="1" t="s">
        <v>74</v>
      </c>
      <c r="AQ612" s="1" t="s">
        <v>74</v>
      </c>
      <c r="AR612" s="1" t="s">
        <v>74</v>
      </c>
      <c r="AS612" s="1" t="s">
        <v>74</v>
      </c>
      <c r="AT612" s="1" t="s">
        <v>415</v>
      </c>
      <c r="AU612" s="1">
        <v>2019.0</v>
      </c>
      <c r="AV612" s="1">
        <v>46.0</v>
      </c>
      <c r="AW612" s="1">
        <v>3.0</v>
      </c>
      <c r="AX612" s="1" t="s">
        <v>74</v>
      </c>
      <c r="AY612" s="1" t="s">
        <v>74</v>
      </c>
      <c r="AZ612" s="1" t="s">
        <v>74</v>
      </c>
      <c r="BA612" s="1" t="s">
        <v>74</v>
      </c>
      <c r="BB612" s="1">
        <v>220.0</v>
      </c>
      <c r="BC612" s="1">
        <v>233.0</v>
      </c>
      <c r="BD612" s="1" t="s">
        <v>74</v>
      </c>
      <c r="BE612" s="1" t="s">
        <v>5898</v>
      </c>
      <c r="BF612" s="2" t="str">
        <f>HYPERLINK("http://dx.doi.org/10.7764/rcia.v46i3.1956","http://dx.doi.org/10.7764/rcia.v46i3.1956")</f>
        <v>http://dx.doi.org/10.7764/rcia.v46i3.1956</v>
      </c>
      <c r="BG612" s="1" t="s">
        <v>74</v>
      </c>
      <c r="BH612" s="1" t="s">
        <v>74</v>
      </c>
      <c r="BI612" s="1" t="s">
        <v>74</v>
      </c>
      <c r="BJ612" s="1" t="s">
        <v>74</v>
      </c>
      <c r="BK612" s="1" t="s">
        <v>74</v>
      </c>
      <c r="BL612" s="1" t="s">
        <v>74</v>
      </c>
      <c r="BM612" s="1" t="s">
        <v>74</v>
      </c>
      <c r="BN612" s="1" t="s">
        <v>74</v>
      </c>
      <c r="BO612" s="1" t="s">
        <v>74</v>
      </c>
      <c r="BP612" s="1" t="s">
        <v>74</v>
      </c>
      <c r="BQ612" s="1" t="s">
        <v>74</v>
      </c>
      <c r="BR612" s="1" t="s">
        <v>74</v>
      </c>
      <c r="BS612" s="1" t="s">
        <v>5899</v>
      </c>
      <c r="BT612" s="1" t="str">
        <f>HYPERLINK("https%3A%2F%2Fwww.webofscience.com%2Fwos%2Fwoscc%2Ffull-record%2FWOS:000508000400001","View Full Record in Web of Science")</f>
        <v>View Full Record in Web of Science</v>
      </c>
    </row>
    <row r="613" ht="12.75" customHeight="1">
      <c r="A613" s="1" t="s">
        <v>72</v>
      </c>
      <c r="B613" s="1" t="s">
        <v>5900</v>
      </c>
      <c r="C613" s="1" t="s">
        <v>74</v>
      </c>
      <c r="D613" s="1" t="s">
        <v>74</v>
      </c>
      <c r="E613" s="1" t="s">
        <v>74</v>
      </c>
      <c r="F613" s="1" t="s">
        <v>5901</v>
      </c>
      <c r="G613" s="1" t="s">
        <v>74</v>
      </c>
      <c r="H613" s="1" t="s">
        <v>74</v>
      </c>
      <c r="I613" s="1" t="s">
        <v>5902</v>
      </c>
      <c r="J613" s="1" t="s">
        <v>5903</v>
      </c>
      <c r="K613" s="1" t="s">
        <v>74</v>
      </c>
      <c r="L613" s="1" t="s">
        <v>74</v>
      </c>
      <c r="M613" s="1" t="s">
        <v>74</v>
      </c>
      <c r="N613" s="1" t="s">
        <v>74</v>
      </c>
      <c r="O613" s="1" t="s">
        <v>74</v>
      </c>
      <c r="P613" s="1" t="s">
        <v>74</v>
      </c>
      <c r="Q613" s="1" t="s">
        <v>74</v>
      </c>
      <c r="R613" s="1" t="s">
        <v>74</v>
      </c>
      <c r="S613" s="1" t="s">
        <v>74</v>
      </c>
      <c r="T613" s="1" t="s">
        <v>74</v>
      </c>
      <c r="U613" s="1" t="s">
        <v>74</v>
      </c>
      <c r="V613" s="1" t="s">
        <v>5904</v>
      </c>
      <c r="W613" s="1" t="s">
        <v>74</v>
      </c>
      <c r="X613" s="1" t="s">
        <v>74</v>
      </c>
      <c r="Y613" s="1" t="s">
        <v>74</v>
      </c>
      <c r="Z613" s="1" t="s">
        <v>74</v>
      </c>
      <c r="AA613" s="1" t="s">
        <v>5905</v>
      </c>
      <c r="AB613" s="1" t="s">
        <v>3014</v>
      </c>
      <c r="AC613" s="1" t="s">
        <v>74</v>
      </c>
      <c r="AD613" s="1" t="s">
        <v>74</v>
      </c>
      <c r="AE613" s="1" t="s">
        <v>74</v>
      </c>
      <c r="AF613" s="1" t="s">
        <v>74</v>
      </c>
      <c r="AG613" s="1" t="s">
        <v>74</v>
      </c>
      <c r="AH613" s="1" t="s">
        <v>74</v>
      </c>
      <c r="AI613" s="1" t="s">
        <v>74</v>
      </c>
      <c r="AJ613" s="1" t="s">
        <v>74</v>
      </c>
      <c r="AK613" s="1" t="s">
        <v>74</v>
      </c>
      <c r="AL613" s="1" t="s">
        <v>74</v>
      </c>
      <c r="AM613" s="1" t="s">
        <v>74</v>
      </c>
      <c r="AN613" s="1" t="s">
        <v>74</v>
      </c>
      <c r="AO613" s="1" t="s">
        <v>5906</v>
      </c>
      <c r="AP613" s="1" t="s">
        <v>74</v>
      </c>
      <c r="AQ613" s="1" t="s">
        <v>74</v>
      </c>
      <c r="AR613" s="1" t="s">
        <v>74</v>
      </c>
      <c r="AS613" s="1" t="s">
        <v>74</v>
      </c>
      <c r="AT613" s="1" t="s">
        <v>930</v>
      </c>
      <c r="AU613" s="1">
        <v>2019.0</v>
      </c>
      <c r="AV613" s="1">
        <v>25.0</v>
      </c>
      <c r="AW613" s="1">
        <v>102.0</v>
      </c>
      <c r="AX613" s="1" t="s">
        <v>74</v>
      </c>
      <c r="AY613" s="1" t="s">
        <v>74</v>
      </c>
      <c r="AZ613" s="1" t="s">
        <v>74</v>
      </c>
      <c r="BA613" s="1" t="s">
        <v>74</v>
      </c>
      <c r="BB613" s="1">
        <v>9.0</v>
      </c>
      <c r="BC613" s="1">
        <v>50.0</v>
      </c>
      <c r="BD613" s="1" t="s">
        <v>74</v>
      </c>
      <c r="BE613" s="1" t="s">
        <v>5907</v>
      </c>
      <c r="BF613" s="2" t="str">
        <f>HYPERLINK("http://dx.doi.org/10.22185/24487147.2019.102.31","http://dx.doi.org/10.22185/24487147.2019.102.31")</f>
        <v>http://dx.doi.org/10.22185/24487147.2019.102.31</v>
      </c>
      <c r="BG613" s="1" t="s">
        <v>74</v>
      </c>
      <c r="BH613" s="1" t="s">
        <v>74</v>
      </c>
      <c r="BI613" s="1" t="s">
        <v>74</v>
      </c>
      <c r="BJ613" s="1" t="s">
        <v>74</v>
      </c>
      <c r="BK613" s="1" t="s">
        <v>74</v>
      </c>
      <c r="BL613" s="1" t="s">
        <v>74</v>
      </c>
      <c r="BM613" s="1" t="s">
        <v>74</v>
      </c>
      <c r="BN613" s="1" t="s">
        <v>74</v>
      </c>
      <c r="BO613" s="1" t="s">
        <v>74</v>
      </c>
      <c r="BP613" s="1" t="s">
        <v>74</v>
      </c>
      <c r="BQ613" s="1" t="s">
        <v>74</v>
      </c>
      <c r="BR613" s="1" t="s">
        <v>74</v>
      </c>
      <c r="BS613" s="1" t="s">
        <v>5908</v>
      </c>
      <c r="BT613" s="1" t="str">
        <f>HYPERLINK("https%3A%2F%2Fwww.webofscience.com%2Fwos%2Fwoscc%2Ffull-record%2FWOS:000540522200002","View Full Record in Web of Science")</f>
        <v>View Full Record in Web of Science</v>
      </c>
    </row>
    <row r="614" ht="12.75" customHeight="1">
      <c r="A614" s="1" t="s">
        <v>72</v>
      </c>
      <c r="B614" s="1" t="s">
        <v>5909</v>
      </c>
      <c r="C614" s="1" t="s">
        <v>74</v>
      </c>
      <c r="D614" s="1" t="s">
        <v>74</v>
      </c>
      <c r="E614" s="1" t="s">
        <v>74</v>
      </c>
      <c r="F614" s="1" t="s">
        <v>5910</v>
      </c>
      <c r="G614" s="1" t="s">
        <v>74</v>
      </c>
      <c r="H614" s="1" t="s">
        <v>74</v>
      </c>
      <c r="I614" s="1" t="s">
        <v>5911</v>
      </c>
      <c r="J614" s="1" t="s">
        <v>4500</v>
      </c>
      <c r="K614" s="1" t="s">
        <v>74</v>
      </c>
      <c r="L614" s="1" t="s">
        <v>74</v>
      </c>
      <c r="M614" s="1" t="s">
        <v>74</v>
      </c>
      <c r="N614" s="1" t="s">
        <v>74</v>
      </c>
      <c r="O614" s="1" t="s">
        <v>74</v>
      </c>
      <c r="P614" s="1" t="s">
        <v>74</v>
      </c>
      <c r="Q614" s="1" t="s">
        <v>74</v>
      </c>
      <c r="R614" s="1" t="s">
        <v>74</v>
      </c>
      <c r="S614" s="1" t="s">
        <v>74</v>
      </c>
      <c r="T614" s="1" t="s">
        <v>74</v>
      </c>
      <c r="U614" s="1" t="s">
        <v>74</v>
      </c>
      <c r="V614" s="1" t="s">
        <v>74</v>
      </c>
      <c r="W614" s="1" t="s">
        <v>74</v>
      </c>
      <c r="X614" s="1" t="s">
        <v>74</v>
      </c>
      <c r="Y614" s="1" t="s">
        <v>74</v>
      </c>
      <c r="Z614" s="1" t="s">
        <v>74</v>
      </c>
      <c r="AA614" s="1" t="s">
        <v>74</v>
      </c>
      <c r="AB614" s="1" t="s">
        <v>74</v>
      </c>
      <c r="AC614" s="1" t="s">
        <v>74</v>
      </c>
      <c r="AD614" s="1" t="s">
        <v>74</v>
      </c>
      <c r="AE614" s="1" t="s">
        <v>74</v>
      </c>
      <c r="AF614" s="1" t="s">
        <v>74</v>
      </c>
      <c r="AG614" s="1" t="s">
        <v>74</v>
      </c>
      <c r="AH614" s="1" t="s">
        <v>74</v>
      </c>
      <c r="AI614" s="1" t="s">
        <v>74</v>
      </c>
      <c r="AJ614" s="1" t="s">
        <v>74</v>
      </c>
      <c r="AK614" s="1" t="s">
        <v>74</v>
      </c>
      <c r="AL614" s="1" t="s">
        <v>74</v>
      </c>
      <c r="AM614" s="1" t="s">
        <v>74</v>
      </c>
      <c r="AN614" s="1" t="s">
        <v>74</v>
      </c>
      <c r="AO614" s="1" t="s">
        <v>4501</v>
      </c>
      <c r="AP614" s="1" t="s">
        <v>4502</v>
      </c>
      <c r="AQ614" s="1" t="s">
        <v>74</v>
      </c>
      <c r="AR614" s="1" t="s">
        <v>74</v>
      </c>
      <c r="AS614" s="1" t="s">
        <v>74</v>
      </c>
      <c r="AT614" s="1" t="s">
        <v>122</v>
      </c>
      <c r="AU614" s="1">
        <v>2019.0</v>
      </c>
      <c r="AV614" s="1">
        <v>91.0</v>
      </c>
      <c r="AW614" s="1" t="s">
        <v>74</v>
      </c>
      <c r="AX614" s="1" t="s">
        <v>74</v>
      </c>
      <c r="AY614" s="1" t="s">
        <v>74</v>
      </c>
      <c r="AZ614" s="1" t="s">
        <v>74</v>
      </c>
      <c r="BA614" s="1" t="s">
        <v>5912</v>
      </c>
      <c r="BB614" s="1">
        <v>399.0</v>
      </c>
      <c r="BC614" s="1">
        <v>399.0</v>
      </c>
      <c r="BD614" s="1" t="s">
        <v>74</v>
      </c>
      <c r="BE614" s="1" t="s">
        <v>5913</v>
      </c>
      <c r="BF614" s="2" t="str">
        <f>HYPERLINK("http://dx.doi.org/10.1016/j.fsi.2019.04.097","http://dx.doi.org/10.1016/j.fsi.2019.04.097")</f>
        <v>http://dx.doi.org/10.1016/j.fsi.2019.04.097</v>
      </c>
      <c r="BG614" s="1" t="s">
        <v>74</v>
      </c>
      <c r="BH614" s="1" t="s">
        <v>74</v>
      </c>
      <c r="BI614" s="1" t="s">
        <v>74</v>
      </c>
      <c r="BJ614" s="1" t="s">
        <v>74</v>
      </c>
      <c r="BK614" s="1" t="s">
        <v>74</v>
      </c>
      <c r="BL614" s="1" t="s">
        <v>74</v>
      </c>
      <c r="BM614" s="1" t="s">
        <v>74</v>
      </c>
      <c r="BN614" s="1" t="s">
        <v>74</v>
      </c>
      <c r="BO614" s="1" t="s">
        <v>74</v>
      </c>
      <c r="BP614" s="1" t="s">
        <v>74</v>
      </c>
      <c r="BQ614" s="1" t="s">
        <v>74</v>
      </c>
      <c r="BR614" s="1" t="s">
        <v>74</v>
      </c>
      <c r="BS614" s="1" t="s">
        <v>5914</v>
      </c>
      <c r="BT614" s="1" t="str">
        <f>HYPERLINK("https%3A%2F%2Fwww.webofscience.com%2Fwos%2Fwoscc%2Ffull-record%2FWOS:000474676700070","View Full Record in Web of Science")</f>
        <v>View Full Record in Web of Science</v>
      </c>
    </row>
    <row r="615" ht="12.75" customHeight="1">
      <c r="A615" s="1" t="s">
        <v>72</v>
      </c>
      <c r="B615" s="1" t="s">
        <v>5915</v>
      </c>
      <c r="C615" s="1" t="s">
        <v>74</v>
      </c>
      <c r="D615" s="1" t="s">
        <v>74</v>
      </c>
      <c r="E615" s="1" t="s">
        <v>74</v>
      </c>
      <c r="F615" s="1" t="s">
        <v>5916</v>
      </c>
      <c r="G615" s="1" t="s">
        <v>74</v>
      </c>
      <c r="H615" s="1" t="s">
        <v>74</v>
      </c>
      <c r="I615" s="1" t="s">
        <v>5917</v>
      </c>
      <c r="J615" s="1" t="s">
        <v>5918</v>
      </c>
      <c r="K615" s="1" t="s">
        <v>74</v>
      </c>
      <c r="L615" s="1" t="s">
        <v>74</v>
      </c>
      <c r="M615" s="1" t="s">
        <v>74</v>
      </c>
      <c r="N615" s="1" t="s">
        <v>74</v>
      </c>
      <c r="O615" s="1" t="s">
        <v>74</v>
      </c>
      <c r="P615" s="1" t="s">
        <v>74</v>
      </c>
      <c r="Q615" s="1" t="s">
        <v>74</v>
      </c>
      <c r="R615" s="1" t="s">
        <v>74</v>
      </c>
      <c r="S615" s="1" t="s">
        <v>74</v>
      </c>
      <c r="T615" s="1" t="s">
        <v>74</v>
      </c>
      <c r="U615" s="1" t="s">
        <v>74</v>
      </c>
      <c r="V615" s="1" t="s">
        <v>5919</v>
      </c>
      <c r="W615" s="1" t="s">
        <v>74</v>
      </c>
      <c r="X615" s="1" t="s">
        <v>74</v>
      </c>
      <c r="Y615" s="1" t="s">
        <v>74</v>
      </c>
      <c r="Z615" s="1" t="s">
        <v>74</v>
      </c>
      <c r="AA615" s="1" t="s">
        <v>5920</v>
      </c>
      <c r="AB615" s="1" t="s">
        <v>4729</v>
      </c>
      <c r="AC615" s="1" t="s">
        <v>74</v>
      </c>
      <c r="AD615" s="1" t="s">
        <v>74</v>
      </c>
      <c r="AE615" s="1" t="s">
        <v>74</v>
      </c>
      <c r="AF615" s="1" t="s">
        <v>74</v>
      </c>
      <c r="AG615" s="1" t="s">
        <v>74</v>
      </c>
      <c r="AH615" s="1" t="s">
        <v>74</v>
      </c>
      <c r="AI615" s="1" t="s">
        <v>74</v>
      </c>
      <c r="AJ615" s="1" t="s">
        <v>74</v>
      </c>
      <c r="AK615" s="1" t="s">
        <v>74</v>
      </c>
      <c r="AL615" s="1" t="s">
        <v>74</v>
      </c>
      <c r="AM615" s="1" t="s">
        <v>74</v>
      </c>
      <c r="AN615" s="1" t="s">
        <v>74</v>
      </c>
      <c r="AO615" s="1" t="s">
        <v>5921</v>
      </c>
      <c r="AP615" s="1" t="s">
        <v>5922</v>
      </c>
      <c r="AQ615" s="1" t="s">
        <v>74</v>
      </c>
      <c r="AR615" s="1" t="s">
        <v>74</v>
      </c>
      <c r="AS615" s="1" t="s">
        <v>74</v>
      </c>
      <c r="AT615" s="1" t="s">
        <v>621</v>
      </c>
      <c r="AU615" s="1">
        <v>2019.0</v>
      </c>
      <c r="AV615" s="1">
        <v>166.0</v>
      </c>
      <c r="AW615" s="1" t="s">
        <v>74</v>
      </c>
      <c r="AX615" s="1" t="s">
        <v>74</v>
      </c>
      <c r="AY615" s="1" t="s">
        <v>74</v>
      </c>
      <c r="AZ615" s="1" t="s">
        <v>74</v>
      </c>
      <c r="BA615" s="1" t="s">
        <v>74</v>
      </c>
      <c r="BB615" s="1">
        <v>395.0</v>
      </c>
      <c r="BC615" s="1">
        <v>402.0</v>
      </c>
      <c r="BD615" s="1" t="s">
        <v>74</v>
      </c>
      <c r="BE615" s="1" t="s">
        <v>5923</v>
      </c>
      <c r="BF615" s="2" t="str">
        <f>HYPERLINK("http://dx.doi.org/10.1016/j.dyepig.2019.03.054","http://dx.doi.org/10.1016/j.dyepig.2019.03.054")</f>
        <v>http://dx.doi.org/10.1016/j.dyepig.2019.03.054</v>
      </c>
      <c r="BG615" s="1" t="s">
        <v>74</v>
      </c>
      <c r="BH615" s="1" t="s">
        <v>74</v>
      </c>
      <c r="BI615" s="1" t="s">
        <v>74</v>
      </c>
      <c r="BJ615" s="1" t="s">
        <v>74</v>
      </c>
      <c r="BK615" s="1" t="s">
        <v>74</v>
      </c>
      <c r="BL615" s="1" t="s">
        <v>74</v>
      </c>
      <c r="BM615" s="1" t="s">
        <v>74</v>
      </c>
      <c r="BN615" s="1" t="s">
        <v>74</v>
      </c>
      <c r="BO615" s="1" t="s">
        <v>74</v>
      </c>
      <c r="BP615" s="1" t="s">
        <v>74</v>
      </c>
      <c r="BQ615" s="1" t="s">
        <v>74</v>
      </c>
      <c r="BR615" s="1" t="s">
        <v>74</v>
      </c>
      <c r="BS615" s="1" t="s">
        <v>5924</v>
      </c>
      <c r="BT615" s="1" t="str">
        <f>HYPERLINK("https%3A%2F%2Fwww.webofscience.com%2Fwos%2Fwoscc%2Ffull-record%2FWOS:000466823300049","View Full Record in Web of Science")</f>
        <v>View Full Record in Web of Science</v>
      </c>
    </row>
    <row r="616" ht="12.75" customHeight="1">
      <c r="A616" s="1" t="s">
        <v>72</v>
      </c>
      <c r="B616" s="1" t="s">
        <v>2882</v>
      </c>
      <c r="C616" s="1" t="s">
        <v>74</v>
      </c>
      <c r="D616" s="1" t="s">
        <v>74</v>
      </c>
      <c r="E616" s="1" t="s">
        <v>74</v>
      </c>
      <c r="F616" s="1" t="s">
        <v>2883</v>
      </c>
      <c r="G616" s="1" t="s">
        <v>74</v>
      </c>
      <c r="H616" s="1" t="s">
        <v>74</v>
      </c>
      <c r="I616" s="1" t="s">
        <v>5925</v>
      </c>
      <c r="J616" s="1" t="s">
        <v>496</v>
      </c>
      <c r="K616" s="1" t="s">
        <v>74</v>
      </c>
      <c r="L616" s="1" t="s">
        <v>74</v>
      </c>
      <c r="M616" s="1" t="s">
        <v>74</v>
      </c>
      <c r="N616" s="1" t="s">
        <v>74</v>
      </c>
      <c r="O616" s="1" t="s">
        <v>74</v>
      </c>
      <c r="P616" s="1" t="s">
        <v>74</v>
      </c>
      <c r="Q616" s="1" t="s">
        <v>74</v>
      </c>
      <c r="R616" s="1" t="s">
        <v>74</v>
      </c>
      <c r="S616" s="1" t="s">
        <v>74</v>
      </c>
      <c r="T616" s="1" t="s">
        <v>74</v>
      </c>
      <c r="U616" s="1" t="s">
        <v>74</v>
      </c>
      <c r="V616" s="1" t="s">
        <v>5926</v>
      </c>
      <c r="W616" s="1" t="s">
        <v>74</v>
      </c>
      <c r="X616" s="1" t="s">
        <v>74</v>
      </c>
      <c r="Y616" s="1" t="s">
        <v>74</v>
      </c>
      <c r="Z616" s="1" t="s">
        <v>74</v>
      </c>
      <c r="AA616" s="1" t="s">
        <v>4654</v>
      </c>
      <c r="AB616" s="1" t="s">
        <v>4655</v>
      </c>
      <c r="AC616" s="1" t="s">
        <v>74</v>
      </c>
      <c r="AD616" s="1" t="s">
        <v>74</v>
      </c>
      <c r="AE616" s="1" t="s">
        <v>74</v>
      </c>
      <c r="AF616" s="1" t="s">
        <v>74</v>
      </c>
      <c r="AG616" s="1" t="s">
        <v>74</v>
      </c>
      <c r="AH616" s="1" t="s">
        <v>74</v>
      </c>
      <c r="AI616" s="1" t="s">
        <v>74</v>
      </c>
      <c r="AJ616" s="1" t="s">
        <v>74</v>
      </c>
      <c r="AK616" s="1" t="s">
        <v>74</v>
      </c>
      <c r="AL616" s="1" t="s">
        <v>74</v>
      </c>
      <c r="AM616" s="1" t="s">
        <v>74</v>
      </c>
      <c r="AN616" s="1" t="s">
        <v>74</v>
      </c>
      <c r="AO616" s="1" t="s">
        <v>499</v>
      </c>
      <c r="AP616" s="1" t="s">
        <v>500</v>
      </c>
      <c r="AQ616" s="1" t="s">
        <v>74</v>
      </c>
      <c r="AR616" s="1" t="s">
        <v>74</v>
      </c>
      <c r="AS616" s="1" t="s">
        <v>74</v>
      </c>
      <c r="AT616" s="1" t="s">
        <v>3962</v>
      </c>
      <c r="AU616" s="1">
        <v>2019.0</v>
      </c>
      <c r="AV616" s="1">
        <v>266.0</v>
      </c>
      <c r="AW616" s="1">
        <v>9.0</v>
      </c>
      <c r="AX616" s="1" t="s">
        <v>74</v>
      </c>
      <c r="AY616" s="1" t="s">
        <v>74</v>
      </c>
      <c r="AZ616" s="1" t="s">
        <v>74</v>
      </c>
      <c r="BA616" s="1" t="s">
        <v>74</v>
      </c>
      <c r="BB616" s="1">
        <v>5971.0</v>
      </c>
      <c r="BC616" s="1">
        <v>5997.0</v>
      </c>
      <c r="BD616" s="1" t="s">
        <v>74</v>
      </c>
      <c r="BE616" s="1" t="s">
        <v>5927</v>
      </c>
      <c r="BF616" s="2" t="str">
        <f>HYPERLINK("http://dx.doi.org/10.1016/j.jde.2018.10.046","http://dx.doi.org/10.1016/j.jde.2018.10.046")</f>
        <v>http://dx.doi.org/10.1016/j.jde.2018.10.046</v>
      </c>
      <c r="BG616" s="1" t="s">
        <v>74</v>
      </c>
      <c r="BH616" s="1" t="s">
        <v>74</v>
      </c>
      <c r="BI616" s="1" t="s">
        <v>74</v>
      </c>
      <c r="BJ616" s="1" t="s">
        <v>74</v>
      </c>
      <c r="BK616" s="1" t="s">
        <v>74</v>
      </c>
      <c r="BL616" s="1" t="s">
        <v>74</v>
      </c>
      <c r="BM616" s="1" t="s">
        <v>74</v>
      </c>
      <c r="BN616" s="1" t="s">
        <v>74</v>
      </c>
      <c r="BO616" s="1" t="s">
        <v>74</v>
      </c>
      <c r="BP616" s="1" t="s">
        <v>74</v>
      </c>
      <c r="BQ616" s="1" t="s">
        <v>74</v>
      </c>
      <c r="BR616" s="1" t="s">
        <v>74</v>
      </c>
      <c r="BS616" s="1" t="s">
        <v>5928</v>
      </c>
      <c r="BT616" s="1" t="str">
        <f>HYPERLINK("https%3A%2F%2Fwww.webofscience.com%2Fwos%2Fwoscc%2Ffull-record%2FWOS:000458515200025","View Full Record in Web of Science")</f>
        <v>View Full Record in Web of Science</v>
      </c>
    </row>
    <row r="617" ht="12.75" customHeight="1">
      <c r="A617" s="1" t="s">
        <v>72</v>
      </c>
      <c r="B617" s="1" t="s">
        <v>5929</v>
      </c>
      <c r="C617" s="1" t="s">
        <v>74</v>
      </c>
      <c r="D617" s="1" t="s">
        <v>74</v>
      </c>
      <c r="E617" s="1" t="s">
        <v>74</v>
      </c>
      <c r="F617" s="1" t="s">
        <v>5930</v>
      </c>
      <c r="G617" s="1" t="s">
        <v>74</v>
      </c>
      <c r="H617" s="1" t="s">
        <v>74</v>
      </c>
      <c r="I617" s="1" t="s">
        <v>5931</v>
      </c>
      <c r="J617" s="1" t="s">
        <v>5932</v>
      </c>
      <c r="K617" s="1" t="s">
        <v>74</v>
      </c>
      <c r="L617" s="1" t="s">
        <v>74</v>
      </c>
      <c r="M617" s="1" t="s">
        <v>74</v>
      </c>
      <c r="N617" s="1" t="s">
        <v>74</v>
      </c>
      <c r="O617" s="1" t="s">
        <v>74</v>
      </c>
      <c r="P617" s="1" t="s">
        <v>74</v>
      </c>
      <c r="Q617" s="1" t="s">
        <v>74</v>
      </c>
      <c r="R617" s="1" t="s">
        <v>74</v>
      </c>
      <c r="S617" s="1" t="s">
        <v>74</v>
      </c>
      <c r="T617" s="1" t="s">
        <v>74</v>
      </c>
      <c r="U617" s="1" t="s">
        <v>74</v>
      </c>
      <c r="V617" s="1" t="s">
        <v>5933</v>
      </c>
      <c r="W617" s="1" t="s">
        <v>74</v>
      </c>
      <c r="X617" s="1" t="s">
        <v>74</v>
      </c>
      <c r="Y617" s="1" t="s">
        <v>74</v>
      </c>
      <c r="Z617" s="1" t="s">
        <v>74</v>
      </c>
      <c r="AA617" s="1" t="s">
        <v>5934</v>
      </c>
      <c r="AB617" s="1" t="s">
        <v>5935</v>
      </c>
      <c r="AC617" s="1" t="s">
        <v>74</v>
      </c>
      <c r="AD617" s="1" t="s">
        <v>74</v>
      </c>
      <c r="AE617" s="1" t="s">
        <v>74</v>
      </c>
      <c r="AF617" s="1" t="s">
        <v>74</v>
      </c>
      <c r="AG617" s="1" t="s">
        <v>74</v>
      </c>
      <c r="AH617" s="1" t="s">
        <v>74</v>
      </c>
      <c r="AI617" s="1" t="s">
        <v>74</v>
      </c>
      <c r="AJ617" s="1" t="s">
        <v>74</v>
      </c>
      <c r="AK617" s="1" t="s">
        <v>74</v>
      </c>
      <c r="AL617" s="1" t="s">
        <v>74</v>
      </c>
      <c r="AM617" s="1" t="s">
        <v>74</v>
      </c>
      <c r="AN617" s="1" t="s">
        <v>74</v>
      </c>
      <c r="AO617" s="1" t="s">
        <v>5936</v>
      </c>
      <c r="AP617" s="1" t="s">
        <v>74</v>
      </c>
      <c r="AQ617" s="1" t="s">
        <v>74</v>
      </c>
      <c r="AR617" s="1" t="s">
        <v>74</v>
      </c>
      <c r="AS617" s="1" t="s">
        <v>74</v>
      </c>
      <c r="AT617" s="1" t="s">
        <v>964</v>
      </c>
      <c r="AU617" s="1">
        <v>2019.0</v>
      </c>
      <c r="AV617" s="1">
        <v>12.0</v>
      </c>
      <c r="AW617" s="1">
        <v>2.0</v>
      </c>
      <c r="AX617" s="1" t="s">
        <v>74</v>
      </c>
      <c r="AY617" s="1" t="s">
        <v>74</v>
      </c>
      <c r="AZ617" s="1" t="s">
        <v>74</v>
      </c>
      <c r="BA617" s="1" t="s">
        <v>74</v>
      </c>
      <c r="BB617" s="1" t="s">
        <v>74</v>
      </c>
      <c r="BC617" s="1" t="s">
        <v>74</v>
      </c>
      <c r="BD617" s="1">
        <v>277.0</v>
      </c>
      <c r="BE617" s="1" t="s">
        <v>5937</v>
      </c>
      <c r="BF617" s="2" t="str">
        <f>HYPERLINK("http://dx.doi.org/10.3390/ma12020277","http://dx.doi.org/10.3390/ma12020277")</f>
        <v>http://dx.doi.org/10.3390/ma12020277</v>
      </c>
      <c r="BG617" s="1" t="s">
        <v>74</v>
      </c>
      <c r="BH617" s="1" t="s">
        <v>74</v>
      </c>
      <c r="BI617" s="1" t="s">
        <v>74</v>
      </c>
      <c r="BJ617" s="1" t="s">
        <v>74</v>
      </c>
      <c r="BK617" s="1" t="s">
        <v>74</v>
      </c>
      <c r="BL617" s="1" t="s">
        <v>74</v>
      </c>
      <c r="BM617" s="1" t="s">
        <v>74</v>
      </c>
      <c r="BN617" s="1">
        <v>3.0654487E7</v>
      </c>
      <c r="BO617" s="1" t="s">
        <v>74</v>
      </c>
      <c r="BP617" s="1" t="s">
        <v>74</v>
      </c>
      <c r="BQ617" s="1" t="s">
        <v>74</v>
      </c>
      <c r="BR617" s="1" t="s">
        <v>74</v>
      </c>
      <c r="BS617" s="1" t="s">
        <v>5938</v>
      </c>
      <c r="BT617" s="1" t="str">
        <f>HYPERLINK("https%3A%2F%2Fwww.webofscience.com%2Fwos%2Fwoscc%2Ffull-record%2FWOS:000459719000081","View Full Record in Web of Science")</f>
        <v>View Full Record in Web of Science</v>
      </c>
    </row>
    <row r="618" ht="12.75" customHeight="1">
      <c r="A618" s="1" t="s">
        <v>86</v>
      </c>
      <c r="B618" s="1" t="s">
        <v>5939</v>
      </c>
      <c r="C618" s="1" t="s">
        <v>74</v>
      </c>
      <c r="D618" s="1" t="s">
        <v>5940</v>
      </c>
      <c r="E618" s="1" t="s">
        <v>74</v>
      </c>
      <c r="F618" s="1" t="s">
        <v>5941</v>
      </c>
      <c r="G618" s="1" t="s">
        <v>74</v>
      </c>
      <c r="H618" s="1" t="s">
        <v>74</v>
      </c>
      <c r="I618" s="1" t="s">
        <v>5942</v>
      </c>
      <c r="J618" s="1" t="s">
        <v>5943</v>
      </c>
      <c r="K618" s="1" t="s">
        <v>74</v>
      </c>
      <c r="L618" s="1" t="s">
        <v>74</v>
      </c>
      <c r="M618" s="1" t="s">
        <v>74</v>
      </c>
      <c r="N618" s="1" t="s">
        <v>74</v>
      </c>
      <c r="O618" s="1" t="s">
        <v>74</v>
      </c>
      <c r="P618" s="1" t="s">
        <v>74</v>
      </c>
      <c r="Q618" s="1" t="s">
        <v>74</v>
      </c>
      <c r="R618" s="1" t="s">
        <v>74</v>
      </c>
      <c r="S618" s="1" t="s">
        <v>74</v>
      </c>
      <c r="T618" s="1" t="s">
        <v>74</v>
      </c>
      <c r="U618" s="1" t="s">
        <v>74</v>
      </c>
      <c r="V618" s="1" t="s">
        <v>74</v>
      </c>
      <c r="W618" s="1" t="s">
        <v>74</v>
      </c>
      <c r="X618" s="1" t="s">
        <v>74</v>
      </c>
      <c r="Y618" s="1" t="s">
        <v>74</v>
      </c>
      <c r="Z618" s="1" t="s">
        <v>74</v>
      </c>
      <c r="AA618" s="1" t="s">
        <v>74</v>
      </c>
      <c r="AB618" s="1" t="s">
        <v>74</v>
      </c>
      <c r="AC618" s="1" t="s">
        <v>74</v>
      </c>
      <c r="AD618" s="1" t="s">
        <v>74</v>
      </c>
      <c r="AE618" s="1" t="s">
        <v>74</v>
      </c>
      <c r="AF618" s="1" t="s">
        <v>74</v>
      </c>
      <c r="AG618" s="1" t="s">
        <v>74</v>
      </c>
      <c r="AH618" s="1" t="s">
        <v>74</v>
      </c>
      <c r="AI618" s="1" t="s">
        <v>74</v>
      </c>
      <c r="AJ618" s="1" t="s">
        <v>74</v>
      </c>
      <c r="AK618" s="1" t="s">
        <v>74</v>
      </c>
      <c r="AL618" s="1" t="s">
        <v>74</v>
      </c>
      <c r="AM618" s="1" t="s">
        <v>74</v>
      </c>
      <c r="AN618" s="1" t="s">
        <v>74</v>
      </c>
      <c r="AO618" s="1" t="s">
        <v>74</v>
      </c>
      <c r="AP618" s="1" t="s">
        <v>74</v>
      </c>
      <c r="AQ618" s="1" t="s">
        <v>5944</v>
      </c>
      <c r="AR618" s="1" t="s">
        <v>74</v>
      </c>
      <c r="AS618" s="1" t="s">
        <v>74</v>
      </c>
      <c r="AT618" s="1" t="s">
        <v>74</v>
      </c>
      <c r="AU618" s="1">
        <v>2019.0</v>
      </c>
      <c r="AV618" s="1" t="s">
        <v>74</v>
      </c>
      <c r="AW618" s="1" t="s">
        <v>74</v>
      </c>
      <c r="AX618" s="1" t="s">
        <v>74</v>
      </c>
      <c r="AY618" s="1" t="s">
        <v>74</v>
      </c>
      <c r="AZ618" s="1" t="s">
        <v>74</v>
      </c>
      <c r="BA618" s="1" t="s">
        <v>74</v>
      </c>
      <c r="BB618" s="1">
        <v>43.0</v>
      </c>
      <c r="BC618" s="1">
        <v>66.0</v>
      </c>
      <c r="BD618" s="1" t="s">
        <v>74</v>
      </c>
      <c r="BE618" s="1" t="s">
        <v>74</v>
      </c>
      <c r="BF618" s="1" t="s">
        <v>74</v>
      </c>
      <c r="BG618" s="1" t="s">
        <v>74</v>
      </c>
      <c r="BH618" s="1" t="s">
        <v>74</v>
      </c>
      <c r="BI618" s="1" t="s">
        <v>74</v>
      </c>
      <c r="BJ618" s="1" t="s">
        <v>74</v>
      </c>
      <c r="BK618" s="1" t="s">
        <v>74</v>
      </c>
      <c r="BL618" s="1" t="s">
        <v>74</v>
      </c>
      <c r="BM618" s="1" t="s">
        <v>74</v>
      </c>
      <c r="BN618" s="1" t="s">
        <v>74</v>
      </c>
      <c r="BO618" s="1" t="s">
        <v>74</v>
      </c>
      <c r="BP618" s="1" t="s">
        <v>74</v>
      </c>
      <c r="BQ618" s="1" t="s">
        <v>74</v>
      </c>
      <c r="BR618" s="1" t="s">
        <v>74</v>
      </c>
      <c r="BS618" s="1" t="s">
        <v>5945</v>
      </c>
      <c r="BT618" s="1" t="str">
        <f>HYPERLINK("https%3A%2F%2Fwww.webofscience.com%2Fwos%2Fwoscc%2Ffull-record%2FWOS:000480324700004","View Full Record in Web of Science")</f>
        <v>View Full Record in Web of Science</v>
      </c>
    </row>
    <row r="619" ht="12.75" customHeight="1">
      <c r="A619" s="1" t="s">
        <v>147</v>
      </c>
      <c r="B619" s="1" t="s">
        <v>5946</v>
      </c>
      <c r="C619" s="1" t="s">
        <v>74</v>
      </c>
      <c r="D619" s="1" t="s">
        <v>5947</v>
      </c>
      <c r="E619" s="1" t="s">
        <v>74</v>
      </c>
      <c r="F619" s="1" t="s">
        <v>5948</v>
      </c>
      <c r="G619" s="1" t="s">
        <v>74</v>
      </c>
      <c r="H619" s="1" t="s">
        <v>74</v>
      </c>
      <c r="I619" s="1" t="s">
        <v>5949</v>
      </c>
      <c r="J619" s="1" t="s">
        <v>5950</v>
      </c>
      <c r="K619" s="1" t="s">
        <v>5951</v>
      </c>
      <c r="L619" s="1" t="s">
        <v>74</v>
      </c>
      <c r="M619" s="1" t="s">
        <v>74</v>
      </c>
      <c r="N619" s="1" t="s">
        <v>74</v>
      </c>
      <c r="O619" s="1" t="s">
        <v>5952</v>
      </c>
      <c r="P619" s="1" t="s">
        <v>5953</v>
      </c>
      <c r="Q619" s="1" t="s">
        <v>5954</v>
      </c>
      <c r="R619" s="1" t="s">
        <v>74</v>
      </c>
      <c r="S619" s="1" t="s">
        <v>5955</v>
      </c>
      <c r="T619" s="1" t="s">
        <v>74</v>
      </c>
      <c r="U619" s="1" t="s">
        <v>74</v>
      </c>
      <c r="V619" s="1" t="s">
        <v>5956</v>
      </c>
      <c r="W619" s="1" t="s">
        <v>74</v>
      </c>
      <c r="X619" s="1" t="s">
        <v>74</v>
      </c>
      <c r="Y619" s="1" t="s">
        <v>74</v>
      </c>
      <c r="Z619" s="1" t="s">
        <v>74</v>
      </c>
      <c r="AA619" s="1" t="s">
        <v>5957</v>
      </c>
      <c r="AB619" s="1" t="s">
        <v>74</v>
      </c>
      <c r="AC619" s="1" t="s">
        <v>74</v>
      </c>
      <c r="AD619" s="1" t="s">
        <v>74</v>
      </c>
      <c r="AE619" s="1" t="s">
        <v>74</v>
      </c>
      <c r="AF619" s="1" t="s">
        <v>74</v>
      </c>
      <c r="AG619" s="1" t="s">
        <v>74</v>
      </c>
      <c r="AH619" s="1" t="s">
        <v>74</v>
      </c>
      <c r="AI619" s="1" t="s">
        <v>74</v>
      </c>
      <c r="AJ619" s="1" t="s">
        <v>74</v>
      </c>
      <c r="AK619" s="1" t="s">
        <v>74</v>
      </c>
      <c r="AL619" s="1" t="s">
        <v>74</v>
      </c>
      <c r="AM619" s="1" t="s">
        <v>74</v>
      </c>
      <c r="AN619" s="1" t="s">
        <v>74</v>
      </c>
      <c r="AO619" s="1" t="s">
        <v>5958</v>
      </c>
      <c r="AP619" s="1" t="s">
        <v>74</v>
      </c>
      <c r="AQ619" s="1" t="s">
        <v>74</v>
      </c>
      <c r="AR619" s="1" t="s">
        <v>74</v>
      </c>
      <c r="AS619" s="1" t="s">
        <v>74</v>
      </c>
      <c r="AT619" s="1" t="s">
        <v>74</v>
      </c>
      <c r="AU619" s="1">
        <v>2019.0</v>
      </c>
      <c r="AV619" s="1">
        <v>29.0</v>
      </c>
      <c r="AW619" s="1" t="s">
        <v>74</v>
      </c>
      <c r="AX619" s="1" t="s">
        <v>74</v>
      </c>
      <c r="AY619" s="1" t="s">
        <v>74</v>
      </c>
      <c r="AZ619" s="1" t="s">
        <v>74</v>
      </c>
      <c r="BA619" s="1" t="s">
        <v>74</v>
      </c>
      <c r="BB619" s="1">
        <v>96.0</v>
      </c>
      <c r="BC619" s="1">
        <v>104.0</v>
      </c>
      <c r="BD619" s="1" t="s">
        <v>74</v>
      </c>
      <c r="BE619" s="1" t="s">
        <v>5959</v>
      </c>
      <c r="BF619" s="2" t="str">
        <f>HYPERLINK("http://dx.doi.org/10.1016/j.promfg.2019.02.111","http://dx.doi.org/10.1016/j.promfg.2019.02.111")</f>
        <v>http://dx.doi.org/10.1016/j.promfg.2019.02.111</v>
      </c>
      <c r="BG619" s="1" t="s">
        <v>74</v>
      </c>
      <c r="BH619" s="1" t="s">
        <v>74</v>
      </c>
      <c r="BI619" s="1" t="s">
        <v>74</v>
      </c>
      <c r="BJ619" s="1" t="s">
        <v>74</v>
      </c>
      <c r="BK619" s="1" t="s">
        <v>74</v>
      </c>
      <c r="BL619" s="1" t="s">
        <v>74</v>
      </c>
      <c r="BM619" s="1" t="s">
        <v>74</v>
      </c>
      <c r="BN619" s="1" t="s">
        <v>74</v>
      </c>
      <c r="BO619" s="1" t="s">
        <v>74</v>
      </c>
      <c r="BP619" s="1" t="s">
        <v>74</v>
      </c>
      <c r="BQ619" s="1" t="s">
        <v>74</v>
      </c>
      <c r="BR619" s="1" t="s">
        <v>74</v>
      </c>
      <c r="BS619" s="1" t="s">
        <v>5960</v>
      </c>
      <c r="BT619" s="1" t="str">
        <f>HYPERLINK("https%3A%2F%2Fwww.webofscience.com%2Fwos%2Fwoscc%2Ffull-record%2FWOS:000560433600013","View Full Record in Web of Science")</f>
        <v>View Full Record in Web of Science</v>
      </c>
    </row>
    <row r="620" ht="12.75" customHeight="1">
      <c r="A620" s="1" t="s">
        <v>147</v>
      </c>
      <c r="B620" s="1" t="s">
        <v>5961</v>
      </c>
      <c r="C620" s="1" t="s">
        <v>74</v>
      </c>
      <c r="D620" s="1" t="s">
        <v>74</v>
      </c>
      <c r="E620" s="1" t="s">
        <v>793</v>
      </c>
      <c r="F620" s="1" t="s">
        <v>5962</v>
      </c>
      <c r="G620" s="1" t="s">
        <v>74</v>
      </c>
      <c r="H620" s="1" t="s">
        <v>74</v>
      </c>
      <c r="I620" s="1" t="s">
        <v>5963</v>
      </c>
      <c r="J620" s="1" t="s">
        <v>5964</v>
      </c>
      <c r="K620" s="1" t="s">
        <v>5965</v>
      </c>
      <c r="L620" s="1" t="s">
        <v>74</v>
      </c>
      <c r="M620" s="1" t="s">
        <v>74</v>
      </c>
      <c r="N620" s="1" t="s">
        <v>74</v>
      </c>
      <c r="O620" s="1" t="s">
        <v>5966</v>
      </c>
      <c r="P620" s="1" t="s">
        <v>5967</v>
      </c>
      <c r="Q620" s="1" t="s">
        <v>5968</v>
      </c>
      <c r="R620" s="1" t="s">
        <v>5969</v>
      </c>
      <c r="S620" s="1" t="s">
        <v>74</v>
      </c>
      <c r="T620" s="1" t="s">
        <v>74</v>
      </c>
      <c r="U620" s="1" t="s">
        <v>74</v>
      </c>
      <c r="V620" s="1" t="s">
        <v>5970</v>
      </c>
      <c r="W620" s="1" t="s">
        <v>74</v>
      </c>
      <c r="X620" s="1" t="s">
        <v>74</v>
      </c>
      <c r="Y620" s="1" t="s">
        <v>74</v>
      </c>
      <c r="Z620" s="1" t="s">
        <v>74</v>
      </c>
      <c r="AA620" s="1" t="s">
        <v>5971</v>
      </c>
      <c r="AB620" s="1" t="s">
        <v>5972</v>
      </c>
      <c r="AC620" s="1" t="s">
        <v>74</v>
      </c>
      <c r="AD620" s="1" t="s">
        <v>74</v>
      </c>
      <c r="AE620" s="1" t="s">
        <v>74</v>
      </c>
      <c r="AF620" s="1" t="s">
        <v>74</v>
      </c>
      <c r="AG620" s="1" t="s">
        <v>74</v>
      </c>
      <c r="AH620" s="1" t="s">
        <v>74</v>
      </c>
      <c r="AI620" s="1" t="s">
        <v>74</v>
      </c>
      <c r="AJ620" s="1" t="s">
        <v>74</v>
      </c>
      <c r="AK620" s="1" t="s">
        <v>74</v>
      </c>
      <c r="AL620" s="1" t="s">
        <v>74</v>
      </c>
      <c r="AM620" s="1" t="s">
        <v>74</v>
      </c>
      <c r="AN620" s="1" t="s">
        <v>74</v>
      </c>
      <c r="AO620" s="1" t="s">
        <v>5973</v>
      </c>
      <c r="AP620" s="1" t="s">
        <v>74</v>
      </c>
      <c r="AQ620" s="1" t="s">
        <v>5974</v>
      </c>
      <c r="AR620" s="1" t="s">
        <v>74</v>
      </c>
      <c r="AS620" s="1" t="s">
        <v>74</v>
      </c>
      <c r="AT620" s="1" t="s">
        <v>74</v>
      </c>
      <c r="AU620" s="1">
        <v>2019.0</v>
      </c>
      <c r="AV620" s="1" t="s">
        <v>74</v>
      </c>
      <c r="AW620" s="1" t="s">
        <v>74</v>
      </c>
      <c r="AX620" s="1" t="s">
        <v>74</v>
      </c>
      <c r="AY620" s="1" t="s">
        <v>74</v>
      </c>
      <c r="AZ620" s="1" t="s">
        <v>74</v>
      </c>
      <c r="BA620" s="1" t="s">
        <v>74</v>
      </c>
      <c r="BB620" s="1" t="s">
        <v>74</v>
      </c>
      <c r="BC620" s="1" t="s">
        <v>74</v>
      </c>
      <c r="BD620" s="1" t="s">
        <v>74</v>
      </c>
      <c r="BE620" s="1" t="s">
        <v>74</v>
      </c>
      <c r="BF620" s="1" t="s">
        <v>74</v>
      </c>
      <c r="BG620" s="1" t="s">
        <v>74</v>
      </c>
      <c r="BH620" s="1" t="s">
        <v>74</v>
      </c>
      <c r="BI620" s="1" t="s">
        <v>74</v>
      </c>
      <c r="BJ620" s="1" t="s">
        <v>74</v>
      </c>
      <c r="BK620" s="1" t="s">
        <v>74</v>
      </c>
      <c r="BL620" s="1" t="s">
        <v>74</v>
      </c>
      <c r="BM620" s="1" t="s">
        <v>74</v>
      </c>
      <c r="BN620" s="1" t="s">
        <v>74</v>
      </c>
      <c r="BO620" s="1" t="s">
        <v>74</v>
      </c>
      <c r="BP620" s="1" t="s">
        <v>74</v>
      </c>
      <c r="BQ620" s="1" t="s">
        <v>74</v>
      </c>
      <c r="BR620" s="1" t="s">
        <v>74</v>
      </c>
      <c r="BS620" s="1" t="s">
        <v>5975</v>
      </c>
      <c r="BT620" s="1" t="str">
        <f>HYPERLINK("https%3A%2F%2Fwww.webofscience.com%2Fwos%2Fwoscc%2Ffull-record%2FWOS:000494768100076","View Full Record in Web of Science")</f>
        <v>View Full Record in Web of Science</v>
      </c>
    </row>
    <row r="621" ht="12.75" customHeight="1">
      <c r="A621" s="1" t="s">
        <v>72</v>
      </c>
      <c r="B621" s="1" t="s">
        <v>5976</v>
      </c>
      <c r="C621" s="1" t="s">
        <v>74</v>
      </c>
      <c r="D621" s="1" t="s">
        <v>74</v>
      </c>
      <c r="E621" s="1" t="s">
        <v>74</v>
      </c>
      <c r="F621" s="1" t="s">
        <v>5977</v>
      </c>
      <c r="G621" s="1" t="s">
        <v>74</v>
      </c>
      <c r="H621" s="1" t="s">
        <v>74</v>
      </c>
      <c r="I621" s="1" t="s">
        <v>5978</v>
      </c>
      <c r="J621" s="1" t="s">
        <v>5979</v>
      </c>
      <c r="K621" s="1" t="s">
        <v>74</v>
      </c>
      <c r="L621" s="1" t="s">
        <v>74</v>
      </c>
      <c r="M621" s="1" t="s">
        <v>74</v>
      </c>
      <c r="N621" s="1" t="s">
        <v>74</v>
      </c>
      <c r="O621" s="1" t="s">
        <v>74</v>
      </c>
      <c r="P621" s="1" t="s">
        <v>74</v>
      </c>
      <c r="Q621" s="1" t="s">
        <v>74</v>
      </c>
      <c r="R621" s="1" t="s">
        <v>74</v>
      </c>
      <c r="S621" s="1" t="s">
        <v>74</v>
      </c>
      <c r="T621" s="1" t="s">
        <v>74</v>
      </c>
      <c r="U621" s="1" t="s">
        <v>74</v>
      </c>
      <c r="V621" s="1" t="s">
        <v>5980</v>
      </c>
      <c r="W621" s="1" t="s">
        <v>74</v>
      </c>
      <c r="X621" s="1" t="s">
        <v>74</v>
      </c>
      <c r="Y621" s="1" t="s">
        <v>74</v>
      </c>
      <c r="Z621" s="1" t="s">
        <v>74</v>
      </c>
      <c r="AA621" s="1" t="s">
        <v>74</v>
      </c>
      <c r="AB621" s="1" t="s">
        <v>5981</v>
      </c>
      <c r="AC621" s="1" t="s">
        <v>74</v>
      </c>
      <c r="AD621" s="1" t="s">
        <v>74</v>
      </c>
      <c r="AE621" s="1" t="s">
        <v>74</v>
      </c>
      <c r="AF621" s="1" t="s">
        <v>74</v>
      </c>
      <c r="AG621" s="1" t="s">
        <v>74</v>
      </c>
      <c r="AH621" s="1" t="s">
        <v>74</v>
      </c>
      <c r="AI621" s="1" t="s">
        <v>74</v>
      </c>
      <c r="AJ621" s="1" t="s">
        <v>74</v>
      </c>
      <c r="AK621" s="1" t="s">
        <v>74</v>
      </c>
      <c r="AL621" s="1" t="s">
        <v>74</v>
      </c>
      <c r="AM621" s="1" t="s">
        <v>74</v>
      </c>
      <c r="AN621" s="1" t="s">
        <v>74</v>
      </c>
      <c r="AO621" s="1" t="s">
        <v>5982</v>
      </c>
      <c r="AP621" s="1" t="s">
        <v>5983</v>
      </c>
      <c r="AQ621" s="1" t="s">
        <v>74</v>
      </c>
      <c r="AR621" s="1" t="s">
        <v>74</v>
      </c>
      <c r="AS621" s="1" t="s">
        <v>74</v>
      </c>
      <c r="AT621" s="1" t="s">
        <v>415</v>
      </c>
      <c r="AU621" s="1">
        <v>2018.0</v>
      </c>
      <c r="AV621" s="1">
        <v>21.0</v>
      </c>
      <c r="AW621" s="1">
        <v>3.0</v>
      </c>
      <c r="AX621" s="1" t="s">
        <v>74</v>
      </c>
      <c r="AY621" s="1" t="s">
        <v>74</v>
      </c>
      <c r="AZ621" s="1" t="s">
        <v>74</v>
      </c>
      <c r="BA621" s="1" t="s">
        <v>74</v>
      </c>
      <c r="BB621" s="1">
        <v>253.0</v>
      </c>
      <c r="BC621" s="1">
        <v>272.0</v>
      </c>
      <c r="BD621" s="1" t="s">
        <v>74</v>
      </c>
      <c r="BE621" s="1" t="s">
        <v>5984</v>
      </c>
      <c r="BF621" s="2" t="str">
        <f>HYPERLINK("http://dx.doi.org/10.1111/infi.12133","http://dx.doi.org/10.1111/infi.12133")</f>
        <v>http://dx.doi.org/10.1111/infi.12133</v>
      </c>
      <c r="BG621" s="1" t="s">
        <v>74</v>
      </c>
      <c r="BH621" s="1" t="s">
        <v>74</v>
      </c>
      <c r="BI621" s="1" t="s">
        <v>74</v>
      </c>
      <c r="BJ621" s="1" t="s">
        <v>74</v>
      </c>
      <c r="BK621" s="1" t="s">
        <v>74</v>
      </c>
      <c r="BL621" s="1" t="s">
        <v>74</v>
      </c>
      <c r="BM621" s="1" t="s">
        <v>74</v>
      </c>
      <c r="BN621" s="1" t="s">
        <v>74</v>
      </c>
      <c r="BO621" s="1" t="s">
        <v>74</v>
      </c>
      <c r="BP621" s="1" t="s">
        <v>74</v>
      </c>
      <c r="BQ621" s="1" t="s">
        <v>74</v>
      </c>
      <c r="BR621" s="1" t="s">
        <v>74</v>
      </c>
      <c r="BS621" s="1" t="s">
        <v>5985</v>
      </c>
      <c r="BT621" s="1" t="str">
        <f>HYPERLINK("https%3A%2F%2Fwww.webofscience.com%2Fwos%2Fwoscc%2Ffull-record%2FWOS:000454100700003","View Full Record in Web of Science")</f>
        <v>View Full Record in Web of Science</v>
      </c>
    </row>
    <row r="622" ht="12.75" customHeight="1">
      <c r="A622" s="1" t="s">
        <v>72</v>
      </c>
      <c r="B622" s="1" t="s">
        <v>5986</v>
      </c>
      <c r="C622" s="1" t="s">
        <v>74</v>
      </c>
      <c r="D622" s="1" t="s">
        <v>74</v>
      </c>
      <c r="E622" s="1" t="s">
        <v>74</v>
      </c>
      <c r="F622" s="1" t="s">
        <v>5987</v>
      </c>
      <c r="G622" s="1" t="s">
        <v>74</v>
      </c>
      <c r="H622" s="1" t="s">
        <v>74</v>
      </c>
      <c r="I622" s="1" t="s">
        <v>5988</v>
      </c>
      <c r="J622" s="1" t="s">
        <v>2748</v>
      </c>
      <c r="K622" s="1" t="s">
        <v>74</v>
      </c>
      <c r="L622" s="1" t="s">
        <v>74</v>
      </c>
      <c r="M622" s="1" t="s">
        <v>74</v>
      </c>
      <c r="N622" s="1" t="s">
        <v>74</v>
      </c>
      <c r="O622" s="1" t="s">
        <v>74</v>
      </c>
      <c r="P622" s="1" t="s">
        <v>74</v>
      </c>
      <c r="Q622" s="1" t="s">
        <v>74</v>
      </c>
      <c r="R622" s="1" t="s">
        <v>74</v>
      </c>
      <c r="S622" s="1" t="s">
        <v>74</v>
      </c>
      <c r="T622" s="1" t="s">
        <v>74</v>
      </c>
      <c r="U622" s="1" t="s">
        <v>74</v>
      </c>
      <c r="V622" s="1" t="s">
        <v>5989</v>
      </c>
      <c r="W622" s="1" t="s">
        <v>74</v>
      </c>
      <c r="X622" s="1" t="s">
        <v>74</v>
      </c>
      <c r="Y622" s="1" t="s">
        <v>74</v>
      </c>
      <c r="Z622" s="1" t="s">
        <v>74</v>
      </c>
      <c r="AA622" s="1" t="s">
        <v>5990</v>
      </c>
      <c r="AB622" s="1" t="s">
        <v>5991</v>
      </c>
      <c r="AC622" s="1" t="s">
        <v>74</v>
      </c>
      <c r="AD622" s="1" t="s">
        <v>74</v>
      </c>
      <c r="AE622" s="1" t="s">
        <v>74</v>
      </c>
      <c r="AF622" s="1" t="s">
        <v>74</v>
      </c>
      <c r="AG622" s="1" t="s">
        <v>74</v>
      </c>
      <c r="AH622" s="1" t="s">
        <v>74</v>
      </c>
      <c r="AI622" s="1" t="s">
        <v>74</v>
      </c>
      <c r="AJ622" s="1" t="s">
        <v>74</v>
      </c>
      <c r="AK622" s="1" t="s">
        <v>74</v>
      </c>
      <c r="AL622" s="1" t="s">
        <v>74</v>
      </c>
      <c r="AM622" s="1" t="s">
        <v>74</v>
      </c>
      <c r="AN622" s="1" t="s">
        <v>74</v>
      </c>
      <c r="AO622" s="1" t="s">
        <v>2750</v>
      </c>
      <c r="AP622" s="1" t="s">
        <v>5992</v>
      </c>
      <c r="AQ622" s="1" t="s">
        <v>74</v>
      </c>
      <c r="AR622" s="1" t="s">
        <v>74</v>
      </c>
      <c r="AS622" s="1" t="s">
        <v>74</v>
      </c>
      <c r="AT622" s="1" t="s">
        <v>1383</v>
      </c>
      <c r="AU622" s="1">
        <v>2018.0</v>
      </c>
      <c r="AV622" s="1">
        <v>94.0</v>
      </c>
      <c r="AW622" s="1">
        <v>6.0</v>
      </c>
      <c r="AX622" s="1" t="s">
        <v>74</v>
      </c>
      <c r="AY622" s="1" t="s">
        <v>74</v>
      </c>
      <c r="AZ622" s="1" t="s">
        <v>74</v>
      </c>
      <c r="BA622" s="1" t="s">
        <v>74</v>
      </c>
      <c r="BB622" s="1">
        <v>1100.0</v>
      </c>
      <c r="BC622" s="1">
        <v>1108.0</v>
      </c>
      <c r="BD622" s="1" t="s">
        <v>74</v>
      </c>
      <c r="BE622" s="1" t="s">
        <v>5993</v>
      </c>
      <c r="BF622" s="2" t="str">
        <f>HYPERLINK("http://dx.doi.org/10.1111/php.12982","http://dx.doi.org/10.1111/php.12982")</f>
        <v>http://dx.doi.org/10.1111/php.12982</v>
      </c>
      <c r="BG622" s="1" t="s">
        <v>74</v>
      </c>
      <c r="BH622" s="1" t="s">
        <v>74</v>
      </c>
      <c r="BI622" s="1" t="s">
        <v>74</v>
      </c>
      <c r="BJ622" s="1" t="s">
        <v>74</v>
      </c>
      <c r="BK622" s="1" t="s">
        <v>74</v>
      </c>
      <c r="BL622" s="1" t="s">
        <v>74</v>
      </c>
      <c r="BM622" s="1" t="s">
        <v>74</v>
      </c>
      <c r="BN622" s="1">
        <v>2.9984405E7</v>
      </c>
      <c r="BO622" s="1" t="s">
        <v>74</v>
      </c>
      <c r="BP622" s="1" t="s">
        <v>74</v>
      </c>
      <c r="BQ622" s="1" t="s">
        <v>74</v>
      </c>
      <c r="BR622" s="1" t="s">
        <v>74</v>
      </c>
      <c r="BS622" s="1" t="s">
        <v>5994</v>
      </c>
      <c r="BT622" s="1" t="str">
        <f>HYPERLINK("https%3A%2F%2Fwww.webofscience.com%2Fwos%2Fwoscc%2Ffull-record%2FWOS:000450018200004","View Full Record in Web of Science")</f>
        <v>View Full Record in Web of Science</v>
      </c>
    </row>
    <row r="623" ht="12.75" customHeight="1">
      <c r="A623" s="1" t="s">
        <v>72</v>
      </c>
      <c r="B623" s="1" t="s">
        <v>5995</v>
      </c>
      <c r="C623" s="1" t="s">
        <v>74</v>
      </c>
      <c r="D623" s="1" t="s">
        <v>74</v>
      </c>
      <c r="E623" s="1" t="s">
        <v>74</v>
      </c>
      <c r="F623" s="1" t="s">
        <v>5996</v>
      </c>
      <c r="G623" s="1" t="s">
        <v>74</v>
      </c>
      <c r="H623" s="1" t="s">
        <v>74</v>
      </c>
      <c r="I623" s="1" t="s">
        <v>5997</v>
      </c>
      <c r="J623" s="1" t="s">
        <v>5820</v>
      </c>
      <c r="K623" s="1" t="s">
        <v>74</v>
      </c>
      <c r="L623" s="1" t="s">
        <v>74</v>
      </c>
      <c r="M623" s="1" t="s">
        <v>74</v>
      </c>
      <c r="N623" s="1" t="s">
        <v>74</v>
      </c>
      <c r="O623" s="1" t="s">
        <v>74</v>
      </c>
      <c r="P623" s="1" t="s">
        <v>74</v>
      </c>
      <c r="Q623" s="1" t="s">
        <v>74</v>
      </c>
      <c r="R623" s="1" t="s">
        <v>74</v>
      </c>
      <c r="S623" s="1" t="s">
        <v>74</v>
      </c>
      <c r="T623" s="1" t="s">
        <v>74</v>
      </c>
      <c r="U623" s="1" t="s">
        <v>74</v>
      </c>
      <c r="V623" s="1" t="s">
        <v>5998</v>
      </c>
      <c r="W623" s="1" t="s">
        <v>74</v>
      </c>
      <c r="X623" s="1" t="s">
        <v>74</v>
      </c>
      <c r="Y623" s="1" t="s">
        <v>74</v>
      </c>
      <c r="Z623" s="1" t="s">
        <v>74</v>
      </c>
      <c r="AA623" s="1" t="s">
        <v>5999</v>
      </c>
      <c r="AB623" s="1" t="s">
        <v>6000</v>
      </c>
      <c r="AC623" s="1" t="s">
        <v>74</v>
      </c>
      <c r="AD623" s="1" t="s">
        <v>74</v>
      </c>
      <c r="AE623" s="1" t="s">
        <v>74</v>
      </c>
      <c r="AF623" s="1" t="s">
        <v>74</v>
      </c>
      <c r="AG623" s="1" t="s">
        <v>74</v>
      </c>
      <c r="AH623" s="1" t="s">
        <v>74</v>
      </c>
      <c r="AI623" s="1" t="s">
        <v>74</v>
      </c>
      <c r="AJ623" s="1" t="s">
        <v>74</v>
      </c>
      <c r="AK623" s="1" t="s">
        <v>74</v>
      </c>
      <c r="AL623" s="1" t="s">
        <v>74</v>
      </c>
      <c r="AM623" s="1" t="s">
        <v>74</v>
      </c>
      <c r="AN623" s="1" t="s">
        <v>74</v>
      </c>
      <c r="AO623" s="1" t="s">
        <v>5824</v>
      </c>
      <c r="AP623" s="1" t="s">
        <v>5825</v>
      </c>
      <c r="AQ623" s="1" t="s">
        <v>74</v>
      </c>
      <c r="AR623" s="1" t="s">
        <v>74</v>
      </c>
      <c r="AS623" s="1" t="s">
        <v>74</v>
      </c>
      <c r="AT623" s="1" t="s">
        <v>1989</v>
      </c>
      <c r="AU623" s="1">
        <v>2018.0</v>
      </c>
      <c r="AV623" s="1">
        <v>624.0</v>
      </c>
      <c r="AW623" s="1" t="s">
        <v>74</v>
      </c>
      <c r="AX623" s="1" t="s">
        <v>74</v>
      </c>
      <c r="AY623" s="1" t="s">
        <v>74</v>
      </c>
      <c r="AZ623" s="1" t="s">
        <v>74</v>
      </c>
      <c r="BA623" s="1" t="s">
        <v>74</v>
      </c>
      <c r="BB623" s="1">
        <v>1095.0</v>
      </c>
      <c r="BC623" s="1">
        <v>1105.0</v>
      </c>
      <c r="BD623" s="1" t="s">
        <v>74</v>
      </c>
      <c r="BE623" s="1" t="s">
        <v>6001</v>
      </c>
      <c r="BF623" s="2" t="str">
        <f>HYPERLINK("http://dx.doi.org/10.1016/j.scitotenv.2017.12.159","http://dx.doi.org/10.1016/j.scitotenv.2017.12.159")</f>
        <v>http://dx.doi.org/10.1016/j.scitotenv.2017.12.159</v>
      </c>
      <c r="BG623" s="1" t="s">
        <v>74</v>
      </c>
      <c r="BH623" s="1" t="s">
        <v>74</v>
      </c>
      <c r="BI623" s="1" t="s">
        <v>74</v>
      </c>
      <c r="BJ623" s="1" t="s">
        <v>74</v>
      </c>
      <c r="BK623" s="1" t="s">
        <v>74</v>
      </c>
      <c r="BL623" s="1" t="s">
        <v>74</v>
      </c>
      <c r="BM623" s="1" t="s">
        <v>74</v>
      </c>
      <c r="BN623" s="1">
        <v>2.9625524E7</v>
      </c>
      <c r="BO623" s="1" t="s">
        <v>74</v>
      </c>
      <c r="BP623" s="1" t="s">
        <v>74</v>
      </c>
      <c r="BQ623" s="1" t="s">
        <v>74</v>
      </c>
      <c r="BR623" s="1" t="s">
        <v>74</v>
      </c>
      <c r="BS623" s="1" t="s">
        <v>6002</v>
      </c>
      <c r="BT623" s="1" t="str">
        <f>HYPERLINK("https%3A%2F%2Fwww.webofscience.com%2Fwos%2Fwoscc%2Ffull-record%2FWOS:000426355900109","View Full Record in Web of Science")</f>
        <v>View Full Record in Web of Science</v>
      </c>
    </row>
    <row r="624" ht="12.75" customHeight="1">
      <c r="A624" s="1" t="s">
        <v>72</v>
      </c>
      <c r="B624" s="1" t="s">
        <v>6003</v>
      </c>
      <c r="C624" s="1" t="s">
        <v>74</v>
      </c>
      <c r="D624" s="1" t="s">
        <v>74</v>
      </c>
      <c r="E624" s="1" t="s">
        <v>74</v>
      </c>
      <c r="F624" s="1" t="s">
        <v>6004</v>
      </c>
      <c r="G624" s="1" t="s">
        <v>74</v>
      </c>
      <c r="H624" s="1" t="s">
        <v>74</v>
      </c>
      <c r="I624" s="1" t="s">
        <v>6005</v>
      </c>
      <c r="J624" s="1" t="s">
        <v>6006</v>
      </c>
      <c r="K624" s="1" t="s">
        <v>74</v>
      </c>
      <c r="L624" s="1" t="s">
        <v>74</v>
      </c>
      <c r="M624" s="1" t="s">
        <v>74</v>
      </c>
      <c r="N624" s="1" t="s">
        <v>74</v>
      </c>
      <c r="O624" s="1" t="s">
        <v>74</v>
      </c>
      <c r="P624" s="1" t="s">
        <v>74</v>
      </c>
      <c r="Q624" s="1" t="s">
        <v>74</v>
      </c>
      <c r="R624" s="1" t="s">
        <v>74</v>
      </c>
      <c r="S624" s="1" t="s">
        <v>74</v>
      </c>
      <c r="T624" s="1" t="s">
        <v>74</v>
      </c>
      <c r="U624" s="1" t="s">
        <v>74</v>
      </c>
      <c r="V624" s="1" t="s">
        <v>6007</v>
      </c>
      <c r="W624" s="1" t="s">
        <v>74</v>
      </c>
      <c r="X624" s="1" t="s">
        <v>74</v>
      </c>
      <c r="Y624" s="1" t="s">
        <v>74</v>
      </c>
      <c r="Z624" s="1" t="s">
        <v>74</v>
      </c>
      <c r="AA624" s="1" t="s">
        <v>74</v>
      </c>
      <c r="AB624" s="1" t="s">
        <v>5021</v>
      </c>
      <c r="AC624" s="1" t="s">
        <v>74</v>
      </c>
      <c r="AD624" s="1" t="s">
        <v>74</v>
      </c>
      <c r="AE624" s="1" t="s">
        <v>74</v>
      </c>
      <c r="AF624" s="1" t="s">
        <v>74</v>
      </c>
      <c r="AG624" s="1" t="s">
        <v>74</v>
      </c>
      <c r="AH624" s="1" t="s">
        <v>74</v>
      </c>
      <c r="AI624" s="1" t="s">
        <v>74</v>
      </c>
      <c r="AJ624" s="1" t="s">
        <v>74</v>
      </c>
      <c r="AK624" s="1" t="s">
        <v>74</v>
      </c>
      <c r="AL624" s="1" t="s">
        <v>74</v>
      </c>
      <c r="AM624" s="1" t="s">
        <v>74</v>
      </c>
      <c r="AN624" s="1" t="s">
        <v>74</v>
      </c>
      <c r="AO624" s="1" t="s">
        <v>6008</v>
      </c>
      <c r="AP624" s="1" t="s">
        <v>6009</v>
      </c>
      <c r="AQ624" s="1" t="s">
        <v>74</v>
      </c>
      <c r="AR624" s="1" t="s">
        <v>74</v>
      </c>
      <c r="AS624" s="1" t="s">
        <v>74</v>
      </c>
      <c r="AT624" s="1" t="s">
        <v>144</v>
      </c>
      <c r="AU624" s="1">
        <v>2018.0</v>
      </c>
      <c r="AV624" s="1">
        <v>223.0</v>
      </c>
      <c r="AW624" s="1" t="s">
        <v>74</v>
      </c>
      <c r="AX624" s="1" t="s">
        <v>74</v>
      </c>
      <c r="AY624" s="1" t="s">
        <v>74</v>
      </c>
      <c r="AZ624" s="1" t="s">
        <v>74</v>
      </c>
      <c r="BA624" s="1" t="s">
        <v>74</v>
      </c>
      <c r="BB624" s="1">
        <v>198.0</v>
      </c>
      <c r="BC624" s="1">
        <v>206.0</v>
      </c>
      <c r="BD624" s="1" t="s">
        <v>74</v>
      </c>
      <c r="BE624" s="1" t="s">
        <v>6010</v>
      </c>
      <c r="BF624" s="2" t="str">
        <f>HYPERLINK("http://dx.doi.org/10.1016/j.jss.2017.11.018","http://dx.doi.org/10.1016/j.jss.2017.11.018")</f>
        <v>http://dx.doi.org/10.1016/j.jss.2017.11.018</v>
      </c>
      <c r="BG624" s="1" t="s">
        <v>74</v>
      </c>
      <c r="BH624" s="1" t="s">
        <v>74</v>
      </c>
      <c r="BI624" s="1" t="s">
        <v>74</v>
      </c>
      <c r="BJ624" s="1" t="s">
        <v>74</v>
      </c>
      <c r="BK624" s="1" t="s">
        <v>74</v>
      </c>
      <c r="BL624" s="1" t="s">
        <v>74</v>
      </c>
      <c r="BM624" s="1" t="s">
        <v>74</v>
      </c>
      <c r="BN624" s="1">
        <v>2.9433874E7</v>
      </c>
      <c r="BO624" s="1" t="s">
        <v>74</v>
      </c>
      <c r="BP624" s="1" t="s">
        <v>74</v>
      </c>
      <c r="BQ624" s="1" t="s">
        <v>74</v>
      </c>
      <c r="BR624" s="1" t="s">
        <v>74</v>
      </c>
      <c r="BS624" s="1" t="s">
        <v>6011</v>
      </c>
      <c r="BT624" s="1" t="str">
        <f>HYPERLINK("https%3A%2F%2Fwww.webofscience.com%2Fwos%2Fwoscc%2Ffull-record%2FWOS:000425850400027","View Full Record in Web of Science")</f>
        <v>View Full Record in Web of Science</v>
      </c>
    </row>
    <row r="625" ht="12.75" customHeight="1">
      <c r="A625" s="1" t="s">
        <v>72</v>
      </c>
      <c r="B625" s="1" t="s">
        <v>6012</v>
      </c>
      <c r="C625" s="1" t="s">
        <v>74</v>
      </c>
      <c r="D625" s="1" t="s">
        <v>74</v>
      </c>
      <c r="E625" s="1" t="s">
        <v>74</v>
      </c>
      <c r="F625" s="1" t="s">
        <v>6013</v>
      </c>
      <c r="G625" s="1" t="s">
        <v>74</v>
      </c>
      <c r="H625" s="1" t="s">
        <v>74</v>
      </c>
      <c r="I625" s="1" t="s">
        <v>6014</v>
      </c>
      <c r="J625" s="1" t="s">
        <v>6015</v>
      </c>
      <c r="K625" s="1" t="s">
        <v>74</v>
      </c>
      <c r="L625" s="1" t="s">
        <v>74</v>
      </c>
      <c r="M625" s="1" t="s">
        <v>74</v>
      </c>
      <c r="N625" s="1" t="s">
        <v>74</v>
      </c>
      <c r="O625" s="1" t="s">
        <v>74</v>
      </c>
      <c r="P625" s="1" t="s">
        <v>74</v>
      </c>
      <c r="Q625" s="1" t="s">
        <v>74</v>
      </c>
      <c r="R625" s="1" t="s">
        <v>74</v>
      </c>
      <c r="S625" s="1" t="s">
        <v>74</v>
      </c>
      <c r="T625" s="1" t="s">
        <v>74</v>
      </c>
      <c r="U625" s="1" t="s">
        <v>74</v>
      </c>
      <c r="V625" s="1" t="s">
        <v>6016</v>
      </c>
      <c r="W625" s="1" t="s">
        <v>74</v>
      </c>
      <c r="X625" s="1" t="s">
        <v>74</v>
      </c>
      <c r="Y625" s="1" t="s">
        <v>74</v>
      </c>
      <c r="Z625" s="1" t="s">
        <v>74</v>
      </c>
      <c r="AA625" s="1" t="s">
        <v>6017</v>
      </c>
      <c r="AB625" s="1" t="s">
        <v>6018</v>
      </c>
      <c r="AC625" s="1" t="s">
        <v>74</v>
      </c>
      <c r="AD625" s="1" t="s">
        <v>74</v>
      </c>
      <c r="AE625" s="1" t="s">
        <v>74</v>
      </c>
      <c r="AF625" s="1" t="s">
        <v>74</v>
      </c>
      <c r="AG625" s="1" t="s">
        <v>74</v>
      </c>
      <c r="AH625" s="1" t="s">
        <v>74</v>
      </c>
      <c r="AI625" s="1" t="s">
        <v>74</v>
      </c>
      <c r="AJ625" s="1" t="s">
        <v>74</v>
      </c>
      <c r="AK625" s="1" t="s">
        <v>74</v>
      </c>
      <c r="AL625" s="1" t="s">
        <v>74</v>
      </c>
      <c r="AM625" s="1" t="s">
        <v>74</v>
      </c>
      <c r="AN625" s="1" t="s">
        <v>74</v>
      </c>
      <c r="AO625" s="1" t="s">
        <v>6019</v>
      </c>
      <c r="AP625" s="1" t="s">
        <v>6020</v>
      </c>
      <c r="AQ625" s="1" t="s">
        <v>74</v>
      </c>
      <c r="AR625" s="1" t="s">
        <v>74</v>
      </c>
      <c r="AS625" s="1" t="s">
        <v>74</v>
      </c>
      <c r="AT625" s="1" t="s">
        <v>74</v>
      </c>
      <c r="AU625" s="1">
        <v>2018.0</v>
      </c>
      <c r="AV625" s="1">
        <v>31.0</v>
      </c>
      <c r="AW625" s="1">
        <v>4.0</v>
      </c>
      <c r="AX625" s="1" t="s">
        <v>74</v>
      </c>
      <c r="AY625" s="1" t="s">
        <v>74</v>
      </c>
      <c r="AZ625" s="1" t="s">
        <v>1042</v>
      </c>
      <c r="BA625" s="1" t="s">
        <v>74</v>
      </c>
      <c r="BB625" s="1">
        <v>719.0</v>
      </c>
      <c r="BC625" s="1">
        <v>735.0</v>
      </c>
      <c r="BD625" s="1" t="s">
        <v>74</v>
      </c>
      <c r="BE625" s="1" t="s">
        <v>6021</v>
      </c>
      <c r="BF625" s="2" t="str">
        <f>HYPERLINK("http://dx.doi.org/10.1108/ARLA-11-2016-0322","http://dx.doi.org/10.1108/ARLA-11-2016-0322")</f>
        <v>http://dx.doi.org/10.1108/ARLA-11-2016-0322</v>
      </c>
      <c r="BG625" s="1" t="s">
        <v>74</v>
      </c>
      <c r="BH625" s="1" t="s">
        <v>74</v>
      </c>
      <c r="BI625" s="1" t="s">
        <v>74</v>
      </c>
      <c r="BJ625" s="1" t="s">
        <v>74</v>
      </c>
      <c r="BK625" s="1" t="s">
        <v>74</v>
      </c>
      <c r="BL625" s="1" t="s">
        <v>74</v>
      </c>
      <c r="BM625" s="1" t="s">
        <v>74</v>
      </c>
      <c r="BN625" s="1" t="s">
        <v>74</v>
      </c>
      <c r="BO625" s="1" t="s">
        <v>74</v>
      </c>
      <c r="BP625" s="1" t="s">
        <v>74</v>
      </c>
      <c r="BQ625" s="1" t="s">
        <v>74</v>
      </c>
      <c r="BR625" s="1" t="s">
        <v>74</v>
      </c>
      <c r="BS625" s="1" t="s">
        <v>6022</v>
      </c>
      <c r="BT625" s="1" t="str">
        <f>HYPERLINK("https%3A%2F%2Fwww.webofscience.com%2Fwos%2Fwoscc%2Ffull-record%2FWOS:000452701000007","View Full Record in Web of Science")</f>
        <v>View Full Record in Web of Science</v>
      </c>
    </row>
    <row r="626" ht="12.75" customHeight="1">
      <c r="A626" s="1" t="s">
        <v>72</v>
      </c>
      <c r="B626" s="1" t="s">
        <v>6023</v>
      </c>
      <c r="C626" s="1" t="s">
        <v>74</v>
      </c>
      <c r="D626" s="1" t="s">
        <v>74</v>
      </c>
      <c r="E626" s="1" t="s">
        <v>74</v>
      </c>
      <c r="F626" s="1" t="s">
        <v>6024</v>
      </c>
      <c r="G626" s="1" t="s">
        <v>74</v>
      </c>
      <c r="H626" s="1" t="s">
        <v>74</v>
      </c>
      <c r="I626" s="1" t="s">
        <v>6025</v>
      </c>
      <c r="J626" s="1" t="s">
        <v>6026</v>
      </c>
      <c r="K626" s="1" t="s">
        <v>74</v>
      </c>
      <c r="L626" s="1" t="s">
        <v>74</v>
      </c>
      <c r="M626" s="1" t="s">
        <v>74</v>
      </c>
      <c r="N626" s="1" t="s">
        <v>74</v>
      </c>
      <c r="O626" s="1" t="s">
        <v>74</v>
      </c>
      <c r="P626" s="1" t="s">
        <v>74</v>
      </c>
      <c r="Q626" s="1" t="s">
        <v>74</v>
      </c>
      <c r="R626" s="1" t="s">
        <v>74</v>
      </c>
      <c r="S626" s="1" t="s">
        <v>74</v>
      </c>
      <c r="T626" s="1" t="s">
        <v>74</v>
      </c>
      <c r="U626" s="1" t="s">
        <v>74</v>
      </c>
      <c r="V626" s="1" t="s">
        <v>6027</v>
      </c>
      <c r="W626" s="1" t="s">
        <v>74</v>
      </c>
      <c r="X626" s="1" t="s">
        <v>74</v>
      </c>
      <c r="Y626" s="1" t="s">
        <v>74</v>
      </c>
      <c r="Z626" s="1" t="s">
        <v>74</v>
      </c>
      <c r="AA626" s="1" t="s">
        <v>6028</v>
      </c>
      <c r="AB626" s="1" t="s">
        <v>74</v>
      </c>
      <c r="AC626" s="1" t="s">
        <v>74</v>
      </c>
      <c r="AD626" s="1" t="s">
        <v>74</v>
      </c>
      <c r="AE626" s="1" t="s">
        <v>74</v>
      </c>
      <c r="AF626" s="1" t="s">
        <v>74</v>
      </c>
      <c r="AG626" s="1" t="s">
        <v>74</v>
      </c>
      <c r="AH626" s="1" t="s">
        <v>74</v>
      </c>
      <c r="AI626" s="1" t="s">
        <v>74</v>
      </c>
      <c r="AJ626" s="1" t="s">
        <v>74</v>
      </c>
      <c r="AK626" s="1" t="s">
        <v>74</v>
      </c>
      <c r="AL626" s="1" t="s">
        <v>74</v>
      </c>
      <c r="AM626" s="1" t="s">
        <v>74</v>
      </c>
      <c r="AN626" s="1" t="s">
        <v>74</v>
      </c>
      <c r="AO626" s="1" t="s">
        <v>6029</v>
      </c>
      <c r="AP626" s="1" t="s">
        <v>6030</v>
      </c>
      <c r="AQ626" s="1" t="s">
        <v>74</v>
      </c>
      <c r="AR626" s="1" t="s">
        <v>74</v>
      </c>
      <c r="AS626" s="1" t="s">
        <v>74</v>
      </c>
      <c r="AT626" s="1" t="s">
        <v>74</v>
      </c>
      <c r="AU626" s="1">
        <v>2018.0</v>
      </c>
      <c r="AV626" s="1">
        <v>32.0</v>
      </c>
      <c r="AW626" s="1">
        <v>4.0</v>
      </c>
      <c r="AX626" s="1" t="s">
        <v>74</v>
      </c>
      <c r="AY626" s="1" t="s">
        <v>74</v>
      </c>
      <c r="AZ626" s="1" t="s">
        <v>74</v>
      </c>
      <c r="BA626" s="1" t="s">
        <v>74</v>
      </c>
      <c r="BB626" s="1">
        <v>2421.0</v>
      </c>
      <c r="BC626" s="1">
        <v>2440.0</v>
      </c>
      <c r="BD626" s="1" t="s">
        <v>74</v>
      </c>
      <c r="BE626" s="1" t="s">
        <v>6031</v>
      </c>
      <c r="BF626" s="2" t="str">
        <f>HYPERLINK("http://dx.doi.org/10.1137/18M1167292","http://dx.doi.org/10.1137/18M1167292")</f>
        <v>http://dx.doi.org/10.1137/18M1167292</v>
      </c>
      <c r="BG626" s="1" t="s">
        <v>74</v>
      </c>
      <c r="BH626" s="1" t="s">
        <v>74</v>
      </c>
      <c r="BI626" s="1" t="s">
        <v>74</v>
      </c>
      <c r="BJ626" s="1" t="s">
        <v>74</v>
      </c>
      <c r="BK626" s="1" t="s">
        <v>74</v>
      </c>
      <c r="BL626" s="1" t="s">
        <v>74</v>
      </c>
      <c r="BM626" s="1" t="s">
        <v>74</v>
      </c>
      <c r="BN626" s="1" t="s">
        <v>74</v>
      </c>
      <c r="BO626" s="1" t="s">
        <v>74</v>
      </c>
      <c r="BP626" s="1" t="s">
        <v>74</v>
      </c>
      <c r="BQ626" s="1" t="s">
        <v>74</v>
      </c>
      <c r="BR626" s="1" t="s">
        <v>74</v>
      </c>
      <c r="BS626" s="1" t="s">
        <v>6032</v>
      </c>
      <c r="BT626" s="1" t="str">
        <f>HYPERLINK("https%3A%2F%2Fwww.webofscience.com%2Fwos%2Fwoscc%2Ffull-record%2FWOS:000453738300003","View Full Record in Web of Science")</f>
        <v>View Full Record in Web of Science</v>
      </c>
    </row>
    <row r="627" ht="12.75" customHeight="1">
      <c r="A627" s="1" t="s">
        <v>72</v>
      </c>
      <c r="B627" s="1" t="s">
        <v>4462</v>
      </c>
      <c r="C627" s="1" t="s">
        <v>74</v>
      </c>
      <c r="D627" s="1" t="s">
        <v>74</v>
      </c>
      <c r="E627" s="1" t="s">
        <v>74</v>
      </c>
      <c r="F627" s="1" t="s">
        <v>4463</v>
      </c>
      <c r="G627" s="1" t="s">
        <v>74</v>
      </c>
      <c r="H627" s="1" t="s">
        <v>74</v>
      </c>
      <c r="I627" s="1" t="s">
        <v>6033</v>
      </c>
      <c r="J627" s="1" t="s">
        <v>496</v>
      </c>
      <c r="K627" s="1" t="s">
        <v>74</v>
      </c>
      <c r="L627" s="1" t="s">
        <v>74</v>
      </c>
      <c r="M627" s="1" t="s">
        <v>74</v>
      </c>
      <c r="N627" s="1" t="s">
        <v>74</v>
      </c>
      <c r="O627" s="1" t="s">
        <v>74</v>
      </c>
      <c r="P627" s="1" t="s">
        <v>74</v>
      </c>
      <c r="Q627" s="1" t="s">
        <v>74</v>
      </c>
      <c r="R627" s="1" t="s">
        <v>74</v>
      </c>
      <c r="S627" s="1" t="s">
        <v>74</v>
      </c>
      <c r="T627" s="1" t="s">
        <v>74</v>
      </c>
      <c r="U627" s="1" t="s">
        <v>74</v>
      </c>
      <c r="V627" s="1" t="s">
        <v>6034</v>
      </c>
      <c r="W627" s="1" t="s">
        <v>74</v>
      </c>
      <c r="X627" s="1" t="s">
        <v>74</v>
      </c>
      <c r="Y627" s="1" t="s">
        <v>74</v>
      </c>
      <c r="Z627" s="1" t="s">
        <v>74</v>
      </c>
      <c r="AA627" s="1" t="s">
        <v>1403</v>
      </c>
      <c r="AB627" s="1" t="s">
        <v>6035</v>
      </c>
      <c r="AC627" s="1" t="s">
        <v>74</v>
      </c>
      <c r="AD627" s="1" t="s">
        <v>74</v>
      </c>
      <c r="AE627" s="1" t="s">
        <v>74</v>
      </c>
      <c r="AF627" s="1" t="s">
        <v>74</v>
      </c>
      <c r="AG627" s="1" t="s">
        <v>74</v>
      </c>
      <c r="AH627" s="1" t="s">
        <v>74</v>
      </c>
      <c r="AI627" s="1" t="s">
        <v>74</v>
      </c>
      <c r="AJ627" s="1" t="s">
        <v>74</v>
      </c>
      <c r="AK627" s="1" t="s">
        <v>74</v>
      </c>
      <c r="AL627" s="1" t="s">
        <v>74</v>
      </c>
      <c r="AM627" s="1" t="s">
        <v>74</v>
      </c>
      <c r="AN627" s="1" t="s">
        <v>74</v>
      </c>
      <c r="AO627" s="1" t="s">
        <v>499</v>
      </c>
      <c r="AP627" s="1" t="s">
        <v>500</v>
      </c>
      <c r="AQ627" s="1" t="s">
        <v>74</v>
      </c>
      <c r="AR627" s="1" t="s">
        <v>74</v>
      </c>
      <c r="AS627" s="1" t="s">
        <v>74</v>
      </c>
      <c r="AT627" s="1" t="s">
        <v>2168</v>
      </c>
      <c r="AU627" s="1">
        <v>2017.0</v>
      </c>
      <c r="AV627" s="1">
        <v>263.0</v>
      </c>
      <c r="AW627" s="1">
        <v>6.0</v>
      </c>
      <c r="AX627" s="1" t="s">
        <v>74</v>
      </c>
      <c r="AY627" s="1" t="s">
        <v>74</v>
      </c>
      <c r="AZ627" s="1" t="s">
        <v>74</v>
      </c>
      <c r="BA627" s="1" t="s">
        <v>74</v>
      </c>
      <c r="BB627" s="1">
        <v>3175.0</v>
      </c>
      <c r="BC627" s="1">
        <v>3196.0</v>
      </c>
      <c r="BD627" s="1" t="s">
        <v>74</v>
      </c>
      <c r="BE627" s="1" t="s">
        <v>6036</v>
      </c>
      <c r="BF627" s="2" t="str">
        <f>HYPERLINK("http://dx.doi.org/10.1016/j.jde.2017.04.035","http://dx.doi.org/10.1016/j.jde.2017.04.035")</f>
        <v>http://dx.doi.org/10.1016/j.jde.2017.04.035</v>
      </c>
      <c r="BG627" s="1" t="s">
        <v>74</v>
      </c>
      <c r="BH627" s="1" t="s">
        <v>74</v>
      </c>
      <c r="BI627" s="1" t="s">
        <v>74</v>
      </c>
      <c r="BJ627" s="1" t="s">
        <v>74</v>
      </c>
      <c r="BK627" s="1" t="s">
        <v>74</v>
      </c>
      <c r="BL627" s="1" t="s">
        <v>74</v>
      </c>
      <c r="BM627" s="1" t="s">
        <v>74</v>
      </c>
      <c r="BN627" s="1" t="s">
        <v>74</v>
      </c>
      <c r="BO627" s="1" t="s">
        <v>74</v>
      </c>
      <c r="BP627" s="1" t="s">
        <v>74</v>
      </c>
      <c r="BQ627" s="1" t="s">
        <v>74</v>
      </c>
      <c r="BR627" s="1" t="s">
        <v>74</v>
      </c>
      <c r="BS627" s="1" t="s">
        <v>6037</v>
      </c>
      <c r="BT627" s="1" t="str">
        <f>HYPERLINK("https%3A%2F%2Fwww.webofscience.com%2Fwos%2Fwoscc%2Ffull-record%2FWOS:000403740900001","View Full Record in Web of Science")</f>
        <v>View Full Record in Web of Science</v>
      </c>
    </row>
    <row r="628" ht="12.75" customHeight="1">
      <c r="A628" s="1" t="s">
        <v>72</v>
      </c>
      <c r="B628" s="1" t="s">
        <v>493</v>
      </c>
      <c r="C628" s="1" t="s">
        <v>74</v>
      </c>
      <c r="D628" s="1" t="s">
        <v>74</v>
      </c>
      <c r="E628" s="1" t="s">
        <v>74</v>
      </c>
      <c r="F628" s="1" t="s">
        <v>494</v>
      </c>
      <c r="G628" s="1" t="s">
        <v>74</v>
      </c>
      <c r="H628" s="1" t="s">
        <v>74</v>
      </c>
      <c r="I628" s="1" t="s">
        <v>6038</v>
      </c>
      <c r="J628" s="1" t="s">
        <v>6039</v>
      </c>
      <c r="K628" s="1" t="s">
        <v>74</v>
      </c>
      <c r="L628" s="1" t="s">
        <v>74</v>
      </c>
      <c r="M628" s="1" t="s">
        <v>74</v>
      </c>
      <c r="N628" s="1" t="s">
        <v>74</v>
      </c>
      <c r="O628" s="1" t="s">
        <v>74</v>
      </c>
      <c r="P628" s="1" t="s">
        <v>74</v>
      </c>
      <c r="Q628" s="1" t="s">
        <v>74</v>
      </c>
      <c r="R628" s="1" t="s">
        <v>74</v>
      </c>
      <c r="S628" s="1" t="s">
        <v>74</v>
      </c>
      <c r="T628" s="1" t="s">
        <v>74</v>
      </c>
      <c r="U628" s="1" t="s">
        <v>74</v>
      </c>
      <c r="V628" s="1" t="s">
        <v>6040</v>
      </c>
      <c r="W628" s="1" t="s">
        <v>74</v>
      </c>
      <c r="X628" s="1" t="s">
        <v>74</v>
      </c>
      <c r="Y628" s="1" t="s">
        <v>74</v>
      </c>
      <c r="Z628" s="1" t="s">
        <v>74</v>
      </c>
      <c r="AA628" s="1" t="s">
        <v>498</v>
      </c>
      <c r="AB628" s="1" t="s">
        <v>74</v>
      </c>
      <c r="AC628" s="1" t="s">
        <v>74</v>
      </c>
      <c r="AD628" s="1" t="s">
        <v>74</v>
      </c>
      <c r="AE628" s="1" t="s">
        <v>74</v>
      </c>
      <c r="AF628" s="1" t="s">
        <v>74</v>
      </c>
      <c r="AG628" s="1" t="s">
        <v>74</v>
      </c>
      <c r="AH628" s="1" t="s">
        <v>74</v>
      </c>
      <c r="AI628" s="1" t="s">
        <v>74</v>
      </c>
      <c r="AJ628" s="1" t="s">
        <v>74</v>
      </c>
      <c r="AK628" s="1" t="s">
        <v>74</v>
      </c>
      <c r="AL628" s="1" t="s">
        <v>74</v>
      </c>
      <c r="AM628" s="1" t="s">
        <v>74</v>
      </c>
      <c r="AN628" s="1" t="s">
        <v>74</v>
      </c>
      <c r="AO628" s="1" t="s">
        <v>6041</v>
      </c>
      <c r="AP628" s="1" t="s">
        <v>74</v>
      </c>
      <c r="AQ628" s="1" t="s">
        <v>74</v>
      </c>
      <c r="AR628" s="1" t="s">
        <v>74</v>
      </c>
      <c r="AS628" s="1" t="s">
        <v>74</v>
      </c>
      <c r="AT628" s="1" t="s">
        <v>3216</v>
      </c>
      <c r="AU628" s="1">
        <v>2016.0</v>
      </c>
      <c r="AV628" s="1" t="s">
        <v>74</v>
      </c>
      <c r="AW628" s="1" t="s">
        <v>74</v>
      </c>
      <c r="AX628" s="1" t="s">
        <v>74</v>
      </c>
      <c r="AY628" s="1" t="s">
        <v>74</v>
      </c>
      <c r="AZ628" s="1" t="s">
        <v>74</v>
      </c>
      <c r="BA628" s="1" t="s">
        <v>74</v>
      </c>
      <c r="BB628" s="1" t="s">
        <v>74</v>
      </c>
      <c r="BC628" s="1" t="s">
        <v>74</v>
      </c>
      <c r="BD628" s="1">
        <v>270.0</v>
      </c>
      <c r="BE628" s="1" t="s">
        <v>74</v>
      </c>
      <c r="BF628" s="1" t="s">
        <v>74</v>
      </c>
      <c r="BG628" s="1" t="s">
        <v>74</v>
      </c>
      <c r="BH628" s="1" t="s">
        <v>74</v>
      </c>
      <c r="BI628" s="1" t="s">
        <v>74</v>
      </c>
      <c r="BJ628" s="1" t="s">
        <v>74</v>
      </c>
      <c r="BK628" s="1" t="s">
        <v>74</v>
      </c>
      <c r="BL628" s="1" t="s">
        <v>74</v>
      </c>
      <c r="BM628" s="1" t="s">
        <v>74</v>
      </c>
      <c r="BN628" s="1" t="s">
        <v>74</v>
      </c>
      <c r="BO628" s="1" t="s">
        <v>74</v>
      </c>
      <c r="BP628" s="1" t="s">
        <v>74</v>
      </c>
      <c r="BQ628" s="1" t="s">
        <v>74</v>
      </c>
      <c r="BR628" s="1" t="s">
        <v>74</v>
      </c>
      <c r="BS628" s="1" t="s">
        <v>6042</v>
      </c>
      <c r="BT628" s="1" t="str">
        <f>HYPERLINK("https%3A%2F%2Fwww.webofscience.com%2Fwos%2Fwoscc%2Ffull-record%2FWOS:000386082500004","View Full Record in Web of Science")</f>
        <v>View Full Record in Web of Science</v>
      </c>
    </row>
    <row r="629" ht="12.75" customHeight="1">
      <c r="A629" s="1" t="s">
        <v>72</v>
      </c>
      <c r="B629" s="1" t="s">
        <v>6043</v>
      </c>
      <c r="C629" s="1" t="s">
        <v>74</v>
      </c>
      <c r="D629" s="1" t="s">
        <v>74</v>
      </c>
      <c r="E629" s="1" t="s">
        <v>74</v>
      </c>
      <c r="F629" s="1" t="s">
        <v>6044</v>
      </c>
      <c r="G629" s="1" t="s">
        <v>74</v>
      </c>
      <c r="H629" s="1" t="s">
        <v>74</v>
      </c>
      <c r="I629" s="1" t="s">
        <v>6045</v>
      </c>
      <c r="J629" s="1" t="s">
        <v>682</v>
      </c>
      <c r="K629" s="1" t="s">
        <v>74</v>
      </c>
      <c r="L629" s="1" t="s">
        <v>74</v>
      </c>
      <c r="M629" s="1" t="s">
        <v>74</v>
      </c>
      <c r="N629" s="1" t="s">
        <v>74</v>
      </c>
      <c r="O629" s="1" t="s">
        <v>74</v>
      </c>
      <c r="P629" s="1" t="s">
        <v>74</v>
      </c>
      <c r="Q629" s="1" t="s">
        <v>74</v>
      </c>
      <c r="R629" s="1" t="s">
        <v>74</v>
      </c>
      <c r="S629" s="1" t="s">
        <v>74</v>
      </c>
      <c r="T629" s="1" t="s">
        <v>74</v>
      </c>
      <c r="U629" s="1" t="s">
        <v>74</v>
      </c>
      <c r="V629" s="1" t="s">
        <v>6046</v>
      </c>
      <c r="W629" s="1" t="s">
        <v>74</v>
      </c>
      <c r="X629" s="1" t="s">
        <v>74</v>
      </c>
      <c r="Y629" s="1" t="s">
        <v>74</v>
      </c>
      <c r="Z629" s="1" t="s">
        <v>74</v>
      </c>
      <c r="AA629" s="1" t="s">
        <v>6047</v>
      </c>
      <c r="AB629" s="1" t="s">
        <v>6048</v>
      </c>
      <c r="AC629" s="1" t="s">
        <v>74</v>
      </c>
      <c r="AD629" s="1" t="s">
        <v>74</v>
      </c>
      <c r="AE629" s="1" t="s">
        <v>74</v>
      </c>
      <c r="AF629" s="1" t="s">
        <v>74</v>
      </c>
      <c r="AG629" s="1" t="s">
        <v>74</v>
      </c>
      <c r="AH629" s="1" t="s">
        <v>74</v>
      </c>
      <c r="AI629" s="1" t="s">
        <v>74</v>
      </c>
      <c r="AJ629" s="1" t="s">
        <v>74</v>
      </c>
      <c r="AK629" s="1" t="s">
        <v>74</v>
      </c>
      <c r="AL629" s="1" t="s">
        <v>74</v>
      </c>
      <c r="AM629" s="1" t="s">
        <v>74</v>
      </c>
      <c r="AN629" s="1" t="s">
        <v>74</v>
      </c>
      <c r="AO629" s="1" t="s">
        <v>686</v>
      </c>
      <c r="AP629" s="1" t="s">
        <v>687</v>
      </c>
      <c r="AQ629" s="1" t="s">
        <v>74</v>
      </c>
      <c r="AR629" s="1" t="s">
        <v>74</v>
      </c>
      <c r="AS629" s="1" t="s">
        <v>74</v>
      </c>
      <c r="AT629" s="1" t="s">
        <v>74</v>
      </c>
      <c r="AU629" s="1">
        <v>2016.0</v>
      </c>
      <c r="AV629" s="1">
        <v>40.0</v>
      </c>
      <c r="AW629" s="1">
        <v>3.0</v>
      </c>
      <c r="AX629" s="1" t="s">
        <v>74</v>
      </c>
      <c r="AY629" s="1" t="s">
        <v>74</v>
      </c>
      <c r="AZ629" s="1" t="s">
        <v>74</v>
      </c>
      <c r="BA629" s="1" t="s">
        <v>74</v>
      </c>
      <c r="BB629" s="1">
        <v>2806.0</v>
      </c>
      <c r="BC629" s="1">
        <v>2813.0</v>
      </c>
      <c r="BD629" s="1" t="s">
        <v>74</v>
      </c>
      <c r="BE629" s="1" t="s">
        <v>6049</v>
      </c>
      <c r="BF629" s="2" t="str">
        <f>HYPERLINK("http://dx.doi.org/10.1039/c5nj03084f","http://dx.doi.org/10.1039/c5nj03084f")</f>
        <v>http://dx.doi.org/10.1039/c5nj03084f</v>
      </c>
      <c r="BG629" s="1" t="s">
        <v>74</v>
      </c>
      <c r="BH629" s="1" t="s">
        <v>74</v>
      </c>
      <c r="BI629" s="1" t="s">
        <v>74</v>
      </c>
      <c r="BJ629" s="1" t="s">
        <v>74</v>
      </c>
      <c r="BK629" s="1" t="s">
        <v>74</v>
      </c>
      <c r="BL629" s="1" t="s">
        <v>74</v>
      </c>
      <c r="BM629" s="1" t="s">
        <v>74</v>
      </c>
      <c r="BN629" s="1" t="s">
        <v>74</v>
      </c>
      <c r="BO629" s="1" t="s">
        <v>74</v>
      </c>
      <c r="BP629" s="1" t="s">
        <v>74</v>
      </c>
      <c r="BQ629" s="1" t="s">
        <v>74</v>
      </c>
      <c r="BR629" s="1" t="s">
        <v>74</v>
      </c>
      <c r="BS629" s="1" t="s">
        <v>6050</v>
      </c>
      <c r="BT629" s="1" t="str">
        <f>HYPERLINK("https%3A%2F%2Fwww.webofscience.com%2Fwos%2Fwoscc%2Ffull-record%2FWOS:000372425600108","View Full Record in Web of Science")</f>
        <v>View Full Record in Web of Science</v>
      </c>
    </row>
    <row r="630" ht="12.75" customHeight="1">
      <c r="A630" s="1" t="s">
        <v>72</v>
      </c>
      <c r="B630" s="1" t="s">
        <v>6051</v>
      </c>
      <c r="C630" s="1" t="s">
        <v>74</v>
      </c>
      <c r="D630" s="1" t="s">
        <v>74</v>
      </c>
      <c r="E630" s="1" t="s">
        <v>74</v>
      </c>
      <c r="F630" s="1" t="s">
        <v>6052</v>
      </c>
      <c r="G630" s="1" t="s">
        <v>74</v>
      </c>
      <c r="H630" s="1" t="s">
        <v>74</v>
      </c>
      <c r="I630" s="1" t="s">
        <v>6053</v>
      </c>
      <c r="J630" s="1" t="s">
        <v>6054</v>
      </c>
      <c r="K630" s="1" t="s">
        <v>74</v>
      </c>
      <c r="L630" s="1" t="s">
        <v>74</v>
      </c>
      <c r="M630" s="1" t="s">
        <v>74</v>
      </c>
      <c r="N630" s="1" t="s">
        <v>74</v>
      </c>
      <c r="O630" s="1" t="s">
        <v>74</v>
      </c>
      <c r="P630" s="1" t="s">
        <v>74</v>
      </c>
      <c r="Q630" s="1" t="s">
        <v>74</v>
      </c>
      <c r="R630" s="1" t="s">
        <v>74</v>
      </c>
      <c r="S630" s="1" t="s">
        <v>74</v>
      </c>
      <c r="T630" s="1" t="s">
        <v>74</v>
      </c>
      <c r="U630" s="1" t="s">
        <v>74</v>
      </c>
      <c r="V630" s="1" t="s">
        <v>74</v>
      </c>
      <c r="W630" s="1" t="s">
        <v>74</v>
      </c>
      <c r="X630" s="1" t="s">
        <v>74</v>
      </c>
      <c r="Y630" s="1" t="s">
        <v>74</v>
      </c>
      <c r="Z630" s="1" t="s">
        <v>74</v>
      </c>
      <c r="AA630" s="1" t="s">
        <v>74</v>
      </c>
      <c r="AB630" s="1" t="s">
        <v>6055</v>
      </c>
      <c r="AC630" s="1" t="s">
        <v>74</v>
      </c>
      <c r="AD630" s="1" t="s">
        <v>74</v>
      </c>
      <c r="AE630" s="1" t="s">
        <v>74</v>
      </c>
      <c r="AF630" s="1" t="s">
        <v>74</v>
      </c>
      <c r="AG630" s="1" t="s">
        <v>74</v>
      </c>
      <c r="AH630" s="1" t="s">
        <v>74</v>
      </c>
      <c r="AI630" s="1" t="s">
        <v>74</v>
      </c>
      <c r="AJ630" s="1" t="s">
        <v>74</v>
      </c>
      <c r="AK630" s="1" t="s">
        <v>74</v>
      </c>
      <c r="AL630" s="1" t="s">
        <v>74</v>
      </c>
      <c r="AM630" s="1" t="s">
        <v>74</v>
      </c>
      <c r="AN630" s="1" t="s">
        <v>74</v>
      </c>
      <c r="AO630" s="1" t="s">
        <v>6056</v>
      </c>
      <c r="AP630" s="1" t="s">
        <v>6057</v>
      </c>
      <c r="AQ630" s="1" t="s">
        <v>74</v>
      </c>
      <c r="AR630" s="1" t="s">
        <v>74</v>
      </c>
      <c r="AS630" s="1" t="s">
        <v>74</v>
      </c>
      <c r="AT630" s="1" t="s">
        <v>6058</v>
      </c>
      <c r="AU630" s="1">
        <v>2015.0</v>
      </c>
      <c r="AV630" s="1">
        <v>15.0</v>
      </c>
      <c r="AW630" s="1">
        <v>6.0</v>
      </c>
      <c r="AX630" s="1" t="s">
        <v>74</v>
      </c>
      <c r="AY630" s="1" t="s">
        <v>74</v>
      </c>
      <c r="AZ630" s="1" t="s">
        <v>74</v>
      </c>
      <c r="BA630" s="1" t="s">
        <v>74</v>
      </c>
      <c r="BB630" s="1">
        <v>18.0</v>
      </c>
      <c r="BC630" s="1">
        <v>20.0</v>
      </c>
      <c r="BD630" s="1" t="s">
        <v>74</v>
      </c>
      <c r="BE630" s="1" t="s">
        <v>6059</v>
      </c>
      <c r="BF630" s="2" t="str">
        <f>HYPERLINK("http://dx.doi.org/10.1080/15265161.2015.1028673","http://dx.doi.org/10.1080/15265161.2015.1028673")</f>
        <v>http://dx.doi.org/10.1080/15265161.2015.1028673</v>
      </c>
      <c r="BG630" s="1" t="s">
        <v>74</v>
      </c>
      <c r="BH630" s="1" t="s">
        <v>74</v>
      </c>
      <c r="BI630" s="1" t="s">
        <v>74</v>
      </c>
      <c r="BJ630" s="1" t="s">
        <v>74</v>
      </c>
      <c r="BK630" s="1" t="s">
        <v>74</v>
      </c>
      <c r="BL630" s="1" t="s">
        <v>74</v>
      </c>
      <c r="BM630" s="1" t="s">
        <v>74</v>
      </c>
      <c r="BN630" s="1">
        <v>2.6030488E7</v>
      </c>
      <c r="BO630" s="1" t="s">
        <v>74</v>
      </c>
      <c r="BP630" s="1" t="s">
        <v>74</v>
      </c>
      <c r="BQ630" s="1" t="s">
        <v>74</v>
      </c>
      <c r="BR630" s="1" t="s">
        <v>74</v>
      </c>
      <c r="BS630" s="1" t="s">
        <v>6060</v>
      </c>
      <c r="BT630" s="1" t="str">
        <f>HYPERLINK("https%3A%2F%2Fwww.webofscience.com%2Fwos%2Fwoscc%2Ffull-record%2FWOS:000355407000006","View Full Record in Web of Science")</f>
        <v>View Full Record in Web of Science</v>
      </c>
    </row>
    <row r="631" ht="12.75" customHeight="1">
      <c r="A631" s="1" t="s">
        <v>86</v>
      </c>
      <c r="B631" s="1" t="s">
        <v>87</v>
      </c>
      <c r="C631" s="1" t="s">
        <v>88</v>
      </c>
      <c r="D631" s="1" t="s">
        <v>74</v>
      </c>
      <c r="E631" s="1" t="s">
        <v>74</v>
      </c>
      <c r="F631" s="1" t="s">
        <v>89</v>
      </c>
      <c r="G631" s="1" t="s">
        <v>88</v>
      </c>
      <c r="H631" s="1" t="s">
        <v>74</v>
      </c>
      <c r="I631" s="1" t="s">
        <v>6061</v>
      </c>
      <c r="J631" s="1" t="s">
        <v>91</v>
      </c>
      <c r="K631" s="1" t="s">
        <v>74</v>
      </c>
      <c r="L631" s="1" t="s">
        <v>74</v>
      </c>
      <c r="M631" s="1" t="s">
        <v>74</v>
      </c>
      <c r="N631" s="1" t="s">
        <v>74</v>
      </c>
      <c r="O631" s="1" t="s">
        <v>74</v>
      </c>
      <c r="P631" s="1" t="s">
        <v>74</v>
      </c>
      <c r="Q631" s="1" t="s">
        <v>74</v>
      </c>
      <c r="R631" s="1" t="s">
        <v>74</v>
      </c>
      <c r="S631" s="1" t="s">
        <v>74</v>
      </c>
      <c r="T631" s="1" t="s">
        <v>74</v>
      </c>
      <c r="U631" s="1" t="s">
        <v>74</v>
      </c>
      <c r="V631" s="1" t="s">
        <v>74</v>
      </c>
      <c r="W631" s="1" t="s">
        <v>74</v>
      </c>
      <c r="X631" s="1" t="s">
        <v>74</v>
      </c>
      <c r="Y631" s="1" t="s">
        <v>74</v>
      </c>
      <c r="Z631" s="1" t="s">
        <v>74</v>
      </c>
      <c r="AA631" s="1" t="s">
        <v>74</v>
      </c>
      <c r="AB631" s="1" t="s">
        <v>74</v>
      </c>
      <c r="AC631" s="1" t="s">
        <v>74</v>
      </c>
      <c r="AD631" s="1" t="s">
        <v>74</v>
      </c>
      <c r="AE631" s="1" t="s">
        <v>74</v>
      </c>
      <c r="AF631" s="1" t="s">
        <v>74</v>
      </c>
      <c r="AG631" s="1" t="s">
        <v>74</v>
      </c>
      <c r="AH631" s="1" t="s">
        <v>74</v>
      </c>
      <c r="AI631" s="1" t="s">
        <v>74</v>
      </c>
      <c r="AJ631" s="1" t="s">
        <v>74</v>
      </c>
      <c r="AK631" s="1" t="s">
        <v>74</v>
      </c>
      <c r="AL631" s="1" t="s">
        <v>74</v>
      </c>
      <c r="AM631" s="1" t="s">
        <v>74</v>
      </c>
      <c r="AN631" s="1" t="s">
        <v>74</v>
      </c>
      <c r="AO631" s="1" t="s">
        <v>74</v>
      </c>
      <c r="AP631" s="1" t="s">
        <v>74</v>
      </c>
      <c r="AQ631" s="1" t="s">
        <v>92</v>
      </c>
      <c r="AR631" s="1" t="s">
        <v>74</v>
      </c>
      <c r="AS631" s="1" t="s">
        <v>74</v>
      </c>
      <c r="AT631" s="1" t="s">
        <v>74</v>
      </c>
      <c r="AU631" s="1">
        <v>2015.0</v>
      </c>
      <c r="AV631" s="1" t="s">
        <v>74</v>
      </c>
      <c r="AW631" s="1" t="s">
        <v>74</v>
      </c>
      <c r="AX631" s="1" t="s">
        <v>74</v>
      </c>
      <c r="AY631" s="1" t="s">
        <v>74</v>
      </c>
      <c r="AZ631" s="1" t="s">
        <v>74</v>
      </c>
      <c r="BA631" s="1" t="s">
        <v>74</v>
      </c>
      <c r="BB631" s="1">
        <v>36.0</v>
      </c>
      <c r="BC631" s="1">
        <v>57.0</v>
      </c>
      <c r="BD631" s="1" t="s">
        <v>74</v>
      </c>
      <c r="BE631" s="1" t="s">
        <v>74</v>
      </c>
      <c r="BF631" s="1" t="s">
        <v>74</v>
      </c>
      <c r="BG631" s="1" t="s">
        <v>74</v>
      </c>
      <c r="BH631" s="1" t="s">
        <v>74</v>
      </c>
      <c r="BI631" s="1" t="s">
        <v>74</v>
      </c>
      <c r="BJ631" s="1" t="s">
        <v>74</v>
      </c>
      <c r="BK631" s="1" t="s">
        <v>74</v>
      </c>
      <c r="BL631" s="1" t="s">
        <v>74</v>
      </c>
      <c r="BM631" s="1" t="s">
        <v>74</v>
      </c>
      <c r="BN631" s="1" t="s">
        <v>74</v>
      </c>
      <c r="BO631" s="1" t="s">
        <v>74</v>
      </c>
      <c r="BP631" s="1" t="s">
        <v>74</v>
      </c>
      <c r="BQ631" s="1" t="s">
        <v>74</v>
      </c>
      <c r="BR631" s="1" t="s">
        <v>74</v>
      </c>
      <c r="BS631" s="1" t="s">
        <v>6062</v>
      </c>
      <c r="BT631" s="1" t="str">
        <f>HYPERLINK("https%3A%2F%2Fwww.webofscience.com%2Fwos%2Fwoscc%2Ffull-record%2FWOS:000541676300004","View Full Record in Web of Science")</f>
        <v>View Full Record in Web of Science</v>
      </c>
    </row>
    <row r="632" ht="12.75" customHeight="1">
      <c r="A632" s="1" t="s">
        <v>86</v>
      </c>
      <c r="B632" s="1" t="s">
        <v>87</v>
      </c>
      <c r="C632" s="1" t="s">
        <v>88</v>
      </c>
      <c r="D632" s="1" t="s">
        <v>74</v>
      </c>
      <c r="E632" s="1" t="s">
        <v>74</v>
      </c>
      <c r="F632" s="1" t="s">
        <v>89</v>
      </c>
      <c r="G632" s="1" t="s">
        <v>88</v>
      </c>
      <c r="H632" s="1" t="s">
        <v>74</v>
      </c>
      <c r="I632" s="1" t="s">
        <v>6063</v>
      </c>
      <c r="J632" s="1" t="s">
        <v>91</v>
      </c>
      <c r="K632" s="1" t="s">
        <v>74</v>
      </c>
      <c r="L632" s="1" t="s">
        <v>74</v>
      </c>
      <c r="M632" s="1" t="s">
        <v>74</v>
      </c>
      <c r="N632" s="1" t="s">
        <v>74</v>
      </c>
      <c r="O632" s="1" t="s">
        <v>74</v>
      </c>
      <c r="P632" s="1" t="s">
        <v>74</v>
      </c>
      <c r="Q632" s="1" t="s">
        <v>74</v>
      </c>
      <c r="R632" s="1" t="s">
        <v>74</v>
      </c>
      <c r="S632" s="1" t="s">
        <v>74</v>
      </c>
      <c r="T632" s="1" t="s">
        <v>74</v>
      </c>
      <c r="U632" s="1" t="s">
        <v>74</v>
      </c>
      <c r="V632" s="1" t="s">
        <v>74</v>
      </c>
      <c r="W632" s="1" t="s">
        <v>74</v>
      </c>
      <c r="X632" s="1" t="s">
        <v>74</v>
      </c>
      <c r="Y632" s="1" t="s">
        <v>74</v>
      </c>
      <c r="Z632" s="1" t="s">
        <v>74</v>
      </c>
      <c r="AA632" s="1" t="s">
        <v>74</v>
      </c>
      <c r="AB632" s="1" t="s">
        <v>74</v>
      </c>
      <c r="AC632" s="1" t="s">
        <v>74</v>
      </c>
      <c r="AD632" s="1" t="s">
        <v>74</v>
      </c>
      <c r="AE632" s="1" t="s">
        <v>74</v>
      </c>
      <c r="AF632" s="1" t="s">
        <v>74</v>
      </c>
      <c r="AG632" s="1" t="s">
        <v>74</v>
      </c>
      <c r="AH632" s="1" t="s">
        <v>74</v>
      </c>
      <c r="AI632" s="1" t="s">
        <v>74</v>
      </c>
      <c r="AJ632" s="1" t="s">
        <v>74</v>
      </c>
      <c r="AK632" s="1" t="s">
        <v>74</v>
      </c>
      <c r="AL632" s="1" t="s">
        <v>74</v>
      </c>
      <c r="AM632" s="1" t="s">
        <v>74</v>
      </c>
      <c r="AN632" s="1" t="s">
        <v>74</v>
      </c>
      <c r="AO632" s="1" t="s">
        <v>74</v>
      </c>
      <c r="AP632" s="1" t="s">
        <v>74</v>
      </c>
      <c r="AQ632" s="1" t="s">
        <v>92</v>
      </c>
      <c r="AR632" s="1" t="s">
        <v>74</v>
      </c>
      <c r="AS632" s="1" t="s">
        <v>74</v>
      </c>
      <c r="AT632" s="1" t="s">
        <v>74</v>
      </c>
      <c r="AU632" s="1">
        <v>2015.0</v>
      </c>
      <c r="AV632" s="1" t="s">
        <v>74</v>
      </c>
      <c r="AW632" s="1" t="s">
        <v>74</v>
      </c>
      <c r="AX632" s="1" t="s">
        <v>74</v>
      </c>
      <c r="AY632" s="1" t="s">
        <v>74</v>
      </c>
      <c r="AZ632" s="1" t="s">
        <v>74</v>
      </c>
      <c r="BA632" s="1" t="s">
        <v>74</v>
      </c>
      <c r="BB632" s="1">
        <v>123.0</v>
      </c>
      <c r="BC632" s="1">
        <v>136.0</v>
      </c>
      <c r="BD632" s="1" t="s">
        <v>74</v>
      </c>
      <c r="BE632" s="1" t="s">
        <v>74</v>
      </c>
      <c r="BF632" s="1" t="s">
        <v>74</v>
      </c>
      <c r="BG632" s="1" t="s">
        <v>74</v>
      </c>
      <c r="BH632" s="1" t="s">
        <v>74</v>
      </c>
      <c r="BI632" s="1" t="s">
        <v>74</v>
      </c>
      <c r="BJ632" s="1" t="s">
        <v>74</v>
      </c>
      <c r="BK632" s="1" t="s">
        <v>74</v>
      </c>
      <c r="BL632" s="1" t="s">
        <v>74</v>
      </c>
      <c r="BM632" s="1" t="s">
        <v>74</v>
      </c>
      <c r="BN632" s="1" t="s">
        <v>74</v>
      </c>
      <c r="BO632" s="1" t="s">
        <v>74</v>
      </c>
      <c r="BP632" s="1" t="s">
        <v>74</v>
      </c>
      <c r="BQ632" s="1" t="s">
        <v>74</v>
      </c>
      <c r="BR632" s="1" t="s">
        <v>74</v>
      </c>
      <c r="BS632" s="1" t="s">
        <v>6064</v>
      </c>
      <c r="BT632" s="1" t="str">
        <f>HYPERLINK("https%3A%2F%2Fwww.webofscience.com%2Fwos%2Fwoscc%2Ffull-record%2FWOS:000541676300011","View Full Record in Web of Science")</f>
        <v>View Full Record in Web of Science</v>
      </c>
    </row>
    <row r="633" ht="12.75" customHeight="1">
      <c r="A633" s="1" t="s">
        <v>72</v>
      </c>
      <c r="B633" s="1" t="s">
        <v>6065</v>
      </c>
      <c r="C633" s="1" t="s">
        <v>74</v>
      </c>
      <c r="D633" s="1" t="s">
        <v>74</v>
      </c>
      <c r="E633" s="1" t="s">
        <v>74</v>
      </c>
      <c r="F633" s="1" t="s">
        <v>6066</v>
      </c>
      <c r="G633" s="1" t="s">
        <v>74</v>
      </c>
      <c r="H633" s="1" t="s">
        <v>74</v>
      </c>
      <c r="I633" s="1" t="s">
        <v>6067</v>
      </c>
      <c r="J633" s="1" t="s">
        <v>6068</v>
      </c>
      <c r="K633" s="1" t="s">
        <v>74</v>
      </c>
      <c r="L633" s="1" t="s">
        <v>74</v>
      </c>
      <c r="M633" s="1" t="s">
        <v>74</v>
      </c>
      <c r="N633" s="1" t="s">
        <v>74</v>
      </c>
      <c r="O633" s="1" t="s">
        <v>74</v>
      </c>
      <c r="P633" s="1" t="s">
        <v>74</v>
      </c>
      <c r="Q633" s="1" t="s">
        <v>74</v>
      </c>
      <c r="R633" s="1" t="s">
        <v>74</v>
      </c>
      <c r="S633" s="1" t="s">
        <v>74</v>
      </c>
      <c r="T633" s="1" t="s">
        <v>74</v>
      </c>
      <c r="U633" s="1" t="s">
        <v>74</v>
      </c>
      <c r="V633" s="1" t="s">
        <v>6069</v>
      </c>
      <c r="W633" s="1" t="s">
        <v>74</v>
      </c>
      <c r="X633" s="1" t="s">
        <v>74</v>
      </c>
      <c r="Y633" s="1" t="s">
        <v>74</v>
      </c>
      <c r="Z633" s="1" t="s">
        <v>74</v>
      </c>
      <c r="AA633" s="1" t="s">
        <v>74</v>
      </c>
      <c r="AB633" s="1" t="s">
        <v>6070</v>
      </c>
      <c r="AC633" s="1" t="s">
        <v>74</v>
      </c>
      <c r="AD633" s="1" t="s">
        <v>74</v>
      </c>
      <c r="AE633" s="1" t="s">
        <v>74</v>
      </c>
      <c r="AF633" s="1" t="s">
        <v>74</v>
      </c>
      <c r="AG633" s="1" t="s">
        <v>74</v>
      </c>
      <c r="AH633" s="1" t="s">
        <v>74</v>
      </c>
      <c r="AI633" s="1" t="s">
        <v>74</v>
      </c>
      <c r="AJ633" s="1" t="s">
        <v>74</v>
      </c>
      <c r="AK633" s="1" t="s">
        <v>74</v>
      </c>
      <c r="AL633" s="1" t="s">
        <v>74</v>
      </c>
      <c r="AM633" s="1" t="s">
        <v>74</v>
      </c>
      <c r="AN633" s="1" t="s">
        <v>74</v>
      </c>
      <c r="AO633" s="1" t="s">
        <v>6071</v>
      </c>
      <c r="AP633" s="1" t="s">
        <v>74</v>
      </c>
      <c r="AQ633" s="1" t="s">
        <v>74</v>
      </c>
      <c r="AR633" s="1" t="s">
        <v>74</v>
      </c>
      <c r="AS633" s="1" t="s">
        <v>74</v>
      </c>
      <c r="AT633" s="1" t="s">
        <v>74</v>
      </c>
      <c r="AU633" s="1">
        <v>2014.0</v>
      </c>
      <c r="AV633" s="1">
        <v>8.0</v>
      </c>
      <c r="AW633" s="1" t="s">
        <v>74</v>
      </c>
      <c r="AX633" s="1" t="s">
        <v>74</v>
      </c>
      <c r="AY633" s="1" t="s">
        <v>74</v>
      </c>
      <c r="AZ633" s="1" t="s">
        <v>74</v>
      </c>
      <c r="BA633" s="1" t="s">
        <v>74</v>
      </c>
      <c r="BB633" s="1">
        <v>1156.0</v>
      </c>
      <c r="BC633" s="1">
        <v>1173.0</v>
      </c>
      <c r="BD633" s="1" t="s">
        <v>74</v>
      </c>
      <c r="BE633" s="1" t="s">
        <v>74</v>
      </c>
      <c r="BF633" s="1" t="s">
        <v>74</v>
      </c>
      <c r="BG633" s="1" t="s">
        <v>74</v>
      </c>
      <c r="BH633" s="1" t="s">
        <v>74</v>
      </c>
      <c r="BI633" s="1" t="s">
        <v>74</v>
      </c>
      <c r="BJ633" s="1" t="s">
        <v>74</v>
      </c>
      <c r="BK633" s="1" t="s">
        <v>74</v>
      </c>
      <c r="BL633" s="1" t="s">
        <v>74</v>
      </c>
      <c r="BM633" s="1" t="s">
        <v>74</v>
      </c>
      <c r="BN633" s="1" t="s">
        <v>74</v>
      </c>
      <c r="BO633" s="1" t="s">
        <v>74</v>
      </c>
      <c r="BP633" s="1" t="s">
        <v>74</v>
      </c>
      <c r="BQ633" s="1" t="s">
        <v>74</v>
      </c>
      <c r="BR633" s="1" t="s">
        <v>74</v>
      </c>
      <c r="BS633" s="1" t="s">
        <v>6072</v>
      </c>
      <c r="BT633" s="1" t="str">
        <f>HYPERLINK("https%3A%2F%2Fwww.webofscience.com%2Fwos%2Fwoscc%2Ffull-record%2FWOS:000334430600001","View Full Record in Web of Science")</f>
        <v>View Full Record in Web of Science</v>
      </c>
    </row>
    <row r="634" ht="12.75" customHeight="1">
      <c r="A634" s="1" t="s">
        <v>72</v>
      </c>
      <c r="B634" s="1" t="s">
        <v>6073</v>
      </c>
      <c r="C634" s="1" t="s">
        <v>74</v>
      </c>
      <c r="D634" s="1" t="s">
        <v>74</v>
      </c>
      <c r="E634" s="1" t="s">
        <v>74</v>
      </c>
      <c r="F634" s="1" t="s">
        <v>6074</v>
      </c>
      <c r="G634" s="1" t="s">
        <v>74</v>
      </c>
      <c r="H634" s="1" t="s">
        <v>74</v>
      </c>
      <c r="I634" s="1" t="s">
        <v>6075</v>
      </c>
      <c r="J634" s="1" t="s">
        <v>997</v>
      </c>
      <c r="K634" s="1" t="s">
        <v>74</v>
      </c>
      <c r="L634" s="1" t="s">
        <v>74</v>
      </c>
      <c r="M634" s="1" t="s">
        <v>74</v>
      </c>
      <c r="N634" s="1" t="s">
        <v>74</v>
      </c>
      <c r="O634" s="1" t="s">
        <v>74</v>
      </c>
      <c r="P634" s="1" t="s">
        <v>74</v>
      </c>
      <c r="Q634" s="1" t="s">
        <v>74</v>
      </c>
      <c r="R634" s="1" t="s">
        <v>74</v>
      </c>
      <c r="S634" s="1" t="s">
        <v>74</v>
      </c>
      <c r="T634" s="1" t="s">
        <v>74</v>
      </c>
      <c r="U634" s="1" t="s">
        <v>74</v>
      </c>
      <c r="V634" s="1" t="s">
        <v>6076</v>
      </c>
      <c r="W634" s="1" t="s">
        <v>74</v>
      </c>
      <c r="X634" s="1" t="s">
        <v>74</v>
      </c>
      <c r="Y634" s="1" t="s">
        <v>74</v>
      </c>
      <c r="Z634" s="1" t="s">
        <v>74</v>
      </c>
      <c r="AA634" s="1" t="s">
        <v>6077</v>
      </c>
      <c r="AB634" s="1" t="s">
        <v>6078</v>
      </c>
      <c r="AC634" s="1" t="s">
        <v>74</v>
      </c>
      <c r="AD634" s="1" t="s">
        <v>74</v>
      </c>
      <c r="AE634" s="1" t="s">
        <v>74</v>
      </c>
      <c r="AF634" s="1" t="s">
        <v>74</v>
      </c>
      <c r="AG634" s="1" t="s">
        <v>74</v>
      </c>
      <c r="AH634" s="1" t="s">
        <v>74</v>
      </c>
      <c r="AI634" s="1" t="s">
        <v>74</v>
      </c>
      <c r="AJ634" s="1" t="s">
        <v>74</v>
      </c>
      <c r="AK634" s="1" t="s">
        <v>74</v>
      </c>
      <c r="AL634" s="1" t="s">
        <v>74</v>
      </c>
      <c r="AM634" s="1" t="s">
        <v>74</v>
      </c>
      <c r="AN634" s="1" t="s">
        <v>74</v>
      </c>
      <c r="AO634" s="1" t="s">
        <v>1000</v>
      </c>
      <c r="AP634" s="1" t="s">
        <v>1001</v>
      </c>
      <c r="AQ634" s="1" t="s">
        <v>74</v>
      </c>
      <c r="AR634" s="1" t="s">
        <v>74</v>
      </c>
      <c r="AS634" s="1" t="s">
        <v>74</v>
      </c>
      <c r="AT634" s="1" t="s">
        <v>6079</v>
      </c>
      <c r="AU634" s="1">
        <v>2013.0</v>
      </c>
      <c r="AV634" s="1">
        <v>88.0</v>
      </c>
      <c r="AW634" s="1">
        <v>8.0</v>
      </c>
      <c r="AX634" s="1" t="s">
        <v>74</v>
      </c>
      <c r="AY634" s="1" t="s">
        <v>74</v>
      </c>
      <c r="AZ634" s="1" t="s">
        <v>74</v>
      </c>
      <c r="BA634" s="1" t="s">
        <v>74</v>
      </c>
      <c r="BB634" s="1" t="s">
        <v>74</v>
      </c>
      <c r="BC634" s="1" t="s">
        <v>74</v>
      </c>
      <c r="BD634" s="1">
        <v>85034.0</v>
      </c>
      <c r="BE634" s="1" t="s">
        <v>6080</v>
      </c>
      <c r="BF634" s="2" t="str">
        <f>HYPERLINK("http://dx.doi.org/10.1103/PhysRevD.88.085034","http://dx.doi.org/10.1103/PhysRevD.88.085034")</f>
        <v>http://dx.doi.org/10.1103/PhysRevD.88.085034</v>
      </c>
      <c r="BG634" s="1" t="s">
        <v>74</v>
      </c>
      <c r="BH634" s="1" t="s">
        <v>74</v>
      </c>
      <c r="BI634" s="1" t="s">
        <v>74</v>
      </c>
      <c r="BJ634" s="1" t="s">
        <v>74</v>
      </c>
      <c r="BK634" s="1" t="s">
        <v>74</v>
      </c>
      <c r="BL634" s="1" t="s">
        <v>74</v>
      </c>
      <c r="BM634" s="1" t="s">
        <v>74</v>
      </c>
      <c r="BN634" s="1" t="s">
        <v>74</v>
      </c>
      <c r="BO634" s="1" t="s">
        <v>74</v>
      </c>
      <c r="BP634" s="1" t="s">
        <v>74</v>
      </c>
      <c r="BQ634" s="1" t="s">
        <v>74</v>
      </c>
      <c r="BR634" s="1" t="s">
        <v>74</v>
      </c>
      <c r="BS634" s="1" t="s">
        <v>6081</v>
      </c>
      <c r="BT634" s="1" t="str">
        <f>HYPERLINK("https%3A%2F%2Fwww.webofscience.com%2Fwos%2Fwoscc%2Ffull-record%2FWOS:000326111500011","View Full Record in Web of Science")</f>
        <v>View Full Record in Web of Science</v>
      </c>
    </row>
    <row r="635" ht="12.75" customHeight="1">
      <c r="A635" s="1" t="s">
        <v>72</v>
      </c>
      <c r="B635" s="1" t="s">
        <v>6082</v>
      </c>
      <c r="C635" s="1" t="s">
        <v>74</v>
      </c>
      <c r="D635" s="1" t="s">
        <v>74</v>
      </c>
      <c r="E635" s="1" t="s">
        <v>74</v>
      </c>
      <c r="F635" s="1" t="s">
        <v>6083</v>
      </c>
      <c r="G635" s="1" t="s">
        <v>74</v>
      </c>
      <c r="H635" s="1" t="s">
        <v>74</v>
      </c>
      <c r="I635" s="1" t="s">
        <v>6084</v>
      </c>
      <c r="J635" s="1" t="s">
        <v>4726</v>
      </c>
      <c r="K635" s="1" t="s">
        <v>74</v>
      </c>
      <c r="L635" s="1" t="s">
        <v>74</v>
      </c>
      <c r="M635" s="1" t="s">
        <v>74</v>
      </c>
      <c r="N635" s="1" t="s">
        <v>74</v>
      </c>
      <c r="O635" s="1" t="s">
        <v>74</v>
      </c>
      <c r="P635" s="1" t="s">
        <v>74</v>
      </c>
      <c r="Q635" s="1" t="s">
        <v>74</v>
      </c>
      <c r="R635" s="1" t="s">
        <v>74</v>
      </c>
      <c r="S635" s="1" t="s">
        <v>74</v>
      </c>
      <c r="T635" s="1" t="s">
        <v>74</v>
      </c>
      <c r="U635" s="1" t="s">
        <v>74</v>
      </c>
      <c r="V635" s="1" t="s">
        <v>6085</v>
      </c>
      <c r="W635" s="1" t="s">
        <v>74</v>
      </c>
      <c r="X635" s="1" t="s">
        <v>74</v>
      </c>
      <c r="Y635" s="1" t="s">
        <v>74</v>
      </c>
      <c r="Z635" s="1" t="s">
        <v>74</v>
      </c>
      <c r="AA635" s="1" t="s">
        <v>6086</v>
      </c>
      <c r="AB635" s="1" t="s">
        <v>6087</v>
      </c>
      <c r="AC635" s="1" t="s">
        <v>74</v>
      </c>
      <c r="AD635" s="1" t="s">
        <v>74</v>
      </c>
      <c r="AE635" s="1" t="s">
        <v>74</v>
      </c>
      <c r="AF635" s="1" t="s">
        <v>74</v>
      </c>
      <c r="AG635" s="1" t="s">
        <v>74</v>
      </c>
      <c r="AH635" s="1" t="s">
        <v>74</v>
      </c>
      <c r="AI635" s="1" t="s">
        <v>74</v>
      </c>
      <c r="AJ635" s="1" t="s">
        <v>74</v>
      </c>
      <c r="AK635" s="1" t="s">
        <v>74</v>
      </c>
      <c r="AL635" s="1" t="s">
        <v>74</v>
      </c>
      <c r="AM635" s="1" t="s">
        <v>74</v>
      </c>
      <c r="AN635" s="1" t="s">
        <v>74</v>
      </c>
      <c r="AO635" s="1" t="s">
        <v>4730</v>
      </c>
      <c r="AP635" s="1" t="s">
        <v>4731</v>
      </c>
      <c r="AQ635" s="1" t="s">
        <v>74</v>
      </c>
      <c r="AR635" s="1" t="s">
        <v>74</v>
      </c>
      <c r="AS635" s="1" t="s">
        <v>74</v>
      </c>
      <c r="AT635" s="1" t="s">
        <v>379</v>
      </c>
      <c r="AU635" s="1">
        <v>2013.0</v>
      </c>
      <c r="AV635" s="1">
        <v>19.0</v>
      </c>
      <c r="AW635" s="1">
        <v>9.0</v>
      </c>
      <c r="AX635" s="1" t="s">
        <v>74</v>
      </c>
      <c r="AY635" s="1" t="s">
        <v>74</v>
      </c>
      <c r="AZ635" s="1" t="s">
        <v>74</v>
      </c>
      <c r="BA635" s="1" t="s">
        <v>74</v>
      </c>
      <c r="BB635" s="1">
        <v>3569.0</v>
      </c>
      <c r="BC635" s="1">
        <v>3580.0</v>
      </c>
      <c r="BD635" s="1" t="s">
        <v>74</v>
      </c>
      <c r="BE635" s="1" t="s">
        <v>6088</v>
      </c>
      <c r="BF635" s="2" t="str">
        <f>HYPERLINK("http://dx.doi.org/10.1007/s00894-013-1872-2","http://dx.doi.org/10.1007/s00894-013-1872-2")</f>
        <v>http://dx.doi.org/10.1007/s00894-013-1872-2</v>
      </c>
      <c r="BG635" s="1" t="s">
        <v>74</v>
      </c>
      <c r="BH635" s="1" t="s">
        <v>74</v>
      </c>
      <c r="BI635" s="1" t="s">
        <v>74</v>
      </c>
      <c r="BJ635" s="1" t="s">
        <v>74</v>
      </c>
      <c r="BK635" s="1" t="s">
        <v>74</v>
      </c>
      <c r="BL635" s="1" t="s">
        <v>74</v>
      </c>
      <c r="BM635" s="1" t="s">
        <v>74</v>
      </c>
      <c r="BN635" s="1">
        <v>2.3722557E7</v>
      </c>
      <c r="BO635" s="1" t="s">
        <v>74</v>
      </c>
      <c r="BP635" s="1" t="s">
        <v>74</v>
      </c>
      <c r="BQ635" s="1" t="s">
        <v>74</v>
      </c>
      <c r="BR635" s="1" t="s">
        <v>74</v>
      </c>
      <c r="BS635" s="1" t="s">
        <v>6089</v>
      </c>
      <c r="BT635" s="1" t="str">
        <f>HYPERLINK("https%3A%2F%2Fwww.webofscience.com%2Fwos%2Fwoscc%2Ffull-record%2FWOS:000323283100012","View Full Record in Web of Science")</f>
        <v>View Full Record in Web of Science</v>
      </c>
    </row>
    <row r="636" ht="12.75" customHeight="1">
      <c r="A636" s="1" t="s">
        <v>72</v>
      </c>
      <c r="B636" s="1" t="s">
        <v>6090</v>
      </c>
      <c r="C636" s="1" t="s">
        <v>74</v>
      </c>
      <c r="D636" s="1" t="s">
        <v>74</v>
      </c>
      <c r="E636" s="1" t="s">
        <v>74</v>
      </c>
      <c r="F636" s="1" t="s">
        <v>6091</v>
      </c>
      <c r="G636" s="1" t="s">
        <v>74</v>
      </c>
      <c r="H636" s="1" t="s">
        <v>74</v>
      </c>
      <c r="I636" s="1" t="s">
        <v>6092</v>
      </c>
      <c r="J636" s="1" t="s">
        <v>4045</v>
      </c>
      <c r="K636" s="1" t="s">
        <v>74</v>
      </c>
      <c r="L636" s="1" t="s">
        <v>74</v>
      </c>
      <c r="M636" s="1" t="s">
        <v>74</v>
      </c>
      <c r="N636" s="1" t="s">
        <v>74</v>
      </c>
      <c r="O636" s="1" t="s">
        <v>74</v>
      </c>
      <c r="P636" s="1" t="s">
        <v>74</v>
      </c>
      <c r="Q636" s="1" t="s">
        <v>74</v>
      </c>
      <c r="R636" s="1" t="s">
        <v>74</v>
      </c>
      <c r="S636" s="1" t="s">
        <v>74</v>
      </c>
      <c r="T636" s="1" t="s">
        <v>74</v>
      </c>
      <c r="U636" s="1" t="s">
        <v>74</v>
      </c>
      <c r="V636" s="1" t="s">
        <v>6093</v>
      </c>
      <c r="W636" s="1" t="s">
        <v>74</v>
      </c>
      <c r="X636" s="1" t="s">
        <v>74</v>
      </c>
      <c r="Y636" s="1" t="s">
        <v>74</v>
      </c>
      <c r="Z636" s="1" t="s">
        <v>74</v>
      </c>
      <c r="AA636" s="1" t="s">
        <v>6094</v>
      </c>
      <c r="AB636" s="1" t="s">
        <v>6095</v>
      </c>
      <c r="AC636" s="1" t="s">
        <v>74</v>
      </c>
      <c r="AD636" s="1" t="s">
        <v>74</v>
      </c>
      <c r="AE636" s="1" t="s">
        <v>74</v>
      </c>
      <c r="AF636" s="1" t="s">
        <v>74</v>
      </c>
      <c r="AG636" s="1" t="s">
        <v>74</v>
      </c>
      <c r="AH636" s="1" t="s">
        <v>74</v>
      </c>
      <c r="AI636" s="1" t="s">
        <v>74</v>
      </c>
      <c r="AJ636" s="1" t="s">
        <v>74</v>
      </c>
      <c r="AK636" s="1" t="s">
        <v>74</v>
      </c>
      <c r="AL636" s="1" t="s">
        <v>74</v>
      </c>
      <c r="AM636" s="1" t="s">
        <v>74</v>
      </c>
      <c r="AN636" s="1" t="s">
        <v>74</v>
      </c>
      <c r="AO636" s="1" t="s">
        <v>4049</v>
      </c>
      <c r="AP636" s="1" t="s">
        <v>4050</v>
      </c>
      <c r="AQ636" s="1" t="s">
        <v>74</v>
      </c>
      <c r="AR636" s="1" t="s">
        <v>74</v>
      </c>
      <c r="AS636" s="1" t="s">
        <v>74</v>
      </c>
      <c r="AT636" s="1" t="s">
        <v>1458</v>
      </c>
      <c r="AU636" s="1">
        <v>2013.0</v>
      </c>
      <c r="AV636" s="1">
        <v>16.0</v>
      </c>
      <c r="AW636" s="1">
        <v>8.0</v>
      </c>
      <c r="AX636" s="1" t="s">
        <v>74</v>
      </c>
      <c r="AY636" s="1" t="s">
        <v>74</v>
      </c>
      <c r="AZ636" s="1" t="s">
        <v>74</v>
      </c>
      <c r="BA636" s="1" t="s">
        <v>74</v>
      </c>
      <c r="BB636" s="1">
        <v>830.0</v>
      </c>
      <c r="BC636" s="1">
        <v>839.0</v>
      </c>
      <c r="BD636" s="1" t="s">
        <v>74</v>
      </c>
      <c r="BE636" s="1" t="s">
        <v>6096</v>
      </c>
      <c r="BF636" s="2" t="str">
        <f>HYPERLINK("http://dx.doi.org/10.1080/10255842.2011.641123","http://dx.doi.org/10.1080/10255842.2011.641123")</f>
        <v>http://dx.doi.org/10.1080/10255842.2011.641123</v>
      </c>
      <c r="BG636" s="1" t="s">
        <v>74</v>
      </c>
      <c r="BH636" s="1" t="s">
        <v>74</v>
      </c>
      <c r="BI636" s="1" t="s">
        <v>74</v>
      </c>
      <c r="BJ636" s="1" t="s">
        <v>74</v>
      </c>
      <c r="BK636" s="1" t="s">
        <v>74</v>
      </c>
      <c r="BL636" s="1" t="s">
        <v>74</v>
      </c>
      <c r="BM636" s="1" t="s">
        <v>74</v>
      </c>
      <c r="BN636" s="1">
        <v>2.2224674E7</v>
      </c>
      <c r="BO636" s="1" t="s">
        <v>74</v>
      </c>
      <c r="BP636" s="1" t="s">
        <v>74</v>
      </c>
      <c r="BQ636" s="1" t="s">
        <v>74</v>
      </c>
      <c r="BR636" s="1" t="s">
        <v>74</v>
      </c>
      <c r="BS636" s="1" t="s">
        <v>6097</v>
      </c>
      <c r="BT636" s="1" t="str">
        <f>HYPERLINK("https%3A%2F%2Fwww.webofscience.com%2Fwos%2Fwoscc%2Ffull-record%2FWOS:000324612400003","View Full Record in Web of Science")</f>
        <v>View Full Record in Web of Science</v>
      </c>
    </row>
    <row r="637" ht="12.75" customHeight="1">
      <c r="A637" s="1" t="s">
        <v>72</v>
      </c>
      <c r="B637" s="1" t="s">
        <v>6098</v>
      </c>
      <c r="C637" s="1" t="s">
        <v>74</v>
      </c>
      <c r="D637" s="1" t="s">
        <v>74</v>
      </c>
      <c r="E637" s="1" t="s">
        <v>74</v>
      </c>
      <c r="F637" s="1" t="s">
        <v>6099</v>
      </c>
      <c r="G637" s="1" t="s">
        <v>74</v>
      </c>
      <c r="H637" s="1" t="s">
        <v>74</v>
      </c>
      <c r="I637" s="1" t="s">
        <v>6100</v>
      </c>
      <c r="J637" s="1" t="s">
        <v>6101</v>
      </c>
      <c r="K637" s="1" t="s">
        <v>74</v>
      </c>
      <c r="L637" s="1" t="s">
        <v>74</v>
      </c>
      <c r="M637" s="1" t="s">
        <v>74</v>
      </c>
      <c r="N637" s="1" t="s">
        <v>74</v>
      </c>
      <c r="O637" s="1" t="s">
        <v>74</v>
      </c>
      <c r="P637" s="1" t="s">
        <v>74</v>
      </c>
      <c r="Q637" s="1" t="s">
        <v>74</v>
      </c>
      <c r="R637" s="1" t="s">
        <v>74</v>
      </c>
      <c r="S637" s="1" t="s">
        <v>74</v>
      </c>
      <c r="T637" s="1" t="s">
        <v>74</v>
      </c>
      <c r="U637" s="1" t="s">
        <v>74</v>
      </c>
      <c r="V637" s="1" t="s">
        <v>6102</v>
      </c>
      <c r="W637" s="1" t="s">
        <v>74</v>
      </c>
      <c r="X637" s="1" t="s">
        <v>74</v>
      </c>
      <c r="Y637" s="1" t="s">
        <v>74</v>
      </c>
      <c r="Z637" s="1" t="s">
        <v>74</v>
      </c>
      <c r="AA637" s="1" t="s">
        <v>5529</v>
      </c>
      <c r="AB637" s="1" t="s">
        <v>6103</v>
      </c>
      <c r="AC637" s="1" t="s">
        <v>74</v>
      </c>
      <c r="AD637" s="1" t="s">
        <v>74</v>
      </c>
      <c r="AE637" s="1" t="s">
        <v>74</v>
      </c>
      <c r="AF637" s="1" t="s">
        <v>74</v>
      </c>
      <c r="AG637" s="1" t="s">
        <v>74</v>
      </c>
      <c r="AH637" s="1" t="s">
        <v>74</v>
      </c>
      <c r="AI637" s="1" t="s">
        <v>74</v>
      </c>
      <c r="AJ637" s="1" t="s">
        <v>74</v>
      </c>
      <c r="AK637" s="1" t="s">
        <v>74</v>
      </c>
      <c r="AL637" s="1" t="s">
        <v>74</v>
      </c>
      <c r="AM637" s="1" t="s">
        <v>74</v>
      </c>
      <c r="AN637" s="1" t="s">
        <v>74</v>
      </c>
      <c r="AO637" s="1" t="s">
        <v>6104</v>
      </c>
      <c r="AP637" s="1" t="s">
        <v>6105</v>
      </c>
      <c r="AQ637" s="1" t="s">
        <v>74</v>
      </c>
      <c r="AR637" s="1" t="s">
        <v>74</v>
      </c>
      <c r="AS637" s="1" t="s">
        <v>74</v>
      </c>
      <c r="AT637" s="1" t="s">
        <v>74</v>
      </c>
      <c r="AU637" s="1">
        <v>2013.0</v>
      </c>
      <c r="AV637" s="1">
        <v>9.0</v>
      </c>
      <c r="AW637" s="1">
        <v>4.0</v>
      </c>
      <c r="AX637" s="1" t="s">
        <v>74</v>
      </c>
      <c r="AY637" s="1" t="s">
        <v>74</v>
      </c>
      <c r="AZ637" s="1" t="s">
        <v>74</v>
      </c>
      <c r="BA637" s="1" t="s">
        <v>74</v>
      </c>
      <c r="BB637" s="1">
        <v>129.0</v>
      </c>
      <c r="BC637" s="1">
        <v>136.0</v>
      </c>
      <c r="BD637" s="1" t="s">
        <v>74</v>
      </c>
      <c r="BE637" s="1" t="s">
        <v>6106</v>
      </c>
      <c r="BF637" s="2" t="str">
        <f>HYPERLINK("http://dx.doi.org/10.1027/1614-2241/a000058","http://dx.doi.org/10.1027/1614-2241/a000058")</f>
        <v>http://dx.doi.org/10.1027/1614-2241/a000058</v>
      </c>
      <c r="BG637" s="1" t="s">
        <v>74</v>
      </c>
      <c r="BH637" s="1" t="s">
        <v>74</v>
      </c>
      <c r="BI637" s="1" t="s">
        <v>74</v>
      </c>
      <c r="BJ637" s="1" t="s">
        <v>74</v>
      </c>
      <c r="BK637" s="1" t="s">
        <v>74</v>
      </c>
      <c r="BL637" s="1" t="s">
        <v>74</v>
      </c>
      <c r="BM637" s="1" t="s">
        <v>74</v>
      </c>
      <c r="BN637" s="1" t="s">
        <v>74</v>
      </c>
      <c r="BO637" s="1" t="s">
        <v>74</v>
      </c>
      <c r="BP637" s="1" t="s">
        <v>74</v>
      </c>
      <c r="BQ637" s="1" t="s">
        <v>74</v>
      </c>
      <c r="BR637" s="1" t="s">
        <v>74</v>
      </c>
      <c r="BS637" s="1" t="s">
        <v>6107</v>
      </c>
      <c r="BT637" s="1" t="str">
        <f>HYPERLINK("https%3A%2F%2Fwww.webofscience.com%2Fwos%2Fwoscc%2Ffull-record%2FWOS:000325169200001","View Full Record in Web of Science")</f>
        <v>View Full Record in Web of Science</v>
      </c>
    </row>
    <row r="638" ht="12.75" customHeight="1">
      <c r="A638" s="1" t="s">
        <v>72</v>
      </c>
      <c r="B638" s="1" t="s">
        <v>6108</v>
      </c>
      <c r="C638" s="1" t="s">
        <v>74</v>
      </c>
      <c r="D638" s="1" t="s">
        <v>74</v>
      </c>
      <c r="E638" s="1" t="s">
        <v>74</v>
      </c>
      <c r="F638" s="1" t="s">
        <v>6109</v>
      </c>
      <c r="G638" s="1" t="s">
        <v>74</v>
      </c>
      <c r="H638" s="1" t="s">
        <v>74</v>
      </c>
      <c r="I638" s="1" t="s">
        <v>6110</v>
      </c>
      <c r="J638" s="1" t="s">
        <v>6111</v>
      </c>
      <c r="K638" s="1" t="s">
        <v>74</v>
      </c>
      <c r="L638" s="1" t="s">
        <v>74</v>
      </c>
      <c r="M638" s="1" t="s">
        <v>74</v>
      </c>
      <c r="N638" s="1" t="s">
        <v>74</v>
      </c>
      <c r="O638" s="1" t="s">
        <v>74</v>
      </c>
      <c r="P638" s="1" t="s">
        <v>74</v>
      </c>
      <c r="Q638" s="1" t="s">
        <v>74</v>
      </c>
      <c r="R638" s="1" t="s">
        <v>74</v>
      </c>
      <c r="S638" s="1" t="s">
        <v>74</v>
      </c>
      <c r="T638" s="1" t="s">
        <v>74</v>
      </c>
      <c r="U638" s="1" t="s">
        <v>74</v>
      </c>
      <c r="V638" s="1" t="s">
        <v>6112</v>
      </c>
      <c r="W638" s="1" t="s">
        <v>74</v>
      </c>
      <c r="X638" s="1" t="s">
        <v>74</v>
      </c>
      <c r="Y638" s="1" t="s">
        <v>74</v>
      </c>
      <c r="Z638" s="1" t="s">
        <v>74</v>
      </c>
      <c r="AA638" s="1" t="s">
        <v>1746</v>
      </c>
      <c r="AB638" s="1" t="s">
        <v>1747</v>
      </c>
      <c r="AC638" s="1" t="s">
        <v>74</v>
      </c>
      <c r="AD638" s="1" t="s">
        <v>74</v>
      </c>
      <c r="AE638" s="1" t="s">
        <v>74</v>
      </c>
      <c r="AF638" s="1" t="s">
        <v>74</v>
      </c>
      <c r="AG638" s="1" t="s">
        <v>74</v>
      </c>
      <c r="AH638" s="1" t="s">
        <v>74</v>
      </c>
      <c r="AI638" s="1" t="s">
        <v>74</v>
      </c>
      <c r="AJ638" s="1" t="s">
        <v>74</v>
      </c>
      <c r="AK638" s="1" t="s">
        <v>74</v>
      </c>
      <c r="AL638" s="1" t="s">
        <v>74</v>
      </c>
      <c r="AM638" s="1" t="s">
        <v>74</v>
      </c>
      <c r="AN638" s="1" t="s">
        <v>74</v>
      </c>
      <c r="AO638" s="1" t="s">
        <v>6113</v>
      </c>
      <c r="AP638" s="1" t="s">
        <v>74</v>
      </c>
      <c r="AQ638" s="1" t="s">
        <v>74</v>
      </c>
      <c r="AR638" s="1" t="s">
        <v>74</v>
      </c>
      <c r="AS638" s="1" t="s">
        <v>74</v>
      </c>
      <c r="AT638" s="1" t="s">
        <v>6114</v>
      </c>
      <c r="AU638" s="1">
        <v>2012.0</v>
      </c>
      <c r="AV638" s="1">
        <v>160.0</v>
      </c>
      <c r="AW638" s="1" t="s">
        <v>326</v>
      </c>
      <c r="AX638" s="1" t="s">
        <v>74</v>
      </c>
      <c r="AY638" s="1" t="s">
        <v>74</v>
      </c>
      <c r="AZ638" s="1" t="s">
        <v>74</v>
      </c>
      <c r="BA638" s="1" t="s">
        <v>74</v>
      </c>
      <c r="BB638" s="1">
        <v>176.0</v>
      </c>
      <c r="BC638" s="1">
        <v>188.0</v>
      </c>
      <c r="BD638" s="1" t="s">
        <v>74</v>
      </c>
      <c r="BE638" s="1" t="s">
        <v>6115</v>
      </c>
      <c r="BF638" s="2" t="str">
        <f>HYPERLINK("http://dx.doi.org/10.1016/j.jbiotec.2012.03.020","http://dx.doi.org/10.1016/j.jbiotec.2012.03.020")</f>
        <v>http://dx.doi.org/10.1016/j.jbiotec.2012.03.020</v>
      </c>
      <c r="BG638" s="1" t="s">
        <v>74</v>
      </c>
      <c r="BH638" s="1" t="s">
        <v>74</v>
      </c>
      <c r="BI638" s="1" t="s">
        <v>74</v>
      </c>
      <c r="BJ638" s="1" t="s">
        <v>74</v>
      </c>
      <c r="BK638" s="1" t="s">
        <v>74</v>
      </c>
      <c r="BL638" s="1" t="s">
        <v>74</v>
      </c>
      <c r="BM638" s="1" t="s">
        <v>74</v>
      </c>
      <c r="BN638" s="1">
        <v>2.2475573E7</v>
      </c>
      <c r="BO638" s="1" t="s">
        <v>74</v>
      </c>
      <c r="BP638" s="1" t="s">
        <v>74</v>
      </c>
      <c r="BQ638" s="1" t="s">
        <v>74</v>
      </c>
      <c r="BR638" s="1" t="s">
        <v>74</v>
      </c>
      <c r="BS638" s="1" t="s">
        <v>6116</v>
      </c>
      <c r="BT638" s="1" t="str">
        <f>HYPERLINK("https%3A%2F%2Fwww.webofscience.com%2Fwos%2Fwoscc%2Ffull-record%2FWOS:000306652300012","View Full Record in Web of Science")</f>
        <v>View Full Record in Web of Science</v>
      </c>
    </row>
    <row r="639" ht="12.75" customHeight="1">
      <c r="A639" s="1" t="s">
        <v>72</v>
      </c>
      <c r="B639" s="1" t="s">
        <v>6117</v>
      </c>
      <c r="C639" s="1" t="s">
        <v>74</v>
      </c>
      <c r="D639" s="1" t="s">
        <v>74</v>
      </c>
      <c r="E639" s="1" t="s">
        <v>74</v>
      </c>
      <c r="F639" s="1" t="s">
        <v>6118</v>
      </c>
      <c r="G639" s="1" t="s">
        <v>74</v>
      </c>
      <c r="H639" s="1" t="s">
        <v>74</v>
      </c>
      <c r="I639" s="1" t="s">
        <v>6119</v>
      </c>
      <c r="J639" s="1" t="s">
        <v>6120</v>
      </c>
      <c r="K639" s="1" t="s">
        <v>74</v>
      </c>
      <c r="L639" s="1" t="s">
        <v>74</v>
      </c>
      <c r="M639" s="1" t="s">
        <v>74</v>
      </c>
      <c r="N639" s="1" t="s">
        <v>74</v>
      </c>
      <c r="O639" s="1" t="s">
        <v>74</v>
      </c>
      <c r="P639" s="1" t="s">
        <v>74</v>
      </c>
      <c r="Q639" s="1" t="s">
        <v>74</v>
      </c>
      <c r="R639" s="1" t="s">
        <v>74</v>
      </c>
      <c r="S639" s="1" t="s">
        <v>74</v>
      </c>
      <c r="T639" s="1" t="s">
        <v>74</v>
      </c>
      <c r="U639" s="1" t="s">
        <v>74</v>
      </c>
      <c r="V639" s="1" t="s">
        <v>6121</v>
      </c>
      <c r="W639" s="1" t="s">
        <v>74</v>
      </c>
      <c r="X639" s="1" t="s">
        <v>74</v>
      </c>
      <c r="Y639" s="1" t="s">
        <v>74</v>
      </c>
      <c r="Z639" s="1" t="s">
        <v>74</v>
      </c>
      <c r="AA639" s="1" t="s">
        <v>74</v>
      </c>
      <c r="AB639" s="1" t="s">
        <v>6122</v>
      </c>
      <c r="AC639" s="1" t="s">
        <v>74</v>
      </c>
      <c r="AD639" s="1" t="s">
        <v>74</v>
      </c>
      <c r="AE639" s="1" t="s">
        <v>74</v>
      </c>
      <c r="AF639" s="1" t="s">
        <v>74</v>
      </c>
      <c r="AG639" s="1" t="s">
        <v>74</v>
      </c>
      <c r="AH639" s="1" t="s">
        <v>74</v>
      </c>
      <c r="AI639" s="1" t="s">
        <v>74</v>
      </c>
      <c r="AJ639" s="1" t="s">
        <v>74</v>
      </c>
      <c r="AK639" s="1" t="s">
        <v>74</v>
      </c>
      <c r="AL639" s="1" t="s">
        <v>74</v>
      </c>
      <c r="AM639" s="1" t="s">
        <v>74</v>
      </c>
      <c r="AN639" s="1" t="s">
        <v>74</v>
      </c>
      <c r="AO639" s="1" t="s">
        <v>6123</v>
      </c>
      <c r="AP639" s="1" t="s">
        <v>6124</v>
      </c>
      <c r="AQ639" s="1" t="s">
        <v>74</v>
      </c>
      <c r="AR639" s="1" t="s">
        <v>74</v>
      </c>
      <c r="AS639" s="1" t="s">
        <v>74</v>
      </c>
      <c r="AT639" s="1" t="s">
        <v>421</v>
      </c>
      <c r="AU639" s="1">
        <v>2012.0</v>
      </c>
      <c r="AV639" s="1">
        <v>22.0</v>
      </c>
      <c r="AW639" s="1">
        <v>5.0</v>
      </c>
      <c r="AX639" s="1" t="s">
        <v>74</v>
      </c>
      <c r="AY639" s="1" t="s">
        <v>74</v>
      </c>
      <c r="AZ639" s="1" t="s">
        <v>74</v>
      </c>
      <c r="BA639" s="1" t="s">
        <v>74</v>
      </c>
      <c r="BB639" s="1">
        <v>764.0</v>
      </c>
      <c r="BC639" s="1">
        <v>772.0</v>
      </c>
      <c r="BD639" s="1" t="s">
        <v>74</v>
      </c>
      <c r="BE639" s="1" t="s">
        <v>6125</v>
      </c>
      <c r="BF639" s="2" t="str">
        <f>HYPERLINK("http://dx.doi.org/10.1007/s11695-011-0531-x","http://dx.doi.org/10.1007/s11695-011-0531-x")</f>
        <v>http://dx.doi.org/10.1007/s11695-011-0531-x</v>
      </c>
      <c r="BG639" s="1" t="s">
        <v>74</v>
      </c>
      <c r="BH639" s="1" t="s">
        <v>74</v>
      </c>
      <c r="BI639" s="1" t="s">
        <v>74</v>
      </c>
      <c r="BJ639" s="1" t="s">
        <v>74</v>
      </c>
      <c r="BK639" s="1" t="s">
        <v>74</v>
      </c>
      <c r="BL639" s="1" t="s">
        <v>74</v>
      </c>
      <c r="BM639" s="1" t="s">
        <v>74</v>
      </c>
      <c r="BN639" s="1">
        <v>2.2392129E7</v>
      </c>
      <c r="BO639" s="1" t="s">
        <v>74</v>
      </c>
      <c r="BP639" s="1" t="s">
        <v>74</v>
      </c>
      <c r="BQ639" s="1" t="s">
        <v>74</v>
      </c>
      <c r="BR639" s="1" t="s">
        <v>74</v>
      </c>
      <c r="BS639" s="1" t="s">
        <v>6126</v>
      </c>
      <c r="BT639" s="1" t="str">
        <f>HYPERLINK("https%3A%2F%2Fwww.webofscience.com%2Fwos%2Fwoscc%2Ffull-record%2FWOS:000302481100011","View Full Record in Web of Science")</f>
        <v>View Full Record in Web of Science</v>
      </c>
    </row>
    <row r="640" ht="12.75" customHeight="1">
      <c r="A640" s="1" t="s">
        <v>72</v>
      </c>
      <c r="B640" s="1" t="s">
        <v>6127</v>
      </c>
      <c r="C640" s="1" t="s">
        <v>74</v>
      </c>
      <c r="D640" s="1" t="s">
        <v>74</v>
      </c>
      <c r="E640" s="1" t="s">
        <v>74</v>
      </c>
      <c r="F640" s="1" t="s">
        <v>6128</v>
      </c>
      <c r="G640" s="1" t="s">
        <v>74</v>
      </c>
      <c r="H640" s="1" t="s">
        <v>74</v>
      </c>
      <c r="I640" s="1" t="s">
        <v>6129</v>
      </c>
      <c r="J640" s="1" t="s">
        <v>1933</v>
      </c>
      <c r="K640" s="1" t="s">
        <v>74</v>
      </c>
      <c r="L640" s="1" t="s">
        <v>74</v>
      </c>
      <c r="M640" s="1" t="s">
        <v>74</v>
      </c>
      <c r="N640" s="1" t="s">
        <v>74</v>
      </c>
      <c r="O640" s="1" t="s">
        <v>74</v>
      </c>
      <c r="P640" s="1" t="s">
        <v>74</v>
      </c>
      <c r="Q640" s="1" t="s">
        <v>74</v>
      </c>
      <c r="R640" s="1" t="s">
        <v>74</v>
      </c>
      <c r="S640" s="1" t="s">
        <v>74</v>
      </c>
      <c r="T640" s="1" t="s">
        <v>74</v>
      </c>
      <c r="U640" s="1" t="s">
        <v>74</v>
      </c>
      <c r="V640" s="1" t="s">
        <v>6130</v>
      </c>
      <c r="W640" s="1" t="s">
        <v>74</v>
      </c>
      <c r="X640" s="1" t="s">
        <v>74</v>
      </c>
      <c r="Y640" s="1" t="s">
        <v>74</v>
      </c>
      <c r="Z640" s="1" t="s">
        <v>74</v>
      </c>
      <c r="AA640" s="1" t="s">
        <v>6131</v>
      </c>
      <c r="AB640" s="1" t="s">
        <v>6132</v>
      </c>
      <c r="AC640" s="1" t="s">
        <v>74</v>
      </c>
      <c r="AD640" s="1" t="s">
        <v>74</v>
      </c>
      <c r="AE640" s="1" t="s">
        <v>74</v>
      </c>
      <c r="AF640" s="1" t="s">
        <v>74</v>
      </c>
      <c r="AG640" s="1" t="s">
        <v>74</v>
      </c>
      <c r="AH640" s="1" t="s">
        <v>74</v>
      </c>
      <c r="AI640" s="1" t="s">
        <v>74</v>
      </c>
      <c r="AJ640" s="1" t="s">
        <v>74</v>
      </c>
      <c r="AK640" s="1" t="s">
        <v>74</v>
      </c>
      <c r="AL640" s="1" t="s">
        <v>74</v>
      </c>
      <c r="AM640" s="1" t="s">
        <v>74</v>
      </c>
      <c r="AN640" s="1" t="s">
        <v>74</v>
      </c>
      <c r="AO640" s="1" t="s">
        <v>1936</v>
      </c>
      <c r="AP640" s="1" t="s">
        <v>1937</v>
      </c>
      <c r="AQ640" s="1" t="s">
        <v>74</v>
      </c>
      <c r="AR640" s="1" t="s">
        <v>74</v>
      </c>
      <c r="AS640" s="1" t="s">
        <v>74</v>
      </c>
      <c r="AT640" s="1" t="s">
        <v>3962</v>
      </c>
      <c r="AU640" s="1">
        <v>2012.0</v>
      </c>
      <c r="AV640" s="1">
        <v>88.0</v>
      </c>
      <c r="AW640" s="1">
        <v>3.0</v>
      </c>
      <c r="AX640" s="1" t="s">
        <v>74</v>
      </c>
      <c r="AY640" s="1" t="s">
        <v>74</v>
      </c>
      <c r="AZ640" s="1" t="s">
        <v>74</v>
      </c>
      <c r="BA640" s="1" t="s">
        <v>74</v>
      </c>
      <c r="BB640" s="1">
        <v>959.0</v>
      </c>
      <c r="BC640" s="1">
        <v>965.0</v>
      </c>
      <c r="BD640" s="1" t="s">
        <v>74</v>
      </c>
      <c r="BE640" s="1" t="s">
        <v>6133</v>
      </c>
      <c r="BF640" s="2" t="str">
        <f>HYPERLINK("http://dx.doi.org/10.1016/j.carbpol.2012.01.052","http://dx.doi.org/10.1016/j.carbpol.2012.01.052")</f>
        <v>http://dx.doi.org/10.1016/j.carbpol.2012.01.052</v>
      </c>
      <c r="BG640" s="1" t="s">
        <v>74</v>
      </c>
      <c r="BH640" s="1" t="s">
        <v>74</v>
      </c>
      <c r="BI640" s="1" t="s">
        <v>74</v>
      </c>
      <c r="BJ640" s="1" t="s">
        <v>74</v>
      </c>
      <c r="BK640" s="1" t="s">
        <v>74</v>
      </c>
      <c r="BL640" s="1" t="s">
        <v>74</v>
      </c>
      <c r="BM640" s="1" t="s">
        <v>74</v>
      </c>
      <c r="BN640" s="1" t="s">
        <v>74</v>
      </c>
      <c r="BO640" s="1" t="s">
        <v>74</v>
      </c>
      <c r="BP640" s="1" t="s">
        <v>74</v>
      </c>
      <c r="BQ640" s="1" t="s">
        <v>74</v>
      </c>
      <c r="BR640" s="1" t="s">
        <v>74</v>
      </c>
      <c r="BS640" s="1" t="s">
        <v>6134</v>
      </c>
      <c r="BT640" s="1" t="str">
        <f>HYPERLINK("https%3A%2F%2Fwww.webofscience.com%2Fwos%2Fwoscc%2Ffull-record%2FWOS:000302196200021","View Full Record in Web of Science")</f>
        <v>View Full Record in Web of Science</v>
      </c>
    </row>
    <row r="641" ht="12.75" customHeight="1">
      <c r="A641" s="1" t="s">
        <v>72</v>
      </c>
      <c r="B641" s="1" t="s">
        <v>6135</v>
      </c>
      <c r="C641" s="1" t="s">
        <v>74</v>
      </c>
      <c r="D641" s="1" t="s">
        <v>74</v>
      </c>
      <c r="E641" s="1" t="s">
        <v>74</v>
      </c>
      <c r="F641" s="1" t="s">
        <v>6136</v>
      </c>
      <c r="G641" s="1" t="s">
        <v>74</v>
      </c>
      <c r="H641" s="1" t="s">
        <v>74</v>
      </c>
      <c r="I641" s="1" t="s">
        <v>6137</v>
      </c>
      <c r="J641" s="1" t="s">
        <v>5389</v>
      </c>
      <c r="K641" s="1" t="s">
        <v>74</v>
      </c>
      <c r="L641" s="1" t="s">
        <v>74</v>
      </c>
      <c r="M641" s="1" t="s">
        <v>74</v>
      </c>
      <c r="N641" s="1" t="s">
        <v>74</v>
      </c>
      <c r="O641" s="1" t="s">
        <v>5390</v>
      </c>
      <c r="P641" s="1" t="s">
        <v>6138</v>
      </c>
      <c r="Q641" s="1" t="s">
        <v>6139</v>
      </c>
      <c r="R641" s="1" t="s">
        <v>6140</v>
      </c>
      <c r="S641" s="1" t="s">
        <v>74</v>
      </c>
      <c r="T641" s="1" t="s">
        <v>74</v>
      </c>
      <c r="U641" s="1" t="s">
        <v>74</v>
      </c>
      <c r="V641" s="1" t="s">
        <v>74</v>
      </c>
      <c r="W641" s="1" t="s">
        <v>74</v>
      </c>
      <c r="X641" s="1" t="s">
        <v>74</v>
      </c>
      <c r="Y641" s="1" t="s">
        <v>74</v>
      </c>
      <c r="Z641" s="1" t="s">
        <v>74</v>
      </c>
      <c r="AA641" s="1" t="s">
        <v>207</v>
      </c>
      <c r="AB641" s="1" t="s">
        <v>74</v>
      </c>
      <c r="AC641" s="1" t="s">
        <v>74</v>
      </c>
      <c r="AD641" s="1" t="s">
        <v>74</v>
      </c>
      <c r="AE641" s="1" t="s">
        <v>74</v>
      </c>
      <c r="AF641" s="1" t="s">
        <v>74</v>
      </c>
      <c r="AG641" s="1" t="s">
        <v>74</v>
      </c>
      <c r="AH641" s="1" t="s">
        <v>74</v>
      </c>
      <c r="AI641" s="1" t="s">
        <v>74</v>
      </c>
      <c r="AJ641" s="1" t="s">
        <v>74</v>
      </c>
      <c r="AK641" s="1" t="s">
        <v>74</v>
      </c>
      <c r="AL641" s="1" t="s">
        <v>74</v>
      </c>
      <c r="AM641" s="1" t="s">
        <v>74</v>
      </c>
      <c r="AN641" s="1" t="s">
        <v>74</v>
      </c>
      <c r="AO641" s="1" t="s">
        <v>5394</v>
      </c>
      <c r="AP641" s="1" t="s">
        <v>74</v>
      </c>
      <c r="AQ641" s="1" t="s">
        <v>74</v>
      </c>
      <c r="AR641" s="1" t="s">
        <v>74</v>
      </c>
      <c r="AS641" s="1" t="s">
        <v>74</v>
      </c>
      <c r="AT641" s="1" t="s">
        <v>389</v>
      </c>
      <c r="AU641" s="1">
        <v>2012.0</v>
      </c>
      <c r="AV641" s="1">
        <v>129.0</v>
      </c>
      <c r="AW641" s="1">
        <v>2.0</v>
      </c>
      <c r="AX641" s="1" t="s">
        <v>74</v>
      </c>
      <c r="AY641" s="1" t="s">
        <v>341</v>
      </c>
      <c r="AZ641" s="1" t="s">
        <v>74</v>
      </c>
      <c r="BA641" s="1" t="s">
        <v>74</v>
      </c>
      <c r="BB641" s="1" t="s">
        <v>6141</v>
      </c>
      <c r="BC641" s="1" t="s">
        <v>6141</v>
      </c>
      <c r="BD641" s="1" t="s">
        <v>74</v>
      </c>
      <c r="BE641" s="1" t="s">
        <v>6142</v>
      </c>
      <c r="BF641" s="2" t="str">
        <f>HYPERLINK("http://dx.doi.org/10.1016/j.jaci.2011.12.313","http://dx.doi.org/10.1016/j.jaci.2011.12.313")</f>
        <v>http://dx.doi.org/10.1016/j.jaci.2011.12.313</v>
      </c>
      <c r="BG641" s="1" t="s">
        <v>74</v>
      </c>
      <c r="BH641" s="1" t="s">
        <v>74</v>
      </c>
      <c r="BI641" s="1" t="s">
        <v>74</v>
      </c>
      <c r="BJ641" s="1" t="s">
        <v>74</v>
      </c>
      <c r="BK641" s="1" t="s">
        <v>74</v>
      </c>
      <c r="BL641" s="1" t="s">
        <v>74</v>
      </c>
      <c r="BM641" s="1" t="s">
        <v>74</v>
      </c>
      <c r="BN641" s="1" t="s">
        <v>74</v>
      </c>
      <c r="BO641" s="1" t="s">
        <v>74</v>
      </c>
      <c r="BP641" s="1" t="s">
        <v>74</v>
      </c>
      <c r="BQ641" s="1" t="s">
        <v>74</v>
      </c>
      <c r="BR641" s="1" t="s">
        <v>74</v>
      </c>
      <c r="BS641" s="1" t="s">
        <v>6143</v>
      </c>
      <c r="BT641" s="1" t="str">
        <f>HYPERLINK("https%3A%2F%2Fwww.webofscience.com%2Fwos%2Fwoscc%2Ffull-record%2FWOS:000301133400556","View Full Record in Web of Science")</f>
        <v>View Full Record in Web of Science</v>
      </c>
    </row>
    <row r="642" ht="12.75" customHeight="1">
      <c r="A642" s="1" t="s">
        <v>72</v>
      </c>
      <c r="B642" s="1" t="s">
        <v>6144</v>
      </c>
      <c r="C642" s="1" t="s">
        <v>74</v>
      </c>
      <c r="D642" s="1" t="s">
        <v>74</v>
      </c>
      <c r="E642" s="1" t="s">
        <v>74</v>
      </c>
      <c r="F642" s="1" t="s">
        <v>6145</v>
      </c>
      <c r="G642" s="1" t="s">
        <v>74</v>
      </c>
      <c r="H642" s="1" t="s">
        <v>74</v>
      </c>
      <c r="I642" s="1" t="s">
        <v>6146</v>
      </c>
      <c r="J642" s="1" t="s">
        <v>3368</v>
      </c>
      <c r="K642" s="1" t="s">
        <v>74</v>
      </c>
      <c r="L642" s="1" t="s">
        <v>74</v>
      </c>
      <c r="M642" s="1" t="s">
        <v>74</v>
      </c>
      <c r="N642" s="1" t="s">
        <v>74</v>
      </c>
      <c r="O642" s="1" t="s">
        <v>74</v>
      </c>
      <c r="P642" s="1" t="s">
        <v>74</v>
      </c>
      <c r="Q642" s="1" t="s">
        <v>74</v>
      </c>
      <c r="R642" s="1" t="s">
        <v>74</v>
      </c>
      <c r="S642" s="1" t="s">
        <v>74</v>
      </c>
      <c r="T642" s="1" t="s">
        <v>74</v>
      </c>
      <c r="U642" s="1" t="s">
        <v>74</v>
      </c>
      <c r="V642" s="1" t="s">
        <v>6147</v>
      </c>
      <c r="W642" s="1" t="s">
        <v>74</v>
      </c>
      <c r="X642" s="1" t="s">
        <v>74</v>
      </c>
      <c r="Y642" s="1" t="s">
        <v>74</v>
      </c>
      <c r="Z642" s="1" t="s">
        <v>74</v>
      </c>
      <c r="AA642" s="1" t="s">
        <v>6148</v>
      </c>
      <c r="AB642" s="1" t="s">
        <v>6149</v>
      </c>
      <c r="AC642" s="1" t="s">
        <v>74</v>
      </c>
      <c r="AD642" s="1" t="s">
        <v>74</v>
      </c>
      <c r="AE642" s="1" t="s">
        <v>74</v>
      </c>
      <c r="AF642" s="1" t="s">
        <v>74</v>
      </c>
      <c r="AG642" s="1" t="s">
        <v>74</v>
      </c>
      <c r="AH642" s="1" t="s">
        <v>74</v>
      </c>
      <c r="AI642" s="1" t="s">
        <v>74</v>
      </c>
      <c r="AJ642" s="1" t="s">
        <v>74</v>
      </c>
      <c r="AK642" s="1" t="s">
        <v>74</v>
      </c>
      <c r="AL642" s="1" t="s">
        <v>74</v>
      </c>
      <c r="AM642" s="1" t="s">
        <v>74</v>
      </c>
      <c r="AN642" s="1" t="s">
        <v>74</v>
      </c>
      <c r="AO642" s="1" t="s">
        <v>3372</v>
      </c>
      <c r="AP642" s="1" t="s">
        <v>3373</v>
      </c>
      <c r="AQ642" s="1" t="s">
        <v>74</v>
      </c>
      <c r="AR642" s="1" t="s">
        <v>74</v>
      </c>
      <c r="AS642" s="1" t="s">
        <v>74</v>
      </c>
      <c r="AT642" s="1" t="s">
        <v>389</v>
      </c>
      <c r="AU642" s="1">
        <v>2012.0</v>
      </c>
      <c r="AV642" s="1">
        <v>14.0</v>
      </c>
      <c r="AW642" s="1">
        <v>1.0</v>
      </c>
      <c r="AX642" s="1" t="s">
        <v>74</v>
      </c>
      <c r="AY642" s="1" t="s">
        <v>74</v>
      </c>
      <c r="AZ642" s="1" t="s">
        <v>74</v>
      </c>
      <c r="BA642" s="1" t="s">
        <v>74</v>
      </c>
      <c r="BB642" s="1" t="s">
        <v>74</v>
      </c>
      <c r="BC642" s="1" t="s">
        <v>74</v>
      </c>
      <c r="BD642" s="1">
        <v>1250001.0</v>
      </c>
      <c r="BE642" s="1" t="s">
        <v>6150</v>
      </c>
      <c r="BF642" s="2" t="str">
        <f>HYPERLINK("http://dx.doi.org/10.1142/S0219199712500010","http://dx.doi.org/10.1142/S0219199712500010")</f>
        <v>http://dx.doi.org/10.1142/S0219199712500010</v>
      </c>
      <c r="BG642" s="1" t="s">
        <v>74</v>
      </c>
      <c r="BH642" s="1" t="s">
        <v>74</v>
      </c>
      <c r="BI642" s="1" t="s">
        <v>74</v>
      </c>
      <c r="BJ642" s="1" t="s">
        <v>74</v>
      </c>
      <c r="BK642" s="1" t="s">
        <v>74</v>
      </c>
      <c r="BL642" s="1" t="s">
        <v>74</v>
      </c>
      <c r="BM642" s="1" t="s">
        <v>74</v>
      </c>
      <c r="BN642" s="1" t="s">
        <v>74</v>
      </c>
      <c r="BO642" s="1" t="s">
        <v>74</v>
      </c>
      <c r="BP642" s="1" t="s">
        <v>74</v>
      </c>
      <c r="BQ642" s="1" t="s">
        <v>74</v>
      </c>
      <c r="BR642" s="1" t="s">
        <v>74</v>
      </c>
      <c r="BS642" s="1" t="s">
        <v>6151</v>
      </c>
      <c r="BT642" s="1" t="str">
        <f>HYPERLINK("https%3A%2F%2Fwww.webofscience.com%2Fwos%2Fwoscc%2Ffull-record%2FWOS:000300930600001","View Full Record in Web of Science")</f>
        <v>View Full Record in Web of Science</v>
      </c>
    </row>
    <row r="643" ht="12.75" customHeight="1">
      <c r="A643" s="1" t="s">
        <v>72</v>
      </c>
      <c r="B643" s="1" t="s">
        <v>6152</v>
      </c>
      <c r="C643" s="1" t="s">
        <v>74</v>
      </c>
      <c r="D643" s="1" t="s">
        <v>74</v>
      </c>
      <c r="E643" s="1" t="s">
        <v>74</v>
      </c>
      <c r="F643" s="1" t="s">
        <v>6153</v>
      </c>
      <c r="G643" s="1" t="s">
        <v>74</v>
      </c>
      <c r="H643" s="1" t="s">
        <v>74</v>
      </c>
      <c r="I643" s="1" t="s">
        <v>6154</v>
      </c>
      <c r="J643" s="1" t="s">
        <v>527</v>
      </c>
      <c r="K643" s="1" t="s">
        <v>74</v>
      </c>
      <c r="L643" s="1" t="s">
        <v>74</v>
      </c>
      <c r="M643" s="1" t="s">
        <v>74</v>
      </c>
      <c r="N643" s="1" t="s">
        <v>74</v>
      </c>
      <c r="O643" s="1" t="s">
        <v>74</v>
      </c>
      <c r="P643" s="1" t="s">
        <v>74</v>
      </c>
      <c r="Q643" s="1" t="s">
        <v>74</v>
      </c>
      <c r="R643" s="1" t="s">
        <v>74</v>
      </c>
      <c r="S643" s="1" t="s">
        <v>74</v>
      </c>
      <c r="T643" s="1" t="s">
        <v>74</v>
      </c>
      <c r="U643" s="1" t="s">
        <v>74</v>
      </c>
      <c r="V643" s="1" t="s">
        <v>6155</v>
      </c>
      <c r="W643" s="1" t="s">
        <v>74</v>
      </c>
      <c r="X643" s="1" t="s">
        <v>74</v>
      </c>
      <c r="Y643" s="1" t="s">
        <v>74</v>
      </c>
      <c r="Z643" s="1" t="s">
        <v>74</v>
      </c>
      <c r="AA643" s="1" t="s">
        <v>6156</v>
      </c>
      <c r="AB643" s="1" t="s">
        <v>6157</v>
      </c>
      <c r="AC643" s="1" t="s">
        <v>74</v>
      </c>
      <c r="AD643" s="1" t="s">
        <v>74</v>
      </c>
      <c r="AE643" s="1" t="s">
        <v>74</v>
      </c>
      <c r="AF643" s="1" t="s">
        <v>74</v>
      </c>
      <c r="AG643" s="1" t="s">
        <v>74</v>
      </c>
      <c r="AH643" s="1" t="s">
        <v>74</v>
      </c>
      <c r="AI643" s="1" t="s">
        <v>74</v>
      </c>
      <c r="AJ643" s="1" t="s">
        <v>74</v>
      </c>
      <c r="AK643" s="1" t="s">
        <v>74</v>
      </c>
      <c r="AL643" s="1" t="s">
        <v>74</v>
      </c>
      <c r="AM643" s="1" t="s">
        <v>74</v>
      </c>
      <c r="AN643" s="1" t="s">
        <v>74</v>
      </c>
      <c r="AO643" s="1" t="s">
        <v>531</v>
      </c>
      <c r="AP643" s="1" t="s">
        <v>532</v>
      </c>
      <c r="AQ643" s="1" t="s">
        <v>74</v>
      </c>
      <c r="AR643" s="1" t="s">
        <v>74</v>
      </c>
      <c r="AS643" s="1" t="s">
        <v>74</v>
      </c>
      <c r="AT643" s="1" t="s">
        <v>4039</v>
      </c>
      <c r="AU643" s="1">
        <v>2011.0</v>
      </c>
      <c r="AV643" s="1">
        <v>56.0</v>
      </c>
      <c r="AW643" s="1">
        <v>18.0</v>
      </c>
      <c r="AX643" s="1" t="s">
        <v>74</v>
      </c>
      <c r="AY643" s="1" t="s">
        <v>74</v>
      </c>
      <c r="AZ643" s="1" t="s">
        <v>74</v>
      </c>
      <c r="BA643" s="1" t="s">
        <v>74</v>
      </c>
      <c r="BB643" s="1">
        <v>6371.0</v>
      </c>
      <c r="BC643" s="1">
        <v>6379.0</v>
      </c>
      <c r="BD643" s="1" t="s">
        <v>74</v>
      </c>
      <c r="BE643" s="1" t="s">
        <v>6158</v>
      </c>
      <c r="BF643" s="2" t="str">
        <f>HYPERLINK("http://dx.doi.org/10.1016/j.electacta.2011.05.021","http://dx.doi.org/10.1016/j.electacta.2011.05.021")</f>
        <v>http://dx.doi.org/10.1016/j.electacta.2011.05.021</v>
      </c>
      <c r="BG643" s="1" t="s">
        <v>74</v>
      </c>
      <c r="BH643" s="1" t="s">
        <v>74</v>
      </c>
      <c r="BI643" s="1" t="s">
        <v>74</v>
      </c>
      <c r="BJ643" s="1" t="s">
        <v>74</v>
      </c>
      <c r="BK643" s="1" t="s">
        <v>74</v>
      </c>
      <c r="BL643" s="1" t="s">
        <v>74</v>
      </c>
      <c r="BM643" s="1" t="s">
        <v>74</v>
      </c>
      <c r="BN643" s="1" t="s">
        <v>74</v>
      </c>
      <c r="BO643" s="1" t="s">
        <v>74</v>
      </c>
      <c r="BP643" s="1" t="s">
        <v>74</v>
      </c>
      <c r="BQ643" s="1" t="s">
        <v>74</v>
      </c>
      <c r="BR643" s="1" t="s">
        <v>74</v>
      </c>
      <c r="BS643" s="1" t="s">
        <v>6159</v>
      </c>
      <c r="BT643" s="1" t="str">
        <f>HYPERLINK("https%3A%2F%2Fwww.webofscience.com%2Fwos%2Fwoscc%2Ffull-record%2FWOS:000293306100016","View Full Record in Web of Science")</f>
        <v>View Full Record in Web of Science</v>
      </c>
    </row>
    <row r="644" ht="12.75" customHeight="1">
      <c r="A644" s="1" t="s">
        <v>72</v>
      </c>
      <c r="B644" s="1" t="s">
        <v>6160</v>
      </c>
      <c r="C644" s="1" t="s">
        <v>74</v>
      </c>
      <c r="D644" s="1" t="s">
        <v>74</v>
      </c>
      <c r="E644" s="1" t="s">
        <v>74</v>
      </c>
      <c r="F644" s="1" t="s">
        <v>6161</v>
      </c>
      <c r="G644" s="1" t="s">
        <v>74</v>
      </c>
      <c r="H644" s="1" t="s">
        <v>74</v>
      </c>
      <c r="I644" s="1" t="s">
        <v>6162</v>
      </c>
      <c r="J644" s="1" t="s">
        <v>6163</v>
      </c>
      <c r="K644" s="1" t="s">
        <v>74</v>
      </c>
      <c r="L644" s="1" t="s">
        <v>74</v>
      </c>
      <c r="M644" s="1" t="s">
        <v>74</v>
      </c>
      <c r="N644" s="1" t="s">
        <v>74</v>
      </c>
      <c r="O644" s="1" t="s">
        <v>74</v>
      </c>
      <c r="P644" s="1" t="s">
        <v>74</v>
      </c>
      <c r="Q644" s="1" t="s">
        <v>74</v>
      </c>
      <c r="R644" s="1" t="s">
        <v>74</v>
      </c>
      <c r="S644" s="1" t="s">
        <v>74</v>
      </c>
      <c r="T644" s="1" t="s">
        <v>74</v>
      </c>
      <c r="U644" s="1" t="s">
        <v>74</v>
      </c>
      <c r="V644" s="1" t="s">
        <v>6164</v>
      </c>
      <c r="W644" s="1" t="s">
        <v>74</v>
      </c>
      <c r="X644" s="1" t="s">
        <v>74</v>
      </c>
      <c r="Y644" s="1" t="s">
        <v>74</v>
      </c>
      <c r="Z644" s="1" t="s">
        <v>74</v>
      </c>
      <c r="AA644" s="1" t="s">
        <v>6165</v>
      </c>
      <c r="AB644" s="1" t="s">
        <v>6166</v>
      </c>
      <c r="AC644" s="1" t="s">
        <v>74</v>
      </c>
      <c r="AD644" s="1" t="s">
        <v>74</v>
      </c>
      <c r="AE644" s="1" t="s">
        <v>74</v>
      </c>
      <c r="AF644" s="1" t="s">
        <v>74</v>
      </c>
      <c r="AG644" s="1" t="s">
        <v>74</v>
      </c>
      <c r="AH644" s="1" t="s">
        <v>74</v>
      </c>
      <c r="AI644" s="1" t="s">
        <v>74</v>
      </c>
      <c r="AJ644" s="1" t="s">
        <v>74</v>
      </c>
      <c r="AK644" s="1" t="s">
        <v>74</v>
      </c>
      <c r="AL644" s="1" t="s">
        <v>74</v>
      </c>
      <c r="AM644" s="1" t="s">
        <v>74</v>
      </c>
      <c r="AN644" s="1" t="s">
        <v>74</v>
      </c>
      <c r="AO644" s="1" t="s">
        <v>6167</v>
      </c>
      <c r="AP644" s="1" t="s">
        <v>74</v>
      </c>
      <c r="AQ644" s="1" t="s">
        <v>74</v>
      </c>
      <c r="AR644" s="1" t="s">
        <v>74</v>
      </c>
      <c r="AS644" s="1" t="s">
        <v>74</v>
      </c>
      <c r="AT644" s="1" t="s">
        <v>74</v>
      </c>
      <c r="AU644" s="1">
        <v>2011.0</v>
      </c>
      <c r="AV644" s="1">
        <v>18.0</v>
      </c>
      <c r="AW644" s="1">
        <v>1.0</v>
      </c>
      <c r="AX644" s="1" t="s">
        <v>74</v>
      </c>
      <c r="AY644" s="1" t="s">
        <v>74</v>
      </c>
      <c r="AZ644" s="1" t="s">
        <v>74</v>
      </c>
      <c r="BA644" s="1" t="s">
        <v>74</v>
      </c>
      <c r="BB644" s="1">
        <v>109.0</v>
      </c>
      <c r="BC644" s="1">
        <v>154.0</v>
      </c>
      <c r="BD644" s="1" t="s">
        <v>74</v>
      </c>
      <c r="BE644" s="1" t="s">
        <v>74</v>
      </c>
      <c r="BF644" s="1" t="s">
        <v>74</v>
      </c>
      <c r="BG644" s="1" t="s">
        <v>74</v>
      </c>
      <c r="BH644" s="1" t="s">
        <v>74</v>
      </c>
      <c r="BI644" s="1" t="s">
        <v>74</v>
      </c>
      <c r="BJ644" s="1" t="s">
        <v>74</v>
      </c>
      <c r="BK644" s="1" t="s">
        <v>74</v>
      </c>
      <c r="BL644" s="1" t="s">
        <v>74</v>
      </c>
      <c r="BM644" s="1" t="s">
        <v>74</v>
      </c>
      <c r="BN644" s="1" t="s">
        <v>74</v>
      </c>
      <c r="BO644" s="1" t="s">
        <v>74</v>
      </c>
      <c r="BP644" s="1" t="s">
        <v>74</v>
      </c>
      <c r="BQ644" s="1" t="s">
        <v>74</v>
      </c>
      <c r="BR644" s="1" t="s">
        <v>74</v>
      </c>
      <c r="BS644" s="1" t="s">
        <v>6168</v>
      </c>
      <c r="BT644" s="1" t="str">
        <f>HYPERLINK("https%3A%2F%2Fwww.webofscience.com%2Fwos%2Fwoscc%2Ffull-record%2FWOS:000287679900004","View Full Record in Web of Science")</f>
        <v>View Full Record in Web of Science</v>
      </c>
    </row>
    <row r="645" ht="12.75" customHeight="1">
      <c r="A645" s="1" t="s">
        <v>72</v>
      </c>
      <c r="B645" s="1" t="s">
        <v>6169</v>
      </c>
      <c r="C645" s="1" t="s">
        <v>74</v>
      </c>
      <c r="D645" s="1" t="s">
        <v>74</v>
      </c>
      <c r="E645" s="1" t="s">
        <v>74</v>
      </c>
      <c r="F645" s="1" t="s">
        <v>6170</v>
      </c>
      <c r="G645" s="1" t="s">
        <v>74</v>
      </c>
      <c r="H645" s="1" t="s">
        <v>74</v>
      </c>
      <c r="I645" s="1" t="s">
        <v>6171</v>
      </c>
      <c r="J645" s="1" t="s">
        <v>5559</v>
      </c>
      <c r="K645" s="1" t="s">
        <v>74</v>
      </c>
      <c r="L645" s="1" t="s">
        <v>74</v>
      </c>
      <c r="M645" s="1" t="s">
        <v>74</v>
      </c>
      <c r="N645" s="1" t="s">
        <v>74</v>
      </c>
      <c r="O645" s="1" t="s">
        <v>74</v>
      </c>
      <c r="P645" s="1" t="s">
        <v>74</v>
      </c>
      <c r="Q645" s="1" t="s">
        <v>74</v>
      </c>
      <c r="R645" s="1" t="s">
        <v>74</v>
      </c>
      <c r="S645" s="1" t="s">
        <v>74</v>
      </c>
      <c r="T645" s="1" t="s">
        <v>74</v>
      </c>
      <c r="U645" s="1" t="s">
        <v>74</v>
      </c>
      <c r="V645" s="1" t="s">
        <v>6172</v>
      </c>
      <c r="W645" s="1" t="s">
        <v>74</v>
      </c>
      <c r="X645" s="1" t="s">
        <v>74</v>
      </c>
      <c r="Y645" s="1" t="s">
        <v>74</v>
      </c>
      <c r="Z645" s="1" t="s">
        <v>74</v>
      </c>
      <c r="AA645" s="1" t="s">
        <v>74</v>
      </c>
      <c r="AB645" s="1" t="s">
        <v>74</v>
      </c>
      <c r="AC645" s="1" t="s">
        <v>74</v>
      </c>
      <c r="AD645" s="1" t="s">
        <v>74</v>
      </c>
      <c r="AE645" s="1" t="s">
        <v>74</v>
      </c>
      <c r="AF645" s="1" t="s">
        <v>74</v>
      </c>
      <c r="AG645" s="1" t="s">
        <v>74</v>
      </c>
      <c r="AH645" s="1" t="s">
        <v>74</v>
      </c>
      <c r="AI645" s="1" t="s">
        <v>74</v>
      </c>
      <c r="AJ645" s="1" t="s">
        <v>74</v>
      </c>
      <c r="AK645" s="1" t="s">
        <v>74</v>
      </c>
      <c r="AL645" s="1" t="s">
        <v>74</v>
      </c>
      <c r="AM645" s="1" t="s">
        <v>74</v>
      </c>
      <c r="AN645" s="1" t="s">
        <v>74</v>
      </c>
      <c r="AO645" s="1" t="s">
        <v>6173</v>
      </c>
      <c r="AP645" s="1" t="s">
        <v>74</v>
      </c>
      <c r="AQ645" s="1" t="s">
        <v>74</v>
      </c>
      <c r="AR645" s="1" t="s">
        <v>74</v>
      </c>
      <c r="AS645" s="1" t="s">
        <v>74</v>
      </c>
      <c r="AT645" s="1" t="s">
        <v>415</v>
      </c>
      <c r="AU645" s="1">
        <v>2010.0</v>
      </c>
      <c r="AV645" s="1" t="s">
        <v>74</v>
      </c>
      <c r="AW645" s="1">
        <v>31.0</v>
      </c>
      <c r="AX645" s="1" t="s">
        <v>74</v>
      </c>
      <c r="AY645" s="1" t="s">
        <v>74</v>
      </c>
      <c r="AZ645" s="1" t="s">
        <v>74</v>
      </c>
      <c r="BA645" s="1" t="s">
        <v>74</v>
      </c>
      <c r="BB645" s="1">
        <v>215.0</v>
      </c>
      <c r="BC645" s="1">
        <v>230.0</v>
      </c>
      <c r="BD645" s="1" t="s">
        <v>74</v>
      </c>
      <c r="BE645" s="1" t="s">
        <v>74</v>
      </c>
      <c r="BF645" s="1" t="s">
        <v>74</v>
      </c>
      <c r="BG645" s="1" t="s">
        <v>74</v>
      </c>
      <c r="BH645" s="1" t="s">
        <v>74</v>
      </c>
      <c r="BI645" s="1" t="s">
        <v>74</v>
      </c>
      <c r="BJ645" s="1" t="s">
        <v>74</v>
      </c>
      <c r="BK645" s="1" t="s">
        <v>74</v>
      </c>
      <c r="BL645" s="1" t="s">
        <v>74</v>
      </c>
      <c r="BM645" s="1" t="s">
        <v>74</v>
      </c>
      <c r="BN645" s="1" t="s">
        <v>74</v>
      </c>
      <c r="BO645" s="1" t="s">
        <v>74</v>
      </c>
      <c r="BP645" s="1" t="s">
        <v>74</v>
      </c>
      <c r="BQ645" s="1" t="s">
        <v>74</v>
      </c>
      <c r="BR645" s="1" t="s">
        <v>74</v>
      </c>
      <c r="BS645" s="1" t="s">
        <v>6174</v>
      </c>
      <c r="BT645" s="1" t="str">
        <f>HYPERLINK("https%3A%2F%2Fwww.webofscience.com%2Fwos%2Fwoscc%2Ffull-record%2FWOS:000286703100015","View Full Record in Web of Science")</f>
        <v>View Full Record in Web of Science</v>
      </c>
    </row>
    <row r="646" ht="12.75" customHeight="1">
      <c r="A646" s="1" t="s">
        <v>72</v>
      </c>
      <c r="B646" s="1" t="s">
        <v>1889</v>
      </c>
      <c r="C646" s="1" t="s">
        <v>74</v>
      </c>
      <c r="D646" s="1" t="s">
        <v>74</v>
      </c>
      <c r="E646" s="1" t="s">
        <v>74</v>
      </c>
      <c r="F646" s="1" t="s">
        <v>1890</v>
      </c>
      <c r="G646" s="1" t="s">
        <v>74</v>
      </c>
      <c r="H646" s="1" t="s">
        <v>74</v>
      </c>
      <c r="I646" s="1" t="s">
        <v>6175</v>
      </c>
      <c r="J646" s="1" t="s">
        <v>77</v>
      </c>
      <c r="K646" s="1" t="s">
        <v>74</v>
      </c>
      <c r="L646" s="1" t="s">
        <v>74</v>
      </c>
      <c r="M646" s="1" t="s">
        <v>74</v>
      </c>
      <c r="N646" s="1" t="s">
        <v>74</v>
      </c>
      <c r="O646" s="1" t="s">
        <v>74</v>
      </c>
      <c r="P646" s="1" t="s">
        <v>74</v>
      </c>
      <c r="Q646" s="1" t="s">
        <v>74</v>
      </c>
      <c r="R646" s="1" t="s">
        <v>74</v>
      </c>
      <c r="S646" s="1" t="s">
        <v>74</v>
      </c>
      <c r="T646" s="1" t="s">
        <v>74</v>
      </c>
      <c r="U646" s="1" t="s">
        <v>74</v>
      </c>
      <c r="V646" s="1" t="s">
        <v>6176</v>
      </c>
      <c r="W646" s="1" t="s">
        <v>74</v>
      </c>
      <c r="X646" s="1" t="s">
        <v>74</v>
      </c>
      <c r="Y646" s="1" t="s">
        <v>74</v>
      </c>
      <c r="Z646" s="1" t="s">
        <v>74</v>
      </c>
      <c r="AA646" s="1" t="s">
        <v>1074</v>
      </c>
      <c r="AB646" s="1" t="s">
        <v>197</v>
      </c>
      <c r="AC646" s="1" t="s">
        <v>74</v>
      </c>
      <c r="AD646" s="1" t="s">
        <v>74</v>
      </c>
      <c r="AE646" s="1" t="s">
        <v>74</v>
      </c>
      <c r="AF646" s="1" t="s">
        <v>74</v>
      </c>
      <c r="AG646" s="1" t="s">
        <v>74</v>
      </c>
      <c r="AH646" s="1" t="s">
        <v>74</v>
      </c>
      <c r="AI646" s="1" t="s">
        <v>74</v>
      </c>
      <c r="AJ646" s="1" t="s">
        <v>74</v>
      </c>
      <c r="AK646" s="1" t="s">
        <v>74</v>
      </c>
      <c r="AL646" s="1" t="s">
        <v>74</v>
      </c>
      <c r="AM646" s="1" t="s">
        <v>74</v>
      </c>
      <c r="AN646" s="1" t="s">
        <v>74</v>
      </c>
      <c r="AO646" s="1" t="s">
        <v>81</v>
      </c>
      <c r="AP646" s="1" t="s">
        <v>82</v>
      </c>
      <c r="AQ646" s="1" t="s">
        <v>74</v>
      </c>
      <c r="AR646" s="1" t="s">
        <v>74</v>
      </c>
      <c r="AS646" s="1" t="s">
        <v>74</v>
      </c>
      <c r="AT646" s="1" t="s">
        <v>2168</v>
      </c>
      <c r="AU646" s="1">
        <v>2010.0</v>
      </c>
      <c r="AV646" s="1">
        <v>33.0</v>
      </c>
      <c r="AW646" s="1">
        <v>13.0</v>
      </c>
      <c r="AX646" s="1" t="s">
        <v>74</v>
      </c>
      <c r="AY646" s="1" t="s">
        <v>74</v>
      </c>
      <c r="AZ646" s="1" t="s">
        <v>74</v>
      </c>
      <c r="BA646" s="1" t="s">
        <v>74</v>
      </c>
      <c r="BB646" s="1">
        <v>1628.0</v>
      </c>
      <c r="BC646" s="1">
        <v>1636.0</v>
      </c>
      <c r="BD646" s="1" t="s">
        <v>74</v>
      </c>
      <c r="BE646" s="1" t="s">
        <v>6177</v>
      </c>
      <c r="BF646" s="2" t="str">
        <f>HYPERLINK("http://dx.doi.org/10.1002/mma.1284","http://dx.doi.org/10.1002/mma.1284")</f>
        <v>http://dx.doi.org/10.1002/mma.1284</v>
      </c>
      <c r="BG646" s="1" t="s">
        <v>74</v>
      </c>
      <c r="BH646" s="1" t="s">
        <v>74</v>
      </c>
      <c r="BI646" s="1" t="s">
        <v>74</v>
      </c>
      <c r="BJ646" s="1" t="s">
        <v>74</v>
      </c>
      <c r="BK646" s="1" t="s">
        <v>74</v>
      </c>
      <c r="BL646" s="1" t="s">
        <v>74</v>
      </c>
      <c r="BM646" s="1" t="s">
        <v>74</v>
      </c>
      <c r="BN646" s="1" t="s">
        <v>74</v>
      </c>
      <c r="BO646" s="1" t="s">
        <v>74</v>
      </c>
      <c r="BP646" s="1" t="s">
        <v>74</v>
      </c>
      <c r="BQ646" s="1" t="s">
        <v>74</v>
      </c>
      <c r="BR646" s="1" t="s">
        <v>74</v>
      </c>
      <c r="BS646" s="1" t="s">
        <v>6178</v>
      </c>
      <c r="BT646" s="1" t="str">
        <f>HYPERLINK("https%3A%2F%2Fwww.webofscience.com%2Fwos%2Fwoscc%2Ffull-record%2FWOS:000280699000011","View Full Record in Web of Science")</f>
        <v>View Full Record in Web of Science</v>
      </c>
    </row>
    <row r="647" ht="12.75" customHeight="1">
      <c r="A647" s="1" t="s">
        <v>147</v>
      </c>
      <c r="B647" s="1" t="s">
        <v>6179</v>
      </c>
      <c r="C647" s="1" t="s">
        <v>74</v>
      </c>
      <c r="D647" s="1" t="s">
        <v>6180</v>
      </c>
      <c r="E647" s="1" t="s">
        <v>74</v>
      </c>
      <c r="F647" s="1" t="s">
        <v>6181</v>
      </c>
      <c r="G647" s="1" t="s">
        <v>74</v>
      </c>
      <c r="H647" s="1" t="s">
        <v>74</v>
      </c>
      <c r="I647" s="1" t="s">
        <v>6182</v>
      </c>
      <c r="J647" s="1" t="s">
        <v>6183</v>
      </c>
      <c r="K647" s="1" t="s">
        <v>6184</v>
      </c>
      <c r="L647" s="1" t="s">
        <v>74</v>
      </c>
      <c r="M647" s="1" t="s">
        <v>74</v>
      </c>
      <c r="N647" s="1" t="s">
        <v>74</v>
      </c>
      <c r="O647" s="1" t="s">
        <v>6185</v>
      </c>
      <c r="P647" s="1" t="s">
        <v>6186</v>
      </c>
      <c r="Q647" s="1" t="s">
        <v>6187</v>
      </c>
      <c r="R647" s="1" t="s">
        <v>74</v>
      </c>
      <c r="S647" s="1" t="s">
        <v>74</v>
      </c>
      <c r="T647" s="1" t="s">
        <v>74</v>
      </c>
      <c r="U647" s="1" t="s">
        <v>74</v>
      </c>
      <c r="V647" s="1" t="s">
        <v>6188</v>
      </c>
      <c r="W647" s="1" t="s">
        <v>74</v>
      </c>
      <c r="X647" s="1" t="s">
        <v>74</v>
      </c>
      <c r="Y647" s="1" t="s">
        <v>74</v>
      </c>
      <c r="Z647" s="1" t="s">
        <v>74</v>
      </c>
      <c r="AA647" s="1" t="s">
        <v>3360</v>
      </c>
      <c r="AB647" s="1" t="s">
        <v>3361</v>
      </c>
      <c r="AC647" s="1" t="s">
        <v>74</v>
      </c>
      <c r="AD647" s="1" t="s">
        <v>74</v>
      </c>
      <c r="AE647" s="1" t="s">
        <v>74</v>
      </c>
      <c r="AF647" s="1" t="s">
        <v>74</v>
      </c>
      <c r="AG647" s="1" t="s">
        <v>74</v>
      </c>
      <c r="AH647" s="1" t="s">
        <v>74</v>
      </c>
      <c r="AI647" s="1" t="s">
        <v>74</v>
      </c>
      <c r="AJ647" s="1" t="s">
        <v>74</v>
      </c>
      <c r="AK647" s="1" t="s">
        <v>74</v>
      </c>
      <c r="AL647" s="1" t="s">
        <v>74</v>
      </c>
      <c r="AM647" s="1" t="s">
        <v>74</v>
      </c>
      <c r="AN647" s="1" t="s">
        <v>74</v>
      </c>
      <c r="AO647" s="1" t="s">
        <v>6189</v>
      </c>
      <c r="AP647" s="1" t="s">
        <v>74</v>
      </c>
      <c r="AQ647" s="1" t="s">
        <v>6190</v>
      </c>
      <c r="AR647" s="1" t="s">
        <v>74</v>
      </c>
      <c r="AS647" s="1" t="s">
        <v>74</v>
      </c>
      <c r="AT647" s="1" t="s">
        <v>74</v>
      </c>
      <c r="AU647" s="1">
        <v>2010.0</v>
      </c>
      <c r="AV647" s="1">
        <v>19.0</v>
      </c>
      <c r="AW647" s="1" t="s">
        <v>74</v>
      </c>
      <c r="AX647" s="1" t="s">
        <v>74</v>
      </c>
      <c r="AY647" s="1" t="s">
        <v>74</v>
      </c>
      <c r="AZ647" s="1" t="s">
        <v>74</v>
      </c>
      <c r="BA647" s="1" t="s">
        <v>74</v>
      </c>
      <c r="BB647" s="1">
        <v>157.0</v>
      </c>
      <c r="BC647" s="1">
        <v>162.0</v>
      </c>
      <c r="BD647" s="1" t="s">
        <v>74</v>
      </c>
      <c r="BE647" s="1" t="s">
        <v>6191</v>
      </c>
      <c r="BF647" s="2" t="str">
        <f>HYPERLINK("http://dx.doi.org/10.3303/CET1019026","http://dx.doi.org/10.3303/CET1019026")</f>
        <v>http://dx.doi.org/10.3303/CET1019026</v>
      </c>
      <c r="BG647" s="1" t="s">
        <v>74</v>
      </c>
      <c r="BH647" s="1" t="s">
        <v>74</v>
      </c>
      <c r="BI647" s="1" t="s">
        <v>74</v>
      </c>
      <c r="BJ647" s="1" t="s">
        <v>74</v>
      </c>
      <c r="BK647" s="1" t="s">
        <v>74</v>
      </c>
      <c r="BL647" s="1" t="s">
        <v>74</v>
      </c>
      <c r="BM647" s="1" t="s">
        <v>74</v>
      </c>
      <c r="BN647" s="1" t="s">
        <v>74</v>
      </c>
      <c r="BO647" s="1" t="s">
        <v>74</v>
      </c>
      <c r="BP647" s="1" t="s">
        <v>74</v>
      </c>
      <c r="BQ647" s="1" t="s">
        <v>74</v>
      </c>
      <c r="BR647" s="1" t="s">
        <v>74</v>
      </c>
      <c r="BS647" s="1" t="s">
        <v>6192</v>
      </c>
      <c r="BT647" s="1" t="str">
        <f>HYPERLINK("https%3A%2F%2Fwww.webofscience.com%2Fwos%2Fwoscc%2Ffull-record%2FWOS:000286974000026","View Full Record in Web of Science")</f>
        <v>View Full Record in Web of Science</v>
      </c>
    </row>
    <row r="648" ht="12.75" customHeight="1">
      <c r="A648" s="1" t="s">
        <v>72</v>
      </c>
      <c r="B648" s="1" t="s">
        <v>6193</v>
      </c>
      <c r="C648" s="1" t="s">
        <v>74</v>
      </c>
      <c r="D648" s="1" t="s">
        <v>74</v>
      </c>
      <c r="E648" s="1" t="s">
        <v>74</v>
      </c>
      <c r="F648" s="1" t="s">
        <v>6194</v>
      </c>
      <c r="G648" s="1" t="s">
        <v>74</v>
      </c>
      <c r="H648" s="1" t="s">
        <v>74</v>
      </c>
      <c r="I648" s="1" t="s">
        <v>6195</v>
      </c>
      <c r="J648" s="1" t="s">
        <v>6196</v>
      </c>
      <c r="K648" s="1" t="s">
        <v>74</v>
      </c>
      <c r="L648" s="1" t="s">
        <v>74</v>
      </c>
      <c r="M648" s="1" t="s">
        <v>74</v>
      </c>
      <c r="N648" s="1" t="s">
        <v>74</v>
      </c>
      <c r="O648" s="1" t="s">
        <v>74</v>
      </c>
      <c r="P648" s="1" t="s">
        <v>74</v>
      </c>
      <c r="Q648" s="1" t="s">
        <v>74</v>
      </c>
      <c r="R648" s="1" t="s">
        <v>74</v>
      </c>
      <c r="S648" s="1" t="s">
        <v>74</v>
      </c>
      <c r="T648" s="1" t="s">
        <v>74</v>
      </c>
      <c r="U648" s="1" t="s">
        <v>74</v>
      </c>
      <c r="V648" s="1" t="s">
        <v>6197</v>
      </c>
      <c r="W648" s="1" t="s">
        <v>74</v>
      </c>
      <c r="X648" s="1" t="s">
        <v>74</v>
      </c>
      <c r="Y648" s="1" t="s">
        <v>74</v>
      </c>
      <c r="Z648" s="1" t="s">
        <v>74</v>
      </c>
      <c r="AA648" s="1" t="s">
        <v>74</v>
      </c>
      <c r="AB648" s="1" t="s">
        <v>6198</v>
      </c>
      <c r="AC648" s="1" t="s">
        <v>74</v>
      </c>
      <c r="AD648" s="1" t="s">
        <v>74</v>
      </c>
      <c r="AE648" s="1" t="s">
        <v>74</v>
      </c>
      <c r="AF648" s="1" t="s">
        <v>74</v>
      </c>
      <c r="AG648" s="1" t="s">
        <v>74</v>
      </c>
      <c r="AH648" s="1" t="s">
        <v>74</v>
      </c>
      <c r="AI648" s="1" t="s">
        <v>74</v>
      </c>
      <c r="AJ648" s="1" t="s">
        <v>74</v>
      </c>
      <c r="AK648" s="1" t="s">
        <v>74</v>
      </c>
      <c r="AL648" s="1" t="s">
        <v>74</v>
      </c>
      <c r="AM648" s="1" t="s">
        <v>74</v>
      </c>
      <c r="AN648" s="1" t="s">
        <v>74</v>
      </c>
      <c r="AO648" s="1" t="s">
        <v>6199</v>
      </c>
      <c r="AP648" s="1" t="s">
        <v>6200</v>
      </c>
      <c r="AQ648" s="1" t="s">
        <v>74</v>
      </c>
      <c r="AR648" s="1" t="s">
        <v>74</v>
      </c>
      <c r="AS648" s="1" t="s">
        <v>74</v>
      </c>
      <c r="AT648" s="1" t="s">
        <v>621</v>
      </c>
      <c r="AU648" s="1">
        <v>2009.0</v>
      </c>
      <c r="AV648" s="1">
        <v>130.0</v>
      </c>
      <c r="AW648" s="1" t="s">
        <v>326</v>
      </c>
      <c r="AX648" s="1" t="s">
        <v>74</v>
      </c>
      <c r="AY648" s="1" t="s">
        <v>74</v>
      </c>
      <c r="AZ648" s="1" t="s">
        <v>74</v>
      </c>
      <c r="BA648" s="1" t="s">
        <v>74</v>
      </c>
      <c r="BB648" s="1">
        <v>373.0</v>
      </c>
      <c r="BC648" s="1">
        <v>379.0</v>
      </c>
      <c r="BD648" s="1" t="s">
        <v>74</v>
      </c>
      <c r="BE648" s="1" t="s">
        <v>6201</v>
      </c>
      <c r="BF648" s="2" t="str">
        <f>HYPERLINK("http://dx.doi.org/10.1007/s10562-009-0020-1","http://dx.doi.org/10.1007/s10562-009-0020-1")</f>
        <v>http://dx.doi.org/10.1007/s10562-009-0020-1</v>
      </c>
      <c r="BG648" s="1" t="s">
        <v>74</v>
      </c>
      <c r="BH648" s="1" t="s">
        <v>74</v>
      </c>
      <c r="BI648" s="1" t="s">
        <v>74</v>
      </c>
      <c r="BJ648" s="1" t="s">
        <v>74</v>
      </c>
      <c r="BK648" s="1" t="s">
        <v>74</v>
      </c>
      <c r="BL648" s="1" t="s">
        <v>74</v>
      </c>
      <c r="BM648" s="1" t="s">
        <v>74</v>
      </c>
      <c r="BN648" s="1" t="s">
        <v>74</v>
      </c>
      <c r="BO648" s="1" t="s">
        <v>74</v>
      </c>
      <c r="BP648" s="1" t="s">
        <v>74</v>
      </c>
      <c r="BQ648" s="1" t="s">
        <v>74</v>
      </c>
      <c r="BR648" s="1" t="s">
        <v>74</v>
      </c>
      <c r="BS648" s="1" t="s">
        <v>6202</v>
      </c>
      <c r="BT648" s="1" t="str">
        <f>HYPERLINK("https%3A%2F%2Fwww.webofscience.com%2Fwos%2Fwoscc%2Ffull-record%2FWOS:000267330300017","View Full Record in Web of Science")</f>
        <v>View Full Record in Web of Science</v>
      </c>
    </row>
    <row r="649" ht="12.75" customHeight="1">
      <c r="A649" s="1" t="s">
        <v>72</v>
      </c>
      <c r="B649" s="1" t="s">
        <v>6203</v>
      </c>
      <c r="C649" s="1" t="s">
        <v>74</v>
      </c>
      <c r="D649" s="1" t="s">
        <v>74</v>
      </c>
      <c r="E649" s="1" t="s">
        <v>74</v>
      </c>
      <c r="F649" s="1" t="s">
        <v>6204</v>
      </c>
      <c r="G649" s="1" t="s">
        <v>74</v>
      </c>
      <c r="H649" s="1" t="s">
        <v>74</v>
      </c>
      <c r="I649" s="1" t="s">
        <v>6205</v>
      </c>
      <c r="J649" s="1" t="s">
        <v>1200</v>
      </c>
      <c r="K649" s="1" t="s">
        <v>74</v>
      </c>
      <c r="L649" s="1" t="s">
        <v>74</v>
      </c>
      <c r="M649" s="1" t="s">
        <v>74</v>
      </c>
      <c r="N649" s="1" t="s">
        <v>74</v>
      </c>
      <c r="O649" s="1" t="s">
        <v>74</v>
      </c>
      <c r="P649" s="1" t="s">
        <v>74</v>
      </c>
      <c r="Q649" s="1" t="s">
        <v>74</v>
      </c>
      <c r="R649" s="1" t="s">
        <v>74</v>
      </c>
      <c r="S649" s="1" t="s">
        <v>74</v>
      </c>
      <c r="T649" s="1" t="s">
        <v>74</v>
      </c>
      <c r="U649" s="1" t="s">
        <v>74</v>
      </c>
      <c r="V649" s="1" t="s">
        <v>6206</v>
      </c>
      <c r="W649" s="1" t="s">
        <v>74</v>
      </c>
      <c r="X649" s="1" t="s">
        <v>74</v>
      </c>
      <c r="Y649" s="1" t="s">
        <v>74</v>
      </c>
      <c r="Z649" s="1" t="s">
        <v>74</v>
      </c>
      <c r="AA649" s="1" t="s">
        <v>6207</v>
      </c>
      <c r="AB649" s="1" t="s">
        <v>6208</v>
      </c>
      <c r="AC649" s="1" t="s">
        <v>74</v>
      </c>
      <c r="AD649" s="1" t="s">
        <v>74</v>
      </c>
      <c r="AE649" s="1" t="s">
        <v>74</v>
      </c>
      <c r="AF649" s="1" t="s">
        <v>74</v>
      </c>
      <c r="AG649" s="1" t="s">
        <v>74</v>
      </c>
      <c r="AH649" s="1" t="s">
        <v>74</v>
      </c>
      <c r="AI649" s="1" t="s">
        <v>74</v>
      </c>
      <c r="AJ649" s="1" t="s">
        <v>74</v>
      </c>
      <c r="AK649" s="1" t="s">
        <v>74</v>
      </c>
      <c r="AL649" s="1" t="s">
        <v>74</v>
      </c>
      <c r="AM649" s="1" t="s">
        <v>74</v>
      </c>
      <c r="AN649" s="1" t="s">
        <v>74</v>
      </c>
      <c r="AO649" s="1" t="s">
        <v>1204</v>
      </c>
      <c r="AP649" s="1" t="s">
        <v>1205</v>
      </c>
      <c r="AQ649" s="1" t="s">
        <v>74</v>
      </c>
      <c r="AR649" s="1" t="s">
        <v>74</v>
      </c>
      <c r="AS649" s="1" t="s">
        <v>74</v>
      </c>
      <c r="AT649" s="1" t="s">
        <v>415</v>
      </c>
      <c r="AU649" s="1">
        <v>2008.0</v>
      </c>
      <c r="AV649" s="1">
        <v>20.0</v>
      </c>
      <c r="AW649" s="1">
        <v>24.0</v>
      </c>
      <c r="AX649" s="1" t="s">
        <v>74</v>
      </c>
      <c r="AY649" s="1" t="s">
        <v>74</v>
      </c>
      <c r="AZ649" s="1" t="s">
        <v>74</v>
      </c>
      <c r="BA649" s="1" t="s">
        <v>74</v>
      </c>
      <c r="BB649" s="1">
        <v>2635.0</v>
      </c>
      <c r="BC649" s="1">
        <v>2641.0</v>
      </c>
      <c r="BD649" s="1" t="s">
        <v>74</v>
      </c>
      <c r="BE649" s="1" t="s">
        <v>6209</v>
      </c>
      <c r="BF649" s="2" t="str">
        <f>HYPERLINK("http://dx.doi.org/10.1002/elan.200804369","http://dx.doi.org/10.1002/elan.200804369")</f>
        <v>http://dx.doi.org/10.1002/elan.200804369</v>
      </c>
      <c r="BG649" s="1" t="s">
        <v>74</v>
      </c>
      <c r="BH649" s="1" t="s">
        <v>74</v>
      </c>
      <c r="BI649" s="1" t="s">
        <v>74</v>
      </c>
      <c r="BJ649" s="1" t="s">
        <v>74</v>
      </c>
      <c r="BK649" s="1" t="s">
        <v>74</v>
      </c>
      <c r="BL649" s="1" t="s">
        <v>74</v>
      </c>
      <c r="BM649" s="1" t="s">
        <v>74</v>
      </c>
      <c r="BN649" s="1" t="s">
        <v>74</v>
      </c>
      <c r="BO649" s="1" t="s">
        <v>74</v>
      </c>
      <c r="BP649" s="1" t="s">
        <v>74</v>
      </c>
      <c r="BQ649" s="1" t="s">
        <v>74</v>
      </c>
      <c r="BR649" s="1" t="s">
        <v>74</v>
      </c>
      <c r="BS649" s="1" t="s">
        <v>6210</v>
      </c>
      <c r="BT649" s="1" t="str">
        <f>HYPERLINK("https%3A%2F%2Fwww.webofscience.com%2Fwos%2Fwoscc%2Ffull-record%2FWOS:000261876800006","View Full Record in Web of Science")</f>
        <v>View Full Record in Web of Science</v>
      </c>
    </row>
    <row r="650" ht="12.75" customHeight="1">
      <c r="A650" s="1" t="s">
        <v>72</v>
      </c>
      <c r="B650" s="1" t="s">
        <v>6211</v>
      </c>
      <c r="C650" s="1" t="s">
        <v>74</v>
      </c>
      <c r="D650" s="1" t="s">
        <v>74</v>
      </c>
      <c r="E650" s="1" t="s">
        <v>74</v>
      </c>
      <c r="F650" s="1" t="s">
        <v>6212</v>
      </c>
      <c r="G650" s="1" t="s">
        <v>74</v>
      </c>
      <c r="H650" s="1" t="s">
        <v>74</v>
      </c>
      <c r="I650" s="1" t="s">
        <v>6213</v>
      </c>
      <c r="J650" s="1" t="s">
        <v>6214</v>
      </c>
      <c r="K650" s="1" t="s">
        <v>74</v>
      </c>
      <c r="L650" s="1" t="s">
        <v>74</v>
      </c>
      <c r="M650" s="1" t="s">
        <v>74</v>
      </c>
      <c r="N650" s="1" t="s">
        <v>74</v>
      </c>
      <c r="O650" s="1" t="s">
        <v>74</v>
      </c>
      <c r="P650" s="1" t="s">
        <v>74</v>
      </c>
      <c r="Q650" s="1" t="s">
        <v>74</v>
      </c>
      <c r="R650" s="1" t="s">
        <v>74</v>
      </c>
      <c r="S650" s="1" t="s">
        <v>74</v>
      </c>
      <c r="T650" s="1" t="s">
        <v>74</v>
      </c>
      <c r="U650" s="1" t="s">
        <v>74</v>
      </c>
      <c r="V650" s="1" t="s">
        <v>6215</v>
      </c>
      <c r="W650" s="1" t="s">
        <v>74</v>
      </c>
      <c r="X650" s="1" t="s">
        <v>74</v>
      </c>
      <c r="Y650" s="1" t="s">
        <v>74</v>
      </c>
      <c r="Z650" s="1" t="s">
        <v>74</v>
      </c>
      <c r="AA650" s="1" t="s">
        <v>6216</v>
      </c>
      <c r="AB650" s="1" t="s">
        <v>6217</v>
      </c>
      <c r="AC650" s="1" t="s">
        <v>74</v>
      </c>
      <c r="AD650" s="1" t="s">
        <v>74</v>
      </c>
      <c r="AE650" s="1" t="s">
        <v>74</v>
      </c>
      <c r="AF650" s="1" t="s">
        <v>74</v>
      </c>
      <c r="AG650" s="1" t="s">
        <v>74</v>
      </c>
      <c r="AH650" s="1" t="s">
        <v>74</v>
      </c>
      <c r="AI650" s="1" t="s">
        <v>74</v>
      </c>
      <c r="AJ650" s="1" t="s">
        <v>74</v>
      </c>
      <c r="AK650" s="1" t="s">
        <v>74</v>
      </c>
      <c r="AL650" s="1" t="s">
        <v>74</v>
      </c>
      <c r="AM650" s="1" t="s">
        <v>74</v>
      </c>
      <c r="AN650" s="1" t="s">
        <v>74</v>
      </c>
      <c r="AO650" s="1" t="s">
        <v>6218</v>
      </c>
      <c r="AP650" s="1" t="s">
        <v>6219</v>
      </c>
      <c r="AQ650" s="1" t="s">
        <v>74</v>
      </c>
      <c r="AR650" s="1" t="s">
        <v>74</v>
      </c>
      <c r="AS650" s="1" t="s">
        <v>74</v>
      </c>
      <c r="AT650" s="1" t="s">
        <v>621</v>
      </c>
      <c r="AU650" s="1">
        <v>2008.0</v>
      </c>
      <c r="AV650" s="1">
        <v>139.0</v>
      </c>
      <c r="AW650" s="1">
        <v>1.0</v>
      </c>
      <c r="AX650" s="1" t="s">
        <v>74</v>
      </c>
      <c r="AY650" s="1" t="s">
        <v>74</v>
      </c>
      <c r="AZ650" s="1" t="s">
        <v>74</v>
      </c>
      <c r="BA650" s="1" t="s">
        <v>74</v>
      </c>
      <c r="BB650" s="1">
        <v>28.0</v>
      </c>
      <c r="BC650" s="1">
        <v>31.0</v>
      </c>
      <c r="BD650" s="1" t="s">
        <v>74</v>
      </c>
      <c r="BE650" s="1" t="s">
        <v>6220</v>
      </c>
      <c r="BF650" s="2" t="str">
        <f>HYPERLINK("http://dx.doi.org/10.1016/j.ejogrb.2007.10.010","http://dx.doi.org/10.1016/j.ejogrb.2007.10.010")</f>
        <v>http://dx.doi.org/10.1016/j.ejogrb.2007.10.010</v>
      </c>
      <c r="BG650" s="1" t="s">
        <v>74</v>
      </c>
      <c r="BH650" s="1" t="s">
        <v>74</v>
      </c>
      <c r="BI650" s="1" t="s">
        <v>74</v>
      </c>
      <c r="BJ650" s="1" t="s">
        <v>74</v>
      </c>
      <c r="BK650" s="1" t="s">
        <v>74</v>
      </c>
      <c r="BL650" s="1" t="s">
        <v>74</v>
      </c>
      <c r="BM650" s="1" t="s">
        <v>74</v>
      </c>
      <c r="BN650" s="1">
        <v>1.8079037E7</v>
      </c>
      <c r="BO650" s="1" t="s">
        <v>74</v>
      </c>
      <c r="BP650" s="1" t="s">
        <v>74</v>
      </c>
      <c r="BQ650" s="1" t="s">
        <v>74</v>
      </c>
      <c r="BR650" s="1" t="s">
        <v>74</v>
      </c>
      <c r="BS650" s="1" t="s">
        <v>6221</v>
      </c>
      <c r="BT650" s="1" t="str">
        <f>HYPERLINK("https%3A%2F%2Fwww.webofscience.com%2Fwos%2Fwoscc%2Ffull-record%2FWOS:000258042600005","View Full Record in Web of Science")</f>
        <v>View Full Record in Web of Science</v>
      </c>
    </row>
    <row r="651" ht="12.75" customHeight="1">
      <c r="A651" s="1" t="s">
        <v>72</v>
      </c>
      <c r="B651" s="1" t="s">
        <v>6222</v>
      </c>
      <c r="C651" s="1" t="s">
        <v>74</v>
      </c>
      <c r="D651" s="1" t="s">
        <v>74</v>
      </c>
      <c r="E651" s="1" t="s">
        <v>74</v>
      </c>
      <c r="F651" s="1" t="s">
        <v>6223</v>
      </c>
      <c r="G651" s="1" t="s">
        <v>74</v>
      </c>
      <c r="H651" s="1" t="s">
        <v>74</v>
      </c>
      <c r="I651" s="1" t="s">
        <v>6224</v>
      </c>
      <c r="J651" s="1" t="s">
        <v>6225</v>
      </c>
      <c r="K651" s="1" t="s">
        <v>74</v>
      </c>
      <c r="L651" s="1" t="s">
        <v>74</v>
      </c>
      <c r="M651" s="1" t="s">
        <v>74</v>
      </c>
      <c r="N651" s="1" t="s">
        <v>74</v>
      </c>
      <c r="O651" s="1" t="s">
        <v>74</v>
      </c>
      <c r="P651" s="1" t="s">
        <v>74</v>
      </c>
      <c r="Q651" s="1" t="s">
        <v>74</v>
      </c>
      <c r="R651" s="1" t="s">
        <v>74</v>
      </c>
      <c r="S651" s="1" t="s">
        <v>74</v>
      </c>
      <c r="T651" s="1" t="s">
        <v>74</v>
      </c>
      <c r="U651" s="1" t="s">
        <v>74</v>
      </c>
      <c r="V651" s="1" t="s">
        <v>6226</v>
      </c>
      <c r="W651" s="1" t="s">
        <v>74</v>
      </c>
      <c r="X651" s="1" t="s">
        <v>74</v>
      </c>
      <c r="Y651" s="1" t="s">
        <v>74</v>
      </c>
      <c r="Z651" s="1" t="s">
        <v>74</v>
      </c>
      <c r="AA651" s="1" t="s">
        <v>6227</v>
      </c>
      <c r="AB651" s="1" t="s">
        <v>6228</v>
      </c>
      <c r="AC651" s="1" t="s">
        <v>74</v>
      </c>
      <c r="AD651" s="1" t="s">
        <v>74</v>
      </c>
      <c r="AE651" s="1" t="s">
        <v>74</v>
      </c>
      <c r="AF651" s="1" t="s">
        <v>74</v>
      </c>
      <c r="AG651" s="1" t="s">
        <v>74</v>
      </c>
      <c r="AH651" s="1" t="s">
        <v>74</v>
      </c>
      <c r="AI651" s="1" t="s">
        <v>74</v>
      </c>
      <c r="AJ651" s="1" t="s">
        <v>74</v>
      </c>
      <c r="AK651" s="1" t="s">
        <v>74</v>
      </c>
      <c r="AL651" s="1" t="s">
        <v>74</v>
      </c>
      <c r="AM651" s="1" t="s">
        <v>74</v>
      </c>
      <c r="AN651" s="1" t="s">
        <v>74</v>
      </c>
      <c r="AO651" s="1" t="s">
        <v>6229</v>
      </c>
      <c r="AP651" s="1" t="s">
        <v>74</v>
      </c>
      <c r="AQ651" s="1" t="s">
        <v>74</v>
      </c>
      <c r="AR651" s="1" t="s">
        <v>74</v>
      </c>
      <c r="AS651" s="1" t="s">
        <v>74</v>
      </c>
      <c r="AT651" s="1" t="s">
        <v>179</v>
      </c>
      <c r="AU651" s="1">
        <v>2007.0</v>
      </c>
      <c r="AV651" s="1">
        <v>67.0</v>
      </c>
      <c r="AW651" s="1">
        <v>1.0</v>
      </c>
      <c r="AX651" s="1" t="s">
        <v>74</v>
      </c>
      <c r="AY651" s="1" t="s">
        <v>74</v>
      </c>
      <c r="AZ651" s="1" t="s">
        <v>74</v>
      </c>
      <c r="BA651" s="1" t="s">
        <v>74</v>
      </c>
      <c r="BB651" s="1">
        <v>49.0</v>
      </c>
      <c r="BC651" s="1">
        <v>59.0</v>
      </c>
      <c r="BD651" s="1" t="s">
        <v>74</v>
      </c>
      <c r="BE651" s="1" t="s">
        <v>74</v>
      </c>
      <c r="BF651" s="1" t="s">
        <v>74</v>
      </c>
      <c r="BG651" s="1" t="s">
        <v>74</v>
      </c>
      <c r="BH651" s="1" t="s">
        <v>74</v>
      </c>
      <c r="BI651" s="1" t="s">
        <v>74</v>
      </c>
      <c r="BJ651" s="1" t="s">
        <v>74</v>
      </c>
      <c r="BK651" s="1" t="s">
        <v>74</v>
      </c>
      <c r="BL651" s="1" t="s">
        <v>74</v>
      </c>
      <c r="BM651" s="1" t="s">
        <v>74</v>
      </c>
      <c r="BN651" s="1" t="s">
        <v>74</v>
      </c>
      <c r="BO651" s="1" t="s">
        <v>74</v>
      </c>
      <c r="BP651" s="1" t="s">
        <v>74</v>
      </c>
      <c r="BQ651" s="1" t="s">
        <v>74</v>
      </c>
      <c r="BR651" s="1" t="s">
        <v>74</v>
      </c>
      <c r="BS651" s="1" t="s">
        <v>6230</v>
      </c>
      <c r="BT651" s="1" t="str">
        <f>HYPERLINK("https%3A%2F%2Fwww.webofscience.com%2Fwos%2Fwoscc%2Ffull-record%2FWOS:000254433100006","View Full Record in Web of Science")</f>
        <v>View Full Record in Web of Science</v>
      </c>
    </row>
    <row r="652" ht="12.75" customHeight="1">
      <c r="A652" s="1" t="s">
        <v>72</v>
      </c>
      <c r="B652" s="1" t="s">
        <v>6231</v>
      </c>
      <c r="C652" s="1" t="s">
        <v>74</v>
      </c>
      <c r="D652" s="1" t="s">
        <v>74</v>
      </c>
      <c r="E652" s="1" t="s">
        <v>74</v>
      </c>
      <c r="F652" s="1" t="s">
        <v>6232</v>
      </c>
      <c r="G652" s="1" t="s">
        <v>74</v>
      </c>
      <c r="H652" s="1" t="s">
        <v>74</v>
      </c>
      <c r="I652" s="1" t="s">
        <v>6233</v>
      </c>
      <c r="J652" s="1" t="s">
        <v>6234</v>
      </c>
      <c r="K652" s="1" t="s">
        <v>74</v>
      </c>
      <c r="L652" s="1" t="s">
        <v>74</v>
      </c>
      <c r="M652" s="1" t="s">
        <v>74</v>
      </c>
      <c r="N652" s="1" t="s">
        <v>74</v>
      </c>
      <c r="O652" s="1" t="s">
        <v>74</v>
      </c>
      <c r="P652" s="1" t="s">
        <v>74</v>
      </c>
      <c r="Q652" s="1" t="s">
        <v>74</v>
      </c>
      <c r="R652" s="1" t="s">
        <v>74</v>
      </c>
      <c r="S652" s="1" t="s">
        <v>74</v>
      </c>
      <c r="T652" s="1" t="s">
        <v>74</v>
      </c>
      <c r="U652" s="1" t="s">
        <v>74</v>
      </c>
      <c r="V652" s="1" t="s">
        <v>6235</v>
      </c>
      <c r="W652" s="1" t="s">
        <v>74</v>
      </c>
      <c r="X652" s="1" t="s">
        <v>74</v>
      </c>
      <c r="Y652" s="1" t="s">
        <v>74</v>
      </c>
      <c r="Z652" s="1" t="s">
        <v>74</v>
      </c>
      <c r="AA652" s="1" t="s">
        <v>6236</v>
      </c>
      <c r="AB652" s="1" t="s">
        <v>74</v>
      </c>
      <c r="AC652" s="1" t="s">
        <v>74</v>
      </c>
      <c r="AD652" s="1" t="s">
        <v>74</v>
      </c>
      <c r="AE652" s="1" t="s">
        <v>74</v>
      </c>
      <c r="AF652" s="1" t="s">
        <v>74</v>
      </c>
      <c r="AG652" s="1" t="s">
        <v>74</v>
      </c>
      <c r="AH652" s="1" t="s">
        <v>74</v>
      </c>
      <c r="AI652" s="1" t="s">
        <v>74</v>
      </c>
      <c r="AJ652" s="1" t="s">
        <v>74</v>
      </c>
      <c r="AK652" s="1" t="s">
        <v>74</v>
      </c>
      <c r="AL652" s="1" t="s">
        <v>74</v>
      </c>
      <c r="AM652" s="1" t="s">
        <v>74</v>
      </c>
      <c r="AN652" s="1" t="s">
        <v>74</v>
      </c>
      <c r="AO652" s="1" t="s">
        <v>6237</v>
      </c>
      <c r="AP652" s="1" t="s">
        <v>6238</v>
      </c>
      <c r="AQ652" s="1" t="s">
        <v>74</v>
      </c>
      <c r="AR652" s="1" t="s">
        <v>74</v>
      </c>
      <c r="AS652" s="1" t="s">
        <v>74</v>
      </c>
      <c r="AT652" s="1" t="s">
        <v>1383</v>
      </c>
      <c r="AU652" s="1">
        <v>2006.0</v>
      </c>
      <c r="AV652" s="1">
        <v>48.0</v>
      </c>
      <c r="AW652" s="1">
        <v>6.0</v>
      </c>
      <c r="AX652" s="1" t="s">
        <v>74</v>
      </c>
      <c r="AY652" s="1" t="s">
        <v>74</v>
      </c>
      <c r="AZ652" s="1" t="s">
        <v>74</v>
      </c>
      <c r="BA652" s="1" t="s">
        <v>74</v>
      </c>
      <c r="BB652" s="1">
        <v>504.0</v>
      </c>
      <c r="BC652" s="1">
        <v>511.0</v>
      </c>
      <c r="BD652" s="1" t="s">
        <v>74</v>
      </c>
      <c r="BE652" s="1" t="s">
        <v>6239</v>
      </c>
      <c r="BF652" s="2" t="str">
        <f>HYPERLINK("http://dx.doi.org/10.1590/S0036-36342006000600009","http://dx.doi.org/10.1590/S0036-36342006000600009")</f>
        <v>http://dx.doi.org/10.1590/S0036-36342006000600009</v>
      </c>
      <c r="BG652" s="1" t="s">
        <v>74</v>
      </c>
      <c r="BH652" s="1" t="s">
        <v>74</v>
      </c>
      <c r="BI652" s="1" t="s">
        <v>74</v>
      </c>
      <c r="BJ652" s="1" t="s">
        <v>74</v>
      </c>
      <c r="BK652" s="1" t="s">
        <v>74</v>
      </c>
      <c r="BL652" s="1" t="s">
        <v>74</v>
      </c>
      <c r="BM652" s="1" t="s">
        <v>74</v>
      </c>
      <c r="BN652" s="1">
        <v>1.7326347E7</v>
      </c>
      <c r="BO652" s="1" t="s">
        <v>74</v>
      </c>
      <c r="BP652" s="1" t="s">
        <v>74</v>
      </c>
      <c r="BQ652" s="1" t="s">
        <v>74</v>
      </c>
      <c r="BR652" s="1" t="s">
        <v>74</v>
      </c>
      <c r="BS652" s="1" t="s">
        <v>6240</v>
      </c>
      <c r="BT652" s="1" t="str">
        <f>HYPERLINK("https%3A%2F%2Fwww.webofscience.com%2Fwos%2Fwoscc%2Ffull-record%2FWOS:000244189200009","View Full Record in Web of Science")</f>
        <v>View Full Record in Web of Science</v>
      </c>
    </row>
    <row r="653" ht="12.75" customHeight="1">
      <c r="A653" s="1" t="s">
        <v>72</v>
      </c>
      <c r="B653" s="1" t="s">
        <v>6241</v>
      </c>
      <c r="C653" s="1" t="s">
        <v>74</v>
      </c>
      <c r="D653" s="1" t="s">
        <v>74</v>
      </c>
      <c r="E653" s="1" t="s">
        <v>74</v>
      </c>
      <c r="F653" s="1" t="s">
        <v>6242</v>
      </c>
      <c r="G653" s="1" t="s">
        <v>74</v>
      </c>
      <c r="H653" s="1" t="s">
        <v>74</v>
      </c>
      <c r="I653" s="1" t="s">
        <v>6243</v>
      </c>
      <c r="J653" s="1" t="s">
        <v>2414</v>
      </c>
      <c r="K653" s="1" t="s">
        <v>74</v>
      </c>
      <c r="L653" s="1" t="s">
        <v>74</v>
      </c>
      <c r="M653" s="1" t="s">
        <v>74</v>
      </c>
      <c r="N653" s="1" t="s">
        <v>74</v>
      </c>
      <c r="O653" s="1" t="s">
        <v>74</v>
      </c>
      <c r="P653" s="1" t="s">
        <v>74</v>
      </c>
      <c r="Q653" s="1" t="s">
        <v>74</v>
      </c>
      <c r="R653" s="1" t="s">
        <v>74</v>
      </c>
      <c r="S653" s="1" t="s">
        <v>74</v>
      </c>
      <c r="T653" s="1" t="s">
        <v>74</v>
      </c>
      <c r="U653" s="1" t="s">
        <v>74</v>
      </c>
      <c r="V653" s="1" t="s">
        <v>6244</v>
      </c>
      <c r="W653" s="1" t="s">
        <v>74</v>
      </c>
      <c r="X653" s="1" t="s">
        <v>74</v>
      </c>
      <c r="Y653" s="1" t="s">
        <v>74</v>
      </c>
      <c r="Z653" s="1" t="s">
        <v>74</v>
      </c>
      <c r="AA653" s="1" t="s">
        <v>6245</v>
      </c>
      <c r="AB653" s="1" t="s">
        <v>6246</v>
      </c>
      <c r="AC653" s="1" t="s">
        <v>74</v>
      </c>
      <c r="AD653" s="1" t="s">
        <v>74</v>
      </c>
      <c r="AE653" s="1" t="s">
        <v>74</v>
      </c>
      <c r="AF653" s="1" t="s">
        <v>74</v>
      </c>
      <c r="AG653" s="1" t="s">
        <v>74</v>
      </c>
      <c r="AH653" s="1" t="s">
        <v>74</v>
      </c>
      <c r="AI653" s="1" t="s">
        <v>74</v>
      </c>
      <c r="AJ653" s="1" t="s">
        <v>74</v>
      </c>
      <c r="AK653" s="1" t="s">
        <v>74</v>
      </c>
      <c r="AL653" s="1" t="s">
        <v>74</v>
      </c>
      <c r="AM653" s="1" t="s">
        <v>74</v>
      </c>
      <c r="AN653" s="1" t="s">
        <v>74</v>
      </c>
      <c r="AO653" s="1" t="s">
        <v>2418</v>
      </c>
      <c r="AP653" s="1" t="s">
        <v>2419</v>
      </c>
      <c r="AQ653" s="1" t="s">
        <v>74</v>
      </c>
      <c r="AR653" s="1" t="s">
        <v>74</v>
      </c>
      <c r="AS653" s="1" t="s">
        <v>74</v>
      </c>
      <c r="AT653" s="1" t="s">
        <v>74</v>
      </c>
      <c r="AU653" s="1">
        <v>2006.0</v>
      </c>
      <c r="AV653" s="1">
        <v>39.0</v>
      </c>
      <c r="AW653" s="1">
        <v>10.0</v>
      </c>
      <c r="AX653" s="1" t="s">
        <v>74</v>
      </c>
      <c r="AY653" s="1" t="s">
        <v>74</v>
      </c>
      <c r="AZ653" s="1" t="s">
        <v>74</v>
      </c>
      <c r="BA653" s="1" t="s">
        <v>74</v>
      </c>
      <c r="BB653" s="1">
        <v>1092.0</v>
      </c>
      <c r="BC653" s="1">
        <v>1098.0</v>
      </c>
      <c r="BD653" s="1" t="s">
        <v>74</v>
      </c>
      <c r="BE653" s="1" t="s">
        <v>6247</v>
      </c>
      <c r="BF653" s="2" t="str">
        <f>HYPERLINK("http://dx.doi.org/10.1016/j.foodres.2006.03.009","http://dx.doi.org/10.1016/j.foodres.2006.03.009")</f>
        <v>http://dx.doi.org/10.1016/j.foodres.2006.03.009</v>
      </c>
      <c r="BG653" s="1" t="s">
        <v>74</v>
      </c>
      <c r="BH653" s="1" t="s">
        <v>74</v>
      </c>
      <c r="BI653" s="1" t="s">
        <v>74</v>
      </c>
      <c r="BJ653" s="1" t="s">
        <v>74</v>
      </c>
      <c r="BK653" s="1" t="s">
        <v>74</v>
      </c>
      <c r="BL653" s="1" t="s">
        <v>74</v>
      </c>
      <c r="BM653" s="1" t="s">
        <v>74</v>
      </c>
      <c r="BN653" s="1" t="s">
        <v>74</v>
      </c>
      <c r="BO653" s="1" t="s">
        <v>74</v>
      </c>
      <c r="BP653" s="1" t="s">
        <v>74</v>
      </c>
      <c r="BQ653" s="1" t="s">
        <v>74</v>
      </c>
      <c r="BR653" s="1" t="s">
        <v>74</v>
      </c>
      <c r="BS653" s="1" t="s">
        <v>6248</v>
      </c>
      <c r="BT653" s="1" t="str">
        <f>HYPERLINK("https%3A%2F%2Fwww.webofscience.com%2Fwos%2Fwoscc%2Ffull-record%2FWOS:000242540600007","View Full Record in Web of Science")</f>
        <v>View Full Record in Web of Science</v>
      </c>
    </row>
    <row r="654" ht="12.75" customHeight="1">
      <c r="A654" s="1" t="s">
        <v>72</v>
      </c>
      <c r="B654" s="1" t="s">
        <v>6249</v>
      </c>
      <c r="C654" s="1" t="s">
        <v>74</v>
      </c>
      <c r="D654" s="1" t="s">
        <v>74</v>
      </c>
      <c r="E654" s="1" t="s">
        <v>74</v>
      </c>
      <c r="F654" s="1" t="s">
        <v>6249</v>
      </c>
      <c r="G654" s="1" t="s">
        <v>74</v>
      </c>
      <c r="H654" s="1" t="s">
        <v>74</v>
      </c>
      <c r="I654" s="1" t="s">
        <v>6250</v>
      </c>
      <c r="J654" s="1" t="s">
        <v>6251</v>
      </c>
      <c r="K654" s="1" t="s">
        <v>74</v>
      </c>
      <c r="L654" s="1" t="s">
        <v>74</v>
      </c>
      <c r="M654" s="1" t="s">
        <v>74</v>
      </c>
      <c r="N654" s="1" t="s">
        <v>74</v>
      </c>
      <c r="O654" s="1" t="s">
        <v>74</v>
      </c>
      <c r="P654" s="1" t="s">
        <v>74</v>
      </c>
      <c r="Q654" s="1" t="s">
        <v>74</v>
      </c>
      <c r="R654" s="1" t="s">
        <v>74</v>
      </c>
      <c r="S654" s="1" t="s">
        <v>74</v>
      </c>
      <c r="T654" s="1" t="s">
        <v>74</v>
      </c>
      <c r="U654" s="1" t="s">
        <v>74</v>
      </c>
      <c r="V654" s="1" t="s">
        <v>6252</v>
      </c>
      <c r="W654" s="1" t="s">
        <v>74</v>
      </c>
      <c r="X654" s="1" t="s">
        <v>74</v>
      </c>
      <c r="Y654" s="1" t="s">
        <v>74</v>
      </c>
      <c r="Z654" s="1" t="s">
        <v>74</v>
      </c>
      <c r="AA654" s="1" t="s">
        <v>6253</v>
      </c>
      <c r="AB654" s="1" t="s">
        <v>74</v>
      </c>
      <c r="AC654" s="1" t="s">
        <v>74</v>
      </c>
      <c r="AD654" s="1" t="s">
        <v>74</v>
      </c>
      <c r="AE654" s="1" t="s">
        <v>74</v>
      </c>
      <c r="AF654" s="1" t="s">
        <v>74</v>
      </c>
      <c r="AG654" s="1" t="s">
        <v>74</v>
      </c>
      <c r="AH654" s="1" t="s">
        <v>74</v>
      </c>
      <c r="AI654" s="1" t="s">
        <v>74</v>
      </c>
      <c r="AJ654" s="1" t="s">
        <v>74</v>
      </c>
      <c r="AK654" s="1" t="s">
        <v>74</v>
      </c>
      <c r="AL654" s="1" t="s">
        <v>74</v>
      </c>
      <c r="AM654" s="1" t="s">
        <v>74</v>
      </c>
      <c r="AN654" s="1" t="s">
        <v>74</v>
      </c>
      <c r="AO654" s="1" t="s">
        <v>6254</v>
      </c>
      <c r="AP654" s="1" t="s">
        <v>6255</v>
      </c>
      <c r="AQ654" s="1" t="s">
        <v>74</v>
      </c>
      <c r="AR654" s="1" t="s">
        <v>74</v>
      </c>
      <c r="AS654" s="1" t="s">
        <v>74</v>
      </c>
      <c r="AT654" s="1" t="s">
        <v>379</v>
      </c>
      <c r="AU654" s="1">
        <v>2005.0</v>
      </c>
      <c r="AV654" s="1">
        <v>60.0</v>
      </c>
      <c r="AW654" s="1">
        <v>17.0</v>
      </c>
      <c r="AX654" s="1" t="s">
        <v>74</v>
      </c>
      <c r="AY654" s="1" t="s">
        <v>74</v>
      </c>
      <c r="AZ654" s="1" t="s">
        <v>74</v>
      </c>
      <c r="BA654" s="1" t="s">
        <v>74</v>
      </c>
      <c r="BB654" s="1">
        <v>4915.0</v>
      </c>
      <c r="BC654" s="1">
        <v>4923.0</v>
      </c>
      <c r="BD654" s="1" t="s">
        <v>74</v>
      </c>
      <c r="BE654" s="1" t="s">
        <v>6256</v>
      </c>
      <c r="BF654" s="2" t="str">
        <f>HYPERLINK("http://dx.doi.org/10.1016/j.ces.2005.04.031","http://dx.doi.org/10.1016/j.ces.2005.04.031")</f>
        <v>http://dx.doi.org/10.1016/j.ces.2005.04.031</v>
      </c>
      <c r="BG654" s="1" t="s">
        <v>74</v>
      </c>
      <c r="BH654" s="1" t="s">
        <v>74</v>
      </c>
      <c r="BI654" s="1" t="s">
        <v>74</v>
      </c>
      <c r="BJ654" s="1" t="s">
        <v>74</v>
      </c>
      <c r="BK654" s="1" t="s">
        <v>74</v>
      </c>
      <c r="BL654" s="1" t="s">
        <v>74</v>
      </c>
      <c r="BM654" s="1" t="s">
        <v>74</v>
      </c>
      <c r="BN654" s="1" t="s">
        <v>74</v>
      </c>
      <c r="BO654" s="1" t="s">
        <v>74</v>
      </c>
      <c r="BP654" s="1" t="s">
        <v>74</v>
      </c>
      <c r="BQ654" s="1" t="s">
        <v>74</v>
      </c>
      <c r="BR654" s="1" t="s">
        <v>74</v>
      </c>
      <c r="BS654" s="1" t="s">
        <v>6257</v>
      </c>
      <c r="BT654" s="1" t="str">
        <f>HYPERLINK("https%3A%2F%2Fwww.webofscience.com%2Fwos%2Fwoscc%2Ffull-record%2FWOS:000230700100020","View Full Record in Web of Science")</f>
        <v>View Full Record in Web of Science</v>
      </c>
    </row>
    <row r="655" ht="12.75" customHeight="1">
      <c r="A655" s="1" t="s">
        <v>72</v>
      </c>
      <c r="B655" s="1" t="s">
        <v>6258</v>
      </c>
      <c r="C655" s="1" t="s">
        <v>74</v>
      </c>
      <c r="D655" s="1" t="s">
        <v>74</v>
      </c>
      <c r="E655" s="1" t="s">
        <v>74</v>
      </c>
      <c r="F655" s="1" t="s">
        <v>6258</v>
      </c>
      <c r="G655" s="1" t="s">
        <v>74</v>
      </c>
      <c r="H655" s="1" t="s">
        <v>74</v>
      </c>
      <c r="I655" s="1" t="s">
        <v>6259</v>
      </c>
      <c r="J655" s="1" t="s">
        <v>6260</v>
      </c>
      <c r="K655" s="1" t="s">
        <v>74</v>
      </c>
      <c r="L655" s="1" t="s">
        <v>74</v>
      </c>
      <c r="M655" s="1" t="s">
        <v>74</v>
      </c>
      <c r="N655" s="1" t="s">
        <v>74</v>
      </c>
      <c r="O655" s="1" t="s">
        <v>74</v>
      </c>
      <c r="P655" s="1" t="s">
        <v>74</v>
      </c>
      <c r="Q655" s="1" t="s">
        <v>74</v>
      </c>
      <c r="R655" s="1" t="s">
        <v>74</v>
      </c>
      <c r="S655" s="1" t="s">
        <v>74</v>
      </c>
      <c r="T655" s="1" t="s">
        <v>74</v>
      </c>
      <c r="U655" s="1" t="s">
        <v>74</v>
      </c>
      <c r="V655" s="1" t="s">
        <v>6261</v>
      </c>
      <c r="W655" s="1" t="s">
        <v>74</v>
      </c>
      <c r="X655" s="1" t="s">
        <v>74</v>
      </c>
      <c r="Y655" s="1" t="s">
        <v>74</v>
      </c>
      <c r="Z655" s="1" t="s">
        <v>74</v>
      </c>
      <c r="AA655" s="1" t="s">
        <v>74</v>
      </c>
      <c r="AB655" s="1" t="s">
        <v>74</v>
      </c>
      <c r="AC655" s="1" t="s">
        <v>74</v>
      </c>
      <c r="AD655" s="1" t="s">
        <v>74</v>
      </c>
      <c r="AE655" s="1" t="s">
        <v>74</v>
      </c>
      <c r="AF655" s="1" t="s">
        <v>74</v>
      </c>
      <c r="AG655" s="1" t="s">
        <v>74</v>
      </c>
      <c r="AH655" s="1" t="s">
        <v>74</v>
      </c>
      <c r="AI655" s="1" t="s">
        <v>74</v>
      </c>
      <c r="AJ655" s="1" t="s">
        <v>74</v>
      </c>
      <c r="AK655" s="1" t="s">
        <v>74</v>
      </c>
      <c r="AL655" s="1" t="s">
        <v>74</v>
      </c>
      <c r="AM655" s="1" t="s">
        <v>74</v>
      </c>
      <c r="AN655" s="1" t="s">
        <v>74</v>
      </c>
      <c r="AO655" s="1" t="s">
        <v>6262</v>
      </c>
      <c r="AP655" s="1" t="s">
        <v>6263</v>
      </c>
      <c r="AQ655" s="1" t="s">
        <v>74</v>
      </c>
      <c r="AR655" s="1" t="s">
        <v>74</v>
      </c>
      <c r="AS655" s="1" t="s">
        <v>74</v>
      </c>
      <c r="AT655" s="1" t="s">
        <v>277</v>
      </c>
      <c r="AU655" s="1">
        <v>2005.0</v>
      </c>
      <c r="AV655" s="1">
        <v>106.0</v>
      </c>
      <c r="AW655" s="1" t="s">
        <v>308</v>
      </c>
      <c r="AX655" s="1" t="s">
        <v>74</v>
      </c>
      <c r="AY655" s="1" t="s">
        <v>74</v>
      </c>
      <c r="AZ655" s="1" t="s">
        <v>74</v>
      </c>
      <c r="BA655" s="1" t="s">
        <v>74</v>
      </c>
      <c r="BB655" s="1">
        <v>27.0</v>
      </c>
      <c r="BC655" s="1">
        <v>39.0</v>
      </c>
      <c r="BD655" s="1" t="s">
        <v>74</v>
      </c>
      <c r="BE655" s="1" t="s">
        <v>6264</v>
      </c>
      <c r="BF655" s="2" t="str">
        <f>HYPERLINK("http://dx.doi.org/10.1007/s10474-005-0003-7","http://dx.doi.org/10.1007/s10474-005-0003-7")</f>
        <v>http://dx.doi.org/10.1007/s10474-005-0003-7</v>
      </c>
      <c r="BG655" s="1" t="s">
        <v>74</v>
      </c>
      <c r="BH655" s="1" t="s">
        <v>74</v>
      </c>
      <c r="BI655" s="1" t="s">
        <v>74</v>
      </c>
      <c r="BJ655" s="1" t="s">
        <v>74</v>
      </c>
      <c r="BK655" s="1" t="s">
        <v>74</v>
      </c>
      <c r="BL655" s="1" t="s">
        <v>74</v>
      </c>
      <c r="BM655" s="1" t="s">
        <v>74</v>
      </c>
      <c r="BN655" s="1" t="s">
        <v>74</v>
      </c>
      <c r="BO655" s="1" t="s">
        <v>74</v>
      </c>
      <c r="BP655" s="1" t="s">
        <v>74</v>
      </c>
      <c r="BQ655" s="1" t="s">
        <v>74</v>
      </c>
      <c r="BR655" s="1" t="s">
        <v>74</v>
      </c>
      <c r="BS655" s="1" t="s">
        <v>6265</v>
      </c>
      <c r="BT655" s="1" t="str">
        <f>HYPERLINK("https%3A%2F%2Fwww.webofscience.com%2Fwos%2Fwoscc%2Ffull-record%2FWOS:000227849400003","View Full Record in Web of Science")</f>
        <v>View Full Record in Web of Science</v>
      </c>
    </row>
    <row r="656" ht="12.75" customHeight="1">
      <c r="A656" s="1" t="s">
        <v>72</v>
      </c>
      <c r="B656" s="1" t="s">
        <v>6266</v>
      </c>
      <c r="C656" s="1" t="s">
        <v>74</v>
      </c>
      <c r="D656" s="1" t="s">
        <v>74</v>
      </c>
      <c r="E656" s="1" t="s">
        <v>74</v>
      </c>
      <c r="F656" s="1" t="s">
        <v>6266</v>
      </c>
      <c r="G656" s="1" t="s">
        <v>74</v>
      </c>
      <c r="H656" s="1" t="s">
        <v>74</v>
      </c>
      <c r="I656" s="1" t="s">
        <v>6267</v>
      </c>
      <c r="J656" s="1" t="s">
        <v>6268</v>
      </c>
      <c r="K656" s="1" t="s">
        <v>74</v>
      </c>
      <c r="L656" s="1" t="s">
        <v>74</v>
      </c>
      <c r="M656" s="1" t="s">
        <v>74</v>
      </c>
      <c r="N656" s="1" t="s">
        <v>74</v>
      </c>
      <c r="O656" s="1" t="s">
        <v>74</v>
      </c>
      <c r="P656" s="1" t="s">
        <v>74</v>
      </c>
      <c r="Q656" s="1" t="s">
        <v>74</v>
      </c>
      <c r="R656" s="1" t="s">
        <v>74</v>
      </c>
      <c r="S656" s="1" t="s">
        <v>74</v>
      </c>
      <c r="T656" s="1" t="s">
        <v>74</v>
      </c>
      <c r="U656" s="1" t="s">
        <v>74</v>
      </c>
      <c r="V656" s="1" t="s">
        <v>6269</v>
      </c>
      <c r="W656" s="1" t="s">
        <v>74</v>
      </c>
      <c r="X656" s="1" t="s">
        <v>74</v>
      </c>
      <c r="Y656" s="1" t="s">
        <v>74</v>
      </c>
      <c r="Z656" s="1" t="s">
        <v>74</v>
      </c>
      <c r="AA656" s="1" t="s">
        <v>6270</v>
      </c>
      <c r="AB656" s="1" t="s">
        <v>6271</v>
      </c>
      <c r="AC656" s="1" t="s">
        <v>74</v>
      </c>
      <c r="AD656" s="1" t="s">
        <v>74</v>
      </c>
      <c r="AE656" s="1" t="s">
        <v>74</v>
      </c>
      <c r="AF656" s="1" t="s">
        <v>74</v>
      </c>
      <c r="AG656" s="1" t="s">
        <v>74</v>
      </c>
      <c r="AH656" s="1" t="s">
        <v>74</v>
      </c>
      <c r="AI656" s="1" t="s">
        <v>74</v>
      </c>
      <c r="AJ656" s="1" t="s">
        <v>74</v>
      </c>
      <c r="AK656" s="1" t="s">
        <v>74</v>
      </c>
      <c r="AL656" s="1" t="s">
        <v>74</v>
      </c>
      <c r="AM656" s="1" t="s">
        <v>74</v>
      </c>
      <c r="AN656" s="1" t="s">
        <v>74</v>
      </c>
      <c r="AO656" s="1" t="s">
        <v>6272</v>
      </c>
      <c r="AP656" s="1" t="s">
        <v>74</v>
      </c>
      <c r="AQ656" s="1" t="s">
        <v>74</v>
      </c>
      <c r="AR656" s="1" t="s">
        <v>74</v>
      </c>
      <c r="AS656" s="1" t="s">
        <v>74</v>
      </c>
      <c r="AT656" s="1" t="s">
        <v>421</v>
      </c>
      <c r="AU656" s="1">
        <v>2003.0</v>
      </c>
      <c r="AV656" s="1">
        <v>121.0</v>
      </c>
      <c r="AW656" s="1">
        <v>1.0</v>
      </c>
      <c r="AX656" s="1" t="s">
        <v>74</v>
      </c>
      <c r="AY656" s="1" t="s">
        <v>74</v>
      </c>
      <c r="AZ656" s="1" t="s">
        <v>74</v>
      </c>
      <c r="BA656" s="1" t="s">
        <v>74</v>
      </c>
      <c r="BB656" s="1">
        <v>81.0</v>
      </c>
      <c r="BC656" s="1">
        <v>85.0</v>
      </c>
      <c r="BD656" s="1" t="s">
        <v>74</v>
      </c>
      <c r="BE656" s="1" t="s">
        <v>6273</v>
      </c>
      <c r="BF656" s="2" t="str">
        <f>HYPERLINK("http://dx.doi.org/10.1002/ajpa.10222","http://dx.doi.org/10.1002/ajpa.10222")</f>
        <v>http://dx.doi.org/10.1002/ajpa.10222</v>
      </c>
      <c r="BG656" s="1" t="s">
        <v>74</v>
      </c>
      <c r="BH656" s="1" t="s">
        <v>74</v>
      </c>
      <c r="BI656" s="1" t="s">
        <v>74</v>
      </c>
      <c r="BJ656" s="1" t="s">
        <v>74</v>
      </c>
      <c r="BK656" s="1" t="s">
        <v>74</v>
      </c>
      <c r="BL656" s="1" t="s">
        <v>74</v>
      </c>
      <c r="BM656" s="1" t="s">
        <v>74</v>
      </c>
      <c r="BN656" s="1">
        <v>1.2687586E7</v>
      </c>
      <c r="BO656" s="1" t="s">
        <v>74</v>
      </c>
      <c r="BP656" s="1" t="s">
        <v>74</v>
      </c>
      <c r="BQ656" s="1" t="s">
        <v>74</v>
      </c>
      <c r="BR656" s="1" t="s">
        <v>74</v>
      </c>
      <c r="BS656" s="1" t="s">
        <v>6274</v>
      </c>
      <c r="BT656" s="1" t="str">
        <f>HYPERLINK("https%3A%2F%2Fwww.webofscience.com%2Fwos%2Fwoscc%2Ffull-record%2FWOS:000182336300010","View Full Record in Web of Science")</f>
        <v>View Full Record in Web of Science</v>
      </c>
    </row>
    <row r="657" ht="12.75" customHeight="1">
      <c r="A657" s="1" t="s">
        <v>72</v>
      </c>
      <c r="B657" s="1" t="s">
        <v>6275</v>
      </c>
      <c r="C657" s="1" t="s">
        <v>74</v>
      </c>
      <c r="D657" s="1" t="s">
        <v>74</v>
      </c>
      <c r="E657" s="1" t="s">
        <v>74</v>
      </c>
      <c r="F657" s="1" t="s">
        <v>6275</v>
      </c>
      <c r="G657" s="1" t="s">
        <v>74</v>
      </c>
      <c r="H657" s="1" t="s">
        <v>74</v>
      </c>
      <c r="I657" s="1" t="s">
        <v>6276</v>
      </c>
      <c r="J657" s="1" t="s">
        <v>6277</v>
      </c>
      <c r="K657" s="1" t="s">
        <v>74</v>
      </c>
      <c r="L657" s="1" t="s">
        <v>74</v>
      </c>
      <c r="M657" s="1" t="s">
        <v>74</v>
      </c>
      <c r="N657" s="1" t="s">
        <v>74</v>
      </c>
      <c r="O657" s="1" t="s">
        <v>6278</v>
      </c>
      <c r="P657" s="1" t="s">
        <v>6279</v>
      </c>
      <c r="Q657" s="1" t="s">
        <v>6280</v>
      </c>
      <c r="R657" s="1" t="s">
        <v>74</v>
      </c>
      <c r="S657" s="1" t="s">
        <v>74</v>
      </c>
      <c r="T657" s="1" t="s">
        <v>74</v>
      </c>
      <c r="U657" s="1" t="s">
        <v>74</v>
      </c>
      <c r="V657" s="1" t="s">
        <v>6281</v>
      </c>
      <c r="W657" s="1" t="s">
        <v>74</v>
      </c>
      <c r="X657" s="1" t="s">
        <v>74</v>
      </c>
      <c r="Y657" s="1" t="s">
        <v>74</v>
      </c>
      <c r="Z657" s="1" t="s">
        <v>74</v>
      </c>
      <c r="AA657" s="1" t="s">
        <v>6282</v>
      </c>
      <c r="AB657" s="1" t="s">
        <v>6246</v>
      </c>
      <c r="AC657" s="1" t="s">
        <v>74</v>
      </c>
      <c r="AD657" s="1" t="s">
        <v>74</v>
      </c>
      <c r="AE657" s="1" t="s">
        <v>74</v>
      </c>
      <c r="AF657" s="1" t="s">
        <v>74</v>
      </c>
      <c r="AG657" s="1" t="s">
        <v>74</v>
      </c>
      <c r="AH657" s="1" t="s">
        <v>74</v>
      </c>
      <c r="AI657" s="1" t="s">
        <v>74</v>
      </c>
      <c r="AJ657" s="1" t="s">
        <v>74</v>
      </c>
      <c r="AK657" s="1" t="s">
        <v>74</v>
      </c>
      <c r="AL657" s="1" t="s">
        <v>74</v>
      </c>
      <c r="AM657" s="1" t="s">
        <v>74</v>
      </c>
      <c r="AN657" s="1" t="s">
        <v>74</v>
      </c>
      <c r="AO657" s="1" t="s">
        <v>6283</v>
      </c>
      <c r="AP657" s="1" t="s">
        <v>74</v>
      </c>
      <c r="AQ657" s="1" t="s">
        <v>74</v>
      </c>
      <c r="AR657" s="1" t="s">
        <v>74</v>
      </c>
      <c r="AS657" s="1" t="s">
        <v>74</v>
      </c>
      <c r="AT657" s="1" t="s">
        <v>415</v>
      </c>
      <c r="AU657" s="1">
        <v>2002.0</v>
      </c>
      <c r="AV657" s="1">
        <v>18.0</v>
      </c>
      <c r="AW657" s="1">
        <v>6.0</v>
      </c>
      <c r="AX657" s="1" t="s">
        <v>74</v>
      </c>
      <c r="AY657" s="1" t="s">
        <v>74</v>
      </c>
      <c r="AZ657" s="1" t="s">
        <v>74</v>
      </c>
      <c r="BA657" s="1" t="s">
        <v>74</v>
      </c>
      <c r="BB657" s="1">
        <v>890.0</v>
      </c>
      <c r="BC657" s="1">
        <v>901.0</v>
      </c>
      <c r="BD657" s="1" t="s">
        <v>74</v>
      </c>
      <c r="BE657" s="1" t="s">
        <v>6284</v>
      </c>
      <c r="BF657" s="2" t="str">
        <f>HYPERLINK("http://dx.doi.org/10.1109/TRA.2002.805646","http://dx.doi.org/10.1109/TRA.2002.805646")</f>
        <v>http://dx.doi.org/10.1109/TRA.2002.805646</v>
      </c>
      <c r="BG657" s="1" t="s">
        <v>74</v>
      </c>
      <c r="BH657" s="1" t="s">
        <v>74</v>
      </c>
      <c r="BI657" s="1" t="s">
        <v>74</v>
      </c>
      <c r="BJ657" s="1" t="s">
        <v>74</v>
      </c>
      <c r="BK657" s="1" t="s">
        <v>74</v>
      </c>
      <c r="BL657" s="1" t="s">
        <v>74</v>
      </c>
      <c r="BM657" s="1" t="s">
        <v>74</v>
      </c>
      <c r="BN657" s="1" t="s">
        <v>74</v>
      </c>
      <c r="BO657" s="1" t="s">
        <v>74</v>
      </c>
      <c r="BP657" s="1" t="s">
        <v>74</v>
      </c>
      <c r="BQ657" s="1" t="s">
        <v>74</v>
      </c>
      <c r="BR657" s="1" t="s">
        <v>74</v>
      </c>
      <c r="BS657" s="1" t="s">
        <v>6285</v>
      </c>
      <c r="BT657" s="1" t="str">
        <f>HYPERLINK("https%3A%2F%2Fwww.webofscience.com%2Fwos%2Fwoscc%2Ffull-record%2FWOS:000180214000003","View Full Record in Web of Science")</f>
        <v>View Full Record in Web of Science</v>
      </c>
    </row>
    <row r="658" ht="12.75" customHeight="1">
      <c r="A658" s="1" t="s">
        <v>72</v>
      </c>
      <c r="B658" s="1" t="s">
        <v>6286</v>
      </c>
      <c r="C658" s="1" t="s">
        <v>74</v>
      </c>
      <c r="D658" s="1" t="s">
        <v>74</v>
      </c>
      <c r="E658" s="1" t="s">
        <v>74</v>
      </c>
      <c r="F658" s="1" t="s">
        <v>6286</v>
      </c>
      <c r="G658" s="1" t="s">
        <v>74</v>
      </c>
      <c r="H658" s="1" t="s">
        <v>74</v>
      </c>
      <c r="I658" s="1" t="s">
        <v>6287</v>
      </c>
      <c r="J658" s="1" t="s">
        <v>6288</v>
      </c>
      <c r="K658" s="1" t="s">
        <v>74</v>
      </c>
      <c r="L658" s="1" t="s">
        <v>74</v>
      </c>
      <c r="M658" s="1" t="s">
        <v>74</v>
      </c>
      <c r="N658" s="1" t="s">
        <v>74</v>
      </c>
      <c r="O658" s="1" t="s">
        <v>74</v>
      </c>
      <c r="P658" s="1" t="s">
        <v>74</v>
      </c>
      <c r="Q658" s="1" t="s">
        <v>74</v>
      </c>
      <c r="R658" s="1" t="s">
        <v>74</v>
      </c>
      <c r="S658" s="1" t="s">
        <v>74</v>
      </c>
      <c r="T658" s="1" t="s">
        <v>74</v>
      </c>
      <c r="U658" s="1" t="s">
        <v>74</v>
      </c>
      <c r="V658" s="1" t="s">
        <v>6289</v>
      </c>
      <c r="W658" s="1" t="s">
        <v>74</v>
      </c>
      <c r="X658" s="1" t="s">
        <v>74</v>
      </c>
      <c r="Y658" s="1" t="s">
        <v>74</v>
      </c>
      <c r="Z658" s="1" t="s">
        <v>74</v>
      </c>
      <c r="AA658" s="1" t="s">
        <v>74</v>
      </c>
      <c r="AB658" s="1" t="s">
        <v>6290</v>
      </c>
      <c r="AC658" s="1" t="s">
        <v>74</v>
      </c>
      <c r="AD658" s="1" t="s">
        <v>74</v>
      </c>
      <c r="AE658" s="1" t="s">
        <v>74</v>
      </c>
      <c r="AF658" s="1" t="s">
        <v>74</v>
      </c>
      <c r="AG658" s="1" t="s">
        <v>74</v>
      </c>
      <c r="AH658" s="1" t="s">
        <v>74</v>
      </c>
      <c r="AI658" s="1" t="s">
        <v>74</v>
      </c>
      <c r="AJ658" s="1" t="s">
        <v>74</v>
      </c>
      <c r="AK658" s="1" t="s">
        <v>74</v>
      </c>
      <c r="AL658" s="1" t="s">
        <v>74</v>
      </c>
      <c r="AM658" s="1" t="s">
        <v>74</v>
      </c>
      <c r="AN658" s="1" t="s">
        <v>74</v>
      </c>
      <c r="AO658" s="1" t="s">
        <v>6291</v>
      </c>
      <c r="AP658" s="1" t="s">
        <v>74</v>
      </c>
      <c r="AQ658" s="1" t="s">
        <v>74</v>
      </c>
      <c r="AR658" s="1" t="s">
        <v>74</v>
      </c>
      <c r="AS658" s="1" t="s">
        <v>74</v>
      </c>
      <c r="AT658" s="1" t="s">
        <v>6292</v>
      </c>
      <c r="AU658" s="1">
        <v>2002.0</v>
      </c>
      <c r="AV658" s="1">
        <v>21.0</v>
      </c>
      <c r="AW658" s="1">
        <v>4.0</v>
      </c>
      <c r="AX658" s="1" t="s">
        <v>74</v>
      </c>
      <c r="AY658" s="1" t="s">
        <v>74</v>
      </c>
      <c r="AZ658" s="1" t="s">
        <v>74</v>
      </c>
      <c r="BA658" s="1" t="s">
        <v>74</v>
      </c>
      <c r="BB658" s="1">
        <v>439.0</v>
      </c>
      <c r="BC658" s="1">
        <v>444.0</v>
      </c>
      <c r="BD658" s="1" t="s">
        <v>6293</v>
      </c>
      <c r="BE658" s="1" t="s">
        <v>6294</v>
      </c>
      <c r="BF658" s="2" t="str">
        <f>HYPERLINK("http://dx.doi.org/10.1016/S0277-5387(01)01009-9","http://dx.doi.org/10.1016/S0277-5387(01)01009-9")</f>
        <v>http://dx.doi.org/10.1016/S0277-5387(01)01009-9</v>
      </c>
      <c r="BG658" s="1" t="s">
        <v>74</v>
      </c>
      <c r="BH658" s="1" t="s">
        <v>74</v>
      </c>
      <c r="BI658" s="1" t="s">
        <v>74</v>
      </c>
      <c r="BJ658" s="1" t="s">
        <v>74</v>
      </c>
      <c r="BK658" s="1" t="s">
        <v>74</v>
      </c>
      <c r="BL658" s="1" t="s">
        <v>74</v>
      </c>
      <c r="BM658" s="1" t="s">
        <v>74</v>
      </c>
      <c r="BN658" s="1" t="s">
        <v>74</v>
      </c>
      <c r="BO658" s="1" t="s">
        <v>74</v>
      </c>
      <c r="BP658" s="1" t="s">
        <v>74</v>
      </c>
      <c r="BQ658" s="1" t="s">
        <v>74</v>
      </c>
      <c r="BR658" s="1" t="s">
        <v>74</v>
      </c>
      <c r="BS658" s="1" t="s">
        <v>6295</v>
      </c>
      <c r="BT658" s="1" t="str">
        <f>HYPERLINK("https%3A%2F%2Fwww.webofscience.com%2Fwos%2Fwoscc%2Ffull-record%2FWOS:000174828300014","View Full Record in Web of Science")</f>
        <v>View Full Record in Web of Science</v>
      </c>
    </row>
    <row r="659" ht="12.75" customHeight="1">
      <c r="A659" s="1" t="s">
        <v>72</v>
      </c>
      <c r="B659" s="1" t="s">
        <v>6296</v>
      </c>
      <c r="C659" s="1" t="s">
        <v>74</v>
      </c>
      <c r="D659" s="1" t="s">
        <v>74</v>
      </c>
      <c r="E659" s="1" t="s">
        <v>74</v>
      </c>
      <c r="F659" s="1" t="s">
        <v>6296</v>
      </c>
      <c r="G659" s="1" t="s">
        <v>74</v>
      </c>
      <c r="H659" s="1" t="s">
        <v>74</v>
      </c>
      <c r="I659" s="1" t="s">
        <v>6297</v>
      </c>
      <c r="J659" s="1" t="s">
        <v>1266</v>
      </c>
      <c r="K659" s="1" t="s">
        <v>74</v>
      </c>
      <c r="L659" s="1" t="s">
        <v>74</v>
      </c>
      <c r="M659" s="1" t="s">
        <v>74</v>
      </c>
      <c r="N659" s="1" t="s">
        <v>74</v>
      </c>
      <c r="O659" s="1" t="s">
        <v>74</v>
      </c>
      <c r="P659" s="1" t="s">
        <v>74</v>
      </c>
      <c r="Q659" s="1" t="s">
        <v>74</v>
      </c>
      <c r="R659" s="1" t="s">
        <v>74</v>
      </c>
      <c r="S659" s="1" t="s">
        <v>74</v>
      </c>
      <c r="T659" s="1" t="s">
        <v>74</v>
      </c>
      <c r="U659" s="1" t="s">
        <v>74</v>
      </c>
      <c r="V659" s="1" t="s">
        <v>6298</v>
      </c>
      <c r="W659" s="1" t="s">
        <v>74</v>
      </c>
      <c r="X659" s="1" t="s">
        <v>74</v>
      </c>
      <c r="Y659" s="1" t="s">
        <v>74</v>
      </c>
      <c r="Z659" s="1" t="s">
        <v>74</v>
      </c>
      <c r="AA659" s="1" t="s">
        <v>6299</v>
      </c>
      <c r="AB659" s="1" t="s">
        <v>6300</v>
      </c>
      <c r="AC659" s="1" t="s">
        <v>74</v>
      </c>
      <c r="AD659" s="1" t="s">
        <v>74</v>
      </c>
      <c r="AE659" s="1" t="s">
        <v>74</v>
      </c>
      <c r="AF659" s="1" t="s">
        <v>74</v>
      </c>
      <c r="AG659" s="1" t="s">
        <v>74</v>
      </c>
      <c r="AH659" s="1" t="s">
        <v>74</v>
      </c>
      <c r="AI659" s="1" t="s">
        <v>74</v>
      </c>
      <c r="AJ659" s="1" t="s">
        <v>74</v>
      </c>
      <c r="AK659" s="1" t="s">
        <v>74</v>
      </c>
      <c r="AL659" s="1" t="s">
        <v>74</v>
      </c>
      <c r="AM659" s="1" t="s">
        <v>74</v>
      </c>
      <c r="AN659" s="1" t="s">
        <v>74</v>
      </c>
      <c r="AO659" s="1" t="s">
        <v>1268</v>
      </c>
      <c r="AP659" s="1" t="s">
        <v>74</v>
      </c>
      <c r="AQ659" s="1" t="s">
        <v>74</v>
      </c>
      <c r="AR659" s="1" t="s">
        <v>74</v>
      </c>
      <c r="AS659" s="1" t="s">
        <v>74</v>
      </c>
      <c r="AT659" s="1" t="s">
        <v>421</v>
      </c>
      <c r="AU659" s="1">
        <v>2001.0</v>
      </c>
      <c r="AV659" s="1">
        <v>37.0</v>
      </c>
      <c r="AW659" s="1">
        <v>5.0</v>
      </c>
      <c r="AX659" s="1" t="s">
        <v>74</v>
      </c>
      <c r="AY659" s="1" t="s">
        <v>74</v>
      </c>
      <c r="AZ659" s="1" t="s">
        <v>74</v>
      </c>
      <c r="BA659" s="1" t="s">
        <v>74</v>
      </c>
      <c r="BB659" s="1">
        <v>1001.0</v>
      </c>
      <c r="BC659" s="1">
        <v>1006.0</v>
      </c>
      <c r="BD659" s="1" t="s">
        <v>74</v>
      </c>
      <c r="BE659" s="1" t="s">
        <v>6301</v>
      </c>
      <c r="BF659" s="2" t="str">
        <f>HYPERLINK("http://dx.doi.org/10.1016/S0014-3057(00)00202-0","http://dx.doi.org/10.1016/S0014-3057(00)00202-0")</f>
        <v>http://dx.doi.org/10.1016/S0014-3057(00)00202-0</v>
      </c>
      <c r="BG659" s="1" t="s">
        <v>74</v>
      </c>
      <c r="BH659" s="1" t="s">
        <v>74</v>
      </c>
      <c r="BI659" s="1" t="s">
        <v>74</v>
      </c>
      <c r="BJ659" s="1" t="s">
        <v>74</v>
      </c>
      <c r="BK659" s="1" t="s">
        <v>74</v>
      </c>
      <c r="BL659" s="1" t="s">
        <v>74</v>
      </c>
      <c r="BM659" s="1" t="s">
        <v>74</v>
      </c>
      <c r="BN659" s="1" t="s">
        <v>74</v>
      </c>
      <c r="BO659" s="1" t="s">
        <v>74</v>
      </c>
      <c r="BP659" s="1" t="s">
        <v>74</v>
      </c>
      <c r="BQ659" s="1" t="s">
        <v>74</v>
      </c>
      <c r="BR659" s="1" t="s">
        <v>74</v>
      </c>
      <c r="BS659" s="1" t="s">
        <v>6302</v>
      </c>
      <c r="BT659" s="1" t="str">
        <f>HYPERLINK("https%3A%2F%2Fwww.webofscience.com%2Fwos%2Fwoscc%2Ffull-record%2FWOS:000167625400018","View Full Record in Web of Science")</f>
        <v>View Full Record in Web of Science</v>
      </c>
    </row>
    <row r="660" ht="12.75" customHeight="1">
      <c r="A660" s="1" t="s">
        <v>72</v>
      </c>
      <c r="B660" s="1" t="s">
        <v>6303</v>
      </c>
      <c r="C660" s="1" t="s">
        <v>74</v>
      </c>
      <c r="D660" s="1" t="s">
        <v>74</v>
      </c>
      <c r="E660" s="1" t="s">
        <v>74</v>
      </c>
      <c r="F660" s="1" t="s">
        <v>6303</v>
      </c>
      <c r="G660" s="1" t="s">
        <v>74</v>
      </c>
      <c r="H660" s="1" t="s">
        <v>74</v>
      </c>
      <c r="I660" s="1" t="s">
        <v>6304</v>
      </c>
      <c r="J660" s="1" t="s">
        <v>5629</v>
      </c>
      <c r="K660" s="1" t="s">
        <v>74</v>
      </c>
      <c r="L660" s="1" t="s">
        <v>74</v>
      </c>
      <c r="M660" s="1" t="s">
        <v>74</v>
      </c>
      <c r="N660" s="1" t="s">
        <v>74</v>
      </c>
      <c r="O660" s="1" t="s">
        <v>74</v>
      </c>
      <c r="P660" s="1" t="s">
        <v>74</v>
      </c>
      <c r="Q660" s="1" t="s">
        <v>74</v>
      </c>
      <c r="R660" s="1" t="s">
        <v>74</v>
      </c>
      <c r="S660" s="1" t="s">
        <v>74</v>
      </c>
      <c r="T660" s="1" t="s">
        <v>74</v>
      </c>
      <c r="U660" s="1" t="s">
        <v>74</v>
      </c>
      <c r="V660" s="1" t="s">
        <v>74</v>
      </c>
      <c r="W660" s="1" t="s">
        <v>74</v>
      </c>
      <c r="X660" s="1" t="s">
        <v>74</v>
      </c>
      <c r="Y660" s="1" t="s">
        <v>74</v>
      </c>
      <c r="Z660" s="1" t="s">
        <v>74</v>
      </c>
      <c r="AA660" s="1" t="s">
        <v>6305</v>
      </c>
      <c r="AB660" s="1" t="s">
        <v>2007</v>
      </c>
      <c r="AC660" s="1" t="s">
        <v>74</v>
      </c>
      <c r="AD660" s="1" t="s">
        <v>74</v>
      </c>
      <c r="AE660" s="1" t="s">
        <v>74</v>
      </c>
      <c r="AF660" s="1" t="s">
        <v>74</v>
      </c>
      <c r="AG660" s="1" t="s">
        <v>74</v>
      </c>
      <c r="AH660" s="1" t="s">
        <v>74</v>
      </c>
      <c r="AI660" s="1" t="s">
        <v>74</v>
      </c>
      <c r="AJ660" s="1" t="s">
        <v>74</v>
      </c>
      <c r="AK660" s="1" t="s">
        <v>74</v>
      </c>
      <c r="AL660" s="1" t="s">
        <v>74</v>
      </c>
      <c r="AM660" s="1" t="s">
        <v>74</v>
      </c>
      <c r="AN660" s="1" t="s">
        <v>74</v>
      </c>
      <c r="AO660" s="1" t="s">
        <v>5631</v>
      </c>
      <c r="AP660" s="1" t="s">
        <v>74</v>
      </c>
      <c r="AQ660" s="1" t="s">
        <v>74</v>
      </c>
      <c r="AR660" s="1" t="s">
        <v>74</v>
      </c>
      <c r="AS660" s="1" t="s">
        <v>74</v>
      </c>
      <c r="AT660" s="1" t="s">
        <v>6306</v>
      </c>
      <c r="AU660" s="1">
        <v>1999.0</v>
      </c>
      <c r="AV660" s="1">
        <v>218.0</v>
      </c>
      <c r="AW660" s="1" t="s">
        <v>74</v>
      </c>
      <c r="AX660" s="1">
        <v>1.0</v>
      </c>
      <c r="AY660" s="1" t="s">
        <v>74</v>
      </c>
      <c r="AZ660" s="1" t="s">
        <v>74</v>
      </c>
      <c r="BA660" s="1" t="s">
        <v>6307</v>
      </c>
      <c r="BB660" s="1" t="s">
        <v>6308</v>
      </c>
      <c r="BC660" s="1" t="s">
        <v>6309</v>
      </c>
      <c r="BD660" s="1" t="s">
        <v>74</v>
      </c>
      <c r="BE660" s="1" t="s">
        <v>74</v>
      </c>
      <c r="BF660" s="1" t="s">
        <v>74</v>
      </c>
      <c r="BG660" s="1" t="s">
        <v>74</v>
      </c>
      <c r="BH660" s="1" t="s">
        <v>74</v>
      </c>
      <c r="BI660" s="1" t="s">
        <v>74</v>
      </c>
      <c r="BJ660" s="1" t="s">
        <v>74</v>
      </c>
      <c r="BK660" s="1" t="s">
        <v>74</v>
      </c>
      <c r="BL660" s="1" t="s">
        <v>74</v>
      </c>
      <c r="BM660" s="1" t="s">
        <v>74</v>
      </c>
      <c r="BN660" s="1" t="s">
        <v>74</v>
      </c>
      <c r="BO660" s="1" t="s">
        <v>74</v>
      </c>
      <c r="BP660" s="1" t="s">
        <v>74</v>
      </c>
      <c r="BQ660" s="1" t="s">
        <v>74</v>
      </c>
      <c r="BR660" s="1" t="s">
        <v>74</v>
      </c>
      <c r="BS660" s="1" t="s">
        <v>6310</v>
      </c>
      <c r="BT660" s="1" t="str">
        <f>HYPERLINK("https%3A%2F%2Fwww.webofscience.com%2Fwos%2Fwoscc%2Ffull-record%2FWOS:000082033901796","View Full Record in Web of Science")</f>
        <v>View Full Record in Web of Science</v>
      </c>
    </row>
    <row r="661" ht="12.75" customHeight="1">
      <c r="A661" s="1" t="s">
        <v>72</v>
      </c>
      <c r="B661" s="1" t="s">
        <v>6311</v>
      </c>
      <c r="C661" s="1" t="s">
        <v>74</v>
      </c>
      <c r="D661" s="1" t="s">
        <v>74</v>
      </c>
      <c r="E661" s="1" t="s">
        <v>74</v>
      </c>
      <c r="F661" s="1" t="s">
        <v>6311</v>
      </c>
      <c r="G661" s="1" t="s">
        <v>74</v>
      </c>
      <c r="H661" s="1" t="s">
        <v>74</v>
      </c>
      <c r="I661" s="1" t="s">
        <v>6312</v>
      </c>
      <c r="J661" s="1" t="s">
        <v>6313</v>
      </c>
      <c r="K661" s="1" t="s">
        <v>74</v>
      </c>
      <c r="L661" s="1" t="s">
        <v>74</v>
      </c>
      <c r="M661" s="1" t="s">
        <v>74</v>
      </c>
      <c r="N661" s="1" t="s">
        <v>74</v>
      </c>
      <c r="O661" s="1" t="s">
        <v>74</v>
      </c>
      <c r="P661" s="1" t="s">
        <v>74</v>
      </c>
      <c r="Q661" s="1" t="s">
        <v>74</v>
      </c>
      <c r="R661" s="1" t="s">
        <v>74</v>
      </c>
      <c r="S661" s="1" t="s">
        <v>74</v>
      </c>
      <c r="T661" s="1" t="s">
        <v>74</v>
      </c>
      <c r="U661" s="1" t="s">
        <v>74</v>
      </c>
      <c r="V661" s="1" t="s">
        <v>6314</v>
      </c>
      <c r="W661" s="1" t="s">
        <v>74</v>
      </c>
      <c r="X661" s="1" t="s">
        <v>74</v>
      </c>
      <c r="Y661" s="1" t="s">
        <v>74</v>
      </c>
      <c r="Z661" s="1" t="s">
        <v>74</v>
      </c>
      <c r="AA661" s="1" t="s">
        <v>3520</v>
      </c>
      <c r="AB661" s="1" t="s">
        <v>3521</v>
      </c>
      <c r="AC661" s="1" t="s">
        <v>74</v>
      </c>
      <c r="AD661" s="1" t="s">
        <v>74</v>
      </c>
      <c r="AE661" s="1" t="s">
        <v>74</v>
      </c>
      <c r="AF661" s="1" t="s">
        <v>74</v>
      </c>
      <c r="AG661" s="1" t="s">
        <v>74</v>
      </c>
      <c r="AH661" s="1" t="s">
        <v>74</v>
      </c>
      <c r="AI661" s="1" t="s">
        <v>74</v>
      </c>
      <c r="AJ661" s="1" t="s">
        <v>74</v>
      </c>
      <c r="AK661" s="1" t="s">
        <v>74</v>
      </c>
      <c r="AL661" s="1" t="s">
        <v>74</v>
      </c>
      <c r="AM661" s="1" t="s">
        <v>74</v>
      </c>
      <c r="AN661" s="1" t="s">
        <v>74</v>
      </c>
      <c r="AO661" s="1" t="s">
        <v>6315</v>
      </c>
      <c r="AP661" s="1" t="s">
        <v>74</v>
      </c>
      <c r="AQ661" s="1" t="s">
        <v>74</v>
      </c>
      <c r="AR661" s="1" t="s">
        <v>74</v>
      </c>
      <c r="AS661" s="1" t="s">
        <v>74</v>
      </c>
      <c r="AT661" s="1" t="s">
        <v>379</v>
      </c>
      <c r="AU661" s="1">
        <v>1998.0</v>
      </c>
      <c r="AV661" s="1">
        <v>120.0</v>
      </c>
      <c r="AW661" s="1" t="s">
        <v>74</v>
      </c>
      <c r="AX661" s="1">
        <v>3.0</v>
      </c>
      <c r="AY661" s="1" t="s">
        <v>74</v>
      </c>
      <c r="AZ661" s="1" t="s">
        <v>74</v>
      </c>
      <c r="BA661" s="1" t="s">
        <v>74</v>
      </c>
      <c r="BB661" s="1">
        <v>269.0</v>
      </c>
      <c r="BC661" s="1">
        <v>271.0</v>
      </c>
      <c r="BD661" s="1" t="s">
        <v>74</v>
      </c>
      <c r="BE661" s="1" t="s">
        <v>6316</v>
      </c>
      <c r="BF661" s="2" t="str">
        <f>HYPERLINK("http://dx.doi.org/10.1080/11035899809453216","http://dx.doi.org/10.1080/11035899809453216")</f>
        <v>http://dx.doi.org/10.1080/11035899809453216</v>
      </c>
      <c r="BG661" s="1" t="s">
        <v>74</v>
      </c>
      <c r="BH661" s="1" t="s">
        <v>74</v>
      </c>
      <c r="BI661" s="1" t="s">
        <v>74</v>
      </c>
      <c r="BJ661" s="1" t="s">
        <v>74</v>
      </c>
      <c r="BK661" s="1" t="s">
        <v>74</v>
      </c>
      <c r="BL661" s="1" t="s">
        <v>74</v>
      </c>
      <c r="BM661" s="1" t="s">
        <v>74</v>
      </c>
      <c r="BN661" s="1" t="s">
        <v>74</v>
      </c>
      <c r="BO661" s="1" t="s">
        <v>74</v>
      </c>
      <c r="BP661" s="1" t="s">
        <v>74</v>
      </c>
      <c r="BQ661" s="1" t="s">
        <v>74</v>
      </c>
      <c r="BR661" s="1" t="s">
        <v>74</v>
      </c>
      <c r="BS661" s="1" t="s">
        <v>6317</v>
      </c>
      <c r="BT661" s="1" t="str">
        <f>HYPERLINK("https%3A%2F%2Fwww.webofscience.com%2Fwos%2Fwoscc%2Ffull-record%2FWOS:000081232000002","View Full Record in Web of Science")</f>
        <v>View Full Record in Web of Science</v>
      </c>
    </row>
    <row r="662" ht="12.75" customHeight="1">
      <c r="A662" s="1" t="s">
        <v>72</v>
      </c>
      <c r="B662" s="1" t="s">
        <v>6318</v>
      </c>
      <c r="C662" s="1" t="s">
        <v>74</v>
      </c>
      <c r="D662" s="1" t="s">
        <v>74</v>
      </c>
      <c r="E662" s="1" t="s">
        <v>74</v>
      </c>
      <c r="F662" s="1" t="s">
        <v>6318</v>
      </c>
      <c r="G662" s="1" t="s">
        <v>74</v>
      </c>
      <c r="H662" s="1" t="s">
        <v>74</v>
      </c>
      <c r="I662" s="1" t="s">
        <v>6319</v>
      </c>
      <c r="J662" s="1" t="s">
        <v>6320</v>
      </c>
      <c r="K662" s="1" t="s">
        <v>74</v>
      </c>
      <c r="L662" s="1" t="s">
        <v>74</v>
      </c>
      <c r="M662" s="1" t="s">
        <v>74</v>
      </c>
      <c r="N662" s="1" t="s">
        <v>74</v>
      </c>
      <c r="O662" s="1" t="s">
        <v>74</v>
      </c>
      <c r="P662" s="1" t="s">
        <v>74</v>
      </c>
      <c r="Q662" s="1" t="s">
        <v>74</v>
      </c>
      <c r="R662" s="1" t="s">
        <v>74</v>
      </c>
      <c r="S662" s="1" t="s">
        <v>74</v>
      </c>
      <c r="T662" s="1" t="s">
        <v>74</v>
      </c>
      <c r="U662" s="1" t="s">
        <v>74</v>
      </c>
      <c r="V662" s="1" t="s">
        <v>6321</v>
      </c>
      <c r="W662" s="1" t="s">
        <v>74</v>
      </c>
      <c r="X662" s="1" t="s">
        <v>74</v>
      </c>
      <c r="Y662" s="1" t="s">
        <v>74</v>
      </c>
      <c r="Z662" s="1" t="s">
        <v>74</v>
      </c>
      <c r="AA662" s="1" t="s">
        <v>74</v>
      </c>
      <c r="AB662" s="1" t="s">
        <v>74</v>
      </c>
      <c r="AC662" s="1" t="s">
        <v>74</v>
      </c>
      <c r="AD662" s="1" t="s">
        <v>74</v>
      </c>
      <c r="AE662" s="1" t="s">
        <v>74</v>
      </c>
      <c r="AF662" s="1" t="s">
        <v>74</v>
      </c>
      <c r="AG662" s="1" t="s">
        <v>74</v>
      </c>
      <c r="AH662" s="1" t="s">
        <v>74</v>
      </c>
      <c r="AI662" s="1" t="s">
        <v>74</v>
      </c>
      <c r="AJ662" s="1" t="s">
        <v>74</v>
      </c>
      <c r="AK662" s="1" t="s">
        <v>74</v>
      </c>
      <c r="AL662" s="1" t="s">
        <v>74</v>
      </c>
      <c r="AM662" s="1" t="s">
        <v>74</v>
      </c>
      <c r="AN662" s="1" t="s">
        <v>74</v>
      </c>
      <c r="AO662" s="1" t="s">
        <v>6322</v>
      </c>
      <c r="AP662" s="1" t="s">
        <v>74</v>
      </c>
      <c r="AQ662" s="1" t="s">
        <v>74</v>
      </c>
      <c r="AR662" s="1" t="s">
        <v>74</v>
      </c>
      <c r="AS662" s="1" t="s">
        <v>74</v>
      </c>
      <c r="AT662" s="1" t="s">
        <v>389</v>
      </c>
      <c r="AU662" s="1">
        <v>1998.0</v>
      </c>
      <c r="AV662" s="1">
        <v>44.0</v>
      </c>
      <c r="AW662" s="1">
        <v>2.0</v>
      </c>
      <c r="AX662" s="1" t="s">
        <v>74</v>
      </c>
      <c r="AY662" s="1" t="s">
        <v>74</v>
      </c>
      <c r="AZ662" s="1" t="s">
        <v>74</v>
      </c>
      <c r="BA662" s="1" t="s">
        <v>74</v>
      </c>
      <c r="BB662" s="1">
        <v>391.0</v>
      </c>
      <c r="BC662" s="1">
        <v>397.0</v>
      </c>
      <c r="BD662" s="1" t="s">
        <v>74</v>
      </c>
      <c r="BE662" s="1" t="s">
        <v>74</v>
      </c>
      <c r="BF662" s="1" t="s">
        <v>74</v>
      </c>
      <c r="BG662" s="1" t="s">
        <v>74</v>
      </c>
      <c r="BH662" s="1" t="s">
        <v>74</v>
      </c>
      <c r="BI662" s="1" t="s">
        <v>74</v>
      </c>
      <c r="BJ662" s="1" t="s">
        <v>74</v>
      </c>
      <c r="BK662" s="1" t="s">
        <v>74</v>
      </c>
      <c r="BL662" s="1" t="s">
        <v>74</v>
      </c>
      <c r="BM662" s="1" t="s">
        <v>74</v>
      </c>
      <c r="BN662" s="1">
        <v>9530521.0</v>
      </c>
      <c r="BO662" s="1" t="s">
        <v>74</v>
      </c>
      <c r="BP662" s="1" t="s">
        <v>74</v>
      </c>
      <c r="BQ662" s="1" t="s">
        <v>74</v>
      </c>
      <c r="BR662" s="1" t="s">
        <v>74</v>
      </c>
      <c r="BS662" s="1" t="s">
        <v>6323</v>
      </c>
      <c r="BT662" s="1" t="str">
        <f>HYPERLINK("https%3A%2F%2Fwww.webofscience.com%2Fwos%2Fwoscc%2Ffull-record%2FWOS:000072404900017","View Full Record in Web of Science")</f>
        <v>View Full Record in Web of Science</v>
      </c>
    </row>
    <row r="663" ht="12.75" customHeight="1">
      <c r="A663" s="1" t="s">
        <v>72</v>
      </c>
      <c r="B663" s="1" t="s">
        <v>6324</v>
      </c>
      <c r="C663" s="1" t="s">
        <v>74</v>
      </c>
      <c r="D663" s="1" t="s">
        <v>74</v>
      </c>
      <c r="E663" s="1" t="s">
        <v>74</v>
      </c>
      <c r="F663" s="1" t="s">
        <v>6324</v>
      </c>
      <c r="G663" s="1" t="s">
        <v>74</v>
      </c>
      <c r="H663" s="1" t="s">
        <v>74</v>
      </c>
      <c r="I663" s="1" t="s">
        <v>6325</v>
      </c>
      <c r="J663" s="1" t="s">
        <v>3083</v>
      </c>
      <c r="K663" s="1" t="s">
        <v>74</v>
      </c>
      <c r="L663" s="1" t="s">
        <v>74</v>
      </c>
      <c r="M663" s="1" t="s">
        <v>74</v>
      </c>
      <c r="N663" s="1" t="s">
        <v>74</v>
      </c>
      <c r="O663" s="1" t="s">
        <v>74</v>
      </c>
      <c r="P663" s="1" t="s">
        <v>74</v>
      </c>
      <c r="Q663" s="1" t="s">
        <v>74</v>
      </c>
      <c r="R663" s="1" t="s">
        <v>74</v>
      </c>
      <c r="S663" s="1" t="s">
        <v>74</v>
      </c>
      <c r="T663" s="1" t="s">
        <v>74</v>
      </c>
      <c r="U663" s="1" t="s">
        <v>74</v>
      </c>
      <c r="V663" s="1" t="s">
        <v>6326</v>
      </c>
      <c r="W663" s="1" t="s">
        <v>74</v>
      </c>
      <c r="X663" s="1" t="s">
        <v>74</v>
      </c>
      <c r="Y663" s="1" t="s">
        <v>74</v>
      </c>
      <c r="Z663" s="1" t="s">
        <v>74</v>
      </c>
      <c r="AA663" s="1" t="s">
        <v>74</v>
      </c>
      <c r="AB663" s="1" t="s">
        <v>6327</v>
      </c>
      <c r="AC663" s="1" t="s">
        <v>74</v>
      </c>
      <c r="AD663" s="1" t="s">
        <v>74</v>
      </c>
      <c r="AE663" s="1" t="s">
        <v>74</v>
      </c>
      <c r="AF663" s="1" t="s">
        <v>74</v>
      </c>
      <c r="AG663" s="1" t="s">
        <v>74</v>
      </c>
      <c r="AH663" s="1" t="s">
        <v>74</v>
      </c>
      <c r="AI663" s="1" t="s">
        <v>74</v>
      </c>
      <c r="AJ663" s="1" t="s">
        <v>74</v>
      </c>
      <c r="AK663" s="1" t="s">
        <v>74</v>
      </c>
      <c r="AL663" s="1" t="s">
        <v>74</v>
      </c>
      <c r="AM663" s="1" t="s">
        <v>74</v>
      </c>
      <c r="AN663" s="1" t="s">
        <v>74</v>
      </c>
      <c r="AO663" s="1" t="s">
        <v>3087</v>
      </c>
      <c r="AP663" s="1" t="s">
        <v>3088</v>
      </c>
      <c r="AQ663" s="1" t="s">
        <v>74</v>
      </c>
      <c r="AR663" s="1" t="s">
        <v>74</v>
      </c>
      <c r="AS663" s="1" t="s">
        <v>74</v>
      </c>
      <c r="AT663" s="1" t="s">
        <v>74</v>
      </c>
      <c r="AU663" s="1">
        <v>1998.0</v>
      </c>
      <c r="AV663" s="1">
        <v>31.0</v>
      </c>
      <c r="AW663" s="1">
        <v>4.0</v>
      </c>
      <c r="AX663" s="1" t="s">
        <v>74</v>
      </c>
      <c r="AY663" s="1" t="s">
        <v>74</v>
      </c>
      <c r="AZ663" s="1" t="s">
        <v>74</v>
      </c>
      <c r="BA663" s="1" t="s">
        <v>74</v>
      </c>
      <c r="BB663" s="1">
        <v>329.0</v>
      </c>
      <c r="BC663" s="1">
        <v>338.0</v>
      </c>
      <c r="BD663" s="1" t="s">
        <v>74</v>
      </c>
      <c r="BE663" s="1" t="s">
        <v>74</v>
      </c>
      <c r="BF663" s="1" t="s">
        <v>74</v>
      </c>
      <c r="BG663" s="1" t="s">
        <v>74</v>
      </c>
      <c r="BH663" s="1" t="s">
        <v>74</v>
      </c>
      <c r="BI663" s="1" t="s">
        <v>74</v>
      </c>
      <c r="BJ663" s="1" t="s">
        <v>74</v>
      </c>
      <c r="BK663" s="1" t="s">
        <v>74</v>
      </c>
      <c r="BL663" s="1" t="s">
        <v>74</v>
      </c>
      <c r="BM663" s="1" t="s">
        <v>74</v>
      </c>
      <c r="BN663" s="1">
        <v>1.0029896E7</v>
      </c>
      <c r="BO663" s="1" t="s">
        <v>74</v>
      </c>
      <c r="BP663" s="1" t="s">
        <v>74</v>
      </c>
      <c r="BQ663" s="1" t="s">
        <v>74</v>
      </c>
      <c r="BR663" s="1" t="s">
        <v>74</v>
      </c>
      <c r="BS663" s="1" t="s">
        <v>6328</v>
      </c>
      <c r="BT663" s="1" t="str">
        <f>HYPERLINK("https%3A%2F%2Fwww.webofscience.com%2Fwos%2Fwoscc%2Ffull-record%2FWOS:000077870500003","View Full Record in Web of Science")</f>
        <v>View Full Record in Web of Science</v>
      </c>
    </row>
    <row r="664" ht="12.75" customHeight="1">
      <c r="A664" s="1" t="s">
        <v>72</v>
      </c>
      <c r="B664" s="1" t="s">
        <v>6329</v>
      </c>
      <c r="C664" s="1" t="s">
        <v>74</v>
      </c>
      <c r="D664" s="1" t="s">
        <v>74</v>
      </c>
      <c r="E664" s="1" t="s">
        <v>74</v>
      </c>
      <c r="F664" s="1" t="s">
        <v>6329</v>
      </c>
      <c r="G664" s="1" t="s">
        <v>74</v>
      </c>
      <c r="H664" s="1" t="s">
        <v>74</v>
      </c>
      <c r="I664" s="1" t="s">
        <v>6330</v>
      </c>
      <c r="J664" s="1" t="s">
        <v>2004</v>
      </c>
      <c r="K664" s="1" t="s">
        <v>74</v>
      </c>
      <c r="L664" s="1" t="s">
        <v>74</v>
      </c>
      <c r="M664" s="1" t="s">
        <v>74</v>
      </c>
      <c r="N664" s="1" t="s">
        <v>74</v>
      </c>
      <c r="O664" s="1" t="s">
        <v>74</v>
      </c>
      <c r="P664" s="1" t="s">
        <v>74</v>
      </c>
      <c r="Q664" s="1" t="s">
        <v>74</v>
      </c>
      <c r="R664" s="1" t="s">
        <v>74</v>
      </c>
      <c r="S664" s="1" t="s">
        <v>74</v>
      </c>
      <c r="T664" s="1" t="s">
        <v>74</v>
      </c>
      <c r="U664" s="1" t="s">
        <v>74</v>
      </c>
      <c r="V664" s="1" t="s">
        <v>6331</v>
      </c>
      <c r="W664" s="1" t="s">
        <v>74</v>
      </c>
      <c r="X664" s="1" t="s">
        <v>74</v>
      </c>
      <c r="Y664" s="1" t="s">
        <v>74</v>
      </c>
      <c r="Z664" s="1" t="s">
        <v>74</v>
      </c>
      <c r="AA664" s="1" t="s">
        <v>74</v>
      </c>
      <c r="AB664" s="1" t="s">
        <v>74</v>
      </c>
      <c r="AC664" s="1" t="s">
        <v>74</v>
      </c>
      <c r="AD664" s="1" t="s">
        <v>74</v>
      </c>
      <c r="AE664" s="1" t="s">
        <v>74</v>
      </c>
      <c r="AF664" s="1" t="s">
        <v>74</v>
      </c>
      <c r="AG664" s="1" t="s">
        <v>74</v>
      </c>
      <c r="AH664" s="1" t="s">
        <v>74</v>
      </c>
      <c r="AI664" s="1" t="s">
        <v>74</v>
      </c>
      <c r="AJ664" s="1" t="s">
        <v>74</v>
      </c>
      <c r="AK664" s="1" t="s">
        <v>74</v>
      </c>
      <c r="AL664" s="1" t="s">
        <v>74</v>
      </c>
      <c r="AM664" s="1" t="s">
        <v>74</v>
      </c>
      <c r="AN664" s="1" t="s">
        <v>74</v>
      </c>
      <c r="AO664" s="1" t="s">
        <v>2008</v>
      </c>
      <c r="AP664" s="1" t="s">
        <v>74</v>
      </c>
      <c r="AQ664" s="1" t="s">
        <v>74</v>
      </c>
      <c r="AR664" s="1" t="s">
        <v>74</v>
      </c>
      <c r="AS664" s="1" t="s">
        <v>74</v>
      </c>
      <c r="AT664" s="1" t="s">
        <v>74</v>
      </c>
      <c r="AU664" s="1">
        <v>1997.0</v>
      </c>
      <c r="AV664" s="1">
        <v>28.0</v>
      </c>
      <c r="AW664" s="1" t="s">
        <v>6332</v>
      </c>
      <c r="AX664" s="1" t="s">
        <v>74</v>
      </c>
      <c r="AY664" s="1" t="s">
        <v>74</v>
      </c>
      <c r="AZ664" s="1" t="s">
        <v>74</v>
      </c>
      <c r="BA664" s="1" t="s">
        <v>74</v>
      </c>
      <c r="BB664" s="1">
        <v>899.0</v>
      </c>
      <c r="BC664" s="1">
        <v>912.0</v>
      </c>
      <c r="BD664" s="1" t="s">
        <v>74</v>
      </c>
      <c r="BE664" s="1" t="s">
        <v>6333</v>
      </c>
      <c r="BF664" s="2" t="str">
        <f>HYPERLINK("http://dx.doi.org/10.1080/00103629709369841","http://dx.doi.org/10.1080/00103629709369841")</f>
        <v>http://dx.doi.org/10.1080/00103629709369841</v>
      </c>
      <c r="BG664" s="1" t="s">
        <v>74</v>
      </c>
      <c r="BH664" s="1" t="s">
        <v>74</v>
      </c>
      <c r="BI664" s="1" t="s">
        <v>74</v>
      </c>
      <c r="BJ664" s="1" t="s">
        <v>74</v>
      </c>
      <c r="BK664" s="1" t="s">
        <v>74</v>
      </c>
      <c r="BL664" s="1" t="s">
        <v>74</v>
      </c>
      <c r="BM664" s="1" t="s">
        <v>74</v>
      </c>
      <c r="BN664" s="1" t="s">
        <v>74</v>
      </c>
      <c r="BO664" s="1" t="s">
        <v>74</v>
      </c>
      <c r="BP664" s="1" t="s">
        <v>74</v>
      </c>
      <c r="BQ664" s="1" t="s">
        <v>74</v>
      </c>
      <c r="BR664" s="1" t="s">
        <v>74</v>
      </c>
      <c r="BS664" s="1" t="s">
        <v>6334</v>
      </c>
      <c r="BT664" s="1" t="str">
        <f>HYPERLINK("https%3A%2F%2Fwww.webofscience.com%2Fwos%2Fwoscc%2Ffull-record%2FWOS:A1997XL66900006","View Full Record in Web of Science")</f>
        <v>View Full Record in Web of Science</v>
      </c>
    </row>
    <row r="665" ht="12.75" customHeight="1">
      <c r="A665" s="1" t="s">
        <v>72</v>
      </c>
      <c r="B665" s="1" t="s">
        <v>6335</v>
      </c>
      <c r="C665" s="1" t="s">
        <v>74</v>
      </c>
      <c r="D665" s="1" t="s">
        <v>74</v>
      </c>
      <c r="E665" s="1" t="s">
        <v>74</v>
      </c>
      <c r="F665" s="1" t="s">
        <v>6335</v>
      </c>
      <c r="G665" s="1" t="s">
        <v>74</v>
      </c>
      <c r="H665" s="1" t="s">
        <v>74</v>
      </c>
      <c r="I665" s="1" t="s">
        <v>6336</v>
      </c>
      <c r="J665" s="1" t="s">
        <v>3358</v>
      </c>
      <c r="K665" s="1" t="s">
        <v>74</v>
      </c>
      <c r="L665" s="1" t="s">
        <v>74</v>
      </c>
      <c r="M665" s="1" t="s">
        <v>74</v>
      </c>
      <c r="N665" s="1" t="s">
        <v>74</v>
      </c>
      <c r="O665" s="1" t="s">
        <v>74</v>
      </c>
      <c r="P665" s="1" t="s">
        <v>74</v>
      </c>
      <c r="Q665" s="1" t="s">
        <v>74</v>
      </c>
      <c r="R665" s="1" t="s">
        <v>74</v>
      </c>
      <c r="S665" s="1" t="s">
        <v>74</v>
      </c>
      <c r="T665" s="1" t="s">
        <v>74</v>
      </c>
      <c r="U665" s="1" t="s">
        <v>74</v>
      </c>
      <c r="V665" s="1" t="s">
        <v>6337</v>
      </c>
      <c r="W665" s="1" t="s">
        <v>74</v>
      </c>
      <c r="X665" s="1" t="s">
        <v>74</v>
      </c>
      <c r="Y665" s="1" t="s">
        <v>74</v>
      </c>
      <c r="Z665" s="1" t="s">
        <v>74</v>
      </c>
      <c r="AA665" s="1" t="s">
        <v>74</v>
      </c>
      <c r="AB665" s="1" t="s">
        <v>74</v>
      </c>
      <c r="AC665" s="1" t="s">
        <v>74</v>
      </c>
      <c r="AD665" s="1" t="s">
        <v>74</v>
      </c>
      <c r="AE665" s="1" t="s">
        <v>74</v>
      </c>
      <c r="AF665" s="1" t="s">
        <v>74</v>
      </c>
      <c r="AG665" s="1" t="s">
        <v>74</v>
      </c>
      <c r="AH665" s="1" t="s">
        <v>74</v>
      </c>
      <c r="AI665" s="1" t="s">
        <v>74</v>
      </c>
      <c r="AJ665" s="1" t="s">
        <v>74</v>
      </c>
      <c r="AK665" s="1" t="s">
        <v>74</v>
      </c>
      <c r="AL665" s="1" t="s">
        <v>74</v>
      </c>
      <c r="AM665" s="1" t="s">
        <v>74</v>
      </c>
      <c r="AN665" s="1" t="s">
        <v>74</v>
      </c>
      <c r="AO665" s="1" t="s">
        <v>3362</v>
      </c>
      <c r="AP665" s="1" t="s">
        <v>74</v>
      </c>
      <c r="AQ665" s="1" t="s">
        <v>74</v>
      </c>
      <c r="AR665" s="1" t="s">
        <v>74</v>
      </c>
      <c r="AS665" s="1" t="s">
        <v>74</v>
      </c>
      <c r="AT665" s="1" t="s">
        <v>211</v>
      </c>
      <c r="AU665" s="1">
        <v>1996.0</v>
      </c>
      <c r="AV665" s="1">
        <v>32.0</v>
      </c>
      <c r="AW665" s="1">
        <v>4.0</v>
      </c>
      <c r="AX665" s="1" t="s">
        <v>74</v>
      </c>
      <c r="AY665" s="1" t="s">
        <v>74</v>
      </c>
      <c r="AZ665" s="1" t="s">
        <v>74</v>
      </c>
      <c r="BA665" s="1" t="s">
        <v>74</v>
      </c>
      <c r="BB665" s="1">
        <v>215.0</v>
      </c>
      <c r="BC665" s="1">
        <v>222.0</v>
      </c>
      <c r="BD665" s="1" t="s">
        <v>74</v>
      </c>
      <c r="BE665" s="1" t="s">
        <v>74</v>
      </c>
      <c r="BF665" s="1" t="s">
        <v>74</v>
      </c>
      <c r="BG665" s="1" t="s">
        <v>74</v>
      </c>
      <c r="BH665" s="1" t="s">
        <v>74</v>
      </c>
      <c r="BI665" s="1" t="s">
        <v>74</v>
      </c>
      <c r="BJ665" s="1" t="s">
        <v>74</v>
      </c>
      <c r="BK665" s="1" t="s">
        <v>74</v>
      </c>
      <c r="BL665" s="1" t="s">
        <v>74</v>
      </c>
      <c r="BM665" s="1" t="s">
        <v>74</v>
      </c>
      <c r="BN665" s="1" t="s">
        <v>74</v>
      </c>
      <c r="BO665" s="1" t="s">
        <v>74</v>
      </c>
      <c r="BP665" s="1" t="s">
        <v>74</v>
      </c>
      <c r="BQ665" s="1" t="s">
        <v>74</v>
      </c>
      <c r="BR665" s="1" t="s">
        <v>74</v>
      </c>
      <c r="BS665" s="1" t="s">
        <v>6338</v>
      </c>
      <c r="BT665" s="1" t="str">
        <f>HYPERLINK("https%3A%2F%2Fwww.webofscience.com%2Fwos%2Fwoscc%2Ffull-record%2FWOS:A1996VJ57700001","View Full Record in Web of Science")</f>
        <v>View Full Record in Web of Science</v>
      </c>
    </row>
    <row r="666" ht="12.75" customHeight="1">
      <c r="A666" s="1" t="s">
        <v>72</v>
      </c>
      <c r="B666" s="1" t="s">
        <v>6339</v>
      </c>
      <c r="C666" s="1" t="s">
        <v>74</v>
      </c>
      <c r="D666" s="1" t="s">
        <v>74</v>
      </c>
      <c r="E666" s="1" t="s">
        <v>74</v>
      </c>
      <c r="F666" s="1" t="s">
        <v>6339</v>
      </c>
      <c r="G666" s="1" t="s">
        <v>74</v>
      </c>
      <c r="H666" s="1" t="s">
        <v>74</v>
      </c>
      <c r="I666" s="1" t="s">
        <v>6340</v>
      </c>
      <c r="J666" s="1" t="s">
        <v>6341</v>
      </c>
      <c r="K666" s="1" t="s">
        <v>74</v>
      </c>
      <c r="L666" s="1" t="s">
        <v>74</v>
      </c>
      <c r="M666" s="1" t="s">
        <v>74</v>
      </c>
      <c r="N666" s="1" t="s">
        <v>74</v>
      </c>
      <c r="O666" s="1" t="s">
        <v>74</v>
      </c>
      <c r="P666" s="1" t="s">
        <v>74</v>
      </c>
      <c r="Q666" s="1" t="s">
        <v>74</v>
      </c>
      <c r="R666" s="1" t="s">
        <v>74</v>
      </c>
      <c r="S666" s="1" t="s">
        <v>74</v>
      </c>
      <c r="T666" s="1" t="s">
        <v>74</v>
      </c>
      <c r="U666" s="1" t="s">
        <v>74</v>
      </c>
      <c r="V666" s="1" t="s">
        <v>6342</v>
      </c>
      <c r="W666" s="1" t="s">
        <v>74</v>
      </c>
      <c r="X666" s="1" t="s">
        <v>74</v>
      </c>
      <c r="Y666" s="1" t="s">
        <v>74</v>
      </c>
      <c r="Z666" s="1" t="s">
        <v>74</v>
      </c>
      <c r="AA666" s="1" t="s">
        <v>74</v>
      </c>
      <c r="AB666" s="1" t="s">
        <v>6343</v>
      </c>
      <c r="AC666" s="1" t="s">
        <v>74</v>
      </c>
      <c r="AD666" s="1" t="s">
        <v>74</v>
      </c>
      <c r="AE666" s="1" t="s">
        <v>74</v>
      </c>
      <c r="AF666" s="1" t="s">
        <v>74</v>
      </c>
      <c r="AG666" s="1" t="s">
        <v>74</v>
      </c>
      <c r="AH666" s="1" t="s">
        <v>74</v>
      </c>
      <c r="AI666" s="1" t="s">
        <v>74</v>
      </c>
      <c r="AJ666" s="1" t="s">
        <v>74</v>
      </c>
      <c r="AK666" s="1" t="s">
        <v>74</v>
      </c>
      <c r="AL666" s="1" t="s">
        <v>74</v>
      </c>
      <c r="AM666" s="1" t="s">
        <v>74</v>
      </c>
      <c r="AN666" s="1" t="s">
        <v>74</v>
      </c>
      <c r="AO666" s="1" t="s">
        <v>6344</v>
      </c>
      <c r="AP666" s="1" t="s">
        <v>74</v>
      </c>
      <c r="AQ666" s="1" t="s">
        <v>74</v>
      </c>
      <c r="AR666" s="1" t="s">
        <v>74</v>
      </c>
      <c r="AS666" s="1" t="s">
        <v>74</v>
      </c>
      <c r="AT666" s="1" t="s">
        <v>421</v>
      </c>
      <c r="AU666" s="1">
        <v>1996.0</v>
      </c>
      <c r="AV666" s="1">
        <v>87.0</v>
      </c>
      <c r="AW666" s="1">
        <v>2.0</v>
      </c>
      <c r="AX666" s="1" t="s">
        <v>74</v>
      </c>
      <c r="AY666" s="1" t="s">
        <v>74</v>
      </c>
      <c r="AZ666" s="1" t="s">
        <v>74</v>
      </c>
      <c r="BA666" s="1" t="s">
        <v>74</v>
      </c>
      <c r="BB666" s="1">
        <v>153.0</v>
      </c>
      <c r="BC666" s="1">
        <v>160.0</v>
      </c>
      <c r="BD666" s="1" t="s">
        <v>74</v>
      </c>
      <c r="BE666" s="1" t="s">
        <v>6345</v>
      </c>
      <c r="BF666" s="2" t="str">
        <f>HYPERLINK("http://dx.doi.org/10.1016/0032-5910(95)03083-2","http://dx.doi.org/10.1016/0032-5910(95)03083-2")</f>
        <v>http://dx.doi.org/10.1016/0032-5910(95)03083-2</v>
      </c>
      <c r="BG666" s="1" t="s">
        <v>74</v>
      </c>
      <c r="BH666" s="1" t="s">
        <v>74</v>
      </c>
      <c r="BI666" s="1" t="s">
        <v>74</v>
      </c>
      <c r="BJ666" s="1" t="s">
        <v>74</v>
      </c>
      <c r="BK666" s="1" t="s">
        <v>74</v>
      </c>
      <c r="BL666" s="1" t="s">
        <v>74</v>
      </c>
      <c r="BM666" s="1" t="s">
        <v>74</v>
      </c>
      <c r="BN666" s="1" t="s">
        <v>74</v>
      </c>
      <c r="BO666" s="1" t="s">
        <v>74</v>
      </c>
      <c r="BP666" s="1" t="s">
        <v>74</v>
      </c>
      <c r="BQ666" s="1" t="s">
        <v>74</v>
      </c>
      <c r="BR666" s="1" t="s">
        <v>74</v>
      </c>
      <c r="BS666" s="1" t="s">
        <v>6346</v>
      </c>
      <c r="BT666" s="1" t="str">
        <f>HYPERLINK("https%3A%2F%2Fwww.webofscience.com%2Fwos%2Fwoscc%2Ffull-record%2FWOS:A1996UR06300006","View Full Record in Web of Science")</f>
        <v>View Full Record in Web of Science</v>
      </c>
    </row>
    <row r="667" ht="12.75" customHeight="1">
      <c r="A667" s="1" t="s">
        <v>72</v>
      </c>
      <c r="B667" s="1" t="s">
        <v>6347</v>
      </c>
      <c r="C667" s="1" t="s">
        <v>74</v>
      </c>
      <c r="D667" s="1" t="s">
        <v>74</v>
      </c>
      <c r="E667" s="1" t="s">
        <v>74</v>
      </c>
      <c r="F667" s="1" t="s">
        <v>6347</v>
      </c>
      <c r="G667" s="1" t="s">
        <v>74</v>
      </c>
      <c r="H667" s="1" t="s">
        <v>74</v>
      </c>
      <c r="I667" s="1" t="s">
        <v>6348</v>
      </c>
      <c r="J667" s="1" t="s">
        <v>6349</v>
      </c>
      <c r="K667" s="1" t="s">
        <v>74</v>
      </c>
      <c r="L667" s="1" t="s">
        <v>74</v>
      </c>
      <c r="M667" s="1" t="s">
        <v>74</v>
      </c>
      <c r="N667" s="1" t="s">
        <v>74</v>
      </c>
      <c r="O667" s="1" t="s">
        <v>74</v>
      </c>
      <c r="P667" s="1" t="s">
        <v>74</v>
      </c>
      <c r="Q667" s="1" t="s">
        <v>74</v>
      </c>
      <c r="R667" s="1" t="s">
        <v>74</v>
      </c>
      <c r="S667" s="1" t="s">
        <v>74</v>
      </c>
      <c r="T667" s="1" t="s">
        <v>74</v>
      </c>
      <c r="U667" s="1" t="s">
        <v>74</v>
      </c>
      <c r="V667" s="1" t="s">
        <v>74</v>
      </c>
      <c r="W667" s="1" t="s">
        <v>74</v>
      </c>
      <c r="X667" s="1" t="s">
        <v>74</v>
      </c>
      <c r="Y667" s="1" t="s">
        <v>74</v>
      </c>
      <c r="Z667" s="1" t="s">
        <v>74</v>
      </c>
      <c r="AA667" s="1" t="s">
        <v>74</v>
      </c>
      <c r="AB667" s="1" t="s">
        <v>442</v>
      </c>
      <c r="AC667" s="1" t="s">
        <v>74</v>
      </c>
      <c r="AD667" s="1" t="s">
        <v>74</v>
      </c>
      <c r="AE667" s="1" t="s">
        <v>74</v>
      </c>
      <c r="AF667" s="1" t="s">
        <v>74</v>
      </c>
      <c r="AG667" s="1" t="s">
        <v>74</v>
      </c>
      <c r="AH667" s="1" t="s">
        <v>74</v>
      </c>
      <c r="AI667" s="1" t="s">
        <v>74</v>
      </c>
      <c r="AJ667" s="1" t="s">
        <v>74</v>
      </c>
      <c r="AK667" s="1" t="s">
        <v>74</v>
      </c>
      <c r="AL667" s="1" t="s">
        <v>74</v>
      </c>
      <c r="AM667" s="1" t="s">
        <v>74</v>
      </c>
      <c r="AN667" s="1" t="s">
        <v>74</v>
      </c>
      <c r="AO667" s="1" t="s">
        <v>6350</v>
      </c>
      <c r="AP667" s="1" t="s">
        <v>74</v>
      </c>
      <c r="AQ667" s="1" t="s">
        <v>74</v>
      </c>
      <c r="AR667" s="1" t="s">
        <v>74</v>
      </c>
      <c r="AS667" s="1" t="s">
        <v>74</v>
      </c>
      <c r="AT667" s="1" t="s">
        <v>74</v>
      </c>
      <c r="AU667" s="1">
        <v>1995.0</v>
      </c>
      <c r="AV667" s="1">
        <v>337.0</v>
      </c>
      <c r="AW667" s="1">
        <v>1.0</v>
      </c>
      <c r="AX667" s="1" t="s">
        <v>74</v>
      </c>
      <c r="AY667" s="1" t="s">
        <v>74</v>
      </c>
      <c r="AZ667" s="1" t="s">
        <v>74</v>
      </c>
      <c r="BA667" s="1" t="s">
        <v>74</v>
      </c>
      <c r="BB667" s="1">
        <v>66.0</v>
      </c>
      <c r="BC667" s="1">
        <v>67.0</v>
      </c>
      <c r="BD667" s="1" t="s">
        <v>74</v>
      </c>
      <c r="BE667" s="1" t="s">
        <v>6351</v>
      </c>
      <c r="BF667" s="2" t="str">
        <f>HYPERLINK("http://dx.doi.org/10.1002/prac.19953370115","http://dx.doi.org/10.1002/prac.19953370115")</f>
        <v>http://dx.doi.org/10.1002/prac.19953370115</v>
      </c>
      <c r="BG667" s="1" t="s">
        <v>74</v>
      </c>
      <c r="BH667" s="1" t="s">
        <v>74</v>
      </c>
      <c r="BI667" s="1" t="s">
        <v>74</v>
      </c>
      <c r="BJ667" s="1" t="s">
        <v>74</v>
      </c>
      <c r="BK667" s="1" t="s">
        <v>74</v>
      </c>
      <c r="BL667" s="1" t="s">
        <v>74</v>
      </c>
      <c r="BM667" s="1" t="s">
        <v>74</v>
      </c>
      <c r="BN667" s="1" t="s">
        <v>74</v>
      </c>
      <c r="BO667" s="1" t="s">
        <v>74</v>
      </c>
      <c r="BP667" s="1" t="s">
        <v>74</v>
      </c>
      <c r="BQ667" s="1" t="s">
        <v>74</v>
      </c>
      <c r="BR667" s="1" t="s">
        <v>74</v>
      </c>
      <c r="BS667" s="1" t="s">
        <v>6352</v>
      </c>
      <c r="BT667" s="1" t="str">
        <f>HYPERLINK("https%3A%2F%2Fwww.webofscience.com%2Fwos%2Fwoscc%2Ffull-record%2FWOS:A1995QF24700014","View Full Record in Web of Science")</f>
        <v>View Full Record in Web of Science</v>
      </c>
    </row>
    <row r="668" ht="12.75" customHeight="1">
      <c r="A668" s="1" t="s">
        <v>72</v>
      </c>
      <c r="B668" s="1" t="s">
        <v>6353</v>
      </c>
      <c r="C668" s="1" t="s">
        <v>74</v>
      </c>
      <c r="D668" s="1" t="s">
        <v>74</v>
      </c>
      <c r="E668" s="1" t="s">
        <v>74</v>
      </c>
      <c r="F668" s="1" t="s">
        <v>6353</v>
      </c>
      <c r="G668" s="1" t="s">
        <v>74</v>
      </c>
      <c r="H668" s="1" t="s">
        <v>74</v>
      </c>
      <c r="I668" s="1" t="s">
        <v>6354</v>
      </c>
      <c r="J668" s="1" t="s">
        <v>439</v>
      </c>
      <c r="K668" s="1" t="s">
        <v>74</v>
      </c>
      <c r="L668" s="1" t="s">
        <v>74</v>
      </c>
      <c r="M668" s="1" t="s">
        <v>74</v>
      </c>
      <c r="N668" s="1" t="s">
        <v>74</v>
      </c>
      <c r="O668" s="1" t="s">
        <v>74</v>
      </c>
      <c r="P668" s="1" t="s">
        <v>74</v>
      </c>
      <c r="Q668" s="1" t="s">
        <v>74</v>
      </c>
      <c r="R668" s="1" t="s">
        <v>74</v>
      </c>
      <c r="S668" s="1" t="s">
        <v>74</v>
      </c>
      <c r="T668" s="1" t="s">
        <v>74</v>
      </c>
      <c r="U668" s="1" t="s">
        <v>74</v>
      </c>
      <c r="V668" s="1" t="s">
        <v>74</v>
      </c>
      <c r="W668" s="1" t="s">
        <v>74</v>
      </c>
      <c r="X668" s="1" t="s">
        <v>74</v>
      </c>
      <c r="Y668" s="1" t="s">
        <v>74</v>
      </c>
      <c r="Z668" s="1" t="s">
        <v>74</v>
      </c>
      <c r="AA668" s="1" t="s">
        <v>6355</v>
      </c>
      <c r="AB668" s="1" t="s">
        <v>442</v>
      </c>
      <c r="AC668" s="1" t="s">
        <v>74</v>
      </c>
      <c r="AD668" s="1" t="s">
        <v>74</v>
      </c>
      <c r="AE668" s="1" t="s">
        <v>74</v>
      </c>
      <c r="AF668" s="1" t="s">
        <v>74</v>
      </c>
      <c r="AG668" s="1" t="s">
        <v>74</v>
      </c>
      <c r="AH668" s="1" t="s">
        <v>74</v>
      </c>
      <c r="AI668" s="1" t="s">
        <v>74</v>
      </c>
      <c r="AJ668" s="1" t="s">
        <v>74</v>
      </c>
      <c r="AK668" s="1" t="s">
        <v>74</v>
      </c>
      <c r="AL668" s="1" t="s">
        <v>74</v>
      </c>
      <c r="AM668" s="1" t="s">
        <v>74</v>
      </c>
      <c r="AN668" s="1" t="s">
        <v>74</v>
      </c>
      <c r="AO668" s="1" t="s">
        <v>443</v>
      </c>
      <c r="AP668" s="1" t="s">
        <v>74</v>
      </c>
      <c r="AQ668" s="1" t="s">
        <v>74</v>
      </c>
      <c r="AR668" s="1" t="s">
        <v>74</v>
      </c>
      <c r="AS668" s="1" t="s">
        <v>74</v>
      </c>
      <c r="AT668" s="1" t="s">
        <v>415</v>
      </c>
      <c r="AU668" s="1">
        <v>1994.0</v>
      </c>
      <c r="AV668" s="1">
        <v>60.0</v>
      </c>
      <c r="AW668" s="1">
        <v>6.0</v>
      </c>
      <c r="AX668" s="1" t="s">
        <v>74</v>
      </c>
      <c r="AY668" s="1" t="s">
        <v>74</v>
      </c>
      <c r="AZ668" s="1" t="s">
        <v>74</v>
      </c>
      <c r="BA668" s="1" t="s">
        <v>74</v>
      </c>
      <c r="BB668" s="1">
        <v>598.0</v>
      </c>
      <c r="BC668" s="1">
        <v>599.0</v>
      </c>
      <c r="BD668" s="1" t="s">
        <v>74</v>
      </c>
      <c r="BE668" s="1" t="s">
        <v>6356</v>
      </c>
      <c r="BF668" s="2" t="str">
        <f>HYPERLINK("http://dx.doi.org/10.1055/s-2006-959588","http://dx.doi.org/10.1055/s-2006-959588")</f>
        <v>http://dx.doi.org/10.1055/s-2006-959588</v>
      </c>
      <c r="BG668" s="1" t="s">
        <v>74</v>
      </c>
      <c r="BH668" s="1" t="s">
        <v>74</v>
      </c>
      <c r="BI668" s="1" t="s">
        <v>74</v>
      </c>
      <c r="BJ668" s="1" t="s">
        <v>74</v>
      </c>
      <c r="BK668" s="1" t="s">
        <v>74</v>
      </c>
      <c r="BL668" s="1" t="s">
        <v>74</v>
      </c>
      <c r="BM668" s="1" t="s">
        <v>74</v>
      </c>
      <c r="BN668" s="1">
        <v>7809218.0</v>
      </c>
      <c r="BO668" s="1" t="s">
        <v>74</v>
      </c>
      <c r="BP668" s="1" t="s">
        <v>74</v>
      </c>
      <c r="BQ668" s="1" t="s">
        <v>74</v>
      </c>
      <c r="BR668" s="1" t="s">
        <v>74</v>
      </c>
      <c r="BS668" s="1" t="s">
        <v>6357</v>
      </c>
      <c r="BT668" s="1" t="str">
        <f>HYPERLINK("https%3A%2F%2Fwww.webofscience.com%2Fwos%2Fwoscc%2Ffull-record%2FWOS:A1994PZ15200030","View Full Record in Web of Science")</f>
        <v>View Full Record in Web of Science</v>
      </c>
    </row>
    <row r="669" ht="12.75" customHeight="1">
      <c r="A669" s="1" t="s">
        <v>72</v>
      </c>
      <c r="B669" s="1" t="s">
        <v>6358</v>
      </c>
      <c r="C669" s="1" t="s">
        <v>74</v>
      </c>
      <c r="D669" s="1" t="s">
        <v>74</v>
      </c>
      <c r="E669" s="1" t="s">
        <v>74</v>
      </c>
      <c r="F669" s="1" t="s">
        <v>6358</v>
      </c>
      <c r="G669" s="1" t="s">
        <v>74</v>
      </c>
      <c r="H669" s="1" t="s">
        <v>74</v>
      </c>
      <c r="I669" s="1" t="s">
        <v>6359</v>
      </c>
      <c r="J669" s="1" t="s">
        <v>6360</v>
      </c>
      <c r="K669" s="1" t="s">
        <v>74</v>
      </c>
      <c r="L669" s="1" t="s">
        <v>74</v>
      </c>
      <c r="M669" s="1" t="s">
        <v>74</v>
      </c>
      <c r="N669" s="1" t="s">
        <v>74</v>
      </c>
      <c r="O669" s="1" t="s">
        <v>74</v>
      </c>
      <c r="P669" s="1" t="s">
        <v>74</v>
      </c>
      <c r="Q669" s="1" t="s">
        <v>74</v>
      </c>
      <c r="R669" s="1" t="s">
        <v>74</v>
      </c>
      <c r="S669" s="1" t="s">
        <v>74</v>
      </c>
      <c r="T669" s="1" t="s">
        <v>74</v>
      </c>
      <c r="U669" s="1" t="s">
        <v>74</v>
      </c>
      <c r="V669" s="1" t="s">
        <v>6361</v>
      </c>
      <c r="W669" s="1" t="s">
        <v>74</v>
      </c>
      <c r="X669" s="1" t="s">
        <v>74</v>
      </c>
      <c r="Y669" s="1" t="s">
        <v>74</v>
      </c>
      <c r="Z669" s="1" t="s">
        <v>74</v>
      </c>
      <c r="AA669" s="1" t="s">
        <v>5623</v>
      </c>
      <c r="AB669" s="1" t="s">
        <v>5624</v>
      </c>
      <c r="AC669" s="1" t="s">
        <v>74</v>
      </c>
      <c r="AD669" s="1" t="s">
        <v>74</v>
      </c>
      <c r="AE669" s="1" t="s">
        <v>74</v>
      </c>
      <c r="AF669" s="1" t="s">
        <v>74</v>
      </c>
      <c r="AG669" s="1" t="s">
        <v>74</v>
      </c>
      <c r="AH669" s="1" t="s">
        <v>74</v>
      </c>
      <c r="AI669" s="1" t="s">
        <v>74</v>
      </c>
      <c r="AJ669" s="1" t="s">
        <v>74</v>
      </c>
      <c r="AK669" s="1" t="s">
        <v>74</v>
      </c>
      <c r="AL669" s="1" t="s">
        <v>74</v>
      </c>
      <c r="AM669" s="1" t="s">
        <v>74</v>
      </c>
      <c r="AN669" s="1" t="s">
        <v>74</v>
      </c>
      <c r="AO669" s="1" t="s">
        <v>6362</v>
      </c>
      <c r="AP669" s="1" t="s">
        <v>6363</v>
      </c>
      <c r="AQ669" s="1" t="s">
        <v>74</v>
      </c>
      <c r="AR669" s="1" t="s">
        <v>74</v>
      </c>
      <c r="AS669" s="1" t="s">
        <v>74</v>
      </c>
      <c r="AT669" s="1" t="s">
        <v>122</v>
      </c>
      <c r="AU669" s="1">
        <v>1994.0</v>
      </c>
      <c r="AV669" s="1">
        <v>50.0</v>
      </c>
      <c r="AW669" s="1">
        <v>2.0</v>
      </c>
      <c r="AX669" s="1" t="s">
        <v>86</v>
      </c>
      <c r="AY669" s="1" t="s">
        <v>74</v>
      </c>
      <c r="AZ669" s="1" t="s">
        <v>74</v>
      </c>
      <c r="BA669" s="1" t="s">
        <v>74</v>
      </c>
      <c r="BB669" s="1">
        <v>1867.0</v>
      </c>
      <c r="BC669" s="1">
        <v>1870.0</v>
      </c>
      <c r="BD669" s="1" t="s">
        <v>74</v>
      </c>
      <c r="BE669" s="1" t="s">
        <v>6364</v>
      </c>
      <c r="BF669" s="2" t="str">
        <f>HYPERLINK("http://dx.doi.org/10.1103/PhysRevA.50.1867","http://dx.doi.org/10.1103/PhysRevA.50.1867")</f>
        <v>http://dx.doi.org/10.1103/PhysRevA.50.1867</v>
      </c>
      <c r="BG669" s="1" t="s">
        <v>74</v>
      </c>
      <c r="BH669" s="1" t="s">
        <v>74</v>
      </c>
      <c r="BI669" s="1" t="s">
        <v>74</v>
      </c>
      <c r="BJ669" s="1" t="s">
        <v>74</v>
      </c>
      <c r="BK669" s="1" t="s">
        <v>74</v>
      </c>
      <c r="BL669" s="1" t="s">
        <v>74</v>
      </c>
      <c r="BM669" s="1" t="s">
        <v>74</v>
      </c>
      <c r="BN669" s="1">
        <v>9911081.0</v>
      </c>
      <c r="BO669" s="1" t="s">
        <v>74</v>
      </c>
      <c r="BP669" s="1" t="s">
        <v>74</v>
      </c>
      <c r="BQ669" s="1" t="s">
        <v>74</v>
      </c>
      <c r="BR669" s="1" t="s">
        <v>74</v>
      </c>
      <c r="BS669" s="1" t="s">
        <v>6365</v>
      </c>
      <c r="BT669" s="1" t="str">
        <f>HYPERLINK("https%3A%2F%2Fwww.webofscience.com%2Fwos%2Fwoscc%2Ffull-record%2FWOS:A1994PB59400046","View Full Record in Web of Science")</f>
        <v>View Full Record in Web of Science</v>
      </c>
    </row>
    <row r="670" ht="12.75" customHeight="1">
      <c r="A670" s="1" t="s">
        <v>72</v>
      </c>
      <c r="B670" s="1" t="s">
        <v>6366</v>
      </c>
      <c r="C670" s="1" t="s">
        <v>74</v>
      </c>
      <c r="D670" s="1" t="s">
        <v>74</v>
      </c>
      <c r="E670" s="1" t="s">
        <v>74</v>
      </c>
      <c r="F670" s="1" t="s">
        <v>6366</v>
      </c>
      <c r="G670" s="1" t="s">
        <v>74</v>
      </c>
      <c r="H670" s="1" t="s">
        <v>74</v>
      </c>
      <c r="I670" s="1" t="s">
        <v>6367</v>
      </c>
      <c r="J670" s="1" t="s">
        <v>5011</v>
      </c>
      <c r="K670" s="1" t="s">
        <v>74</v>
      </c>
      <c r="L670" s="1" t="s">
        <v>74</v>
      </c>
      <c r="M670" s="1" t="s">
        <v>74</v>
      </c>
      <c r="N670" s="1" t="s">
        <v>74</v>
      </c>
      <c r="O670" s="1" t="s">
        <v>74</v>
      </c>
      <c r="P670" s="1" t="s">
        <v>74</v>
      </c>
      <c r="Q670" s="1" t="s">
        <v>74</v>
      </c>
      <c r="R670" s="1" t="s">
        <v>74</v>
      </c>
      <c r="S670" s="1" t="s">
        <v>74</v>
      </c>
      <c r="T670" s="1" t="s">
        <v>74</v>
      </c>
      <c r="U670" s="1" t="s">
        <v>74</v>
      </c>
      <c r="V670" s="1" t="s">
        <v>6368</v>
      </c>
      <c r="W670" s="1" t="s">
        <v>74</v>
      </c>
      <c r="X670" s="1" t="s">
        <v>74</v>
      </c>
      <c r="Y670" s="1" t="s">
        <v>74</v>
      </c>
      <c r="Z670" s="1" t="s">
        <v>74</v>
      </c>
      <c r="AA670" s="1" t="s">
        <v>2072</v>
      </c>
      <c r="AB670" s="1" t="s">
        <v>74</v>
      </c>
      <c r="AC670" s="1" t="s">
        <v>74</v>
      </c>
      <c r="AD670" s="1" t="s">
        <v>74</v>
      </c>
      <c r="AE670" s="1" t="s">
        <v>74</v>
      </c>
      <c r="AF670" s="1" t="s">
        <v>74</v>
      </c>
      <c r="AG670" s="1" t="s">
        <v>74</v>
      </c>
      <c r="AH670" s="1" t="s">
        <v>74</v>
      </c>
      <c r="AI670" s="1" t="s">
        <v>74</v>
      </c>
      <c r="AJ670" s="1" t="s">
        <v>74</v>
      </c>
      <c r="AK670" s="1" t="s">
        <v>74</v>
      </c>
      <c r="AL670" s="1" t="s">
        <v>74</v>
      </c>
      <c r="AM670" s="1" t="s">
        <v>74</v>
      </c>
      <c r="AN670" s="1" t="s">
        <v>74</v>
      </c>
      <c r="AO670" s="1" t="s">
        <v>5013</v>
      </c>
      <c r="AP670" s="1" t="s">
        <v>74</v>
      </c>
      <c r="AQ670" s="1" t="s">
        <v>74</v>
      </c>
      <c r="AR670" s="1" t="s">
        <v>74</v>
      </c>
      <c r="AS670" s="1" t="s">
        <v>74</v>
      </c>
      <c r="AT670" s="1" t="s">
        <v>6369</v>
      </c>
      <c r="AU670" s="1">
        <v>1993.0</v>
      </c>
      <c r="AV670" s="1">
        <v>26.0</v>
      </c>
      <c r="AW670" s="1">
        <v>23.0</v>
      </c>
      <c r="AX670" s="1" t="s">
        <v>74</v>
      </c>
      <c r="AY670" s="1" t="s">
        <v>74</v>
      </c>
      <c r="AZ670" s="1" t="s">
        <v>74</v>
      </c>
      <c r="BA670" s="1" t="s">
        <v>74</v>
      </c>
      <c r="BB670" s="1">
        <v>6284.0</v>
      </c>
      <c r="BC670" s="1">
        <v>6288.0</v>
      </c>
      <c r="BD670" s="1" t="s">
        <v>74</v>
      </c>
      <c r="BE670" s="1" t="s">
        <v>6370</v>
      </c>
      <c r="BF670" s="2" t="str">
        <f>HYPERLINK("http://dx.doi.org/10.1021/ma00075a025","http://dx.doi.org/10.1021/ma00075a025")</f>
        <v>http://dx.doi.org/10.1021/ma00075a025</v>
      </c>
      <c r="BG670" s="1" t="s">
        <v>74</v>
      </c>
      <c r="BH670" s="1" t="s">
        <v>74</v>
      </c>
      <c r="BI670" s="1" t="s">
        <v>74</v>
      </c>
      <c r="BJ670" s="1" t="s">
        <v>74</v>
      </c>
      <c r="BK670" s="1" t="s">
        <v>74</v>
      </c>
      <c r="BL670" s="1" t="s">
        <v>74</v>
      </c>
      <c r="BM670" s="1" t="s">
        <v>74</v>
      </c>
      <c r="BN670" s="1" t="s">
        <v>74</v>
      </c>
      <c r="BO670" s="1" t="s">
        <v>74</v>
      </c>
      <c r="BP670" s="1" t="s">
        <v>74</v>
      </c>
      <c r="BQ670" s="1" t="s">
        <v>74</v>
      </c>
      <c r="BR670" s="1" t="s">
        <v>74</v>
      </c>
      <c r="BS670" s="1" t="s">
        <v>6371</v>
      </c>
      <c r="BT670" s="1" t="str">
        <f>HYPERLINK("https%3A%2F%2Fwww.webofscience.com%2Fwos%2Fwoscc%2Ffull-record%2FWOS:A1993MF85900025","View Full Record in Web of Science")</f>
        <v>View Full Record in Web of Science</v>
      </c>
    </row>
    <row r="671" ht="12.75" customHeight="1">
      <c r="A671" s="1" t="s">
        <v>72</v>
      </c>
      <c r="B671" s="1" t="s">
        <v>6372</v>
      </c>
      <c r="C671" s="1" t="s">
        <v>74</v>
      </c>
      <c r="D671" s="1" t="s">
        <v>74</v>
      </c>
      <c r="E671" s="1" t="s">
        <v>74</v>
      </c>
      <c r="F671" s="1" t="s">
        <v>6372</v>
      </c>
      <c r="G671" s="1" t="s">
        <v>74</v>
      </c>
      <c r="H671" s="1" t="s">
        <v>74</v>
      </c>
      <c r="I671" s="1" t="s">
        <v>6373</v>
      </c>
      <c r="J671" s="1" t="s">
        <v>6374</v>
      </c>
      <c r="K671" s="1" t="s">
        <v>74</v>
      </c>
      <c r="L671" s="1" t="s">
        <v>74</v>
      </c>
      <c r="M671" s="1" t="s">
        <v>74</v>
      </c>
      <c r="N671" s="1" t="s">
        <v>74</v>
      </c>
      <c r="O671" s="1" t="s">
        <v>74</v>
      </c>
      <c r="P671" s="1" t="s">
        <v>74</v>
      </c>
      <c r="Q671" s="1" t="s">
        <v>74</v>
      </c>
      <c r="R671" s="1" t="s">
        <v>74</v>
      </c>
      <c r="S671" s="1" t="s">
        <v>74</v>
      </c>
      <c r="T671" s="1" t="s">
        <v>74</v>
      </c>
      <c r="U671" s="1" t="s">
        <v>74</v>
      </c>
      <c r="V671" s="1" t="s">
        <v>74</v>
      </c>
      <c r="W671" s="1" t="s">
        <v>74</v>
      </c>
      <c r="X671" s="1" t="s">
        <v>74</v>
      </c>
      <c r="Y671" s="1" t="s">
        <v>74</v>
      </c>
      <c r="Z671" s="1" t="s">
        <v>74</v>
      </c>
      <c r="AA671" s="1" t="s">
        <v>74</v>
      </c>
      <c r="AB671" s="1" t="s">
        <v>74</v>
      </c>
      <c r="AC671" s="1" t="s">
        <v>74</v>
      </c>
      <c r="AD671" s="1" t="s">
        <v>74</v>
      </c>
      <c r="AE671" s="1" t="s">
        <v>74</v>
      </c>
      <c r="AF671" s="1" t="s">
        <v>74</v>
      </c>
      <c r="AG671" s="1" t="s">
        <v>74</v>
      </c>
      <c r="AH671" s="1" t="s">
        <v>74</v>
      </c>
      <c r="AI671" s="1" t="s">
        <v>74</v>
      </c>
      <c r="AJ671" s="1" t="s">
        <v>74</v>
      </c>
      <c r="AK671" s="1" t="s">
        <v>74</v>
      </c>
      <c r="AL671" s="1" t="s">
        <v>74</v>
      </c>
      <c r="AM671" s="1" t="s">
        <v>74</v>
      </c>
      <c r="AN671" s="1" t="s">
        <v>74</v>
      </c>
      <c r="AO671" s="1" t="s">
        <v>6375</v>
      </c>
      <c r="AP671" s="1" t="s">
        <v>6376</v>
      </c>
      <c r="AQ671" s="1" t="s">
        <v>74</v>
      </c>
      <c r="AR671" s="1" t="s">
        <v>74</v>
      </c>
      <c r="AS671" s="1" t="s">
        <v>74</v>
      </c>
      <c r="AT671" s="1" t="s">
        <v>621</v>
      </c>
      <c r="AU671" s="1">
        <v>1993.0</v>
      </c>
      <c r="AV671" s="1">
        <v>105.0</v>
      </c>
      <c r="AW671" s="1">
        <v>1.0</v>
      </c>
      <c r="AX671" s="1" t="s">
        <v>74</v>
      </c>
      <c r="AY671" s="1" t="s">
        <v>74</v>
      </c>
      <c r="AZ671" s="1" t="s">
        <v>74</v>
      </c>
      <c r="BA671" s="1" t="s">
        <v>74</v>
      </c>
      <c r="BB671" s="1">
        <v>161.0</v>
      </c>
      <c r="BC671" s="1">
        <v>170.0</v>
      </c>
      <c r="BD671" s="1" t="s">
        <v>74</v>
      </c>
      <c r="BE671" s="1" t="s">
        <v>6377</v>
      </c>
      <c r="BF671" s="2" t="str">
        <f>HYPERLINK("http://dx.doi.org/10.1006/jssc.1993.1204","http://dx.doi.org/10.1006/jssc.1993.1204")</f>
        <v>http://dx.doi.org/10.1006/jssc.1993.1204</v>
      </c>
      <c r="BG671" s="1" t="s">
        <v>74</v>
      </c>
      <c r="BH671" s="1" t="s">
        <v>74</v>
      </c>
      <c r="BI671" s="1" t="s">
        <v>74</v>
      </c>
      <c r="BJ671" s="1" t="s">
        <v>74</v>
      </c>
      <c r="BK671" s="1" t="s">
        <v>74</v>
      </c>
      <c r="BL671" s="1" t="s">
        <v>74</v>
      </c>
      <c r="BM671" s="1" t="s">
        <v>74</v>
      </c>
      <c r="BN671" s="1" t="s">
        <v>74</v>
      </c>
      <c r="BO671" s="1" t="s">
        <v>74</v>
      </c>
      <c r="BP671" s="1" t="s">
        <v>74</v>
      </c>
      <c r="BQ671" s="1" t="s">
        <v>74</v>
      </c>
      <c r="BR671" s="1" t="s">
        <v>74</v>
      </c>
      <c r="BS671" s="1" t="s">
        <v>6378</v>
      </c>
      <c r="BT671" s="1" t="str">
        <f>HYPERLINK("https%3A%2F%2Fwww.webofscience.com%2Fwos%2Fwoscc%2Ffull-record%2FWOS:A1993LP63400017","View Full Record in Web of Science")</f>
        <v>View Full Record in Web of Science</v>
      </c>
    </row>
    <row r="672" ht="12.75" customHeight="1">
      <c r="A672" s="1" t="s">
        <v>72</v>
      </c>
      <c r="B672" s="1" t="s">
        <v>6379</v>
      </c>
      <c r="C672" s="1" t="s">
        <v>74</v>
      </c>
      <c r="D672" s="1" t="s">
        <v>74</v>
      </c>
      <c r="E672" s="1" t="s">
        <v>74</v>
      </c>
      <c r="F672" s="1" t="s">
        <v>6379</v>
      </c>
      <c r="G672" s="1" t="s">
        <v>74</v>
      </c>
      <c r="H672" s="1" t="s">
        <v>74</v>
      </c>
      <c r="I672" s="1" t="s">
        <v>6380</v>
      </c>
      <c r="J672" s="1" t="s">
        <v>5724</v>
      </c>
      <c r="K672" s="1" t="s">
        <v>74</v>
      </c>
      <c r="L672" s="1" t="s">
        <v>74</v>
      </c>
      <c r="M672" s="1" t="s">
        <v>74</v>
      </c>
      <c r="N672" s="1" t="s">
        <v>74</v>
      </c>
      <c r="O672" s="1" t="s">
        <v>74</v>
      </c>
      <c r="P672" s="1" t="s">
        <v>74</v>
      </c>
      <c r="Q672" s="1" t="s">
        <v>74</v>
      </c>
      <c r="R672" s="1" t="s">
        <v>74</v>
      </c>
      <c r="S672" s="1" t="s">
        <v>74</v>
      </c>
      <c r="T672" s="1" t="s">
        <v>74</v>
      </c>
      <c r="U672" s="1" t="s">
        <v>74</v>
      </c>
      <c r="V672" s="1" t="s">
        <v>6381</v>
      </c>
      <c r="W672" s="1" t="s">
        <v>74</v>
      </c>
      <c r="X672" s="1" t="s">
        <v>74</v>
      </c>
      <c r="Y672" s="1" t="s">
        <v>74</v>
      </c>
      <c r="Z672" s="1" t="s">
        <v>74</v>
      </c>
      <c r="AA672" s="1" t="s">
        <v>5036</v>
      </c>
      <c r="AB672" s="1" t="s">
        <v>403</v>
      </c>
      <c r="AC672" s="1" t="s">
        <v>74</v>
      </c>
      <c r="AD672" s="1" t="s">
        <v>74</v>
      </c>
      <c r="AE672" s="1" t="s">
        <v>74</v>
      </c>
      <c r="AF672" s="1" t="s">
        <v>74</v>
      </c>
      <c r="AG672" s="1" t="s">
        <v>74</v>
      </c>
      <c r="AH672" s="1" t="s">
        <v>74</v>
      </c>
      <c r="AI672" s="1" t="s">
        <v>74</v>
      </c>
      <c r="AJ672" s="1" t="s">
        <v>74</v>
      </c>
      <c r="AK672" s="1" t="s">
        <v>74</v>
      </c>
      <c r="AL672" s="1" t="s">
        <v>74</v>
      </c>
      <c r="AM672" s="1" t="s">
        <v>74</v>
      </c>
      <c r="AN672" s="1" t="s">
        <v>74</v>
      </c>
      <c r="AO672" s="1" t="s">
        <v>5725</v>
      </c>
      <c r="AP672" s="1" t="s">
        <v>74</v>
      </c>
      <c r="AQ672" s="1" t="s">
        <v>74</v>
      </c>
      <c r="AR672" s="1" t="s">
        <v>74</v>
      </c>
      <c r="AS672" s="1" t="s">
        <v>74</v>
      </c>
      <c r="AT672" s="1" t="s">
        <v>379</v>
      </c>
      <c r="AU672" s="1">
        <v>1991.0</v>
      </c>
      <c r="AV672" s="1">
        <v>23.0</v>
      </c>
      <c r="AW672" s="1">
        <v>9.0</v>
      </c>
      <c r="AX672" s="1" t="s">
        <v>74</v>
      </c>
      <c r="AY672" s="1" t="s">
        <v>74</v>
      </c>
      <c r="AZ672" s="1" t="s">
        <v>74</v>
      </c>
      <c r="BA672" s="1" t="s">
        <v>74</v>
      </c>
      <c r="BB672" s="1">
        <v>761.0</v>
      </c>
      <c r="BC672" s="1">
        <v>766.0</v>
      </c>
      <c r="BD672" s="1" t="s">
        <v>74</v>
      </c>
      <c r="BE672" s="1" t="s">
        <v>6382</v>
      </c>
      <c r="BF672" s="2" t="str">
        <f>HYPERLINK("http://dx.doi.org/10.1002/kin.550230902","http://dx.doi.org/10.1002/kin.550230902")</f>
        <v>http://dx.doi.org/10.1002/kin.550230902</v>
      </c>
      <c r="BG672" s="1" t="s">
        <v>74</v>
      </c>
      <c r="BH672" s="1" t="s">
        <v>74</v>
      </c>
      <c r="BI672" s="1" t="s">
        <v>74</v>
      </c>
      <c r="BJ672" s="1" t="s">
        <v>74</v>
      </c>
      <c r="BK672" s="1" t="s">
        <v>74</v>
      </c>
      <c r="BL672" s="1" t="s">
        <v>74</v>
      </c>
      <c r="BM672" s="1" t="s">
        <v>74</v>
      </c>
      <c r="BN672" s="1" t="s">
        <v>74</v>
      </c>
      <c r="BO672" s="1" t="s">
        <v>74</v>
      </c>
      <c r="BP672" s="1" t="s">
        <v>74</v>
      </c>
      <c r="BQ672" s="1" t="s">
        <v>74</v>
      </c>
      <c r="BR672" s="1" t="s">
        <v>74</v>
      </c>
      <c r="BS672" s="1" t="s">
        <v>6383</v>
      </c>
      <c r="BT672" s="1" t="str">
        <f>HYPERLINK("https%3A%2F%2Fwww.webofscience.com%2Fwos%2Fwoscc%2Ffull-record%2FWOS:A1991GB45000001","View Full Record in Web of Science")</f>
        <v>View Full Record in Web of Science</v>
      </c>
    </row>
    <row r="673" ht="12.75" customHeight="1">
      <c r="A673" s="1" t="s">
        <v>72</v>
      </c>
      <c r="B673" s="1" t="s">
        <v>6384</v>
      </c>
      <c r="C673" s="1" t="s">
        <v>74</v>
      </c>
      <c r="D673" s="1" t="s">
        <v>74</v>
      </c>
      <c r="E673" s="1" t="s">
        <v>74</v>
      </c>
      <c r="F673" s="1" t="s">
        <v>6384</v>
      </c>
      <c r="G673" s="1" t="s">
        <v>74</v>
      </c>
      <c r="H673" s="1" t="s">
        <v>74</v>
      </c>
      <c r="I673" s="1" t="s">
        <v>6385</v>
      </c>
      <c r="J673" s="1" t="s">
        <v>6386</v>
      </c>
      <c r="K673" s="1" t="s">
        <v>74</v>
      </c>
      <c r="L673" s="1" t="s">
        <v>74</v>
      </c>
      <c r="M673" s="1" t="s">
        <v>74</v>
      </c>
      <c r="N673" s="1" t="s">
        <v>74</v>
      </c>
      <c r="O673" s="1" t="s">
        <v>74</v>
      </c>
      <c r="P673" s="1" t="s">
        <v>74</v>
      </c>
      <c r="Q673" s="1" t="s">
        <v>74</v>
      </c>
      <c r="R673" s="1" t="s">
        <v>74</v>
      </c>
      <c r="S673" s="1" t="s">
        <v>74</v>
      </c>
      <c r="T673" s="1" t="s">
        <v>74</v>
      </c>
      <c r="U673" s="1" t="s">
        <v>74</v>
      </c>
      <c r="V673" s="1" t="s">
        <v>74</v>
      </c>
      <c r="W673" s="1" t="s">
        <v>74</v>
      </c>
      <c r="X673" s="1" t="s">
        <v>74</v>
      </c>
      <c r="Y673" s="1" t="s">
        <v>74</v>
      </c>
      <c r="Z673" s="1" t="s">
        <v>74</v>
      </c>
      <c r="AA673" s="1" t="s">
        <v>74</v>
      </c>
      <c r="AB673" s="1" t="s">
        <v>74</v>
      </c>
      <c r="AC673" s="1" t="s">
        <v>74</v>
      </c>
      <c r="AD673" s="1" t="s">
        <v>74</v>
      </c>
      <c r="AE673" s="1" t="s">
        <v>74</v>
      </c>
      <c r="AF673" s="1" t="s">
        <v>74</v>
      </c>
      <c r="AG673" s="1" t="s">
        <v>74</v>
      </c>
      <c r="AH673" s="1" t="s">
        <v>74</v>
      </c>
      <c r="AI673" s="1" t="s">
        <v>74</v>
      </c>
      <c r="AJ673" s="1" t="s">
        <v>74</v>
      </c>
      <c r="AK673" s="1" t="s">
        <v>74</v>
      </c>
      <c r="AL673" s="1" t="s">
        <v>74</v>
      </c>
      <c r="AM673" s="1" t="s">
        <v>74</v>
      </c>
      <c r="AN673" s="1" t="s">
        <v>74</v>
      </c>
      <c r="AO673" s="1" t="s">
        <v>6387</v>
      </c>
      <c r="AP673" s="1" t="s">
        <v>74</v>
      </c>
      <c r="AQ673" s="1" t="s">
        <v>74</v>
      </c>
      <c r="AR673" s="1" t="s">
        <v>74</v>
      </c>
      <c r="AS673" s="1" t="s">
        <v>74</v>
      </c>
      <c r="AT673" s="1" t="s">
        <v>74</v>
      </c>
      <c r="AU673" s="1">
        <v>1990.0</v>
      </c>
      <c r="AV673" s="1">
        <v>29.0</v>
      </c>
      <c r="AW673" s="1">
        <v>1.0</v>
      </c>
      <c r="AX673" s="1" t="s">
        <v>74</v>
      </c>
      <c r="AY673" s="1" t="s">
        <v>74</v>
      </c>
      <c r="AZ673" s="1" t="s">
        <v>74</v>
      </c>
      <c r="BA673" s="1" t="s">
        <v>74</v>
      </c>
      <c r="BB673" s="1">
        <v>57.0</v>
      </c>
      <c r="BC673" s="1">
        <v>81.0</v>
      </c>
      <c r="BD673" s="1" t="s">
        <v>74</v>
      </c>
      <c r="BE673" s="1" t="s">
        <v>6388</v>
      </c>
      <c r="BF673" s="2" t="str">
        <f>HYPERLINK("http://dx.doi.org/10.1016/0040-9383(90)90025-F","http://dx.doi.org/10.1016/0040-9383(90)90025-F")</f>
        <v>http://dx.doi.org/10.1016/0040-9383(90)90025-F</v>
      </c>
      <c r="BG673" s="1" t="s">
        <v>74</v>
      </c>
      <c r="BH673" s="1" t="s">
        <v>74</v>
      </c>
      <c r="BI673" s="1" t="s">
        <v>74</v>
      </c>
      <c r="BJ673" s="1" t="s">
        <v>74</v>
      </c>
      <c r="BK673" s="1" t="s">
        <v>74</v>
      </c>
      <c r="BL673" s="1" t="s">
        <v>74</v>
      </c>
      <c r="BM673" s="1" t="s">
        <v>74</v>
      </c>
      <c r="BN673" s="1" t="s">
        <v>74</v>
      </c>
      <c r="BO673" s="1" t="s">
        <v>74</v>
      </c>
      <c r="BP673" s="1" t="s">
        <v>74</v>
      </c>
      <c r="BQ673" s="1" t="s">
        <v>74</v>
      </c>
      <c r="BR673" s="1" t="s">
        <v>74</v>
      </c>
      <c r="BS673" s="1" t="s">
        <v>6389</v>
      </c>
      <c r="BT673" s="1" t="str">
        <f>HYPERLINK("https%3A%2F%2Fwww.webofscience.com%2Fwos%2Fwoscc%2Ffull-record%2FWOS:A1990CY48000005","View Full Record in Web of Science")</f>
        <v>View Full Record in Web of Science</v>
      </c>
    </row>
    <row r="674" ht="12.75" customHeight="1">
      <c r="A674" s="1" t="s">
        <v>72</v>
      </c>
      <c r="B674" s="1" t="s">
        <v>6390</v>
      </c>
      <c r="C674" s="1" t="s">
        <v>74</v>
      </c>
      <c r="D674" s="1" t="s">
        <v>74</v>
      </c>
      <c r="E674" s="1" t="s">
        <v>74</v>
      </c>
      <c r="F674" s="1" t="s">
        <v>6391</v>
      </c>
      <c r="G674" s="1" t="s">
        <v>74</v>
      </c>
      <c r="H674" s="1" t="s">
        <v>74</v>
      </c>
      <c r="I674" s="1" t="s">
        <v>6392</v>
      </c>
      <c r="J674" s="1" t="s">
        <v>6393</v>
      </c>
      <c r="K674" s="1" t="s">
        <v>74</v>
      </c>
      <c r="L674" s="1" t="s">
        <v>74</v>
      </c>
      <c r="M674" s="1" t="s">
        <v>74</v>
      </c>
      <c r="N674" s="1" t="s">
        <v>74</v>
      </c>
      <c r="O674" s="1" t="s">
        <v>74</v>
      </c>
      <c r="P674" s="1" t="s">
        <v>74</v>
      </c>
      <c r="Q674" s="1" t="s">
        <v>74</v>
      </c>
      <c r="R674" s="1" t="s">
        <v>74</v>
      </c>
      <c r="S674" s="1" t="s">
        <v>74</v>
      </c>
      <c r="T674" s="1" t="s">
        <v>74</v>
      </c>
      <c r="U674" s="1" t="s">
        <v>74</v>
      </c>
      <c r="V674" s="1" t="s">
        <v>6394</v>
      </c>
      <c r="W674" s="1" t="s">
        <v>74</v>
      </c>
      <c r="X674" s="1" t="s">
        <v>74</v>
      </c>
      <c r="Y674" s="1" t="s">
        <v>74</v>
      </c>
      <c r="Z674" s="1" t="s">
        <v>74</v>
      </c>
      <c r="AA674" s="1" t="s">
        <v>6395</v>
      </c>
      <c r="AB674" s="1" t="s">
        <v>6396</v>
      </c>
      <c r="AC674" s="1" t="s">
        <v>74</v>
      </c>
      <c r="AD674" s="1" t="s">
        <v>74</v>
      </c>
      <c r="AE674" s="1" t="s">
        <v>74</v>
      </c>
      <c r="AF674" s="1" t="s">
        <v>74</v>
      </c>
      <c r="AG674" s="1" t="s">
        <v>74</v>
      </c>
      <c r="AH674" s="1" t="s">
        <v>74</v>
      </c>
      <c r="AI674" s="1" t="s">
        <v>74</v>
      </c>
      <c r="AJ674" s="1" t="s">
        <v>74</v>
      </c>
      <c r="AK674" s="1" t="s">
        <v>74</v>
      </c>
      <c r="AL674" s="1" t="s">
        <v>74</v>
      </c>
      <c r="AM674" s="1" t="s">
        <v>74</v>
      </c>
      <c r="AN674" s="1" t="s">
        <v>74</v>
      </c>
      <c r="AO674" s="1" t="s">
        <v>6397</v>
      </c>
      <c r="AP674" s="1" t="s">
        <v>74</v>
      </c>
      <c r="AQ674" s="1" t="s">
        <v>74</v>
      </c>
      <c r="AR674" s="1" t="s">
        <v>74</v>
      </c>
      <c r="AS674" s="1" t="s">
        <v>74</v>
      </c>
      <c r="AT674" s="1" t="s">
        <v>289</v>
      </c>
      <c r="AU674" s="1">
        <v>2025.0</v>
      </c>
      <c r="AV674" s="1">
        <v>49.0</v>
      </c>
      <c r="AW674" s="1" t="s">
        <v>74</v>
      </c>
      <c r="AX674" s="1" t="s">
        <v>74</v>
      </c>
      <c r="AY674" s="1" t="s">
        <v>74</v>
      </c>
      <c r="AZ674" s="1" t="s">
        <v>74</v>
      </c>
      <c r="BA674" s="1" t="s">
        <v>74</v>
      </c>
      <c r="BB674" s="1" t="s">
        <v>74</v>
      </c>
      <c r="BC674" s="1" t="s">
        <v>74</v>
      </c>
      <c r="BD674" s="1">
        <v>101493.0</v>
      </c>
      <c r="BE674" s="1" t="s">
        <v>6398</v>
      </c>
      <c r="BF674" s="2" t="str">
        <f>HYPERLINK("http://dx.doi.org/10.1016/j.fpsl.2025.101493","http://dx.doi.org/10.1016/j.fpsl.2025.101493")</f>
        <v>http://dx.doi.org/10.1016/j.fpsl.2025.101493</v>
      </c>
      <c r="BG674" s="1" t="s">
        <v>74</v>
      </c>
      <c r="BH674" s="1" t="s">
        <v>4408</v>
      </c>
      <c r="BI674" s="1" t="s">
        <v>74</v>
      </c>
      <c r="BJ674" s="1" t="s">
        <v>74</v>
      </c>
      <c r="BK674" s="1" t="s">
        <v>74</v>
      </c>
      <c r="BL674" s="1" t="s">
        <v>74</v>
      </c>
      <c r="BM674" s="1" t="s">
        <v>74</v>
      </c>
      <c r="BN674" s="1" t="s">
        <v>74</v>
      </c>
      <c r="BO674" s="1" t="s">
        <v>74</v>
      </c>
      <c r="BP674" s="1" t="s">
        <v>74</v>
      </c>
      <c r="BQ674" s="1" t="s">
        <v>74</v>
      </c>
      <c r="BR674" s="1" t="s">
        <v>74</v>
      </c>
      <c r="BS674" s="1" t="s">
        <v>6399</v>
      </c>
      <c r="BT674" s="1" t="str">
        <f>HYPERLINK("https%3A%2F%2Fwww.webofscience.com%2Fwos%2Fwoscc%2Ffull-record%2FWOS:001465109900001","View Full Record in Web of Science")</f>
        <v>View Full Record in Web of Science</v>
      </c>
    </row>
    <row r="675" ht="12.75" customHeight="1">
      <c r="A675" s="1" t="s">
        <v>72</v>
      </c>
      <c r="B675" s="1" t="s">
        <v>6400</v>
      </c>
      <c r="C675" s="1" t="s">
        <v>74</v>
      </c>
      <c r="D675" s="1" t="s">
        <v>74</v>
      </c>
      <c r="E675" s="1" t="s">
        <v>74</v>
      </c>
      <c r="F675" s="1" t="s">
        <v>6401</v>
      </c>
      <c r="G675" s="1" t="s">
        <v>74</v>
      </c>
      <c r="H675" s="1" t="s">
        <v>74</v>
      </c>
      <c r="I675" s="1" t="s">
        <v>6402</v>
      </c>
      <c r="J675" s="1" t="s">
        <v>4472</v>
      </c>
      <c r="K675" s="1" t="s">
        <v>74</v>
      </c>
      <c r="L675" s="1" t="s">
        <v>74</v>
      </c>
      <c r="M675" s="1" t="s">
        <v>74</v>
      </c>
      <c r="N675" s="1" t="s">
        <v>74</v>
      </c>
      <c r="O675" s="1" t="s">
        <v>74</v>
      </c>
      <c r="P675" s="1" t="s">
        <v>74</v>
      </c>
      <c r="Q675" s="1" t="s">
        <v>74</v>
      </c>
      <c r="R675" s="1" t="s">
        <v>74</v>
      </c>
      <c r="S675" s="1" t="s">
        <v>74</v>
      </c>
      <c r="T675" s="1" t="s">
        <v>74</v>
      </c>
      <c r="U675" s="1" t="s">
        <v>74</v>
      </c>
      <c r="V675" s="1" t="s">
        <v>6403</v>
      </c>
      <c r="W675" s="1" t="s">
        <v>74</v>
      </c>
      <c r="X675" s="1" t="s">
        <v>74</v>
      </c>
      <c r="Y675" s="1" t="s">
        <v>74</v>
      </c>
      <c r="Z675" s="1" t="s">
        <v>74</v>
      </c>
      <c r="AA675" s="1" t="s">
        <v>6404</v>
      </c>
      <c r="AB675" s="1" t="s">
        <v>6405</v>
      </c>
      <c r="AC675" s="1" t="s">
        <v>74</v>
      </c>
      <c r="AD675" s="1" t="s">
        <v>74</v>
      </c>
      <c r="AE675" s="1" t="s">
        <v>74</v>
      </c>
      <c r="AF675" s="1" t="s">
        <v>74</v>
      </c>
      <c r="AG675" s="1" t="s">
        <v>74</v>
      </c>
      <c r="AH675" s="1" t="s">
        <v>74</v>
      </c>
      <c r="AI675" s="1" t="s">
        <v>74</v>
      </c>
      <c r="AJ675" s="1" t="s">
        <v>74</v>
      </c>
      <c r="AK675" s="1" t="s">
        <v>74</v>
      </c>
      <c r="AL675" s="1" t="s">
        <v>74</v>
      </c>
      <c r="AM675" s="1" t="s">
        <v>74</v>
      </c>
      <c r="AN675" s="1" t="s">
        <v>74</v>
      </c>
      <c r="AO675" s="1" t="s">
        <v>4476</v>
      </c>
      <c r="AP675" s="1" t="s">
        <v>4477</v>
      </c>
      <c r="AQ675" s="1" t="s">
        <v>74</v>
      </c>
      <c r="AR675" s="1" t="s">
        <v>74</v>
      </c>
      <c r="AS675" s="1" t="s">
        <v>74</v>
      </c>
      <c r="AT675" s="1" t="s">
        <v>415</v>
      </c>
      <c r="AU675" s="1">
        <v>2024.0</v>
      </c>
      <c r="AV675" s="1">
        <v>135.0</v>
      </c>
      <c r="AW675" s="1" t="s">
        <v>74</v>
      </c>
      <c r="AX675" s="1" t="s">
        <v>74</v>
      </c>
      <c r="AY675" s="1" t="s">
        <v>74</v>
      </c>
      <c r="AZ675" s="1" t="s">
        <v>74</v>
      </c>
      <c r="BA675" s="1" t="s">
        <v>74</v>
      </c>
      <c r="BB675" s="1" t="s">
        <v>74</v>
      </c>
      <c r="BC675" s="1" t="s">
        <v>74</v>
      </c>
      <c r="BD675" s="1">
        <v>156097.0</v>
      </c>
      <c r="BE675" s="1" t="s">
        <v>6406</v>
      </c>
      <c r="BF675" s="2" t="str">
        <f>HYPERLINK("http://dx.doi.org/10.1016/j.phymed.2024.156097","http://dx.doi.org/10.1016/j.phymed.2024.156097")</f>
        <v>http://dx.doi.org/10.1016/j.phymed.2024.156097</v>
      </c>
      <c r="BG675" s="1" t="s">
        <v>74</v>
      </c>
      <c r="BH675" s="1" t="s">
        <v>467</v>
      </c>
      <c r="BI675" s="1" t="s">
        <v>74</v>
      </c>
      <c r="BJ675" s="1" t="s">
        <v>74</v>
      </c>
      <c r="BK675" s="1" t="s">
        <v>74</v>
      </c>
      <c r="BL675" s="1" t="s">
        <v>74</v>
      </c>
      <c r="BM675" s="1" t="s">
        <v>74</v>
      </c>
      <c r="BN675" s="1">
        <v>3.9577115E7</v>
      </c>
      <c r="BO675" s="1" t="s">
        <v>74</v>
      </c>
      <c r="BP675" s="1" t="s">
        <v>74</v>
      </c>
      <c r="BQ675" s="1" t="s">
        <v>74</v>
      </c>
      <c r="BR675" s="1" t="s">
        <v>74</v>
      </c>
      <c r="BS675" s="1" t="s">
        <v>6407</v>
      </c>
      <c r="BT675" s="1" t="str">
        <f>HYPERLINK("https%3A%2F%2Fwww.webofscience.com%2Fwos%2Fwoscc%2Ffull-record%2FWOS:001363964200001","View Full Record in Web of Science")</f>
        <v>View Full Record in Web of Science</v>
      </c>
    </row>
    <row r="676" ht="12.75" customHeight="1">
      <c r="A676" s="1" t="s">
        <v>72</v>
      </c>
      <c r="B676" s="1" t="s">
        <v>6408</v>
      </c>
      <c r="C676" s="1" t="s">
        <v>74</v>
      </c>
      <c r="D676" s="1" t="s">
        <v>74</v>
      </c>
      <c r="E676" s="1" t="s">
        <v>74</v>
      </c>
      <c r="F676" s="1" t="s">
        <v>6409</v>
      </c>
      <c r="G676" s="1" t="s">
        <v>74</v>
      </c>
      <c r="H676" s="1" t="s">
        <v>74</v>
      </c>
      <c r="I676" s="1" t="s">
        <v>6410</v>
      </c>
      <c r="J676" s="1" t="s">
        <v>6411</v>
      </c>
      <c r="K676" s="1" t="s">
        <v>74</v>
      </c>
      <c r="L676" s="1" t="s">
        <v>74</v>
      </c>
      <c r="M676" s="1" t="s">
        <v>74</v>
      </c>
      <c r="N676" s="1" t="s">
        <v>74</v>
      </c>
      <c r="O676" s="1" t="s">
        <v>74</v>
      </c>
      <c r="P676" s="1" t="s">
        <v>74</v>
      </c>
      <c r="Q676" s="1" t="s">
        <v>74</v>
      </c>
      <c r="R676" s="1" t="s">
        <v>74</v>
      </c>
      <c r="S676" s="1" t="s">
        <v>74</v>
      </c>
      <c r="T676" s="1" t="s">
        <v>74</v>
      </c>
      <c r="U676" s="1" t="s">
        <v>74</v>
      </c>
      <c r="V676" s="1" t="s">
        <v>6412</v>
      </c>
      <c r="W676" s="1" t="s">
        <v>74</v>
      </c>
      <c r="X676" s="1" t="s">
        <v>74</v>
      </c>
      <c r="Y676" s="1" t="s">
        <v>74</v>
      </c>
      <c r="Z676" s="1" t="s">
        <v>74</v>
      </c>
      <c r="AA676" s="1" t="s">
        <v>74</v>
      </c>
      <c r="AB676" s="1" t="s">
        <v>6413</v>
      </c>
      <c r="AC676" s="1" t="s">
        <v>74</v>
      </c>
      <c r="AD676" s="1" t="s">
        <v>74</v>
      </c>
      <c r="AE676" s="1" t="s">
        <v>74</v>
      </c>
      <c r="AF676" s="1" t="s">
        <v>74</v>
      </c>
      <c r="AG676" s="1" t="s">
        <v>74</v>
      </c>
      <c r="AH676" s="1" t="s">
        <v>74</v>
      </c>
      <c r="AI676" s="1" t="s">
        <v>74</v>
      </c>
      <c r="AJ676" s="1" t="s">
        <v>74</v>
      </c>
      <c r="AK676" s="1" t="s">
        <v>74</v>
      </c>
      <c r="AL676" s="1" t="s">
        <v>74</v>
      </c>
      <c r="AM676" s="1" t="s">
        <v>74</v>
      </c>
      <c r="AN676" s="1" t="s">
        <v>74</v>
      </c>
      <c r="AO676" s="1" t="s">
        <v>6414</v>
      </c>
      <c r="AP676" s="1" t="s">
        <v>6415</v>
      </c>
      <c r="AQ676" s="1" t="s">
        <v>74</v>
      </c>
      <c r="AR676" s="1" t="s">
        <v>74</v>
      </c>
      <c r="AS676" s="1" t="s">
        <v>74</v>
      </c>
      <c r="AT676" s="1" t="s">
        <v>112</v>
      </c>
      <c r="AU676" s="1">
        <v>2024.0</v>
      </c>
      <c r="AV676" s="1">
        <v>144.0</v>
      </c>
      <c r="AW676" s="1">
        <v>6.0</v>
      </c>
      <c r="AX676" s="1" t="s">
        <v>74</v>
      </c>
      <c r="AY676" s="1" t="s">
        <v>74</v>
      </c>
      <c r="AZ676" s="1" t="s">
        <v>74</v>
      </c>
      <c r="BA676" s="1" t="s">
        <v>74</v>
      </c>
      <c r="BB676" s="1">
        <v>342.0</v>
      </c>
      <c r="BC676" s="1">
        <v>343.0</v>
      </c>
      <c r="BD676" s="1" t="s">
        <v>74</v>
      </c>
      <c r="BE676" s="1" t="s">
        <v>6416</v>
      </c>
      <c r="BF676" s="2" t="str">
        <f>HYPERLINK("http://dx.doi.org/10.1177/17579139241263828","http://dx.doi.org/10.1177/17579139241263828")</f>
        <v>http://dx.doi.org/10.1177/17579139241263828</v>
      </c>
      <c r="BG676" s="1" t="s">
        <v>74</v>
      </c>
      <c r="BH676" s="1" t="s">
        <v>74</v>
      </c>
      <c r="BI676" s="1" t="s">
        <v>74</v>
      </c>
      <c r="BJ676" s="1" t="s">
        <v>74</v>
      </c>
      <c r="BK676" s="1" t="s">
        <v>74</v>
      </c>
      <c r="BL676" s="1" t="s">
        <v>74</v>
      </c>
      <c r="BM676" s="1" t="s">
        <v>74</v>
      </c>
      <c r="BN676" s="1">
        <v>3.9629874E7</v>
      </c>
      <c r="BO676" s="1" t="s">
        <v>74</v>
      </c>
      <c r="BP676" s="1" t="s">
        <v>74</v>
      </c>
      <c r="BQ676" s="1" t="s">
        <v>74</v>
      </c>
      <c r="BR676" s="1" t="s">
        <v>74</v>
      </c>
      <c r="BS676" s="1" t="s">
        <v>6417</v>
      </c>
      <c r="BT676" s="1" t="str">
        <f>HYPERLINK("https%3A%2F%2Fwww.webofscience.com%2Fwos%2Fwoscc%2Ffull-record%2FWOS:001373405600003","View Full Record in Web of Science")</f>
        <v>View Full Record in Web of Science</v>
      </c>
    </row>
    <row r="677" ht="12.75" customHeight="1">
      <c r="A677" s="1" t="s">
        <v>72</v>
      </c>
      <c r="B677" s="1" t="s">
        <v>6418</v>
      </c>
      <c r="C677" s="1" t="s">
        <v>74</v>
      </c>
      <c r="D677" s="1" t="s">
        <v>74</v>
      </c>
      <c r="E677" s="1" t="s">
        <v>74</v>
      </c>
      <c r="F677" s="1" t="s">
        <v>6419</v>
      </c>
      <c r="G677" s="1" t="s">
        <v>74</v>
      </c>
      <c r="H677" s="1" t="s">
        <v>74</v>
      </c>
      <c r="I677" s="1" t="s">
        <v>6420</v>
      </c>
      <c r="J677" s="1" t="s">
        <v>6421</v>
      </c>
      <c r="K677" s="1" t="s">
        <v>74</v>
      </c>
      <c r="L677" s="1" t="s">
        <v>74</v>
      </c>
      <c r="M677" s="1" t="s">
        <v>74</v>
      </c>
      <c r="N677" s="1" t="s">
        <v>74</v>
      </c>
      <c r="O677" s="1" t="s">
        <v>74</v>
      </c>
      <c r="P677" s="1" t="s">
        <v>74</v>
      </c>
      <c r="Q677" s="1" t="s">
        <v>74</v>
      </c>
      <c r="R677" s="1" t="s">
        <v>74</v>
      </c>
      <c r="S677" s="1" t="s">
        <v>74</v>
      </c>
      <c r="T677" s="1" t="s">
        <v>74</v>
      </c>
      <c r="U677" s="1" t="s">
        <v>74</v>
      </c>
      <c r="V677" s="1" t="s">
        <v>6422</v>
      </c>
      <c r="W677" s="1" t="s">
        <v>74</v>
      </c>
      <c r="X677" s="1" t="s">
        <v>74</v>
      </c>
      <c r="Y677" s="1" t="s">
        <v>74</v>
      </c>
      <c r="Z677" s="1" t="s">
        <v>74</v>
      </c>
      <c r="AA677" s="1" t="s">
        <v>6423</v>
      </c>
      <c r="AB677" s="1" t="s">
        <v>74</v>
      </c>
      <c r="AC677" s="1" t="s">
        <v>74</v>
      </c>
      <c r="AD677" s="1" t="s">
        <v>74</v>
      </c>
      <c r="AE677" s="1" t="s">
        <v>74</v>
      </c>
      <c r="AF677" s="1" t="s">
        <v>74</v>
      </c>
      <c r="AG677" s="1" t="s">
        <v>74</v>
      </c>
      <c r="AH677" s="1" t="s">
        <v>74</v>
      </c>
      <c r="AI677" s="1" t="s">
        <v>74</v>
      </c>
      <c r="AJ677" s="1" t="s">
        <v>74</v>
      </c>
      <c r="AK677" s="1" t="s">
        <v>74</v>
      </c>
      <c r="AL677" s="1" t="s">
        <v>74</v>
      </c>
      <c r="AM677" s="1" t="s">
        <v>74</v>
      </c>
      <c r="AN677" s="1" t="s">
        <v>74</v>
      </c>
      <c r="AO677" s="1" t="s">
        <v>6424</v>
      </c>
      <c r="AP677" s="1" t="s">
        <v>6425</v>
      </c>
      <c r="AQ677" s="1" t="s">
        <v>74</v>
      </c>
      <c r="AR677" s="1" t="s">
        <v>74</v>
      </c>
      <c r="AS677" s="1" t="s">
        <v>74</v>
      </c>
      <c r="AT677" s="1" t="s">
        <v>74</v>
      </c>
      <c r="AU677" s="1">
        <v>2024.0</v>
      </c>
      <c r="AV677" s="1" t="s">
        <v>74</v>
      </c>
      <c r="AW677" s="1">
        <v>60.0</v>
      </c>
      <c r="AX677" s="1" t="s">
        <v>74</v>
      </c>
      <c r="AY677" s="1" t="s">
        <v>74</v>
      </c>
      <c r="AZ677" s="1" t="s">
        <v>74</v>
      </c>
      <c r="BA677" s="1" t="s">
        <v>74</v>
      </c>
      <c r="BB677" s="1">
        <v>50.0</v>
      </c>
      <c r="BC677" s="1">
        <v>60.0</v>
      </c>
      <c r="BD677" s="1" t="s">
        <v>74</v>
      </c>
      <c r="BE677" s="1" t="s">
        <v>74</v>
      </c>
      <c r="BF677" s="1" t="s">
        <v>74</v>
      </c>
      <c r="BG677" s="1" t="s">
        <v>74</v>
      </c>
      <c r="BH677" s="1" t="s">
        <v>74</v>
      </c>
      <c r="BI677" s="1" t="s">
        <v>74</v>
      </c>
      <c r="BJ677" s="1" t="s">
        <v>74</v>
      </c>
      <c r="BK677" s="1" t="s">
        <v>74</v>
      </c>
      <c r="BL677" s="1" t="s">
        <v>74</v>
      </c>
      <c r="BM677" s="1" t="s">
        <v>74</v>
      </c>
      <c r="BN677" s="1" t="s">
        <v>74</v>
      </c>
      <c r="BO677" s="1" t="s">
        <v>74</v>
      </c>
      <c r="BP677" s="1" t="s">
        <v>74</v>
      </c>
      <c r="BQ677" s="1" t="s">
        <v>74</v>
      </c>
      <c r="BR677" s="1" t="s">
        <v>74</v>
      </c>
      <c r="BS677" s="1" t="s">
        <v>6426</v>
      </c>
      <c r="BT677" s="1" t="str">
        <f>HYPERLINK("https%3A%2F%2Fwww.webofscience.com%2Fwos%2Fwoscc%2Ffull-record%2FWOS:001297185100001","View Full Record in Web of Science")</f>
        <v>View Full Record in Web of Science</v>
      </c>
    </row>
    <row r="678" ht="12.75" customHeight="1">
      <c r="A678" s="1" t="s">
        <v>72</v>
      </c>
      <c r="B678" s="1" t="s">
        <v>6427</v>
      </c>
      <c r="C678" s="1" t="s">
        <v>74</v>
      </c>
      <c r="D678" s="1" t="s">
        <v>74</v>
      </c>
      <c r="E678" s="1" t="s">
        <v>74</v>
      </c>
      <c r="F678" s="1" t="s">
        <v>6428</v>
      </c>
      <c r="G678" s="1" t="s">
        <v>74</v>
      </c>
      <c r="H678" s="1" t="s">
        <v>74</v>
      </c>
      <c r="I678" s="1" t="s">
        <v>6429</v>
      </c>
      <c r="J678" s="1" t="s">
        <v>6430</v>
      </c>
      <c r="K678" s="1" t="s">
        <v>74</v>
      </c>
      <c r="L678" s="1" t="s">
        <v>74</v>
      </c>
      <c r="M678" s="1" t="s">
        <v>74</v>
      </c>
      <c r="N678" s="1" t="s">
        <v>74</v>
      </c>
      <c r="O678" s="1" t="s">
        <v>74</v>
      </c>
      <c r="P678" s="1" t="s">
        <v>74</v>
      </c>
      <c r="Q678" s="1" t="s">
        <v>74</v>
      </c>
      <c r="R678" s="1" t="s">
        <v>74</v>
      </c>
      <c r="S678" s="1" t="s">
        <v>74</v>
      </c>
      <c r="T678" s="1" t="s">
        <v>74</v>
      </c>
      <c r="U678" s="1" t="s">
        <v>74</v>
      </c>
      <c r="V678" s="1" t="s">
        <v>6431</v>
      </c>
      <c r="W678" s="1" t="s">
        <v>74</v>
      </c>
      <c r="X678" s="1" t="s">
        <v>74</v>
      </c>
      <c r="Y678" s="1" t="s">
        <v>74</v>
      </c>
      <c r="Z678" s="1" t="s">
        <v>74</v>
      </c>
      <c r="AA678" s="1" t="s">
        <v>6432</v>
      </c>
      <c r="AB678" s="1" t="s">
        <v>74</v>
      </c>
      <c r="AC678" s="1" t="s">
        <v>74</v>
      </c>
      <c r="AD678" s="1" t="s">
        <v>74</v>
      </c>
      <c r="AE678" s="1" t="s">
        <v>74</v>
      </c>
      <c r="AF678" s="1" t="s">
        <v>74</v>
      </c>
      <c r="AG678" s="1" t="s">
        <v>74</v>
      </c>
      <c r="AH678" s="1" t="s">
        <v>74</v>
      </c>
      <c r="AI678" s="1" t="s">
        <v>74</v>
      </c>
      <c r="AJ678" s="1" t="s">
        <v>74</v>
      </c>
      <c r="AK678" s="1" t="s">
        <v>74</v>
      </c>
      <c r="AL678" s="1" t="s">
        <v>74</v>
      </c>
      <c r="AM678" s="1" t="s">
        <v>74</v>
      </c>
      <c r="AN678" s="1" t="s">
        <v>74</v>
      </c>
      <c r="AO678" s="1" t="s">
        <v>6433</v>
      </c>
      <c r="AP678" s="1" t="s">
        <v>6434</v>
      </c>
      <c r="AQ678" s="1" t="s">
        <v>74</v>
      </c>
      <c r="AR678" s="1" t="s">
        <v>74</v>
      </c>
      <c r="AS678" s="1" t="s">
        <v>74</v>
      </c>
      <c r="AT678" s="1" t="s">
        <v>74</v>
      </c>
      <c r="AU678" s="1">
        <v>2023.0</v>
      </c>
      <c r="AV678" s="1">
        <v>23.0</v>
      </c>
      <c r="AW678" s="1" t="s">
        <v>74</v>
      </c>
      <c r="AX678" s="1" t="s">
        <v>74</v>
      </c>
      <c r="AY678" s="1" t="s">
        <v>74</v>
      </c>
      <c r="AZ678" s="1" t="s">
        <v>74</v>
      </c>
      <c r="BA678" s="1" t="s">
        <v>74</v>
      </c>
      <c r="BB678" s="1" t="s">
        <v>74</v>
      </c>
      <c r="BC678" s="1" t="s">
        <v>74</v>
      </c>
      <c r="BD678" s="1" t="s">
        <v>74</v>
      </c>
      <c r="BE678" s="1" t="s">
        <v>74</v>
      </c>
      <c r="BF678" s="1" t="s">
        <v>74</v>
      </c>
      <c r="BG678" s="1" t="s">
        <v>74</v>
      </c>
      <c r="BH678" s="1" t="s">
        <v>74</v>
      </c>
      <c r="BI678" s="1" t="s">
        <v>74</v>
      </c>
      <c r="BJ678" s="1" t="s">
        <v>74</v>
      </c>
      <c r="BK678" s="1" t="s">
        <v>74</v>
      </c>
      <c r="BL678" s="1" t="s">
        <v>74</v>
      </c>
      <c r="BM678" s="1" t="s">
        <v>74</v>
      </c>
      <c r="BN678" s="1" t="s">
        <v>74</v>
      </c>
      <c r="BO678" s="1" t="s">
        <v>74</v>
      </c>
      <c r="BP678" s="1" t="s">
        <v>74</v>
      </c>
      <c r="BQ678" s="1" t="s">
        <v>74</v>
      </c>
      <c r="BR678" s="1" t="s">
        <v>74</v>
      </c>
      <c r="BS678" s="1" t="s">
        <v>6435</v>
      </c>
      <c r="BT678" s="1" t="str">
        <f>HYPERLINK("https%3A%2F%2Fwww.webofscience.com%2Fwos%2Fwoscc%2Ffull-record%2FWOS:001161735600006","View Full Record in Web of Science")</f>
        <v>View Full Record in Web of Science</v>
      </c>
    </row>
    <row r="679" ht="12.75" customHeight="1">
      <c r="A679" s="1" t="s">
        <v>72</v>
      </c>
      <c r="B679" s="1" t="s">
        <v>6436</v>
      </c>
      <c r="C679" s="1" t="s">
        <v>74</v>
      </c>
      <c r="D679" s="1" t="s">
        <v>74</v>
      </c>
      <c r="E679" s="1" t="s">
        <v>74</v>
      </c>
      <c r="F679" s="1" t="s">
        <v>6437</v>
      </c>
      <c r="G679" s="1" t="s">
        <v>74</v>
      </c>
      <c r="H679" s="1" t="s">
        <v>74</v>
      </c>
      <c r="I679" s="1" t="s">
        <v>6438</v>
      </c>
      <c r="J679" s="1" t="s">
        <v>4193</v>
      </c>
      <c r="K679" s="1" t="s">
        <v>74</v>
      </c>
      <c r="L679" s="1" t="s">
        <v>74</v>
      </c>
      <c r="M679" s="1" t="s">
        <v>74</v>
      </c>
      <c r="N679" s="1" t="s">
        <v>74</v>
      </c>
      <c r="O679" s="1" t="s">
        <v>74</v>
      </c>
      <c r="P679" s="1" t="s">
        <v>74</v>
      </c>
      <c r="Q679" s="1" t="s">
        <v>74</v>
      </c>
      <c r="R679" s="1" t="s">
        <v>74</v>
      </c>
      <c r="S679" s="1" t="s">
        <v>74</v>
      </c>
      <c r="T679" s="1" t="s">
        <v>74</v>
      </c>
      <c r="U679" s="1" t="s">
        <v>74</v>
      </c>
      <c r="V679" s="1" t="s">
        <v>6439</v>
      </c>
      <c r="W679" s="1" t="s">
        <v>74</v>
      </c>
      <c r="X679" s="1" t="s">
        <v>74</v>
      </c>
      <c r="Y679" s="1" t="s">
        <v>74</v>
      </c>
      <c r="Z679" s="1" t="s">
        <v>74</v>
      </c>
      <c r="AA679" s="1" t="s">
        <v>6440</v>
      </c>
      <c r="AB679" s="1" t="s">
        <v>6441</v>
      </c>
      <c r="AC679" s="1" t="s">
        <v>74</v>
      </c>
      <c r="AD679" s="1" t="s">
        <v>74</v>
      </c>
      <c r="AE679" s="1" t="s">
        <v>74</v>
      </c>
      <c r="AF679" s="1" t="s">
        <v>74</v>
      </c>
      <c r="AG679" s="1" t="s">
        <v>74</v>
      </c>
      <c r="AH679" s="1" t="s">
        <v>74</v>
      </c>
      <c r="AI679" s="1" t="s">
        <v>74</v>
      </c>
      <c r="AJ679" s="1" t="s">
        <v>74</v>
      </c>
      <c r="AK679" s="1" t="s">
        <v>74</v>
      </c>
      <c r="AL679" s="1" t="s">
        <v>74</v>
      </c>
      <c r="AM679" s="1" t="s">
        <v>74</v>
      </c>
      <c r="AN679" s="1" t="s">
        <v>74</v>
      </c>
      <c r="AO679" s="1" t="s">
        <v>4196</v>
      </c>
      <c r="AP679" s="1" t="s">
        <v>4197</v>
      </c>
      <c r="AQ679" s="1" t="s">
        <v>74</v>
      </c>
      <c r="AR679" s="1" t="s">
        <v>74</v>
      </c>
      <c r="AS679" s="1" t="s">
        <v>74</v>
      </c>
      <c r="AT679" s="1" t="s">
        <v>289</v>
      </c>
      <c r="AU679" s="1">
        <v>2022.0</v>
      </c>
      <c r="AV679" s="1">
        <v>22.0</v>
      </c>
      <c r="AW679" s="1">
        <v>2.0</v>
      </c>
      <c r="AX679" s="1" t="s">
        <v>74</v>
      </c>
      <c r="AY679" s="1" t="s">
        <v>74</v>
      </c>
      <c r="AZ679" s="1" t="s">
        <v>74</v>
      </c>
      <c r="BA679" s="1" t="s">
        <v>74</v>
      </c>
      <c r="BB679" s="1">
        <v>2392.0</v>
      </c>
      <c r="BC679" s="1">
        <v>2405.0</v>
      </c>
      <c r="BD679" s="1" t="s">
        <v>74</v>
      </c>
      <c r="BE679" s="1" t="s">
        <v>6442</v>
      </c>
      <c r="BF679" s="2" t="str">
        <f>HYPERLINK("http://dx.doi.org/10.1007/s42729-022-00816-w","http://dx.doi.org/10.1007/s42729-022-00816-w")</f>
        <v>http://dx.doi.org/10.1007/s42729-022-00816-w</v>
      </c>
      <c r="BG679" s="1" t="s">
        <v>74</v>
      </c>
      <c r="BH679" s="1" t="s">
        <v>6443</v>
      </c>
      <c r="BI679" s="1" t="s">
        <v>74</v>
      </c>
      <c r="BJ679" s="1" t="s">
        <v>74</v>
      </c>
      <c r="BK679" s="1" t="s">
        <v>74</v>
      </c>
      <c r="BL679" s="1" t="s">
        <v>74</v>
      </c>
      <c r="BM679" s="1" t="s">
        <v>74</v>
      </c>
      <c r="BN679" s="1" t="s">
        <v>74</v>
      </c>
      <c r="BO679" s="1" t="s">
        <v>74</v>
      </c>
      <c r="BP679" s="1" t="s">
        <v>74</v>
      </c>
      <c r="BQ679" s="1" t="s">
        <v>74</v>
      </c>
      <c r="BR679" s="1" t="s">
        <v>74</v>
      </c>
      <c r="BS679" s="1" t="s">
        <v>6444</v>
      </c>
      <c r="BT679" s="1" t="str">
        <f>HYPERLINK("https%3A%2F%2Fwww.webofscience.com%2Fwos%2Fwoscc%2Ffull-record%2FWOS:000779508100001","View Full Record in Web of Science")</f>
        <v>View Full Record in Web of Science</v>
      </c>
    </row>
    <row r="680" ht="12.75" customHeight="1">
      <c r="A680" s="1" t="s">
        <v>72</v>
      </c>
      <c r="B680" s="1" t="s">
        <v>6445</v>
      </c>
      <c r="C680" s="1" t="s">
        <v>74</v>
      </c>
      <c r="D680" s="1" t="s">
        <v>74</v>
      </c>
      <c r="E680" s="1" t="s">
        <v>74</v>
      </c>
      <c r="F680" s="1" t="s">
        <v>6446</v>
      </c>
      <c r="G680" s="1" t="s">
        <v>74</v>
      </c>
      <c r="H680" s="1" t="s">
        <v>74</v>
      </c>
      <c r="I680" s="1" t="s">
        <v>6447</v>
      </c>
      <c r="J680" s="1" t="s">
        <v>6448</v>
      </c>
      <c r="K680" s="1" t="s">
        <v>74</v>
      </c>
      <c r="L680" s="1" t="s">
        <v>74</v>
      </c>
      <c r="M680" s="1" t="s">
        <v>74</v>
      </c>
      <c r="N680" s="1" t="s">
        <v>74</v>
      </c>
      <c r="O680" s="1" t="s">
        <v>74</v>
      </c>
      <c r="P680" s="1" t="s">
        <v>74</v>
      </c>
      <c r="Q680" s="1" t="s">
        <v>74</v>
      </c>
      <c r="R680" s="1" t="s">
        <v>74</v>
      </c>
      <c r="S680" s="1" t="s">
        <v>74</v>
      </c>
      <c r="T680" s="1" t="s">
        <v>74</v>
      </c>
      <c r="U680" s="1" t="s">
        <v>74</v>
      </c>
      <c r="V680" s="1" t="s">
        <v>6449</v>
      </c>
      <c r="W680" s="1" t="s">
        <v>74</v>
      </c>
      <c r="X680" s="1" t="s">
        <v>74</v>
      </c>
      <c r="Y680" s="1" t="s">
        <v>74</v>
      </c>
      <c r="Z680" s="1" t="s">
        <v>74</v>
      </c>
      <c r="AA680" s="1" t="s">
        <v>6450</v>
      </c>
      <c r="AB680" s="1" t="s">
        <v>6451</v>
      </c>
      <c r="AC680" s="1" t="s">
        <v>74</v>
      </c>
      <c r="AD680" s="1" t="s">
        <v>74</v>
      </c>
      <c r="AE680" s="1" t="s">
        <v>74</v>
      </c>
      <c r="AF680" s="1" t="s">
        <v>74</v>
      </c>
      <c r="AG680" s="1" t="s">
        <v>74</v>
      </c>
      <c r="AH680" s="1" t="s">
        <v>74</v>
      </c>
      <c r="AI680" s="1" t="s">
        <v>74</v>
      </c>
      <c r="AJ680" s="1" t="s">
        <v>74</v>
      </c>
      <c r="AK680" s="1" t="s">
        <v>74</v>
      </c>
      <c r="AL680" s="1" t="s">
        <v>74</v>
      </c>
      <c r="AM680" s="1" t="s">
        <v>74</v>
      </c>
      <c r="AN680" s="1" t="s">
        <v>74</v>
      </c>
      <c r="AO680" s="1" t="s">
        <v>6452</v>
      </c>
      <c r="AP680" s="1" t="s">
        <v>74</v>
      </c>
      <c r="AQ680" s="1" t="s">
        <v>74</v>
      </c>
      <c r="AR680" s="1" t="s">
        <v>74</v>
      </c>
      <c r="AS680" s="1" t="s">
        <v>74</v>
      </c>
      <c r="AT680" s="1" t="s">
        <v>415</v>
      </c>
      <c r="AU680" s="1">
        <v>2020.0</v>
      </c>
      <c r="AV680" s="1">
        <v>19.0</v>
      </c>
      <c r="AW680" s="1" t="s">
        <v>74</v>
      </c>
      <c r="AX680" s="1" t="s">
        <v>74</v>
      </c>
      <c r="AY680" s="1" t="s">
        <v>74</v>
      </c>
      <c r="AZ680" s="1" t="s">
        <v>74</v>
      </c>
      <c r="BA680" s="1" t="s">
        <v>74</v>
      </c>
      <c r="BB680" s="1" t="s">
        <v>74</v>
      </c>
      <c r="BC680" s="1" t="s">
        <v>74</v>
      </c>
      <c r="BD680" s="1">
        <v>103598.0</v>
      </c>
      <c r="BE680" s="1" t="s">
        <v>6453</v>
      </c>
      <c r="BF680" s="2" t="str">
        <f>HYPERLINK("http://dx.doi.org/10.1016/j.rinp.2020.103598","http://dx.doi.org/10.1016/j.rinp.2020.103598")</f>
        <v>http://dx.doi.org/10.1016/j.rinp.2020.103598</v>
      </c>
      <c r="BG680" s="1" t="s">
        <v>74</v>
      </c>
      <c r="BH680" s="1" t="s">
        <v>74</v>
      </c>
      <c r="BI680" s="1" t="s">
        <v>74</v>
      </c>
      <c r="BJ680" s="1" t="s">
        <v>74</v>
      </c>
      <c r="BK680" s="1" t="s">
        <v>74</v>
      </c>
      <c r="BL680" s="1" t="s">
        <v>74</v>
      </c>
      <c r="BM680" s="1" t="s">
        <v>74</v>
      </c>
      <c r="BN680" s="1" t="s">
        <v>74</v>
      </c>
      <c r="BO680" s="1" t="s">
        <v>74</v>
      </c>
      <c r="BP680" s="1" t="s">
        <v>74</v>
      </c>
      <c r="BQ680" s="1" t="s">
        <v>74</v>
      </c>
      <c r="BR680" s="1" t="s">
        <v>74</v>
      </c>
      <c r="BS680" s="1" t="s">
        <v>6454</v>
      </c>
      <c r="BT680" s="1" t="str">
        <f>HYPERLINK("https%3A%2F%2Fwww.webofscience.com%2Fwos%2Fwoscc%2Ffull-record%2FWOS:000604224200006","View Full Record in Web of Science")</f>
        <v>View Full Record in Web of Science</v>
      </c>
    </row>
    <row r="681" ht="12.75" customHeight="1">
      <c r="A681" s="1" t="s">
        <v>72</v>
      </c>
      <c r="B681" s="1" t="s">
        <v>6455</v>
      </c>
      <c r="C681" s="1" t="s">
        <v>74</v>
      </c>
      <c r="D681" s="1" t="s">
        <v>74</v>
      </c>
      <c r="E681" s="1" t="s">
        <v>74</v>
      </c>
      <c r="F681" s="1" t="s">
        <v>6456</v>
      </c>
      <c r="G681" s="1" t="s">
        <v>74</v>
      </c>
      <c r="H681" s="1" t="s">
        <v>74</v>
      </c>
      <c r="I681" s="1" t="s">
        <v>6457</v>
      </c>
      <c r="J681" s="1" t="s">
        <v>6458</v>
      </c>
      <c r="K681" s="1" t="s">
        <v>74</v>
      </c>
      <c r="L681" s="1" t="s">
        <v>74</v>
      </c>
      <c r="M681" s="1" t="s">
        <v>74</v>
      </c>
      <c r="N681" s="1" t="s">
        <v>74</v>
      </c>
      <c r="O681" s="1" t="s">
        <v>74</v>
      </c>
      <c r="P681" s="1" t="s">
        <v>74</v>
      </c>
      <c r="Q681" s="1" t="s">
        <v>74</v>
      </c>
      <c r="R681" s="1" t="s">
        <v>74</v>
      </c>
      <c r="S681" s="1" t="s">
        <v>74</v>
      </c>
      <c r="T681" s="1" t="s">
        <v>74</v>
      </c>
      <c r="U681" s="1" t="s">
        <v>74</v>
      </c>
      <c r="V681" s="1" t="s">
        <v>6459</v>
      </c>
      <c r="W681" s="1" t="s">
        <v>74</v>
      </c>
      <c r="X681" s="1" t="s">
        <v>74</v>
      </c>
      <c r="Y681" s="1" t="s">
        <v>74</v>
      </c>
      <c r="Z681" s="1" t="s">
        <v>74</v>
      </c>
      <c r="AA681" s="1" t="s">
        <v>6460</v>
      </c>
      <c r="AB681" s="1" t="s">
        <v>74</v>
      </c>
      <c r="AC681" s="1" t="s">
        <v>74</v>
      </c>
      <c r="AD681" s="1" t="s">
        <v>74</v>
      </c>
      <c r="AE681" s="1" t="s">
        <v>74</v>
      </c>
      <c r="AF681" s="1" t="s">
        <v>74</v>
      </c>
      <c r="AG681" s="1" t="s">
        <v>74</v>
      </c>
      <c r="AH681" s="1" t="s">
        <v>74</v>
      </c>
      <c r="AI681" s="1" t="s">
        <v>74</v>
      </c>
      <c r="AJ681" s="1" t="s">
        <v>74</v>
      </c>
      <c r="AK681" s="1" t="s">
        <v>74</v>
      </c>
      <c r="AL681" s="1" t="s">
        <v>74</v>
      </c>
      <c r="AM681" s="1" t="s">
        <v>74</v>
      </c>
      <c r="AN681" s="1" t="s">
        <v>74</v>
      </c>
      <c r="AO681" s="1" t="s">
        <v>74</v>
      </c>
      <c r="AP681" s="1" t="s">
        <v>6461</v>
      </c>
      <c r="AQ681" s="1" t="s">
        <v>74</v>
      </c>
      <c r="AR681" s="1" t="s">
        <v>74</v>
      </c>
      <c r="AS681" s="1" t="s">
        <v>74</v>
      </c>
      <c r="AT681" s="1" t="s">
        <v>74</v>
      </c>
      <c r="AU681" s="1">
        <v>2020.0</v>
      </c>
      <c r="AV681" s="1">
        <v>22.0</v>
      </c>
      <c r="AW681" s="1" t="s">
        <v>74</v>
      </c>
      <c r="AX681" s="1" t="s">
        <v>74</v>
      </c>
      <c r="AY681" s="1" t="s">
        <v>74</v>
      </c>
      <c r="AZ681" s="1" t="s">
        <v>74</v>
      </c>
      <c r="BA681" s="1" t="s">
        <v>74</v>
      </c>
      <c r="BB681" s="1" t="s">
        <v>74</v>
      </c>
      <c r="BC681" s="1" t="s">
        <v>74</v>
      </c>
      <c r="BD681" s="1" t="s">
        <v>6462</v>
      </c>
      <c r="BE681" s="1" t="s">
        <v>6463</v>
      </c>
      <c r="BF681" s="2" t="str">
        <f>HYPERLINK("http://dx.doi.org/10.24320/redie.2020.22.e18.2672","http://dx.doi.org/10.24320/redie.2020.22.e18.2672")</f>
        <v>http://dx.doi.org/10.24320/redie.2020.22.e18.2672</v>
      </c>
      <c r="BG681" s="1" t="s">
        <v>74</v>
      </c>
      <c r="BH681" s="1" t="s">
        <v>74</v>
      </c>
      <c r="BI681" s="1" t="s">
        <v>74</v>
      </c>
      <c r="BJ681" s="1" t="s">
        <v>74</v>
      </c>
      <c r="BK681" s="1" t="s">
        <v>74</v>
      </c>
      <c r="BL681" s="1" t="s">
        <v>74</v>
      </c>
      <c r="BM681" s="1" t="s">
        <v>74</v>
      </c>
      <c r="BN681" s="1" t="s">
        <v>74</v>
      </c>
      <c r="BO681" s="1" t="s">
        <v>74</v>
      </c>
      <c r="BP681" s="1" t="s">
        <v>74</v>
      </c>
      <c r="BQ681" s="1" t="s">
        <v>74</v>
      </c>
      <c r="BR681" s="1" t="s">
        <v>74</v>
      </c>
      <c r="BS681" s="1" t="s">
        <v>6464</v>
      </c>
      <c r="BT681" s="1" t="str">
        <f>HYPERLINK("https%3A%2F%2Fwww.webofscience.com%2Fwos%2Fwoscc%2Ffull-record%2FWOS:000547379100001","View Full Record in Web of Science")</f>
        <v>View Full Record in Web of Science</v>
      </c>
    </row>
    <row r="682" ht="12.75" customHeight="1">
      <c r="A682" s="1" t="s">
        <v>72</v>
      </c>
      <c r="B682" s="1" t="s">
        <v>6465</v>
      </c>
      <c r="C682" s="1" t="s">
        <v>74</v>
      </c>
      <c r="D682" s="1" t="s">
        <v>74</v>
      </c>
      <c r="E682" s="1" t="s">
        <v>74</v>
      </c>
      <c r="F682" s="1" t="s">
        <v>6466</v>
      </c>
      <c r="G682" s="1" t="s">
        <v>74</v>
      </c>
      <c r="H682" s="1" t="s">
        <v>74</v>
      </c>
      <c r="I682" s="1" t="s">
        <v>6467</v>
      </c>
      <c r="J682" s="1" t="s">
        <v>6468</v>
      </c>
      <c r="K682" s="1" t="s">
        <v>74</v>
      </c>
      <c r="L682" s="1" t="s">
        <v>74</v>
      </c>
      <c r="M682" s="1" t="s">
        <v>74</v>
      </c>
      <c r="N682" s="1" t="s">
        <v>74</v>
      </c>
      <c r="O682" s="1" t="s">
        <v>74</v>
      </c>
      <c r="P682" s="1" t="s">
        <v>74</v>
      </c>
      <c r="Q682" s="1" t="s">
        <v>74</v>
      </c>
      <c r="R682" s="1" t="s">
        <v>74</v>
      </c>
      <c r="S682" s="1" t="s">
        <v>74</v>
      </c>
      <c r="T682" s="1" t="s">
        <v>74</v>
      </c>
      <c r="U682" s="1" t="s">
        <v>74</v>
      </c>
      <c r="V682" s="1" t="s">
        <v>6469</v>
      </c>
      <c r="W682" s="1" t="s">
        <v>74</v>
      </c>
      <c r="X682" s="1" t="s">
        <v>74</v>
      </c>
      <c r="Y682" s="1" t="s">
        <v>74</v>
      </c>
      <c r="Z682" s="1" t="s">
        <v>74</v>
      </c>
      <c r="AA682" s="1" t="s">
        <v>6470</v>
      </c>
      <c r="AB682" s="1" t="s">
        <v>74</v>
      </c>
      <c r="AC682" s="1" t="s">
        <v>74</v>
      </c>
      <c r="AD682" s="1" t="s">
        <v>74</v>
      </c>
      <c r="AE682" s="1" t="s">
        <v>74</v>
      </c>
      <c r="AF682" s="1" t="s">
        <v>74</v>
      </c>
      <c r="AG682" s="1" t="s">
        <v>74</v>
      </c>
      <c r="AH682" s="1" t="s">
        <v>74</v>
      </c>
      <c r="AI682" s="1" t="s">
        <v>74</v>
      </c>
      <c r="AJ682" s="1" t="s">
        <v>74</v>
      </c>
      <c r="AK682" s="1" t="s">
        <v>74</v>
      </c>
      <c r="AL682" s="1" t="s">
        <v>74</v>
      </c>
      <c r="AM682" s="1" t="s">
        <v>74</v>
      </c>
      <c r="AN682" s="1" t="s">
        <v>74</v>
      </c>
      <c r="AO682" s="1" t="s">
        <v>6471</v>
      </c>
      <c r="AP682" s="1" t="s">
        <v>6472</v>
      </c>
      <c r="AQ682" s="1" t="s">
        <v>74</v>
      </c>
      <c r="AR682" s="1" t="s">
        <v>74</v>
      </c>
      <c r="AS682" s="1" t="s">
        <v>74</v>
      </c>
      <c r="AT682" s="1" t="s">
        <v>533</v>
      </c>
      <c r="AU682" s="1">
        <v>2020.0</v>
      </c>
      <c r="AV682" s="1">
        <v>231.0</v>
      </c>
      <c r="AW682" s="1" t="s">
        <v>74</v>
      </c>
      <c r="AX682" s="1" t="s">
        <v>74</v>
      </c>
      <c r="AY682" s="1" t="s">
        <v>74</v>
      </c>
      <c r="AZ682" s="1" t="s">
        <v>74</v>
      </c>
      <c r="BA682" s="1" t="s">
        <v>74</v>
      </c>
      <c r="BB682" s="1" t="s">
        <v>74</v>
      </c>
      <c r="BC682" s="1" t="s">
        <v>74</v>
      </c>
      <c r="BD682" s="1">
        <v>111472.0</v>
      </c>
      <c r="BE682" s="1" t="s">
        <v>6473</v>
      </c>
      <c r="BF682" s="2" t="str">
        <f>HYPERLINK("http://dx.doi.org/10.1016/j.compstruct.2019.111472","http://dx.doi.org/10.1016/j.compstruct.2019.111472")</f>
        <v>http://dx.doi.org/10.1016/j.compstruct.2019.111472</v>
      </c>
      <c r="BG682" s="1" t="s">
        <v>74</v>
      </c>
      <c r="BH682" s="1" t="s">
        <v>74</v>
      </c>
      <c r="BI682" s="1" t="s">
        <v>74</v>
      </c>
      <c r="BJ682" s="1" t="s">
        <v>74</v>
      </c>
      <c r="BK682" s="1" t="s">
        <v>74</v>
      </c>
      <c r="BL682" s="1" t="s">
        <v>74</v>
      </c>
      <c r="BM682" s="1" t="s">
        <v>74</v>
      </c>
      <c r="BN682" s="1" t="s">
        <v>74</v>
      </c>
      <c r="BO682" s="1" t="s">
        <v>74</v>
      </c>
      <c r="BP682" s="1" t="s">
        <v>74</v>
      </c>
      <c r="BQ682" s="1" t="s">
        <v>74</v>
      </c>
      <c r="BR682" s="1" t="s">
        <v>74</v>
      </c>
      <c r="BS682" s="1" t="s">
        <v>6474</v>
      </c>
      <c r="BT682" s="1" t="str">
        <f>HYPERLINK("https%3A%2F%2Fwww.webofscience.com%2Fwos%2Fwoscc%2Ffull-record%2FWOS:000498688100008","View Full Record in Web of Science")</f>
        <v>View Full Record in Web of Science</v>
      </c>
    </row>
    <row r="683" ht="12.75" customHeight="1">
      <c r="A683" s="1" t="s">
        <v>86</v>
      </c>
      <c r="B683" s="1" t="s">
        <v>6475</v>
      </c>
      <c r="C683" s="1" t="s">
        <v>6476</v>
      </c>
      <c r="D683" s="1" t="s">
        <v>74</v>
      </c>
      <c r="E683" s="1" t="s">
        <v>74</v>
      </c>
      <c r="F683" s="1" t="s">
        <v>6477</v>
      </c>
      <c r="G683" s="1" t="s">
        <v>6476</v>
      </c>
      <c r="H683" s="1" t="s">
        <v>74</v>
      </c>
      <c r="I683" s="1" t="s">
        <v>6478</v>
      </c>
      <c r="J683" s="1" t="s">
        <v>6479</v>
      </c>
      <c r="K683" s="1" t="s">
        <v>74</v>
      </c>
      <c r="L683" s="1" t="s">
        <v>74</v>
      </c>
      <c r="M683" s="1" t="s">
        <v>74</v>
      </c>
      <c r="N683" s="1" t="s">
        <v>74</v>
      </c>
      <c r="O683" s="1" t="s">
        <v>74</v>
      </c>
      <c r="P683" s="1" t="s">
        <v>74</v>
      </c>
      <c r="Q683" s="1" t="s">
        <v>74</v>
      </c>
      <c r="R683" s="1" t="s">
        <v>74</v>
      </c>
      <c r="S683" s="1" t="s">
        <v>74</v>
      </c>
      <c r="T683" s="1" t="s">
        <v>74</v>
      </c>
      <c r="U683" s="1" t="s">
        <v>74</v>
      </c>
      <c r="V683" s="1" t="s">
        <v>74</v>
      </c>
      <c r="W683" s="1" t="s">
        <v>74</v>
      </c>
      <c r="X683" s="1" t="s">
        <v>74</v>
      </c>
      <c r="Y683" s="1" t="s">
        <v>74</v>
      </c>
      <c r="Z683" s="1" t="s">
        <v>74</v>
      </c>
      <c r="AA683" s="1" t="s">
        <v>74</v>
      </c>
      <c r="AB683" s="1" t="s">
        <v>74</v>
      </c>
      <c r="AC683" s="1" t="s">
        <v>74</v>
      </c>
      <c r="AD683" s="1" t="s">
        <v>74</v>
      </c>
      <c r="AE683" s="1" t="s">
        <v>74</v>
      </c>
      <c r="AF683" s="1" t="s">
        <v>74</v>
      </c>
      <c r="AG683" s="1" t="s">
        <v>74</v>
      </c>
      <c r="AH683" s="1" t="s">
        <v>74</v>
      </c>
      <c r="AI683" s="1" t="s">
        <v>74</v>
      </c>
      <c r="AJ683" s="1" t="s">
        <v>74</v>
      </c>
      <c r="AK683" s="1" t="s">
        <v>74</v>
      </c>
      <c r="AL683" s="1" t="s">
        <v>74</v>
      </c>
      <c r="AM683" s="1" t="s">
        <v>74</v>
      </c>
      <c r="AN683" s="1" t="s">
        <v>74</v>
      </c>
      <c r="AO683" s="1" t="s">
        <v>74</v>
      </c>
      <c r="AP683" s="1" t="s">
        <v>74</v>
      </c>
      <c r="AQ683" s="1" t="s">
        <v>6480</v>
      </c>
      <c r="AR683" s="1" t="s">
        <v>74</v>
      </c>
      <c r="AS683" s="1" t="s">
        <v>74</v>
      </c>
      <c r="AT683" s="1" t="s">
        <v>74</v>
      </c>
      <c r="AU683" s="1">
        <v>2019.0</v>
      </c>
      <c r="AV683" s="1" t="s">
        <v>74</v>
      </c>
      <c r="AW683" s="1" t="s">
        <v>74</v>
      </c>
      <c r="AX683" s="1" t="s">
        <v>74</v>
      </c>
      <c r="AY683" s="1" t="s">
        <v>74</v>
      </c>
      <c r="AZ683" s="1" t="s">
        <v>74</v>
      </c>
      <c r="BA683" s="1" t="s">
        <v>74</v>
      </c>
      <c r="BB683" s="1">
        <v>123.0</v>
      </c>
      <c r="BC683" s="1">
        <v>134.0</v>
      </c>
      <c r="BD683" s="1" t="s">
        <v>74</v>
      </c>
      <c r="BE683" s="1" t="s">
        <v>74</v>
      </c>
      <c r="BF683" s="1" t="s">
        <v>74</v>
      </c>
      <c r="BG683" s="1" t="s">
        <v>74</v>
      </c>
      <c r="BH683" s="1" t="s">
        <v>74</v>
      </c>
      <c r="BI683" s="1" t="s">
        <v>74</v>
      </c>
      <c r="BJ683" s="1" t="s">
        <v>74</v>
      </c>
      <c r="BK683" s="1" t="s">
        <v>74</v>
      </c>
      <c r="BL683" s="1" t="s">
        <v>74</v>
      </c>
      <c r="BM683" s="1" t="s">
        <v>74</v>
      </c>
      <c r="BN683" s="1" t="s">
        <v>74</v>
      </c>
      <c r="BO683" s="1" t="s">
        <v>74</v>
      </c>
      <c r="BP683" s="1" t="s">
        <v>74</v>
      </c>
      <c r="BQ683" s="1" t="s">
        <v>74</v>
      </c>
      <c r="BR683" s="1" t="s">
        <v>74</v>
      </c>
      <c r="BS683" s="1" t="s">
        <v>6481</v>
      </c>
      <c r="BT683" s="1" t="str">
        <f>HYPERLINK("https%3A%2F%2Fwww.webofscience.com%2Fwos%2Fwoscc%2Ffull-record%2FWOS:000887018400013","View Full Record in Web of Science")</f>
        <v>View Full Record in Web of Science</v>
      </c>
    </row>
    <row r="684" ht="12.75" customHeight="1">
      <c r="A684" s="1" t="s">
        <v>147</v>
      </c>
      <c r="B684" s="1" t="s">
        <v>6482</v>
      </c>
      <c r="C684" s="1" t="s">
        <v>74</v>
      </c>
      <c r="D684" s="1" t="s">
        <v>74</v>
      </c>
      <c r="E684" s="1" t="s">
        <v>793</v>
      </c>
      <c r="F684" s="1" t="s">
        <v>6483</v>
      </c>
      <c r="G684" s="1" t="s">
        <v>74</v>
      </c>
      <c r="H684" s="1" t="s">
        <v>74</v>
      </c>
      <c r="I684" s="1" t="s">
        <v>6484</v>
      </c>
      <c r="J684" s="1" t="s">
        <v>6485</v>
      </c>
      <c r="K684" s="1" t="s">
        <v>74</v>
      </c>
      <c r="L684" s="1" t="s">
        <v>74</v>
      </c>
      <c r="M684" s="1" t="s">
        <v>74</v>
      </c>
      <c r="N684" s="1" t="s">
        <v>74</v>
      </c>
      <c r="O684" s="1" t="s">
        <v>6486</v>
      </c>
      <c r="P684" s="1" t="s">
        <v>6487</v>
      </c>
      <c r="Q684" s="1" t="s">
        <v>6488</v>
      </c>
      <c r="R684" s="1" t="s">
        <v>74</v>
      </c>
      <c r="S684" s="1" t="s">
        <v>74</v>
      </c>
      <c r="T684" s="1" t="s">
        <v>74</v>
      </c>
      <c r="U684" s="1" t="s">
        <v>74</v>
      </c>
      <c r="V684" s="1" t="s">
        <v>6489</v>
      </c>
      <c r="W684" s="1" t="s">
        <v>74</v>
      </c>
      <c r="X684" s="1" t="s">
        <v>74</v>
      </c>
      <c r="Y684" s="1" t="s">
        <v>74</v>
      </c>
      <c r="Z684" s="1" t="s">
        <v>74</v>
      </c>
      <c r="AA684" s="1" t="s">
        <v>6490</v>
      </c>
      <c r="AB684" s="1" t="s">
        <v>6491</v>
      </c>
      <c r="AC684" s="1" t="s">
        <v>74</v>
      </c>
      <c r="AD684" s="1" t="s">
        <v>74</v>
      </c>
      <c r="AE684" s="1" t="s">
        <v>74</v>
      </c>
      <c r="AF684" s="1" t="s">
        <v>74</v>
      </c>
      <c r="AG684" s="1" t="s">
        <v>74</v>
      </c>
      <c r="AH684" s="1" t="s">
        <v>74</v>
      </c>
      <c r="AI684" s="1" t="s">
        <v>74</v>
      </c>
      <c r="AJ684" s="1" t="s">
        <v>74</v>
      </c>
      <c r="AK684" s="1" t="s">
        <v>74</v>
      </c>
      <c r="AL684" s="1" t="s">
        <v>74</v>
      </c>
      <c r="AM684" s="1" t="s">
        <v>74</v>
      </c>
      <c r="AN684" s="1" t="s">
        <v>74</v>
      </c>
      <c r="AO684" s="1" t="s">
        <v>74</v>
      </c>
      <c r="AP684" s="1" t="s">
        <v>74</v>
      </c>
      <c r="AQ684" s="1" t="s">
        <v>6492</v>
      </c>
      <c r="AR684" s="1" t="s">
        <v>74</v>
      </c>
      <c r="AS684" s="1" t="s">
        <v>74</v>
      </c>
      <c r="AT684" s="1" t="s">
        <v>74</v>
      </c>
      <c r="AU684" s="1">
        <v>2019.0</v>
      </c>
      <c r="AV684" s="1" t="s">
        <v>74</v>
      </c>
      <c r="AW684" s="1" t="s">
        <v>74</v>
      </c>
      <c r="AX684" s="1" t="s">
        <v>74</v>
      </c>
      <c r="AY684" s="1" t="s">
        <v>74</v>
      </c>
      <c r="AZ684" s="1" t="s">
        <v>74</v>
      </c>
      <c r="BA684" s="1" t="s">
        <v>74</v>
      </c>
      <c r="BB684" s="1" t="s">
        <v>74</v>
      </c>
      <c r="BC684" s="1" t="s">
        <v>74</v>
      </c>
      <c r="BD684" s="1" t="s">
        <v>74</v>
      </c>
      <c r="BE684" s="1" t="s">
        <v>6493</v>
      </c>
      <c r="BF684" s="2" t="str">
        <f>HYPERLINK("http://dx.doi.org/10.23919/springsim.2019.8732896","http://dx.doi.org/10.23919/springsim.2019.8732896")</f>
        <v>http://dx.doi.org/10.23919/springsim.2019.8732896</v>
      </c>
      <c r="BG684" s="1" t="s">
        <v>74</v>
      </c>
      <c r="BH684" s="1" t="s">
        <v>74</v>
      </c>
      <c r="BI684" s="1" t="s">
        <v>74</v>
      </c>
      <c r="BJ684" s="1" t="s">
        <v>74</v>
      </c>
      <c r="BK684" s="1" t="s">
        <v>74</v>
      </c>
      <c r="BL684" s="1" t="s">
        <v>74</v>
      </c>
      <c r="BM684" s="1" t="s">
        <v>74</v>
      </c>
      <c r="BN684" s="1" t="s">
        <v>74</v>
      </c>
      <c r="BO684" s="1" t="s">
        <v>74</v>
      </c>
      <c r="BP684" s="1" t="s">
        <v>74</v>
      </c>
      <c r="BQ684" s="1" t="s">
        <v>74</v>
      </c>
      <c r="BR684" s="1" t="s">
        <v>74</v>
      </c>
      <c r="BS684" s="1" t="s">
        <v>6494</v>
      </c>
      <c r="BT684" s="1" t="str">
        <f>HYPERLINK("https%3A%2F%2Fwww.webofscience.com%2Fwos%2Fwoscc%2Ffull-record%2FWOS:000492000800051","View Full Record in Web of Science")</f>
        <v>View Full Record in Web of Science</v>
      </c>
    </row>
    <row r="685" ht="12.75" customHeight="1">
      <c r="A685" s="1" t="s">
        <v>72</v>
      </c>
      <c r="B685" s="1" t="s">
        <v>6495</v>
      </c>
      <c r="C685" s="1" t="s">
        <v>74</v>
      </c>
      <c r="D685" s="1" t="s">
        <v>74</v>
      </c>
      <c r="E685" s="1" t="s">
        <v>74</v>
      </c>
      <c r="F685" s="1" t="s">
        <v>6496</v>
      </c>
      <c r="G685" s="1" t="s">
        <v>74</v>
      </c>
      <c r="H685" s="1" t="s">
        <v>74</v>
      </c>
      <c r="I685" s="1" t="s">
        <v>6497</v>
      </c>
      <c r="J685" s="1" t="s">
        <v>6498</v>
      </c>
      <c r="K685" s="1" t="s">
        <v>74</v>
      </c>
      <c r="L685" s="1" t="s">
        <v>74</v>
      </c>
      <c r="M685" s="1" t="s">
        <v>74</v>
      </c>
      <c r="N685" s="1" t="s">
        <v>74</v>
      </c>
      <c r="O685" s="1" t="s">
        <v>74</v>
      </c>
      <c r="P685" s="1" t="s">
        <v>74</v>
      </c>
      <c r="Q685" s="1" t="s">
        <v>74</v>
      </c>
      <c r="R685" s="1" t="s">
        <v>74</v>
      </c>
      <c r="S685" s="1" t="s">
        <v>74</v>
      </c>
      <c r="T685" s="1" t="s">
        <v>74</v>
      </c>
      <c r="U685" s="1" t="s">
        <v>74</v>
      </c>
      <c r="V685" s="1" t="s">
        <v>6499</v>
      </c>
      <c r="W685" s="1" t="s">
        <v>74</v>
      </c>
      <c r="X685" s="1" t="s">
        <v>74</v>
      </c>
      <c r="Y685" s="1" t="s">
        <v>74</v>
      </c>
      <c r="Z685" s="1" t="s">
        <v>74</v>
      </c>
      <c r="AA685" s="1" t="s">
        <v>6500</v>
      </c>
      <c r="AB685" s="1" t="s">
        <v>6501</v>
      </c>
      <c r="AC685" s="1" t="s">
        <v>74</v>
      </c>
      <c r="AD685" s="1" t="s">
        <v>74</v>
      </c>
      <c r="AE685" s="1" t="s">
        <v>74</v>
      </c>
      <c r="AF685" s="1" t="s">
        <v>74</v>
      </c>
      <c r="AG685" s="1" t="s">
        <v>74</v>
      </c>
      <c r="AH685" s="1" t="s">
        <v>74</v>
      </c>
      <c r="AI685" s="1" t="s">
        <v>74</v>
      </c>
      <c r="AJ685" s="1" t="s">
        <v>74</v>
      </c>
      <c r="AK685" s="1" t="s">
        <v>74</v>
      </c>
      <c r="AL685" s="1" t="s">
        <v>74</v>
      </c>
      <c r="AM685" s="1" t="s">
        <v>74</v>
      </c>
      <c r="AN685" s="1" t="s">
        <v>74</v>
      </c>
      <c r="AO685" s="1" t="s">
        <v>6502</v>
      </c>
      <c r="AP685" s="1" t="s">
        <v>6503</v>
      </c>
      <c r="AQ685" s="1" t="s">
        <v>74</v>
      </c>
      <c r="AR685" s="1" t="s">
        <v>74</v>
      </c>
      <c r="AS685" s="1" t="s">
        <v>74</v>
      </c>
      <c r="AT685" s="1" t="s">
        <v>841</v>
      </c>
      <c r="AU685" s="1">
        <v>2018.0</v>
      </c>
      <c r="AV685" s="1">
        <v>65.0</v>
      </c>
      <c r="AW685" s="1">
        <v>4.0</v>
      </c>
      <c r="AX685" s="1" t="s">
        <v>74</v>
      </c>
      <c r="AY685" s="1" t="s">
        <v>74</v>
      </c>
      <c r="AZ685" s="1" t="s">
        <v>74</v>
      </c>
      <c r="BA685" s="1" t="s">
        <v>74</v>
      </c>
      <c r="BB685" s="1">
        <v>1303.0</v>
      </c>
      <c r="BC685" s="1">
        <v>1313.0</v>
      </c>
      <c r="BD685" s="1" t="s">
        <v>74</v>
      </c>
      <c r="BE685" s="1" t="s">
        <v>6504</v>
      </c>
      <c r="BF685" s="2" t="str">
        <f>HYPERLINK("http://dx.doi.org/10.1109/TCSI.2017.2746747","http://dx.doi.org/10.1109/TCSI.2017.2746747")</f>
        <v>http://dx.doi.org/10.1109/TCSI.2017.2746747</v>
      </c>
      <c r="BG685" s="1" t="s">
        <v>74</v>
      </c>
      <c r="BH685" s="1" t="s">
        <v>74</v>
      </c>
      <c r="BI685" s="1" t="s">
        <v>74</v>
      </c>
      <c r="BJ685" s="1" t="s">
        <v>74</v>
      </c>
      <c r="BK685" s="1" t="s">
        <v>74</v>
      </c>
      <c r="BL685" s="1" t="s">
        <v>74</v>
      </c>
      <c r="BM685" s="1" t="s">
        <v>74</v>
      </c>
      <c r="BN685" s="1" t="s">
        <v>74</v>
      </c>
      <c r="BO685" s="1" t="s">
        <v>74</v>
      </c>
      <c r="BP685" s="1" t="s">
        <v>74</v>
      </c>
      <c r="BQ685" s="1" t="s">
        <v>74</v>
      </c>
      <c r="BR685" s="1" t="s">
        <v>74</v>
      </c>
      <c r="BS685" s="1" t="s">
        <v>6505</v>
      </c>
      <c r="BT685" s="1" t="str">
        <f>HYPERLINK("https%3A%2F%2Fwww.webofscience.com%2Fwos%2Fwoscc%2Ffull-record%2FWOS:000427578800013","View Full Record in Web of Science")</f>
        <v>View Full Record in Web of Science</v>
      </c>
    </row>
    <row r="686" ht="12.75" customHeight="1">
      <c r="A686" s="1" t="s">
        <v>72</v>
      </c>
      <c r="B686" s="1" t="s">
        <v>6506</v>
      </c>
      <c r="C686" s="1" t="s">
        <v>74</v>
      </c>
      <c r="D686" s="1" t="s">
        <v>74</v>
      </c>
      <c r="E686" s="1" t="s">
        <v>74</v>
      </c>
      <c r="F686" s="1" t="s">
        <v>6507</v>
      </c>
      <c r="G686" s="1" t="s">
        <v>74</v>
      </c>
      <c r="H686" s="1" t="s">
        <v>74</v>
      </c>
      <c r="I686" s="1" t="s">
        <v>6508</v>
      </c>
      <c r="J686" s="1" t="s">
        <v>2065</v>
      </c>
      <c r="K686" s="1" t="s">
        <v>74</v>
      </c>
      <c r="L686" s="1" t="s">
        <v>74</v>
      </c>
      <c r="M686" s="1" t="s">
        <v>74</v>
      </c>
      <c r="N686" s="1" t="s">
        <v>74</v>
      </c>
      <c r="O686" s="1" t="s">
        <v>74</v>
      </c>
      <c r="P686" s="1" t="s">
        <v>74</v>
      </c>
      <c r="Q686" s="1" t="s">
        <v>74</v>
      </c>
      <c r="R686" s="1" t="s">
        <v>74</v>
      </c>
      <c r="S686" s="1" t="s">
        <v>74</v>
      </c>
      <c r="T686" s="1" t="s">
        <v>74</v>
      </c>
      <c r="U686" s="1" t="s">
        <v>74</v>
      </c>
      <c r="V686" s="1" t="s">
        <v>6509</v>
      </c>
      <c r="W686" s="1" t="s">
        <v>74</v>
      </c>
      <c r="X686" s="1" t="s">
        <v>74</v>
      </c>
      <c r="Y686" s="1" t="s">
        <v>74</v>
      </c>
      <c r="Z686" s="1" t="s">
        <v>74</v>
      </c>
      <c r="AA686" s="1" t="s">
        <v>6510</v>
      </c>
      <c r="AB686" s="1" t="s">
        <v>6511</v>
      </c>
      <c r="AC686" s="1" t="s">
        <v>74</v>
      </c>
      <c r="AD686" s="1" t="s">
        <v>74</v>
      </c>
      <c r="AE686" s="1" t="s">
        <v>74</v>
      </c>
      <c r="AF686" s="1" t="s">
        <v>74</v>
      </c>
      <c r="AG686" s="1" t="s">
        <v>74</v>
      </c>
      <c r="AH686" s="1" t="s">
        <v>74</v>
      </c>
      <c r="AI686" s="1" t="s">
        <v>74</v>
      </c>
      <c r="AJ686" s="1" t="s">
        <v>74</v>
      </c>
      <c r="AK686" s="1" t="s">
        <v>74</v>
      </c>
      <c r="AL686" s="1" t="s">
        <v>74</v>
      </c>
      <c r="AM686" s="1" t="s">
        <v>74</v>
      </c>
      <c r="AN686" s="1" t="s">
        <v>74</v>
      </c>
      <c r="AO686" s="1" t="s">
        <v>6512</v>
      </c>
      <c r="AP686" s="1" t="s">
        <v>6513</v>
      </c>
      <c r="AQ686" s="1" t="s">
        <v>74</v>
      </c>
      <c r="AR686" s="1" t="s">
        <v>74</v>
      </c>
      <c r="AS686" s="1" t="s">
        <v>74</v>
      </c>
      <c r="AT686" s="1" t="s">
        <v>6514</v>
      </c>
      <c r="AU686" s="1">
        <v>2017.0</v>
      </c>
      <c r="AV686" s="1">
        <v>96.0</v>
      </c>
      <c r="AW686" s="1">
        <v>18.0</v>
      </c>
      <c r="AX686" s="1" t="s">
        <v>74</v>
      </c>
      <c r="AY686" s="1" t="s">
        <v>74</v>
      </c>
      <c r="AZ686" s="1" t="s">
        <v>74</v>
      </c>
      <c r="BA686" s="1" t="s">
        <v>74</v>
      </c>
      <c r="BB686" s="1" t="s">
        <v>74</v>
      </c>
      <c r="BC686" s="1" t="s">
        <v>74</v>
      </c>
      <c r="BD686" s="1">
        <v>184424.0</v>
      </c>
      <c r="BE686" s="1" t="s">
        <v>6515</v>
      </c>
      <c r="BF686" s="2" t="str">
        <f>HYPERLINK("http://dx.doi.org/10.1103/PhysRevB.96.184424","http://dx.doi.org/10.1103/PhysRevB.96.184424")</f>
        <v>http://dx.doi.org/10.1103/PhysRevB.96.184424</v>
      </c>
      <c r="BG686" s="1" t="s">
        <v>74</v>
      </c>
      <c r="BH686" s="1" t="s">
        <v>74</v>
      </c>
      <c r="BI686" s="1" t="s">
        <v>74</v>
      </c>
      <c r="BJ686" s="1" t="s">
        <v>74</v>
      </c>
      <c r="BK686" s="1" t="s">
        <v>74</v>
      </c>
      <c r="BL686" s="1" t="s">
        <v>74</v>
      </c>
      <c r="BM686" s="1" t="s">
        <v>74</v>
      </c>
      <c r="BN686" s="1" t="s">
        <v>74</v>
      </c>
      <c r="BO686" s="1" t="s">
        <v>74</v>
      </c>
      <c r="BP686" s="1" t="s">
        <v>74</v>
      </c>
      <c r="BQ686" s="1" t="s">
        <v>74</v>
      </c>
      <c r="BR686" s="1" t="s">
        <v>74</v>
      </c>
      <c r="BS686" s="1" t="s">
        <v>6516</v>
      </c>
      <c r="BT686" s="1" t="str">
        <f>HYPERLINK("https%3A%2F%2Fwww.webofscience.com%2Fwos%2Fwoscc%2Ffull-record%2FWOS:000415888400003","View Full Record in Web of Science")</f>
        <v>View Full Record in Web of Science</v>
      </c>
    </row>
    <row r="687" ht="12.75" customHeight="1">
      <c r="A687" s="1" t="s">
        <v>72</v>
      </c>
      <c r="B687" s="1" t="s">
        <v>6517</v>
      </c>
      <c r="C687" s="1" t="s">
        <v>74</v>
      </c>
      <c r="D687" s="1" t="s">
        <v>74</v>
      </c>
      <c r="E687" s="1" t="s">
        <v>74</v>
      </c>
      <c r="F687" s="1" t="s">
        <v>6518</v>
      </c>
      <c r="G687" s="1" t="s">
        <v>74</v>
      </c>
      <c r="H687" s="1" t="s">
        <v>74</v>
      </c>
      <c r="I687" s="1" t="s">
        <v>6519</v>
      </c>
      <c r="J687" s="1" t="s">
        <v>6520</v>
      </c>
      <c r="K687" s="1" t="s">
        <v>74</v>
      </c>
      <c r="L687" s="1" t="s">
        <v>74</v>
      </c>
      <c r="M687" s="1" t="s">
        <v>74</v>
      </c>
      <c r="N687" s="1" t="s">
        <v>74</v>
      </c>
      <c r="O687" s="1" t="s">
        <v>74</v>
      </c>
      <c r="P687" s="1" t="s">
        <v>74</v>
      </c>
      <c r="Q687" s="1" t="s">
        <v>74</v>
      </c>
      <c r="R687" s="1" t="s">
        <v>74</v>
      </c>
      <c r="S687" s="1" t="s">
        <v>74</v>
      </c>
      <c r="T687" s="1" t="s">
        <v>74</v>
      </c>
      <c r="U687" s="1" t="s">
        <v>74</v>
      </c>
      <c r="V687" s="1" t="s">
        <v>6521</v>
      </c>
      <c r="W687" s="1" t="s">
        <v>74</v>
      </c>
      <c r="X687" s="1" t="s">
        <v>74</v>
      </c>
      <c r="Y687" s="1" t="s">
        <v>74</v>
      </c>
      <c r="Z687" s="1" t="s">
        <v>74</v>
      </c>
      <c r="AA687" s="1" t="s">
        <v>6522</v>
      </c>
      <c r="AB687" s="1" t="s">
        <v>6523</v>
      </c>
      <c r="AC687" s="1" t="s">
        <v>74</v>
      </c>
      <c r="AD687" s="1" t="s">
        <v>74</v>
      </c>
      <c r="AE687" s="1" t="s">
        <v>74</v>
      </c>
      <c r="AF687" s="1" t="s">
        <v>74</v>
      </c>
      <c r="AG687" s="1" t="s">
        <v>74</v>
      </c>
      <c r="AH687" s="1" t="s">
        <v>74</v>
      </c>
      <c r="AI687" s="1" t="s">
        <v>74</v>
      </c>
      <c r="AJ687" s="1" t="s">
        <v>74</v>
      </c>
      <c r="AK687" s="1" t="s">
        <v>74</v>
      </c>
      <c r="AL687" s="1" t="s">
        <v>74</v>
      </c>
      <c r="AM687" s="1" t="s">
        <v>74</v>
      </c>
      <c r="AN687" s="1" t="s">
        <v>74</v>
      </c>
      <c r="AO687" s="1" t="s">
        <v>6524</v>
      </c>
      <c r="AP687" s="1" t="s">
        <v>6525</v>
      </c>
      <c r="AQ687" s="1" t="s">
        <v>74</v>
      </c>
      <c r="AR687" s="1" t="s">
        <v>74</v>
      </c>
      <c r="AS687" s="1" t="s">
        <v>74</v>
      </c>
      <c r="AT687" s="1" t="s">
        <v>74</v>
      </c>
      <c r="AU687" s="1">
        <v>2017.0</v>
      </c>
      <c r="AV687" s="1">
        <v>24.0</v>
      </c>
      <c r="AW687" s="1">
        <v>6.0</v>
      </c>
      <c r="AX687" s="1" t="s">
        <v>74</v>
      </c>
      <c r="AY687" s="1" t="s">
        <v>74</v>
      </c>
      <c r="AZ687" s="1" t="s">
        <v>74</v>
      </c>
      <c r="BA687" s="1" t="s">
        <v>74</v>
      </c>
      <c r="BB687" s="1">
        <v>561.0</v>
      </c>
      <c r="BC687" s="1">
        <v>574.0</v>
      </c>
      <c r="BD687" s="1" t="s">
        <v>74</v>
      </c>
      <c r="BE687" s="1" t="s">
        <v>6526</v>
      </c>
      <c r="BF687" s="2" t="str">
        <f>HYPERLINK("http://dx.doi.org/10.1080/13504509.2016.1255674","http://dx.doi.org/10.1080/13504509.2016.1255674")</f>
        <v>http://dx.doi.org/10.1080/13504509.2016.1255674</v>
      </c>
      <c r="BG687" s="1" t="s">
        <v>74</v>
      </c>
      <c r="BH687" s="1" t="s">
        <v>74</v>
      </c>
      <c r="BI687" s="1" t="s">
        <v>74</v>
      </c>
      <c r="BJ687" s="1" t="s">
        <v>74</v>
      </c>
      <c r="BK687" s="1" t="s">
        <v>74</v>
      </c>
      <c r="BL687" s="1" t="s">
        <v>74</v>
      </c>
      <c r="BM687" s="1" t="s">
        <v>74</v>
      </c>
      <c r="BN687" s="1" t="s">
        <v>74</v>
      </c>
      <c r="BO687" s="1" t="s">
        <v>74</v>
      </c>
      <c r="BP687" s="1" t="s">
        <v>74</v>
      </c>
      <c r="BQ687" s="1" t="s">
        <v>74</v>
      </c>
      <c r="BR687" s="1" t="s">
        <v>74</v>
      </c>
      <c r="BS687" s="1" t="s">
        <v>6527</v>
      </c>
      <c r="BT687" s="1" t="str">
        <f>HYPERLINK("https%3A%2F%2Fwww.webofscience.com%2Fwos%2Fwoscc%2Ffull-record%2FWOS:000410913600010","View Full Record in Web of Science")</f>
        <v>View Full Record in Web of Science</v>
      </c>
    </row>
    <row r="688" ht="12.75" customHeight="1">
      <c r="A688" s="1" t="s">
        <v>72</v>
      </c>
      <c r="B688" s="1" t="s">
        <v>6528</v>
      </c>
      <c r="C688" s="1" t="s">
        <v>74</v>
      </c>
      <c r="D688" s="1" t="s">
        <v>74</v>
      </c>
      <c r="E688" s="1" t="s">
        <v>74</v>
      </c>
      <c r="F688" s="1" t="s">
        <v>6529</v>
      </c>
      <c r="G688" s="1" t="s">
        <v>74</v>
      </c>
      <c r="H688" s="1" t="s">
        <v>74</v>
      </c>
      <c r="I688" s="1" t="s">
        <v>6530</v>
      </c>
      <c r="J688" s="1" t="s">
        <v>6531</v>
      </c>
      <c r="K688" s="1" t="s">
        <v>74</v>
      </c>
      <c r="L688" s="1" t="s">
        <v>74</v>
      </c>
      <c r="M688" s="1" t="s">
        <v>74</v>
      </c>
      <c r="N688" s="1" t="s">
        <v>74</v>
      </c>
      <c r="O688" s="1" t="s">
        <v>6532</v>
      </c>
      <c r="P688" s="1" t="s">
        <v>6533</v>
      </c>
      <c r="Q688" s="1" t="s">
        <v>6534</v>
      </c>
      <c r="R688" s="1" t="s">
        <v>6535</v>
      </c>
      <c r="S688" s="1" t="s">
        <v>74</v>
      </c>
      <c r="T688" s="1" t="s">
        <v>74</v>
      </c>
      <c r="U688" s="1" t="s">
        <v>74</v>
      </c>
      <c r="V688" s="1" t="s">
        <v>74</v>
      </c>
      <c r="W688" s="1" t="s">
        <v>74</v>
      </c>
      <c r="X688" s="1" t="s">
        <v>74</v>
      </c>
      <c r="Y688" s="1" t="s">
        <v>74</v>
      </c>
      <c r="Z688" s="1" t="s">
        <v>74</v>
      </c>
      <c r="AA688" s="1" t="s">
        <v>74</v>
      </c>
      <c r="AB688" s="1" t="s">
        <v>74</v>
      </c>
      <c r="AC688" s="1" t="s">
        <v>74</v>
      </c>
      <c r="AD688" s="1" t="s">
        <v>74</v>
      </c>
      <c r="AE688" s="1" t="s">
        <v>74</v>
      </c>
      <c r="AF688" s="1" t="s">
        <v>74</v>
      </c>
      <c r="AG688" s="1" t="s">
        <v>74</v>
      </c>
      <c r="AH688" s="1" t="s">
        <v>74</v>
      </c>
      <c r="AI688" s="1" t="s">
        <v>74</v>
      </c>
      <c r="AJ688" s="1" t="s">
        <v>74</v>
      </c>
      <c r="AK688" s="1" t="s">
        <v>74</v>
      </c>
      <c r="AL688" s="1" t="s">
        <v>74</v>
      </c>
      <c r="AM688" s="1" t="s">
        <v>74</v>
      </c>
      <c r="AN688" s="1" t="s">
        <v>74</v>
      </c>
      <c r="AO688" s="1" t="s">
        <v>6536</v>
      </c>
      <c r="AP688" s="1" t="s">
        <v>6537</v>
      </c>
      <c r="AQ688" s="1" t="s">
        <v>74</v>
      </c>
      <c r="AR688" s="1" t="s">
        <v>74</v>
      </c>
      <c r="AS688" s="1" t="s">
        <v>74</v>
      </c>
      <c r="AT688" s="1" t="s">
        <v>74</v>
      </c>
      <c r="AU688" s="1">
        <v>2017.0</v>
      </c>
      <c r="AV688" s="1">
        <v>195.0</v>
      </c>
      <c r="AW688" s="1" t="s">
        <v>74</v>
      </c>
      <c r="AX688" s="1" t="s">
        <v>74</v>
      </c>
      <c r="AY688" s="1" t="s">
        <v>74</v>
      </c>
      <c r="AZ688" s="1" t="s">
        <v>74</v>
      </c>
      <c r="BA688" s="1" t="s">
        <v>6538</v>
      </c>
      <c r="BB688" s="1" t="s">
        <v>74</v>
      </c>
      <c r="BC688" s="1" t="s">
        <v>74</v>
      </c>
      <c r="BD688" s="1" t="s">
        <v>74</v>
      </c>
      <c r="BE688" s="1" t="s">
        <v>74</v>
      </c>
      <c r="BF688" s="1" t="s">
        <v>74</v>
      </c>
      <c r="BG688" s="1" t="s">
        <v>74</v>
      </c>
      <c r="BH688" s="1" t="s">
        <v>74</v>
      </c>
      <c r="BI688" s="1" t="s">
        <v>74</v>
      </c>
      <c r="BJ688" s="1" t="s">
        <v>74</v>
      </c>
      <c r="BK688" s="1" t="s">
        <v>74</v>
      </c>
      <c r="BL688" s="1" t="s">
        <v>74</v>
      </c>
      <c r="BM688" s="1" t="s">
        <v>74</v>
      </c>
      <c r="BN688" s="1" t="s">
        <v>74</v>
      </c>
      <c r="BO688" s="1" t="s">
        <v>74</v>
      </c>
      <c r="BP688" s="1" t="s">
        <v>74</v>
      </c>
      <c r="BQ688" s="1" t="s">
        <v>74</v>
      </c>
      <c r="BR688" s="1" t="s">
        <v>74</v>
      </c>
      <c r="BS688" s="1" t="s">
        <v>6539</v>
      </c>
      <c r="BT688" s="1" t="str">
        <f>HYPERLINK("https%3A%2F%2Fwww.webofscience.com%2Fwos%2Fwoscc%2Ffull-record%2FWOS:000400372505157","View Full Record in Web of Science")</f>
        <v>View Full Record in Web of Science</v>
      </c>
    </row>
    <row r="689" ht="12.75" customHeight="1">
      <c r="A689" s="1" t="s">
        <v>72</v>
      </c>
      <c r="B689" s="1" t="s">
        <v>6540</v>
      </c>
      <c r="C689" s="1" t="s">
        <v>74</v>
      </c>
      <c r="D689" s="1" t="s">
        <v>74</v>
      </c>
      <c r="E689" s="1" t="s">
        <v>74</v>
      </c>
      <c r="F689" s="1" t="s">
        <v>6541</v>
      </c>
      <c r="G689" s="1" t="s">
        <v>74</v>
      </c>
      <c r="H689" s="1" t="s">
        <v>74</v>
      </c>
      <c r="I689" s="1" t="s">
        <v>6542</v>
      </c>
      <c r="J689" s="1" t="s">
        <v>6543</v>
      </c>
      <c r="K689" s="1" t="s">
        <v>74</v>
      </c>
      <c r="L689" s="1" t="s">
        <v>74</v>
      </c>
      <c r="M689" s="1" t="s">
        <v>74</v>
      </c>
      <c r="N689" s="1" t="s">
        <v>74</v>
      </c>
      <c r="O689" s="1" t="s">
        <v>74</v>
      </c>
      <c r="P689" s="1" t="s">
        <v>74</v>
      </c>
      <c r="Q689" s="1" t="s">
        <v>74</v>
      </c>
      <c r="R689" s="1" t="s">
        <v>74</v>
      </c>
      <c r="S689" s="1" t="s">
        <v>74</v>
      </c>
      <c r="T689" s="1" t="s">
        <v>74</v>
      </c>
      <c r="U689" s="1" t="s">
        <v>74</v>
      </c>
      <c r="V689" s="1" t="s">
        <v>6544</v>
      </c>
      <c r="W689" s="1" t="s">
        <v>74</v>
      </c>
      <c r="X689" s="1" t="s">
        <v>74</v>
      </c>
      <c r="Y689" s="1" t="s">
        <v>74</v>
      </c>
      <c r="Z689" s="1" t="s">
        <v>74</v>
      </c>
      <c r="AA689" s="1" t="s">
        <v>6545</v>
      </c>
      <c r="AB689" s="1" t="s">
        <v>6546</v>
      </c>
      <c r="AC689" s="1" t="s">
        <v>74</v>
      </c>
      <c r="AD689" s="1" t="s">
        <v>74</v>
      </c>
      <c r="AE689" s="1" t="s">
        <v>74</v>
      </c>
      <c r="AF689" s="1" t="s">
        <v>74</v>
      </c>
      <c r="AG689" s="1" t="s">
        <v>74</v>
      </c>
      <c r="AH689" s="1" t="s">
        <v>74</v>
      </c>
      <c r="AI689" s="1" t="s">
        <v>74</v>
      </c>
      <c r="AJ689" s="1" t="s">
        <v>74</v>
      </c>
      <c r="AK689" s="1" t="s">
        <v>74</v>
      </c>
      <c r="AL689" s="1" t="s">
        <v>74</v>
      </c>
      <c r="AM689" s="1" t="s">
        <v>74</v>
      </c>
      <c r="AN689" s="1" t="s">
        <v>74</v>
      </c>
      <c r="AO689" s="1" t="s">
        <v>6547</v>
      </c>
      <c r="AP689" s="1" t="s">
        <v>6548</v>
      </c>
      <c r="AQ689" s="1" t="s">
        <v>74</v>
      </c>
      <c r="AR689" s="1" t="s">
        <v>74</v>
      </c>
      <c r="AS689" s="1" t="s">
        <v>74</v>
      </c>
      <c r="AT689" s="1" t="s">
        <v>389</v>
      </c>
      <c r="AU689" s="1">
        <v>2016.0</v>
      </c>
      <c r="AV689" s="1">
        <v>106.0</v>
      </c>
      <c r="AW689" s="1">
        <v>2.0</v>
      </c>
      <c r="AX689" s="1" t="s">
        <v>74</v>
      </c>
      <c r="AY689" s="1" t="s">
        <v>74</v>
      </c>
      <c r="AZ689" s="1" t="s">
        <v>74</v>
      </c>
      <c r="BA689" s="1" t="s">
        <v>74</v>
      </c>
      <c r="BB689" s="1">
        <v>155.0</v>
      </c>
      <c r="BC689" s="1">
        <v>165.0</v>
      </c>
      <c r="BD689" s="1" t="s">
        <v>74</v>
      </c>
      <c r="BE689" s="1" t="s">
        <v>6549</v>
      </c>
      <c r="BF689" s="2" t="str">
        <f>HYPERLINK("http://dx.doi.org/10.1094/PHYTO-06-15-0143-R","http://dx.doi.org/10.1094/PHYTO-06-15-0143-R")</f>
        <v>http://dx.doi.org/10.1094/PHYTO-06-15-0143-R</v>
      </c>
      <c r="BG689" s="1" t="s">
        <v>74</v>
      </c>
      <c r="BH689" s="1" t="s">
        <v>74</v>
      </c>
      <c r="BI689" s="1" t="s">
        <v>74</v>
      </c>
      <c r="BJ689" s="1" t="s">
        <v>74</v>
      </c>
      <c r="BK689" s="1" t="s">
        <v>74</v>
      </c>
      <c r="BL689" s="1" t="s">
        <v>74</v>
      </c>
      <c r="BM689" s="1" t="s">
        <v>74</v>
      </c>
      <c r="BN689" s="1">
        <v>2.6474331E7</v>
      </c>
      <c r="BO689" s="1" t="s">
        <v>74</v>
      </c>
      <c r="BP689" s="1" t="s">
        <v>74</v>
      </c>
      <c r="BQ689" s="1" t="s">
        <v>74</v>
      </c>
      <c r="BR689" s="1" t="s">
        <v>74</v>
      </c>
      <c r="BS689" s="1" t="s">
        <v>6550</v>
      </c>
      <c r="BT689" s="1" t="str">
        <f>HYPERLINK("https%3A%2F%2Fwww.webofscience.com%2Fwos%2Fwoscc%2Ffull-record%2FWOS:000370213700006","View Full Record in Web of Science")</f>
        <v>View Full Record in Web of Science</v>
      </c>
    </row>
    <row r="690" ht="12.75" customHeight="1">
      <c r="A690" s="1" t="s">
        <v>72</v>
      </c>
      <c r="B690" s="1" t="s">
        <v>6551</v>
      </c>
      <c r="C690" s="1" t="s">
        <v>74</v>
      </c>
      <c r="D690" s="1" t="s">
        <v>74</v>
      </c>
      <c r="E690" s="1" t="s">
        <v>74</v>
      </c>
      <c r="F690" s="1" t="s">
        <v>6552</v>
      </c>
      <c r="G690" s="1" t="s">
        <v>74</v>
      </c>
      <c r="H690" s="1" t="s">
        <v>74</v>
      </c>
      <c r="I690" s="1" t="s">
        <v>6553</v>
      </c>
      <c r="J690" s="1" t="s">
        <v>2714</v>
      </c>
      <c r="K690" s="1" t="s">
        <v>74</v>
      </c>
      <c r="L690" s="1" t="s">
        <v>74</v>
      </c>
      <c r="M690" s="1" t="s">
        <v>74</v>
      </c>
      <c r="N690" s="1" t="s">
        <v>74</v>
      </c>
      <c r="O690" s="1" t="s">
        <v>74</v>
      </c>
      <c r="P690" s="1" t="s">
        <v>74</v>
      </c>
      <c r="Q690" s="1" t="s">
        <v>74</v>
      </c>
      <c r="R690" s="1" t="s">
        <v>74</v>
      </c>
      <c r="S690" s="1" t="s">
        <v>74</v>
      </c>
      <c r="T690" s="1" t="s">
        <v>74</v>
      </c>
      <c r="U690" s="1" t="s">
        <v>74</v>
      </c>
      <c r="V690" s="1" t="s">
        <v>6554</v>
      </c>
      <c r="W690" s="1" t="s">
        <v>74</v>
      </c>
      <c r="X690" s="1" t="s">
        <v>74</v>
      </c>
      <c r="Y690" s="1" t="s">
        <v>74</v>
      </c>
      <c r="Z690" s="1" t="s">
        <v>74</v>
      </c>
      <c r="AA690" s="1" t="s">
        <v>6555</v>
      </c>
      <c r="AB690" s="1" t="s">
        <v>6556</v>
      </c>
      <c r="AC690" s="1" t="s">
        <v>74</v>
      </c>
      <c r="AD690" s="1" t="s">
        <v>74</v>
      </c>
      <c r="AE690" s="1" t="s">
        <v>74</v>
      </c>
      <c r="AF690" s="1" t="s">
        <v>74</v>
      </c>
      <c r="AG690" s="1" t="s">
        <v>74</v>
      </c>
      <c r="AH690" s="1" t="s">
        <v>74</v>
      </c>
      <c r="AI690" s="1" t="s">
        <v>74</v>
      </c>
      <c r="AJ690" s="1" t="s">
        <v>74</v>
      </c>
      <c r="AK690" s="1" t="s">
        <v>74</v>
      </c>
      <c r="AL690" s="1" t="s">
        <v>74</v>
      </c>
      <c r="AM690" s="1" t="s">
        <v>74</v>
      </c>
      <c r="AN690" s="1" t="s">
        <v>74</v>
      </c>
      <c r="AO690" s="1" t="s">
        <v>2716</v>
      </c>
      <c r="AP690" s="1" t="s">
        <v>4466</v>
      </c>
      <c r="AQ690" s="1" t="s">
        <v>74</v>
      </c>
      <c r="AR690" s="1" t="s">
        <v>74</v>
      </c>
      <c r="AS690" s="1" t="s">
        <v>74</v>
      </c>
      <c r="AT690" s="1" t="s">
        <v>389</v>
      </c>
      <c r="AU690" s="1">
        <v>2015.0</v>
      </c>
      <c r="AV690" s="1">
        <v>114.0</v>
      </c>
      <c r="AW690" s="1" t="s">
        <v>74</v>
      </c>
      <c r="AX690" s="1" t="s">
        <v>74</v>
      </c>
      <c r="AY690" s="1" t="s">
        <v>74</v>
      </c>
      <c r="AZ690" s="1" t="s">
        <v>74</v>
      </c>
      <c r="BA690" s="1" t="s">
        <v>74</v>
      </c>
      <c r="BB690" s="1">
        <v>74.0</v>
      </c>
      <c r="BC690" s="1">
        <v>86.0</v>
      </c>
      <c r="BD690" s="1" t="s">
        <v>74</v>
      </c>
      <c r="BE690" s="1" t="s">
        <v>6557</v>
      </c>
      <c r="BF690" s="2" t="str">
        <f>HYPERLINK("http://dx.doi.org/10.1016/j.na.2014.11.005","http://dx.doi.org/10.1016/j.na.2014.11.005")</f>
        <v>http://dx.doi.org/10.1016/j.na.2014.11.005</v>
      </c>
      <c r="BG690" s="1" t="s">
        <v>74</v>
      </c>
      <c r="BH690" s="1" t="s">
        <v>74</v>
      </c>
      <c r="BI690" s="1" t="s">
        <v>74</v>
      </c>
      <c r="BJ690" s="1" t="s">
        <v>74</v>
      </c>
      <c r="BK690" s="1" t="s">
        <v>74</v>
      </c>
      <c r="BL690" s="1" t="s">
        <v>74</v>
      </c>
      <c r="BM690" s="1" t="s">
        <v>74</v>
      </c>
      <c r="BN690" s="1" t="s">
        <v>74</v>
      </c>
      <c r="BO690" s="1" t="s">
        <v>74</v>
      </c>
      <c r="BP690" s="1" t="s">
        <v>74</v>
      </c>
      <c r="BQ690" s="1" t="s">
        <v>74</v>
      </c>
      <c r="BR690" s="1" t="s">
        <v>74</v>
      </c>
      <c r="BS690" s="1" t="s">
        <v>6558</v>
      </c>
      <c r="BT690" s="1" t="str">
        <f>HYPERLINK("https%3A%2F%2Fwww.webofscience.com%2Fwos%2Fwoscc%2Ffull-record%2FWOS:000348041700007","View Full Record in Web of Science")</f>
        <v>View Full Record in Web of Science</v>
      </c>
    </row>
    <row r="691" ht="12.75" customHeight="1">
      <c r="A691" s="1" t="s">
        <v>72</v>
      </c>
      <c r="B691" s="1" t="s">
        <v>6559</v>
      </c>
      <c r="C691" s="1" t="s">
        <v>74</v>
      </c>
      <c r="D691" s="1" t="s">
        <v>74</v>
      </c>
      <c r="E691" s="1" t="s">
        <v>74</v>
      </c>
      <c r="F691" s="1" t="s">
        <v>6560</v>
      </c>
      <c r="G691" s="1" t="s">
        <v>74</v>
      </c>
      <c r="H691" s="1" t="s">
        <v>74</v>
      </c>
      <c r="I691" s="1" t="s">
        <v>6561</v>
      </c>
      <c r="J691" s="1" t="s">
        <v>6562</v>
      </c>
      <c r="K691" s="1" t="s">
        <v>74</v>
      </c>
      <c r="L691" s="1" t="s">
        <v>74</v>
      </c>
      <c r="M691" s="1" t="s">
        <v>74</v>
      </c>
      <c r="N691" s="1" t="s">
        <v>74</v>
      </c>
      <c r="O691" s="1" t="s">
        <v>74</v>
      </c>
      <c r="P691" s="1" t="s">
        <v>74</v>
      </c>
      <c r="Q691" s="1" t="s">
        <v>74</v>
      </c>
      <c r="R691" s="1" t="s">
        <v>74</v>
      </c>
      <c r="S691" s="1" t="s">
        <v>74</v>
      </c>
      <c r="T691" s="1" t="s">
        <v>74</v>
      </c>
      <c r="U691" s="1" t="s">
        <v>74</v>
      </c>
      <c r="V691" s="1" t="s">
        <v>6563</v>
      </c>
      <c r="W691" s="1" t="s">
        <v>74</v>
      </c>
      <c r="X691" s="1" t="s">
        <v>74</v>
      </c>
      <c r="Y691" s="1" t="s">
        <v>74</v>
      </c>
      <c r="Z691" s="1" t="s">
        <v>74</v>
      </c>
      <c r="AA691" s="1" t="s">
        <v>6564</v>
      </c>
      <c r="AB691" s="1" t="s">
        <v>6565</v>
      </c>
      <c r="AC691" s="1" t="s">
        <v>74</v>
      </c>
      <c r="AD691" s="1" t="s">
        <v>74</v>
      </c>
      <c r="AE691" s="1" t="s">
        <v>74</v>
      </c>
      <c r="AF691" s="1" t="s">
        <v>74</v>
      </c>
      <c r="AG691" s="1" t="s">
        <v>74</v>
      </c>
      <c r="AH691" s="1" t="s">
        <v>74</v>
      </c>
      <c r="AI691" s="1" t="s">
        <v>74</v>
      </c>
      <c r="AJ691" s="1" t="s">
        <v>74</v>
      </c>
      <c r="AK691" s="1" t="s">
        <v>74</v>
      </c>
      <c r="AL691" s="1" t="s">
        <v>74</v>
      </c>
      <c r="AM691" s="1" t="s">
        <v>74</v>
      </c>
      <c r="AN691" s="1" t="s">
        <v>74</v>
      </c>
      <c r="AO691" s="1" t="s">
        <v>6566</v>
      </c>
      <c r="AP691" s="1" t="s">
        <v>6567</v>
      </c>
      <c r="AQ691" s="1" t="s">
        <v>74</v>
      </c>
      <c r="AR691" s="1" t="s">
        <v>74</v>
      </c>
      <c r="AS691" s="1" t="s">
        <v>74</v>
      </c>
      <c r="AT691" s="1" t="s">
        <v>421</v>
      </c>
      <c r="AU691" s="1">
        <v>2014.0</v>
      </c>
      <c r="AV691" s="1">
        <v>30.0</v>
      </c>
      <c r="AW691" s="1">
        <v>2.0</v>
      </c>
      <c r="AX691" s="1" t="s">
        <v>74</v>
      </c>
      <c r="AY691" s="1" t="s">
        <v>74</v>
      </c>
      <c r="AZ691" s="1" t="s">
        <v>74</v>
      </c>
      <c r="BA691" s="1" t="s">
        <v>74</v>
      </c>
      <c r="BB691" s="1">
        <v>756.0</v>
      </c>
      <c r="BC691" s="1">
        <v>771.0</v>
      </c>
      <c r="BD691" s="1" t="s">
        <v>74</v>
      </c>
      <c r="BE691" s="1" t="s">
        <v>74</v>
      </c>
      <c r="BF691" s="1" t="s">
        <v>74</v>
      </c>
      <c r="BG691" s="1" t="s">
        <v>74</v>
      </c>
      <c r="BH691" s="1" t="s">
        <v>74</v>
      </c>
      <c r="BI691" s="1" t="s">
        <v>74</v>
      </c>
      <c r="BJ691" s="1" t="s">
        <v>74</v>
      </c>
      <c r="BK691" s="1" t="s">
        <v>74</v>
      </c>
      <c r="BL691" s="1" t="s">
        <v>74</v>
      </c>
      <c r="BM691" s="1" t="s">
        <v>74</v>
      </c>
      <c r="BN691" s="1" t="s">
        <v>74</v>
      </c>
      <c r="BO691" s="1" t="s">
        <v>74</v>
      </c>
      <c r="BP691" s="1" t="s">
        <v>74</v>
      </c>
      <c r="BQ691" s="1" t="s">
        <v>74</v>
      </c>
      <c r="BR691" s="1" t="s">
        <v>74</v>
      </c>
      <c r="BS691" s="1" t="s">
        <v>6568</v>
      </c>
      <c r="BT691" s="1" t="str">
        <f>HYPERLINK("https%3A%2F%2Fwww.webofscience.com%2Fwos%2Fwoscc%2Ffull-record%2FWOS:000334012500039","View Full Record in Web of Science")</f>
        <v>View Full Record in Web of Science</v>
      </c>
    </row>
    <row r="692" ht="12.75" customHeight="1">
      <c r="A692" s="1" t="s">
        <v>72</v>
      </c>
      <c r="B692" s="1" t="s">
        <v>6569</v>
      </c>
      <c r="C692" s="1" t="s">
        <v>74</v>
      </c>
      <c r="D692" s="1" t="s">
        <v>74</v>
      </c>
      <c r="E692" s="1" t="s">
        <v>74</v>
      </c>
      <c r="F692" s="1" t="s">
        <v>6570</v>
      </c>
      <c r="G692" s="1" t="s">
        <v>74</v>
      </c>
      <c r="H692" s="1" t="s">
        <v>74</v>
      </c>
      <c r="I692" s="1" t="s">
        <v>6571</v>
      </c>
      <c r="J692" s="1" t="s">
        <v>6572</v>
      </c>
      <c r="K692" s="1" t="s">
        <v>74</v>
      </c>
      <c r="L692" s="1" t="s">
        <v>74</v>
      </c>
      <c r="M692" s="1" t="s">
        <v>74</v>
      </c>
      <c r="N692" s="1" t="s">
        <v>74</v>
      </c>
      <c r="O692" s="1" t="s">
        <v>74</v>
      </c>
      <c r="P692" s="1" t="s">
        <v>74</v>
      </c>
      <c r="Q692" s="1" t="s">
        <v>74</v>
      </c>
      <c r="R692" s="1" t="s">
        <v>74</v>
      </c>
      <c r="S692" s="1" t="s">
        <v>74</v>
      </c>
      <c r="T692" s="1" t="s">
        <v>74</v>
      </c>
      <c r="U692" s="1" t="s">
        <v>74</v>
      </c>
      <c r="V692" s="1" t="s">
        <v>6573</v>
      </c>
      <c r="W692" s="1" t="s">
        <v>74</v>
      </c>
      <c r="X692" s="1" t="s">
        <v>74</v>
      </c>
      <c r="Y692" s="1" t="s">
        <v>74</v>
      </c>
      <c r="Z692" s="1" t="s">
        <v>74</v>
      </c>
      <c r="AA692" s="1" t="s">
        <v>6574</v>
      </c>
      <c r="AB692" s="1" t="s">
        <v>6575</v>
      </c>
      <c r="AC692" s="1" t="s">
        <v>74</v>
      </c>
      <c r="AD692" s="1" t="s">
        <v>74</v>
      </c>
      <c r="AE692" s="1" t="s">
        <v>74</v>
      </c>
      <c r="AF692" s="1" t="s">
        <v>74</v>
      </c>
      <c r="AG692" s="1" t="s">
        <v>74</v>
      </c>
      <c r="AH692" s="1" t="s">
        <v>74</v>
      </c>
      <c r="AI692" s="1" t="s">
        <v>74</v>
      </c>
      <c r="AJ692" s="1" t="s">
        <v>74</v>
      </c>
      <c r="AK692" s="1" t="s">
        <v>74</v>
      </c>
      <c r="AL692" s="1" t="s">
        <v>74</v>
      </c>
      <c r="AM692" s="1" t="s">
        <v>74</v>
      </c>
      <c r="AN692" s="1" t="s">
        <v>74</v>
      </c>
      <c r="AO692" s="1" t="s">
        <v>4010</v>
      </c>
      <c r="AP692" s="1" t="s">
        <v>4011</v>
      </c>
      <c r="AQ692" s="1" t="s">
        <v>74</v>
      </c>
      <c r="AR692" s="1" t="s">
        <v>74</v>
      </c>
      <c r="AS692" s="1" t="s">
        <v>74</v>
      </c>
      <c r="AT692" s="1" t="s">
        <v>3738</v>
      </c>
      <c r="AU692" s="1">
        <v>2014.0</v>
      </c>
      <c r="AV692" s="1">
        <v>37.0</v>
      </c>
      <c r="AW692" s="1" t="s">
        <v>74</v>
      </c>
      <c r="AX692" s="1" t="s">
        <v>74</v>
      </c>
      <c r="AY692" s="1" t="s">
        <v>74</v>
      </c>
      <c r="AZ692" s="1" t="s">
        <v>74</v>
      </c>
      <c r="BA692" s="1" t="s">
        <v>74</v>
      </c>
      <c r="BB692" s="1">
        <v>356.0</v>
      </c>
      <c r="BC692" s="1">
        <v>362.0</v>
      </c>
      <c r="BD692" s="1" t="s">
        <v>74</v>
      </c>
      <c r="BE692" s="1" t="s">
        <v>6576</v>
      </c>
      <c r="BF692" s="2" t="str">
        <f>HYPERLINK("http://dx.doi.org/10.1016/j.msec.2014.01.033","http://dx.doi.org/10.1016/j.msec.2014.01.033")</f>
        <v>http://dx.doi.org/10.1016/j.msec.2014.01.033</v>
      </c>
      <c r="BG692" s="1" t="s">
        <v>74</v>
      </c>
      <c r="BH692" s="1" t="s">
        <v>74</v>
      </c>
      <c r="BI692" s="1" t="s">
        <v>74</v>
      </c>
      <c r="BJ692" s="1" t="s">
        <v>74</v>
      </c>
      <c r="BK692" s="1" t="s">
        <v>74</v>
      </c>
      <c r="BL692" s="1" t="s">
        <v>74</v>
      </c>
      <c r="BM692" s="1" t="s">
        <v>74</v>
      </c>
      <c r="BN692" s="1">
        <v>2.458226E7</v>
      </c>
      <c r="BO692" s="1" t="s">
        <v>74</v>
      </c>
      <c r="BP692" s="1" t="s">
        <v>74</v>
      </c>
      <c r="BQ692" s="1" t="s">
        <v>74</v>
      </c>
      <c r="BR692" s="1" t="s">
        <v>74</v>
      </c>
      <c r="BS692" s="1" t="s">
        <v>6577</v>
      </c>
      <c r="BT692" s="1" t="str">
        <f>HYPERLINK("https%3A%2F%2Fwww.webofscience.com%2Fwos%2Fwoscc%2Ffull-record%2FWOS:000333795200046","View Full Record in Web of Science")</f>
        <v>View Full Record in Web of Science</v>
      </c>
    </row>
    <row r="693" ht="12.75" customHeight="1">
      <c r="A693" s="1" t="s">
        <v>72</v>
      </c>
      <c r="B693" s="1" t="s">
        <v>6578</v>
      </c>
      <c r="C693" s="1" t="s">
        <v>74</v>
      </c>
      <c r="D693" s="1" t="s">
        <v>74</v>
      </c>
      <c r="E693" s="1" t="s">
        <v>74</v>
      </c>
      <c r="F693" s="1" t="s">
        <v>6579</v>
      </c>
      <c r="G693" s="1" t="s">
        <v>74</v>
      </c>
      <c r="H693" s="1" t="s">
        <v>74</v>
      </c>
      <c r="I693" s="1" t="s">
        <v>6580</v>
      </c>
      <c r="J693" s="1" t="s">
        <v>6581</v>
      </c>
      <c r="K693" s="1" t="s">
        <v>74</v>
      </c>
      <c r="L693" s="1" t="s">
        <v>74</v>
      </c>
      <c r="M693" s="1" t="s">
        <v>74</v>
      </c>
      <c r="N693" s="1" t="s">
        <v>74</v>
      </c>
      <c r="O693" s="1" t="s">
        <v>74</v>
      </c>
      <c r="P693" s="1" t="s">
        <v>74</v>
      </c>
      <c r="Q693" s="1" t="s">
        <v>74</v>
      </c>
      <c r="R693" s="1" t="s">
        <v>74</v>
      </c>
      <c r="S693" s="1" t="s">
        <v>74</v>
      </c>
      <c r="T693" s="1" t="s">
        <v>74</v>
      </c>
      <c r="U693" s="1" t="s">
        <v>74</v>
      </c>
      <c r="V693" s="1" t="s">
        <v>6582</v>
      </c>
      <c r="W693" s="1" t="s">
        <v>74</v>
      </c>
      <c r="X693" s="1" t="s">
        <v>74</v>
      </c>
      <c r="Y693" s="1" t="s">
        <v>74</v>
      </c>
      <c r="Z693" s="1" t="s">
        <v>74</v>
      </c>
      <c r="AA693" s="1" t="s">
        <v>2578</v>
      </c>
      <c r="AB693" s="1" t="s">
        <v>6583</v>
      </c>
      <c r="AC693" s="1" t="s">
        <v>74</v>
      </c>
      <c r="AD693" s="1" t="s">
        <v>74</v>
      </c>
      <c r="AE693" s="1" t="s">
        <v>74</v>
      </c>
      <c r="AF693" s="1" t="s">
        <v>74</v>
      </c>
      <c r="AG693" s="1" t="s">
        <v>74</v>
      </c>
      <c r="AH693" s="1" t="s">
        <v>74</v>
      </c>
      <c r="AI693" s="1" t="s">
        <v>74</v>
      </c>
      <c r="AJ693" s="1" t="s">
        <v>74</v>
      </c>
      <c r="AK693" s="1" t="s">
        <v>74</v>
      </c>
      <c r="AL693" s="1" t="s">
        <v>74</v>
      </c>
      <c r="AM693" s="1" t="s">
        <v>74</v>
      </c>
      <c r="AN693" s="1" t="s">
        <v>74</v>
      </c>
      <c r="AO693" s="1" t="s">
        <v>6584</v>
      </c>
      <c r="AP693" s="1" t="s">
        <v>6585</v>
      </c>
      <c r="AQ693" s="1" t="s">
        <v>74</v>
      </c>
      <c r="AR693" s="1" t="s">
        <v>74</v>
      </c>
      <c r="AS693" s="1" t="s">
        <v>74</v>
      </c>
      <c r="AT693" s="1" t="s">
        <v>415</v>
      </c>
      <c r="AU693" s="1">
        <v>2011.0</v>
      </c>
      <c r="AV693" s="1">
        <v>84.0</v>
      </c>
      <c r="AW693" s="1">
        <v>4.0</v>
      </c>
      <c r="AX693" s="1" t="s">
        <v>74</v>
      </c>
      <c r="AY693" s="1" t="s">
        <v>74</v>
      </c>
      <c r="AZ693" s="1" t="s">
        <v>74</v>
      </c>
      <c r="BA693" s="1" t="s">
        <v>74</v>
      </c>
      <c r="BB693" s="1">
        <v>543.0</v>
      </c>
      <c r="BC693" s="1">
        <v>552.0</v>
      </c>
      <c r="BD693" s="1" t="s">
        <v>74</v>
      </c>
      <c r="BE693" s="1" t="s">
        <v>6586</v>
      </c>
      <c r="BF693" s="2" t="str">
        <f>HYPERLINK("http://dx.doi.org/10.4067/S0716-078X2011000400007","http://dx.doi.org/10.4067/S0716-078X2011000400007")</f>
        <v>http://dx.doi.org/10.4067/S0716-078X2011000400007</v>
      </c>
      <c r="BG693" s="1" t="s">
        <v>74</v>
      </c>
      <c r="BH693" s="1" t="s">
        <v>74</v>
      </c>
      <c r="BI693" s="1" t="s">
        <v>74</v>
      </c>
      <c r="BJ693" s="1" t="s">
        <v>74</v>
      </c>
      <c r="BK693" s="1" t="s">
        <v>74</v>
      </c>
      <c r="BL693" s="1" t="s">
        <v>74</v>
      </c>
      <c r="BM693" s="1" t="s">
        <v>74</v>
      </c>
      <c r="BN693" s="1" t="s">
        <v>74</v>
      </c>
      <c r="BO693" s="1" t="s">
        <v>74</v>
      </c>
      <c r="BP693" s="1" t="s">
        <v>74</v>
      </c>
      <c r="BQ693" s="1" t="s">
        <v>74</v>
      </c>
      <c r="BR693" s="1" t="s">
        <v>74</v>
      </c>
      <c r="BS693" s="1" t="s">
        <v>6587</v>
      </c>
      <c r="BT693" s="1" t="str">
        <f>HYPERLINK("https%3A%2F%2Fwww.webofscience.com%2Fwos%2Fwoscc%2Ffull-record%2FWOS:000301396600007","View Full Record in Web of Science")</f>
        <v>View Full Record in Web of Science</v>
      </c>
    </row>
    <row r="694" ht="12.75" customHeight="1">
      <c r="A694" s="1" t="s">
        <v>72</v>
      </c>
      <c r="B694" s="1" t="s">
        <v>6588</v>
      </c>
      <c r="C694" s="1" t="s">
        <v>74</v>
      </c>
      <c r="D694" s="1" t="s">
        <v>74</v>
      </c>
      <c r="E694" s="1" t="s">
        <v>74</v>
      </c>
      <c r="F694" s="1" t="s">
        <v>6589</v>
      </c>
      <c r="G694" s="1" t="s">
        <v>74</v>
      </c>
      <c r="H694" s="1" t="s">
        <v>74</v>
      </c>
      <c r="I694" s="1" t="s">
        <v>6590</v>
      </c>
      <c r="J694" s="1" t="s">
        <v>6591</v>
      </c>
      <c r="K694" s="1" t="s">
        <v>74</v>
      </c>
      <c r="L694" s="1" t="s">
        <v>74</v>
      </c>
      <c r="M694" s="1" t="s">
        <v>74</v>
      </c>
      <c r="N694" s="1" t="s">
        <v>74</v>
      </c>
      <c r="O694" s="1" t="s">
        <v>74</v>
      </c>
      <c r="P694" s="1" t="s">
        <v>74</v>
      </c>
      <c r="Q694" s="1" t="s">
        <v>74</v>
      </c>
      <c r="R694" s="1" t="s">
        <v>74</v>
      </c>
      <c r="S694" s="1" t="s">
        <v>74</v>
      </c>
      <c r="T694" s="1" t="s">
        <v>74</v>
      </c>
      <c r="U694" s="1" t="s">
        <v>74</v>
      </c>
      <c r="V694" s="1" t="s">
        <v>6592</v>
      </c>
      <c r="W694" s="1" t="s">
        <v>74</v>
      </c>
      <c r="X694" s="1" t="s">
        <v>74</v>
      </c>
      <c r="Y694" s="1" t="s">
        <v>74</v>
      </c>
      <c r="Z694" s="1" t="s">
        <v>74</v>
      </c>
      <c r="AA694" s="1" t="s">
        <v>6593</v>
      </c>
      <c r="AB694" s="1" t="s">
        <v>6594</v>
      </c>
      <c r="AC694" s="1" t="s">
        <v>74</v>
      </c>
      <c r="AD694" s="1" t="s">
        <v>74</v>
      </c>
      <c r="AE694" s="1" t="s">
        <v>74</v>
      </c>
      <c r="AF694" s="1" t="s">
        <v>74</v>
      </c>
      <c r="AG694" s="1" t="s">
        <v>74</v>
      </c>
      <c r="AH694" s="1" t="s">
        <v>74</v>
      </c>
      <c r="AI694" s="1" t="s">
        <v>74</v>
      </c>
      <c r="AJ694" s="1" t="s">
        <v>74</v>
      </c>
      <c r="AK694" s="1" t="s">
        <v>74</v>
      </c>
      <c r="AL694" s="1" t="s">
        <v>74</v>
      </c>
      <c r="AM694" s="1" t="s">
        <v>74</v>
      </c>
      <c r="AN694" s="1" t="s">
        <v>74</v>
      </c>
      <c r="AO694" s="1" t="s">
        <v>6595</v>
      </c>
      <c r="AP694" s="1" t="s">
        <v>6596</v>
      </c>
      <c r="AQ694" s="1" t="s">
        <v>74</v>
      </c>
      <c r="AR694" s="1" t="s">
        <v>74</v>
      </c>
      <c r="AS694" s="1" t="s">
        <v>74</v>
      </c>
      <c r="AT694" s="1" t="s">
        <v>5771</v>
      </c>
      <c r="AU694" s="1">
        <v>2010.0</v>
      </c>
      <c r="AV694" s="1">
        <v>121.0</v>
      </c>
      <c r="AW694" s="1">
        <v>1.0</v>
      </c>
      <c r="AX694" s="1" t="s">
        <v>74</v>
      </c>
      <c r="AY694" s="1" t="s">
        <v>74</v>
      </c>
      <c r="AZ694" s="1" t="s">
        <v>74</v>
      </c>
      <c r="BA694" s="1" t="s">
        <v>74</v>
      </c>
      <c r="BB694" s="1">
        <v>44.0</v>
      </c>
      <c r="BC694" s="1">
        <v>48.0</v>
      </c>
      <c r="BD694" s="1" t="s">
        <v>74</v>
      </c>
      <c r="BE694" s="1" t="s">
        <v>6597</v>
      </c>
      <c r="BF694" s="2" t="str">
        <f>HYPERLINK("http://dx.doi.org/10.1016/j.foodchem.2009.11.088","http://dx.doi.org/10.1016/j.foodchem.2009.11.088")</f>
        <v>http://dx.doi.org/10.1016/j.foodchem.2009.11.088</v>
      </c>
      <c r="BG694" s="1" t="s">
        <v>74</v>
      </c>
      <c r="BH694" s="1" t="s">
        <v>74</v>
      </c>
      <c r="BI694" s="1" t="s">
        <v>74</v>
      </c>
      <c r="BJ694" s="1" t="s">
        <v>74</v>
      </c>
      <c r="BK694" s="1" t="s">
        <v>74</v>
      </c>
      <c r="BL694" s="1" t="s">
        <v>74</v>
      </c>
      <c r="BM694" s="1" t="s">
        <v>74</v>
      </c>
      <c r="BN694" s="1" t="s">
        <v>74</v>
      </c>
      <c r="BO694" s="1" t="s">
        <v>74</v>
      </c>
      <c r="BP694" s="1" t="s">
        <v>74</v>
      </c>
      <c r="BQ694" s="1" t="s">
        <v>74</v>
      </c>
      <c r="BR694" s="1" t="s">
        <v>74</v>
      </c>
      <c r="BS694" s="1" t="s">
        <v>6598</v>
      </c>
      <c r="BT694" s="1" t="str">
        <f>HYPERLINK("https%3A%2F%2Fwww.webofscience.com%2Fwos%2Fwoscc%2Ffull-record%2FWOS:000275360200006","View Full Record in Web of Science")</f>
        <v>View Full Record in Web of Science</v>
      </c>
    </row>
    <row r="695" ht="12.75" customHeight="1">
      <c r="A695" s="1" t="s">
        <v>72</v>
      </c>
      <c r="B695" s="1" t="s">
        <v>6599</v>
      </c>
      <c r="C695" s="1" t="s">
        <v>74</v>
      </c>
      <c r="D695" s="1" t="s">
        <v>74</v>
      </c>
      <c r="E695" s="1" t="s">
        <v>74</v>
      </c>
      <c r="F695" s="1" t="s">
        <v>6599</v>
      </c>
      <c r="G695" s="1" t="s">
        <v>74</v>
      </c>
      <c r="H695" s="1" t="s">
        <v>74</v>
      </c>
      <c r="I695" s="1" t="s">
        <v>6600</v>
      </c>
      <c r="J695" s="1" t="s">
        <v>987</v>
      </c>
      <c r="K695" s="1" t="s">
        <v>74</v>
      </c>
      <c r="L695" s="1" t="s">
        <v>74</v>
      </c>
      <c r="M695" s="1" t="s">
        <v>74</v>
      </c>
      <c r="N695" s="1" t="s">
        <v>74</v>
      </c>
      <c r="O695" s="1" t="s">
        <v>74</v>
      </c>
      <c r="P695" s="1" t="s">
        <v>74</v>
      </c>
      <c r="Q695" s="1" t="s">
        <v>74</v>
      </c>
      <c r="R695" s="1" t="s">
        <v>74</v>
      </c>
      <c r="S695" s="1" t="s">
        <v>74</v>
      </c>
      <c r="T695" s="1" t="s">
        <v>74</v>
      </c>
      <c r="U695" s="1" t="s">
        <v>74</v>
      </c>
      <c r="V695" s="1" t="s">
        <v>6601</v>
      </c>
      <c r="W695" s="1" t="s">
        <v>74</v>
      </c>
      <c r="X695" s="1" t="s">
        <v>74</v>
      </c>
      <c r="Y695" s="1" t="s">
        <v>74</v>
      </c>
      <c r="Z695" s="1" t="s">
        <v>74</v>
      </c>
      <c r="AA695" s="1" t="s">
        <v>74</v>
      </c>
      <c r="AB695" s="1" t="s">
        <v>74</v>
      </c>
      <c r="AC695" s="1" t="s">
        <v>74</v>
      </c>
      <c r="AD695" s="1" t="s">
        <v>74</v>
      </c>
      <c r="AE695" s="1" t="s">
        <v>74</v>
      </c>
      <c r="AF695" s="1" t="s">
        <v>74</v>
      </c>
      <c r="AG695" s="1" t="s">
        <v>74</v>
      </c>
      <c r="AH695" s="1" t="s">
        <v>74</v>
      </c>
      <c r="AI695" s="1" t="s">
        <v>74</v>
      </c>
      <c r="AJ695" s="1" t="s">
        <v>74</v>
      </c>
      <c r="AK695" s="1" t="s">
        <v>74</v>
      </c>
      <c r="AL695" s="1" t="s">
        <v>74</v>
      </c>
      <c r="AM695" s="1" t="s">
        <v>74</v>
      </c>
      <c r="AN695" s="1" t="s">
        <v>74</v>
      </c>
      <c r="AO695" s="1" t="s">
        <v>991</v>
      </c>
      <c r="AP695" s="1" t="s">
        <v>74</v>
      </c>
      <c r="AQ695" s="1" t="s">
        <v>74</v>
      </c>
      <c r="AR695" s="1" t="s">
        <v>74</v>
      </c>
      <c r="AS695" s="1" t="s">
        <v>74</v>
      </c>
      <c r="AT695" s="1" t="s">
        <v>144</v>
      </c>
      <c r="AU695" s="1">
        <v>2006.0</v>
      </c>
      <c r="AV695" s="1">
        <v>51.0</v>
      </c>
      <c r="AW695" s="1">
        <v>1.0</v>
      </c>
      <c r="AX695" s="1" t="s">
        <v>74</v>
      </c>
      <c r="AY695" s="1" t="s">
        <v>74</v>
      </c>
      <c r="AZ695" s="1" t="s">
        <v>74</v>
      </c>
      <c r="BA695" s="1" t="s">
        <v>74</v>
      </c>
      <c r="BB695" s="1">
        <v>825.0</v>
      </c>
      <c r="BC695" s="1">
        <v>828.0</v>
      </c>
      <c r="BD695" s="1" t="s">
        <v>74</v>
      </c>
      <c r="BE695" s="1" t="s">
        <v>74</v>
      </c>
      <c r="BF695" s="1" t="s">
        <v>74</v>
      </c>
      <c r="BG695" s="1" t="s">
        <v>74</v>
      </c>
      <c r="BH695" s="1" t="s">
        <v>74</v>
      </c>
      <c r="BI695" s="1" t="s">
        <v>74</v>
      </c>
      <c r="BJ695" s="1" t="s">
        <v>74</v>
      </c>
      <c r="BK695" s="1" t="s">
        <v>74</v>
      </c>
      <c r="BL695" s="1" t="s">
        <v>74</v>
      </c>
      <c r="BM695" s="1" t="s">
        <v>74</v>
      </c>
      <c r="BN695" s="1" t="s">
        <v>74</v>
      </c>
      <c r="BO695" s="1" t="s">
        <v>74</v>
      </c>
      <c r="BP695" s="1" t="s">
        <v>74</v>
      </c>
      <c r="BQ695" s="1" t="s">
        <v>74</v>
      </c>
      <c r="BR695" s="1" t="s">
        <v>74</v>
      </c>
      <c r="BS695" s="1" t="s">
        <v>6602</v>
      </c>
      <c r="BT695" s="1" t="str">
        <f>HYPERLINK("https%3A%2F%2Fwww.webofscience.com%2Fwos%2Fwoscc%2Ffull-record%2FWOS:000236260500013","View Full Record in Web of Science")</f>
        <v>View Full Record in Web of Science</v>
      </c>
    </row>
    <row r="696" ht="12.75" customHeight="1">
      <c r="A696" s="1" t="s">
        <v>72</v>
      </c>
      <c r="B696" s="1" t="s">
        <v>6603</v>
      </c>
      <c r="C696" s="1" t="s">
        <v>74</v>
      </c>
      <c r="D696" s="1" t="s">
        <v>74</v>
      </c>
      <c r="E696" s="1" t="s">
        <v>74</v>
      </c>
      <c r="F696" s="1" t="s">
        <v>6603</v>
      </c>
      <c r="G696" s="1" t="s">
        <v>74</v>
      </c>
      <c r="H696" s="1" t="s">
        <v>74</v>
      </c>
      <c r="I696" s="1" t="s">
        <v>6604</v>
      </c>
      <c r="J696" s="1" t="s">
        <v>1898</v>
      </c>
      <c r="K696" s="1" t="s">
        <v>74</v>
      </c>
      <c r="L696" s="1" t="s">
        <v>74</v>
      </c>
      <c r="M696" s="1" t="s">
        <v>74</v>
      </c>
      <c r="N696" s="1" t="s">
        <v>74</v>
      </c>
      <c r="O696" s="1" t="s">
        <v>74</v>
      </c>
      <c r="P696" s="1" t="s">
        <v>74</v>
      </c>
      <c r="Q696" s="1" t="s">
        <v>74</v>
      </c>
      <c r="R696" s="1" t="s">
        <v>74</v>
      </c>
      <c r="S696" s="1" t="s">
        <v>74</v>
      </c>
      <c r="T696" s="1" t="s">
        <v>74</v>
      </c>
      <c r="U696" s="1" t="s">
        <v>74</v>
      </c>
      <c r="V696" s="1" t="s">
        <v>6605</v>
      </c>
      <c r="W696" s="1" t="s">
        <v>74</v>
      </c>
      <c r="X696" s="1" t="s">
        <v>74</v>
      </c>
      <c r="Y696" s="1" t="s">
        <v>74</v>
      </c>
      <c r="Z696" s="1" t="s">
        <v>74</v>
      </c>
      <c r="AA696" s="1" t="s">
        <v>74</v>
      </c>
      <c r="AB696" s="1" t="s">
        <v>6606</v>
      </c>
      <c r="AC696" s="1" t="s">
        <v>74</v>
      </c>
      <c r="AD696" s="1" t="s">
        <v>74</v>
      </c>
      <c r="AE696" s="1" t="s">
        <v>74</v>
      </c>
      <c r="AF696" s="1" t="s">
        <v>74</v>
      </c>
      <c r="AG696" s="1" t="s">
        <v>74</v>
      </c>
      <c r="AH696" s="1" t="s">
        <v>74</v>
      </c>
      <c r="AI696" s="1" t="s">
        <v>74</v>
      </c>
      <c r="AJ696" s="1" t="s">
        <v>74</v>
      </c>
      <c r="AK696" s="1" t="s">
        <v>74</v>
      </c>
      <c r="AL696" s="1" t="s">
        <v>74</v>
      </c>
      <c r="AM696" s="1" t="s">
        <v>74</v>
      </c>
      <c r="AN696" s="1" t="s">
        <v>74</v>
      </c>
      <c r="AO696" s="1" t="s">
        <v>1902</v>
      </c>
      <c r="AP696" s="1" t="s">
        <v>74</v>
      </c>
      <c r="AQ696" s="1" t="s">
        <v>74</v>
      </c>
      <c r="AR696" s="1" t="s">
        <v>74</v>
      </c>
      <c r="AS696" s="1" t="s">
        <v>74</v>
      </c>
      <c r="AT696" s="1" t="s">
        <v>289</v>
      </c>
      <c r="AU696" s="1">
        <v>2004.0</v>
      </c>
      <c r="AV696" s="1">
        <v>17.0</v>
      </c>
      <c r="AW696" s="1">
        <v>6.0</v>
      </c>
      <c r="AX696" s="1" t="s">
        <v>74</v>
      </c>
      <c r="AY696" s="1" t="s">
        <v>74</v>
      </c>
      <c r="AZ696" s="1" t="s">
        <v>74</v>
      </c>
      <c r="BA696" s="1" t="s">
        <v>74</v>
      </c>
      <c r="BB696" s="1">
        <v>825.0</v>
      </c>
      <c r="BC696" s="1">
        <v>831.0</v>
      </c>
      <c r="BD696" s="1" t="s">
        <v>74</v>
      </c>
      <c r="BE696" s="1" t="s">
        <v>6607</v>
      </c>
      <c r="BF696" s="2" t="str">
        <f>HYPERLINK("http://dx.doi.org/10.1016/j.mineng.2004.02.001","http://dx.doi.org/10.1016/j.mineng.2004.02.001")</f>
        <v>http://dx.doi.org/10.1016/j.mineng.2004.02.001</v>
      </c>
      <c r="BG696" s="1" t="s">
        <v>74</v>
      </c>
      <c r="BH696" s="1" t="s">
        <v>74</v>
      </c>
      <c r="BI696" s="1" t="s">
        <v>74</v>
      </c>
      <c r="BJ696" s="1" t="s">
        <v>74</v>
      </c>
      <c r="BK696" s="1" t="s">
        <v>74</v>
      </c>
      <c r="BL696" s="1" t="s">
        <v>74</v>
      </c>
      <c r="BM696" s="1" t="s">
        <v>74</v>
      </c>
      <c r="BN696" s="1" t="s">
        <v>74</v>
      </c>
      <c r="BO696" s="1" t="s">
        <v>74</v>
      </c>
      <c r="BP696" s="1" t="s">
        <v>74</v>
      </c>
      <c r="BQ696" s="1" t="s">
        <v>74</v>
      </c>
      <c r="BR696" s="1" t="s">
        <v>74</v>
      </c>
      <c r="BS696" s="1" t="s">
        <v>6608</v>
      </c>
      <c r="BT696" s="1" t="str">
        <f>HYPERLINK("https%3A%2F%2Fwww.webofscience.com%2Fwos%2Fwoscc%2Ffull-record%2FWOS:000222148200008","View Full Record in Web of Science")</f>
        <v>View Full Record in Web of Science</v>
      </c>
    </row>
    <row r="697" ht="12.75" customHeight="1">
      <c r="A697" s="1" t="s">
        <v>72</v>
      </c>
      <c r="B697" s="1" t="s">
        <v>6609</v>
      </c>
      <c r="C697" s="1" t="s">
        <v>74</v>
      </c>
      <c r="D697" s="1" t="s">
        <v>74</v>
      </c>
      <c r="E697" s="1" t="s">
        <v>74</v>
      </c>
      <c r="F697" s="1" t="s">
        <v>6609</v>
      </c>
      <c r="G697" s="1" t="s">
        <v>74</v>
      </c>
      <c r="H697" s="1" t="s">
        <v>74</v>
      </c>
      <c r="I697" s="1" t="s">
        <v>6610</v>
      </c>
      <c r="J697" s="1" t="s">
        <v>2832</v>
      </c>
      <c r="K697" s="1" t="s">
        <v>74</v>
      </c>
      <c r="L697" s="1" t="s">
        <v>74</v>
      </c>
      <c r="M697" s="1" t="s">
        <v>74</v>
      </c>
      <c r="N697" s="1" t="s">
        <v>74</v>
      </c>
      <c r="O697" s="1" t="s">
        <v>74</v>
      </c>
      <c r="P697" s="1" t="s">
        <v>74</v>
      </c>
      <c r="Q697" s="1" t="s">
        <v>74</v>
      </c>
      <c r="R697" s="1" t="s">
        <v>74</v>
      </c>
      <c r="S697" s="1" t="s">
        <v>74</v>
      </c>
      <c r="T697" s="1" t="s">
        <v>74</v>
      </c>
      <c r="U697" s="1" t="s">
        <v>74</v>
      </c>
      <c r="V697" s="1" t="s">
        <v>6611</v>
      </c>
      <c r="W697" s="1" t="s">
        <v>74</v>
      </c>
      <c r="X697" s="1" t="s">
        <v>74</v>
      </c>
      <c r="Y697" s="1" t="s">
        <v>74</v>
      </c>
      <c r="Z697" s="1" t="s">
        <v>74</v>
      </c>
      <c r="AA697" s="1" t="s">
        <v>6612</v>
      </c>
      <c r="AB697" s="1" t="s">
        <v>6613</v>
      </c>
      <c r="AC697" s="1" t="s">
        <v>74</v>
      </c>
      <c r="AD697" s="1" t="s">
        <v>74</v>
      </c>
      <c r="AE697" s="1" t="s">
        <v>74</v>
      </c>
      <c r="AF697" s="1" t="s">
        <v>74</v>
      </c>
      <c r="AG697" s="1" t="s">
        <v>74</v>
      </c>
      <c r="AH697" s="1" t="s">
        <v>74</v>
      </c>
      <c r="AI697" s="1" t="s">
        <v>74</v>
      </c>
      <c r="AJ697" s="1" t="s">
        <v>74</v>
      </c>
      <c r="AK697" s="1" t="s">
        <v>74</v>
      </c>
      <c r="AL697" s="1" t="s">
        <v>74</v>
      </c>
      <c r="AM697" s="1" t="s">
        <v>74</v>
      </c>
      <c r="AN697" s="1" t="s">
        <v>74</v>
      </c>
      <c r="AO697" s="1" t="s">
        <v>2836</v>
      </c>
      <c r="AP697" s="1" t="s">
        <v>2837</v>
      </c>
      <c r="AQ697" s="1" t="s">
        <v>74</v>
      </c>
      <c r="AR697" s="1" t="s">
        <v>74</v>
      </c>
      <c r="AS697" s="1" t="s">
        <v>74</v>
      </c>
      <c r="AT697" s="1" t="s">
        <v>421</v>
      </c>
      <c r="AU697" s="1">
        <v>1998.0</v>
      </c>
      <c r="AV697" s="1">
        <v>2.0</v>
      </c>
      <c r="AW697" s="1">
        <v>3.0</v>
      </c>
      <c r="AX697" s="1" t="s">
        <v>74</v>
      </c>
      <c r="AY697" s="1" t="s">
        <v>74</v>
      </c>
      <c r="AZ697" s="1" t="s">
        <v>74</v>
      </c>
      <c r="BA697" s="1" t="s">
        <v>74</v>
      </c>
      <c r="BB697" s="1">
        <v>191.0</v>
      </c>
      <c r="BC697" s="1">
        <v>197.0</v>
      </c>
      <c r="BD697" s="1" t="s">
        <v>74</v>
      </c>
      <c r="BE697" s="1" t="s">
        <v>6614</v>
      </c>
      <c r="BF697" s="2" t="str">
        <f>HYPERLINK("http://dx.doi.org/10.1007/s100080050086","http://dx.doi.org/10.1007/s100080050086")</f>
        <v>http://dx.doi.org/10.1007/s100080050086</v>
      </c>
      <c r="BG697" s="1" t="s">
        <v>74</v>
      </c>
      <c r="BH697" s="1" t="s">
        <v>74</v>
      </c>
      <c r="BI697" s="1" t="s">
        <v>74</v>
      </c>
      <c r="BJ697" s="1" t="s">
        <v>74</v>
      </c>
      <c r="BK697" s="1" t="s">
        <v>74</v>
      </c>
      <c r="BL697" s="1" t="s">
        <v>74</v>
      </c>
      <c r="BM697" s="1" t="s">
        <v>74</v>
      </c>
      <c r="BN697" s="1" t="s">
        <v>74</v>
      </c>
      <c r="BO697" s="1" t="s">
        <v>74</v>
      </c>
      <c r="BP697" s="1" t="s">
        <v>74</v>
      </c>
      <c r="BQ697" s="1" t="s">
        <v>74</v>
      </c>
      <c r="BR697" s="1" t="s">
        <v>74</v>
      </c>
      <c r="BS697" s="1" t="s">
        <v>6615</v>
      </c>
      <c r="BT697" s="1" t="str">
        <f>HYPERLINK("https%3A%2F%2Fwww.webofscience.com%2Fwos%2Fwoscc%2Ffull-record%2FWOS:000073611100010","View Full Record in Web of Science")</f>
        <v>View Full Record in Web of Science</v>
      </c>
    </row>
    <row r="698" ht="12.75" customHeight="1">
      <c r="A698" s="1" t="s">
        <v>72</v>
      </c>
      <c r="B698" s="1" t="s">
        <v>6616</v>
      </c>
      <c r="C698" s="1" t="s">
        <v>74</v>
      </c>
      <c r="D698" s="1" t="s">
        <v>74</v>
      </c>
      <c r="E698" s="1" t="s">
        <v>74</v>
      </c>
      <c r="F698" s="1" t="s">
        <v>6616</v>
      </c>
      <c r="G698" s="1" t="s">
        <v>74</v>
      </c>
      <c r="H698" s="1" t="s">
        <v>74</v>
      </c>
      <c r="I698" s="1" t="s">
        <v>6617</v>
      </c>
      <c r="J698" s="1" t="s">
        <v>6618</v>
      </c>
      <c r="K698" s="1" t="s">
        <v>74</v>
      </c>
      <c r="L698" s="1" t="s">
        <v>74</v>
      </c>
      <c r="M698" s="1" t="s">
        <v>74</v>
      </c>
      <c r="N698" s="1" t="s">
        <v>74</v>
      </c>
      <c r="O698" s="1" t="s">
        <v>74</v>
      </c>
      <c r="P698" s="1" t="s">
        <v>74</v>
      </c>
      <c r="Q698" s="1" t="s">
        <v>74</v>
      </c>
      <c r="R698" s="1" t="s">
        <v>74</v>
      </c>
      <c r="S698" s="1" t="s">
        <v>74</v>
      </c>
      <c r="T698" s="1" t="s">
        <v>74</v>
      </c>
      <c r="U698" s="1" t="s">
        <v>74</v>
      </c>
      <c r="V698" s="1" t="s">
        <v>6619</v>
      </c>
      <c r="W698" s="1" t="s">
        <v>74</v>
      </c>
      <c r="X698" s="1" t="s">
        <v>74</v>
      </c>
      <c r="Y698" s="1" t="s">
        <v>74</v>
      </c>
      <c r="Z698" s="1" t="s">
        <v>74</v>
      </c>
      <c r="AA698" s="1" t="s">
        <v>498</v>
      </c>
      <c r="AB698" s="1" t="s">
        <v>197</v>
      </c>
      <c r="AC698" s="1" t="s">
        <v>74</v>
      </c>
      <c r="AD698" s="1" t="s">
        <v>74</v>
      </c>
      <c r="AE698" s="1" t="s">
        <v>74</v>
      </c>
      <c r="AF698" s="1" t="s">
        <v>74</v>
      </c>
      <c r="AG698" s="1" t="s">
        <v>74</v>
      </c>
      <c r="AH698" s="1" t="s">
        <v>74</v>
      </c>
      <c r="AI698" s="1" t="s">
        <v>74</v>
      </c>
      <c r="AJ698" s="1" t="s">
        <v>74</v>
      </c>
      <c r="AK698" s="1" t="s">
        <v>74</v>
      </c>
      <c r="AL698" s="1" t="s">
        <v>74</v>
      </c>
      <c r="AM698" s="1" t="s">
        <v>74</v>
      </c>
      <c r="AN698" s="1" t="s">
        <v>74</v>
      </c>
      <c r="AO698" s="1" t="s">
        <v>6620</v>
      </c>
      <c r="AP698" s="1" t="s">
        <v>74</v>
      </c>
      <c r="AQ698" s="1" t="s">
        <v>74</v>
      </c>
      <c r="AR698" s="1" t="s">
        <v>74</v>
      </c>
      <c r="AS698" s="1" t="s">
        <v>74</v>
      </c>
      <c r="AT698" s="1" t="s">
        <v>122</v>
      </c>
      <c r="AU698" s="1">
        <v>1997.0</v>
      </c>
      <c r="AV698" s="1">
        <v>125.0</v>
      </c>
      <c r="AW698" s="1">
        <v>8.0</v>
      </c>
      <c r="AX698" s="1" t="s">
        <v>74</v>
      </c>
      <c r="AY698" s="1" t="s">
        <v>74</v>
      </c>
      <c r="AZ698" s="1" t="s">
        <v>74</v>
      </c>
      <c r="BA698" s="1" t="s">
        <v>74</v>
      </c>
      <c r="BB698" s="1">
        <v>2353.0</v>
      </c>
      <c r="BC698" s="1">
        <v>2362.0</v>
      </c>
      <c r="BD698" s="1" t="s">
        <v>74</v>
      </c>
      <c r="BE698" s="1" t="s">
        <v>6621</v>
      </c>
      <c r="BF698" s="2" t="str">
        <f>HYPERLINK("http://dx.doi.org/10.1090/S0002-9939-97-03837-9","http://dx.doi.org/10.1090/S0002-9939-97-03837-9")</f>
        <v>http://dx.doi.org/10.1090/S0002-9939-97-03837-9</v>
      </c>
      <c r="BG698" s="1" t="s">
        <v>74</v>
      </c>
      <c r="BH698" s="1" t="s">
        <v>74</v>
      </c>
      <c r="BI698" s="1" t="s">
        <v>74</v>
      </c>
      <c r="BJ698" s="1" t="s">
        <v>74</v>
      </c>
      <c r="BK698" s="1" t="s">
        <v>74</v>
      </c>
      <c r="BL698" s="1" t="s">
        <v>74</v>
      </c>
      <c r="BM698" s="1" t="s">
        <v>74</v>
      </c>
      <c r="BN698" s="1" t="s">
        <v>74</v>
      </c>
      <c r="BO698" s="1" t="s">
        <v>74</v>
      </c>
      <c r="BP698" s="1" t="s">
        <v>74</v>
      </c>
      <c r="BQ698" s="1" t="s">
        <v>74</v>
      </c>
      <c r="BR698" s="1" t="s">
        <v>74</v>
      </c>
      <c r="BS698" s="1" t="s">
        <v>6622</v>
      </c>
      <c r="BT698" s="1" t="str">
        <f>HYPERLINK("https%3A%2F%2Fwww.webofscience.com%2Fwos%2Fwoscc%2Ffull-record%2FWOS:A1997XP81300020","View Full Record in Web of Science")</f>
        <v>View Full Record in Web of Science</v>
      </c>
    </row>
    <row r="699" ht="12.75" customHeight="1">
      <c r="A699" s="1" t="s">
        <v>72</v>
      </c>
      <c r="B699" s="1" t="s">
        <v>6623</v>
      </c>
      <c r="C699" s="1" t="s">
        <v>74</v>
      </c>
      <c r="D699" s="1" t="s">
        <v>74</v>
      </c>
      <c r="E699" s="1" t="s">
        <v>74</v>
      </c>
      <c r="F699" s="1" t="s">
        <v>6623</v>
      </c>
      <c r="G699" s="1" t="s">
        <v>74</v>
      </c>
      <c r="H699" s="1" t="s">
        <v>74</v>
      </c>
      <c r="I699" s="1" t="s">
        <v>6624</v>
      </c>
      <c r="J699" s="1" t="s">
        <v>6625</v>
      </c>
      <c r="K699" s="1" t="s">
        <v>74</v>
      </c>
      <c r="L699" s="1" t="s">
        <v>74</v>
      </c>
      <c r="M699" s="1" t="s">
        <v>74</v>
      </c>
      <c r="N699" s="1" t="s">
        <v>74</v>
      </c>
      <c r="O699" s="1" t="s">
        <v>74</v>
      </c>
      <c r="P699" s="1" t="s">
        <v>74</v>
      </c>
      <c r="Q699" s="1" t="s">
        <v>74</v>
      </c>
      <c r="R699" s="1" t="s">
        <v>74</v>
      </c>
      <c r="S699" s="1" t="s">
        <v>74</v>
      </c>
      <c r="T699" s="1" t="s">
        <v>74</v>
      </c>
      <c r="U699" s="1" t="s">
        <v>74</v>
      </c>
      <c r="V699" s="1" t="s">
        <v>6626</v>
      </c>
      <c r="W699" s="1" t="s">
        <v>74</v>
      </c>
      <c r="X699" s="1" t="s">
        <v>74</v>
      </c>
      <c r="Y699" s="1" t="s">
        <v>74</v>
      </c>
      <c r="Z699" s="1" t="s">
        <v>74</v>
      </c>
      <c r="AA699" s="1" t="s">
        <v>6627</v>
      </c>
      <c r="AB699" s="1" t="s">
        <v>6628</v>
      </c>
      <c r="AC699" s="1" t="s">
        <v>74</v>
      </c>
      <c r="AD699" s="1" t="s">
        <v>74</v>
      </c>
      <c r="AE699" s="1" t="s">
        <v>74</v>
      </c>
      <c r="AF699" s="1" t="s">
        <v>74</v>
      </c>
      <c r="AG699" s="1" t="s">
        <v>74</v>
      </c>
      <c r="AH699" s="1" t="s">
        <v>74</v>
      </c>
      <c r="AI699" s="1" t="s">
        <v>74</v>
      </c>
      <c r="AJ699" s="1" t="s">
        <v>74</v>
      </c>
      <c r="AK699" s="1" t="s">
        <v>74</v>
      </c>
      <c r="AL699" s="1" t="s">
        <v>74</v>
      </c>
      <c r="AM699" s="1" t="s">
        <v>74</v>
      </c>
      <c r="AN699" s="1" t="s">
        <v>74</v>
      </c>
      <c r="AO699" s="1" t="s">
        <v>6629</v>
      </c>
      <c r="AP699" s="1" t="s">
        <v>74</v>
      </c>
      <c r="AQ699" s="1" t="s">
        <v>74</v>
      </c>
      <c r="AR699" s="1" t="s">
        <v>74</v>
      </c>
      <c r="AS699" s="1" t="s">
        <v>74</v>
      </c>
      <c r="AT699" s="1" t="s">
        <v>2670</v>
      </c>
      <c r="AU699" s="1">
        <v>1996.0</v>
      </c>
      <c r="AV699" s="1">
        <v>382.0</v>
      </c>
      <c r="AW699" s="1">
        <v>6594.0</v>
      </c>
      <c r="AX699" s="1" t="s">
        <v>74</v>
      </c>
      <c r="AY699" s="1" t="s">
        <v>74</v>
      </c>
      <c r="AZ699" s="1" t="s">
        <v>74</v>
      </c>
      <c r="BA699" s="1" t="s">
        <v>74</v>
      </c>
      <c r="BB699" s="1">
        <v>793.0</v>
      </c>
      <c r="BC699" s="1">
        <v>796.0</v>
      </c>
      <c r="BD699" s="1" t="s">
        <v>74</v>
      </c>
      <c r="BE699" s="1" t="s">
        <v>6630</v>
      </c>
      <c r="BF699" s="2" t="str">
        <f>HYPERLINK("http://dx.doi.org/10.1038/382793a0","http://dx.doi.org/10.1038/382793a0")</f>
        <v>http://dx.doi.org/10.1038/382793a0</v>
      </c>
      <c r="BG699" s="1" t="s">
        <v>74</v>
      </c>
      <c r="BH699" s="1" t="s">
        <v>74</v>
      </c>
      <c r="BI699" s="1" t="s">
        <v>74</v>
      </c>
      <c r="BJ699" s="1" t="s">
        <v>74</v>
      </c>
      <c r="BK699" s="1" t="s">
        <v>74</v>
      </c>
      <c r="BL699" s="1" t="s">
        <v>74</v>
      </c>
      <c r="BM699" s="1" t="s">
        <v>74</v>
      </c>
      <c r="BN699" s="1" t="s">
        <v>74</v>
      </c>
      <c r="BO699" s="1" t="s">
        <v>74</v>
      </c>
      <c r="BP699" s="1" t="s">
        <v>74</v>
      </c>
      <c r="BQ699" s="1" t="s">
        <v>74</v>
      </c>
      <c r="BR699" s="1" t="s">
        <v>74</v>
      </c>
      <c r="BS699" s="1" t="s">
        <v>6631</v>
      </c>
      <c r="BT699" s="1" t="str">
        <f>HYPERLINK("https%3A%2F%2Fwww.webofscience.com%2Fwos%2Fwoscc%2Ffull-record%2FWOS:A1996VE34700041","View Full Record in Web of Science")</f>
        <v>View Full Record in Web of Science</v>
      </c>
    </row>
    <row r="700" ht="12.75" customHeight="1">
      <c r="A700" s="1" t="s">
        <v>72</v>
      </c>
      <c r="B700" s="1" t="s">
        <v>6632</v>
      </c>
      <c r="C700" s="1" t="s">
        <v>74</v>
      </c>
      <c r="D700" s="1" t="s">
        <v>74</v>
      </c>
      <c r="E700" s="1" t="s">
        <v>74</v>
      </c>
      <c r="F700" s="1" t="s">
        <v>6633</v>
      </c>
      <c r="G700" s="1" t="s">
        <v>74</v>
      </c>
      <c r="H700" s="1" t="s">
        <v>74</v>
      </c>
      <c r="I700" s="1" t="s">
        <v>6634</v>
      </c>
      <c r="J700" s="1" t="s">
        <v>6635</v>
      </c>
      <c r="K700" s="1" t="s">
        <v>74</v>
      </c>
      <c r="L700" s="1" t="s">
        <v>74</v>
      </c>
      <c r="M700" s="1" t="s">
        <v>74</v>
      </c>
      <c r="N700" s="1" t="s">
        <v>74</v>
      </c>
      <c r="O700" s="1" t="s">
        <v>74</v>
      </c>
      <c r="P700" s="1" t="s">
        <v>74</v>
      </c>
      <c r="Q700" s="1" t="s">
        <v>74</v>
      </c>
      <c r="R700" s="1" t="s">
        <v>74</v>
      </c>
      <c r="S700" s="1" t="s">
        <v>74</v>
      </c>
      <c r="T700" s="1" t="s">
        <v>74</v>
      </c>
      <c r="U700" s="1" t="s">
        <v>74</v>
      </c>
      <c r="V700" s="1" t="s">
        <v>6636</v>
      </c>
      <c r="W700" s="1" t="s">
        <v>74</v>
      </c>
      <c r="X700" s="1" t="s">
        <v>74</v>
      </c>
      <c r="Y700" s="1" t="s">
        <v>74</v>
      </c>
      <c r="Z700" s="1" t="s">
        <v>74</v>
      </c>
      <c r="AA700" s="1" t="s">
        <v>74</v>
      </c>
      <c r="AB700" s="1" t="s">
        <v>74</v>
      </c>
      <c r="AC700" s="1" t="s">
        <v>74</v>
      </c>
      <c r="AD700" s="1" t="s">
        <v>74</v>
      </c>
      <c r="AE700" s="1" t="s">
        <v>74</v>
      </c>
      <c r="AF700" s="1" t="s">
        <v>74</v>
      </c>
      <c r="AG700" s="1" t="s">
        <v>74</v>
      </c>
      <c r="AH700" s="1" t="s">
        <v>74</v>
      </c>
      <c r="AI700" s="1" t="s">
        <v>74</v>
      </c>
      <c r="AJ700" s="1" t="s">
        <v>74</v>
      </c>
      <c r="AK700" s="1" t="s">
        <v>74</v>
      </c>
      <c r="AL700" s="1" t="s">
        <v>74</v>
      </c>
      <c r="AM700" s="1" t="s">
        <v>74</v>
      </c>
      <c r="AN700" s="1" t="s">
        <v>74</v>
      </c>
      <c r="AO700" s="1" t="s">
        <v>74</v>
      </c>
      <c r="AP700" s="1" t="s">
        <v>6637</v>
      </c>
      <c r="AQ700" s="1" t="s">
        <v>74</v>
      </c>
      <c r="AR700" s="1" t="s">
        <v>74</v>
      </c>
      <c r="AS700" s="1" t="s">
        <v>74</v>
      </c>
      <c r="AT700" s="1" t="s">
        <v>415</v>
      </c>
      <c r="AU700" s="1">
        <v>2024.0</v>
      </c>
      <c r="AV700" s="1">
        <v>17.0</v>
      </c>
      <c r="AW700" s="1">
        <v>12.0</v>
      </c>
      <c r="AX700" s="1" t="s">
        <v>74</v>
      </c>
      <c r="AY700" s="1" t="s">
        <v>74</v>
      </c>
      <c r="AZ700" s="1" t="s">
        <v>74</v>
      </c>
      <c r="BA700" s="1" t="s">
        <v>74</v>
      </c>
      <c r="BB700" s="1" t="s">
        <v>74</v>
      </c>
      <c r="BC700" s="1" t="s">
        <v>74</v>
      </c>
      <c r="BD700" s="1">
        <v>1590.0</v>
      </c>
      <c r="BE700" s="1" t="s">
        <v>6638</v>
      </c>
      <c r="BF700" s="2" t="str">
        <f>HYPERLINK("http://dx.doi.org/10.3390/ph17121590","http://dx.doi.org/10.3390/ph17121590")</f>
        <v>http://dx.doi.org/10.3390/ph17121590</v>
      </c>
      <c r="BG700" s="1" t="s">
        <v>74</v>
      </c>
      <c r="BH700" s="1" t="s">
        <v>74</v>
      </c>
      <c r="BI700" s="1" t="s">
        <v>74</v>
      </c>
      <c r="BJ700" s="1" t="s">
        <v>74</v>
      </c>
      <c r="BK700" s="1" t="s">
        <v>74</v>
      </c>
      <c r="BL700" s="1" t="s">
        <v>74</v>
      </c>
      <c r="BM700" s="1" t="s">
        <v>74</v>
      </c>
      <c r="BN700" s="1">
        <v>3.9770432E7</v>
      </c>
      <c r="BO700" s="1" t="s">
        <v>74</v>
      </c>
      <c r="BP700" s="1" t="s">
        <v>74</v>
      </c>
      <c r="BQ700" s="1" t="s">
        <v>74</v>
      </c>
      <c r="BR700" s="1" t="s">
        <v>74</v>
      </c>
      <c r="BS700" s="1" t="s">
        <v>6639</v>
      </c>
      <c r="BT700" s="1" t="str">
        <f>HYPERLINK("https%3A%2F%2Fwww.webofscience.com%2Fwos%2Fwoscc%2Ffull-record%2FWOS:001384038000001","View Full Record in Web of Science")</f>
        <v>View Full Record in Web of Science</v>
      </c>
    </row>
    <row r="701" ht="12.75" customHeight="1">
      <c r="A701" s="1" t="s">
        <v>72</v>
      </c>
      <c r="B701" s="1" t="s">
        <v>6640</v>
      </c>
      <c r="C701" s="1" t="s">
        <v>74</v>
      </c>
      <c r="D701" s="1" t="s">
        <v>74</v>
      </c>
      <c r="E701" s="1" t="s">
        <v>74</v>
      </c>
      <c r="F701" s="1" t="s">
        <v>6641</v>
      </c>
      <c r="G701" s="1" t="s">
        <v>74</v>
      </c>
      <c r="H701" s="1" t="s">
        <v>74</v>
      </c>
      <c r="I701" s="1" t="s">
        <v>6642</v>
      </c>
      <c r="J701" s="1" t="s">
        <v>6643</v>
      </c>
      <c r="K701" s="1" t="s">
        <v>74</v>
      </c>
      <c r="L701" s="1" t="s">
        <v>74</v>
      </c>
      <c r="M701" s="1" t="s">
        <v>74</v>
      </c>
      <c r="N701" s="1" t="s">
        <v>74</v>
      </c>
      <c r="O701" s="1" t="s">
        <v>74</v>
      </c>
      <c r="P701" s="1" t="s">
        <v>74</v>
      </c>
      <c r="Q701" s="1" t="s">
        <v>74</v>
      </c>
      <c r="R701" s="1" t="s">
        <v>74</v>
      </c>
      <c r="S701" s="1" t="s">
        <v>74</v>
      </c>
      <c r="T701" s="1" t="s">
        <v>74</v>
      </c>
      <c r="U701" s="1" t="s">
        <v>74</v>
      </c>
      <c r="V701" s="1" t="s">
        <v>6644</v>
      </c>
      <c r="W701" s="1" t="s">
        <v>74</v>
      </c>
      <c r="X701" s="1" t="s">
        <v>74</v>
      </c>
      <c r="Y701" s="1" t="s">
        <v>74</v>
      </c>
      <c r="Z701" s="1" t="s">
        <v>74</v>
      </c>
      <c r="AA701" s="1" t="s">
        <v>6645</v>
      </c>
      <c r="AB701" s="1" t="s">
        <v>6646</v>
      </c>
      <c r="AC701" s="1" t="s">
        <v>74</v>
      </c>
      <c r="AD701" s="1" t="s">
        <v>74</v>
      </c>
      <c r="AE701" s="1" t="s">
        <v>74</v>
      </c>
      <c r="AF701" s="1" t="s">
        <v>74</v>
      </c>
      <c r="AG701" s="1" t="s">
        <v>74</v>
      </c>
      <c r="AH701" s="1" t="s">
        <v>74</v>
      </c>
      <c r="AI701" s="1" t="s">
        <v>74</v>
      </c>
      <c r="AJ701" s="1" t="s">
        <v>74</v>
      </c>
      <c r="AK701" s="1" t="s">
        <v>74</v>
      </c>
      <c r="AL701" s="1" t="s">
        <v>74</v>
      </c>
      <c r="AM701" s="1" t="s">
        <v>74</v>
      </c>
      <c r="AN701" s="1" t="s">
        <v>74</v>
      </c>
      <c r="AO701" s="1" t="s">
        <v>6647</v>
      </c>
      <c r="AP701" s="1" t="s">
        <v>6648</v>
      </c>
      <c r="AQ701" s="1" t="s">
        <v>74</v>
      </c>
      <c r="AR701" s="1" t="s">
        <v>74</v>
      </c>
      <c r="AS701" s="1" t="s">
        <v>74</v>
      </c>
      <c r="AT701" s="1" t="s">
        <v>5869</v>
      </c>
      <c r="AU701" s="1">
        <v>2025.0</v>
      </c>
      <c r="AV701" s="1">
        <v>325.0</v>
      </c>
      <c r="AW701" s="1" t="s">
        <v>74</v>
      </c>
      <c r="AX701" s="1" t="s">
        <v>74</v>
      </c>
      <c r="AY701" s="1" t="s">
        <v>74</v>
      </c>
      <c r="AZ701" s="1" t="s">
        <v>74</v>
      </c>
      <c r="BA701" s="1" t="s">
        <v>74</v>
      </c>
      <c r="BB701" s="1" t="s">
        <v>74</v>
      </c>
      <c r="BC701" s="1" t="s">
        <v>74</v>
      </c>
      <c r="BD701" s="1">
        <v>119291.0</v>
      </c>
      <c r="BE701" s="1" t="s">
        <v>6649</v>
      </c>
      <c r="BF701" s="2" t="str">
        <f>HYPERLINK("http://dx.doi.org/10.1016/j.enconman.2024.119291","http://dx.doi.org/10.1016/j.enconman.2024.119291")</f>
        <v>http://dx.doi.org/10.1016/j.enconman.2024.119291</v>
      </c>
      <c r="BG701" s="1" t="s">
        <v>74</v>
      </c>
      <c r="BH701" s="1" t="s">
        <v>467</v>
      </c>
      <c r="BI701" s="1" t="s">
        <v>74</v>
      </c>
      <c r="BJ701" s="1" t="s">
        <v>74</v>
      </c>
      <c r="BK701" s="1" t="s">
        <v>74</v>
      </c>
      <c r="BL701" s="1" t="s">
        <v>74</v>
      </c>
      <c r="BM701" s="1" t="s">
        <v>74</v>
      </c>
      <c r="BN701" s="1" t="s">
        <v>74</v>
      </c>
      <c r="BO701" s="1" t="s">
        <v>74</v>
      </c>
      <c r="BP701" s="1" t="s">
        <v>74</v>
      </c>
      <c r="BQ701" s="1" t="s">
        <v>74</v>
      </c>
      <c r="BR701" s="1" t="s">
        <v>74</v>
      </c>
      <c r="BS701" s="1" t="s">
        <v>6650</v>
      </c>
      <c r="BT701" s="1" t="str">
        <f>HYPERLINK("https%3A%2F%2Fwww.webofscience.com%2Fwos%2Fwoscc%2Ffull-record%2FWOS:001371635800001","View Full Record in Web of Science")</f>
        <v>View Full Record in Web of Science</v>
      </c>
    </row>
    <row r="702" ht="12.75" customHeight="1">
      <c r="A702" s="1" t="s">
        <v>72</v>
      </c>
      <c r="B702" s="1" t="s">
        <v>6651</v>
      </c>
      <c r="C702" s="1" t="s">
        <v>74</v>
      </c>
      <c r="D702" s="1" t="s">
        <v>74</v>
      </c>
      <c r="E702" s="1" t="s">
        <v>74</v>
      </c>
      <c r="F702" s="1" t="s">
        <v>6652</v>
      </c>
      <c r="G702" s="1" t="s">
        <v>74</v>
      </c>
      <c r="H702" s="1" t="s">
        <v>74</v>
      </c>
      <c r="I702" s="1" t="s">
        <v>6653</v>
      </c>
      <c r="J702" s="1" t="s">
        <v>6654</v>
      </c>
      <c r="K702" s="1" t="s">
        <v>74</v>
      </c>
      <c r="L702" s="1" t="s">
        <v>74</v>
      </c>
      <c r="M702" s="1" t="s">
        <v>74</v>
      </c>
      <c r="N702" s="1" t="s">
        <v>74</v>
      </c>
      <c r="O702" s="1" t="s">
        <v>74</v>
      </c>
      <c r="P702" s="1" t="s">
        <v>74</v>
      </c>
      <c r="Q702" s="1" t="s">
        <v>74</v>
      </c>
      <c r="R702" s="1" t="s">
        <v>74</v>
      </c>
      <c r="S702" s="1" t="s">
        <v>74</v>
      </c>
      <c r="T702" s="1" t="s">
        <v>74</v>
      </c>
      <c r="U702" s="1" t="s">
        <v>74</v>
      </c>
      <c r="V702" s="1" t="s">
        <v>74</v>
      </c>
      <c r="W702" s="1" t="s">
        <v>74</v>
      </c>
      <c r="X702" s="1" t="s">
        <v>74</v>
      </c>
      <c r="Y702" s="1" t="s">
        <v>74</v>
      </c>
      <c r="Z702" s="1" t="s">
        <v>74</v>
      </c>
      <c r="AA702" s="1" t="s">
        <v>74</v>
      </c>
      <c r="AB702" s="1" t="s">
        <v>74</v>
      </c>
      <c r="AC702" s="1" t="s">
        <v>74</v>
      </c>
      <c r="AD702" s="1" t="s">
        <v>74</v>
      </c>
      <c r="AE702" s="1" t="s">
        <v>74</v>
      </c>
      <c r="AF702" s="1" t="s">
        <v>74</v>
      </c>
      <c r="AG702" s="1" t="s">
        <v>74</v>
      </c>
      <c r="AH702" s="1" t="s">
        <v>74</v>
      </c>
      <c r="AI702" s="1" t="s">
        <v>74</v>
      </c>
      <c r="AJ702" s="1" t="s">
        <v>74</v>
      </c>
      <c r="AK702" s="1" t="s">
        <v>74</v>
      </c>
      <c r="AL702" s="1" t="s">
        <v>74</v>
      </c>
      <c r="AM702" s="1" t="s">
        <v>74</v>
      </c>
      <c r="AN702" s="1" t="s">
        <v>74</v>
      </c>
      <c r="AO702" s="1" t="s">
        <v>6655</v>
      </c>
      <c r="AP702" s="1" t="s">
        <v>6656</v>
      </c>
      <c r="AQ702" s="1" t="s">
        <v>74</v>
      </c>
      <c r="AR702" s="1" t="s">
        <v>74</v>
      </c>
      <c r="AS702" s="1" t="s">
        <v>74</v>
      </c>
      <c r="AT702" s="1" t="s">
        <v>6657</v>
      </c>
      <c r="AU702" s="1">
        <v>2024.0</v>
      </c>
      <c r="AV702" s="1">
        <v>101.0</v>
      </c>
      <c r="AW702" s="1">
        <v>9.0</v>
      </c>
      <c r="AX702" s="1" t="s">
        <v>74</v>
      </c>
      <c r="AY702" s="1" t="s">
        <v>74</v>
      </c>
      <c r="AZ702" s="1" t="s">
        <v>74</v>
      </c>
      <c r="BA702" s="1" t="s">
        <v>74</v>
      </c>
      <c r="BB702" s="1">
        <v>1416.0</v>
      </c>
      <c r="BC702" s="1">
        <v>1417.0</v>
      </c>
      <c r="BD702" s="1" t="s">
        <v>74</v>
      </c>
      <c r="BE702" s="1" t="s">
        <v>74</v>
      </c>
      <c r="BF702" s="1" t="s">
        <v>74</v>
      </c>
      <c r="BG702" s="1" t="s">
        <v>74</v>
      </c>
      <c r="BH702" s="1" t="s">
        <v>74</v>
      </c>
      <c r="BI702" s="1" t="s">
        <v>74</v>
      </c>
      <c r="BJ702" s="1" t="s">
        <v>74</v>
      </c>
      <c r="BK702" s="1" t="s">
        <v>74</v>
      </c>
      <c r="BL702" s="1" t="s">
        <v>74</v>
      </c>
      <c r="BM702" s="1" t="s">
        <v>74</v>
      </c>
      <c r="BN702" s="1" t="s">
        <v>74</v>
      </c>
      <c r="BO702" s="1" t="s">
        <v>74</v>
      </c>
      <c r="BP702" s="1" t="s">
        <v>74</v>
      </c>
      <c r="BQ702" s="1" t="s">
        <v>74</v>
      </c>
      <c r="BR702" s="1" t="s">
        <v>74</v>
      </c>
      <c r="BS702" s="1" t="s">
        <v>6658</v>
      </c>
      <c r="BT702" s="1" t="str">
        <f>HYPERLINK("https%3A%2F%2Fwww.webofscience.com%2Fwos%2Fwoscc%2Ffull-record%2FWOS:001434163400009","View Full Record in Web of Science")</f>
        <v>View Full Record in Web of Science</v>
      </c>
    </row>
    <row r="703" ht="12.75" customHeight="1">
      <c r="A703" s="1" t="s">
        <v>72</v>
      </c>
      <c r="B703" s="1" t="s">
        <v>6659</v>
      </c>
      <c r="C703" s="1" t="s">
        <v>74</v>
      </c>
      <c r="D703" s="1" t="s">
        <v>74</v>
      </c>
      <c r="E703" s="1" t="s">
        <v>74</v>
      </c>
      <c r="F703" s="1" t="s">
        <v>6660</v>
      </c>
      <c r="G703" s="1" t="s">
        <v>74</v>
      </c>
      <c r="H703" s="1" t="s">
        <v>74</v>
      </c>
      <c r="I703" s="1" t="s">
        <v>6661</v>
      </c>
      <c r="J703" s="1" t="s">
        <v>1643</v>
      </c>
      <c r="K703" s="1" t="s">
        <v>74</v>
      </c>
      <c r="L703" s="1" t="s">
        <v>74</v>
      </c>
      <c r="M703" s="1" t="s">
        <v>74</v>
      </c>
      <c r="N703" s="1" t="s">
        <v>74</v>
      </c>
      <c r="O703" s="1" t="s">
        <v>74</v>
      </c>
      <c r="P703" s="1" t="s">
        <v>74</v>
      </c>
      <c r="Q703" s="1" t="s">
        <v>74</v>
      </c>
      <c r="R703" s="1" t="s">
        <v>74</v>
      </c>
      <c r="S703" s="1" t="s">
        <v>74</v>
      </c>
      <c r="T703" s="1" t="s">
        <v>74</v>
      </c>
      <c r="U703" s="1" t="s">
        <v>74</v>
      </c>
      <c r="V703" s="1" t="s">
        <v>6662</v>
      </c>
      <c r="W703" s="1" t="s">
        <v>74</v>
      </c>
      <c r="X703" s="1" t="s">
        <v>74</v>
      </c>
      <c r="Y703" s="1" t="s">
        <v>74</v>
      </c>
      <c r="Z703" s="1" t="s">
        <v>74</v>
      </c>
      <c r="AA703" s="1" t="s">
        <v>74</v>
      </c>
      <c r="AB703" s="1" t="s">
        <v>6663</v>
      </c>
      <c r="AC703" s="1" t="s">
        <v>74</v>
      </c>
      <c r="AD703" s="1" t="s">
        <v>74</v>
      </c>
      <c r="AE703" s="1" t="s">
        <v>74</v>
      </c>
      <c r="AF703" s="1" t="s">
        <v>74</v>
      </c>
      <c r="AG703" s="1" t="s">
        <v>74</v>
      </c>
      <c r="AH703" s="1" t="s">
        <v>74</v>
      </c>
      <c r="AI703" s="1" t="s">
        <v>74</v>
      </c>
      <c r="AJ703" s="1" t="s">
        <v>74</v>
      </c>
      <c r="AK703" s="1" t="s">
        <v>74</v>
      </c>
      <c r="AL703" s="1" t="s">
        <v>74</v>
      </c>
      <c r="AM703" s="1" t="s">
        <v>74</v>
      </c>
      <c r="AN703" s="1" t="s">
        <v>74</v>
      </c>
      <c r="AO703" s="1" t="s">
        <v>1645</v>
      </c>
      <c r="AP703" s="1" t="s">
        <v>74</v>
      </c>
      <c r="AQ703" s="1" t="s">
        <v>74</v>
      </c>
      <c r="AR703" s="1" t="s">
        <v>74</v>
      </c>
      <c r="AS703" s="1" t="s">
        <v>74</v>
      </c>
      <c r="AT703" s="1" t="s">
        <v>621</v>
      </c>
      <c r="AU703" s="1">
        <v>2024.0</v>
      </c>
      <c r="AV703" s="1">
        <v>23.0</v>
      </c>
      <c r="AW703" s="1">
        <v>4.0</v>
      </c>
      <c r="AX703" s="1" t="s">
        <v>74</v>
      </c>
      <c r="AY703" s="1" t="s">
        <v>74</v>
      </c>
      <c r="AZ703" s="1" t="s">
        <v>74</v>
      </c>
      <c r="BA703" s="1" t="s">
        <v>74</v>
      </c>
      <c r="BB703" s="1">
        <v>534.0</v>
      </c>
      <c r="BC703" s="1">
        <v>551.0</v>
      </c>
      <c r="BD703" s="1" t="s">
        <v>74</v>
      </c>
      <c r="BE703" s="1" t="s">
        <v>6664</v>
      </c>
      <c r="BF703" s="2" t="str">
        <f>HYPERLINK("http://dx.doi.org/10.37360/blacpma.24.23.4.36","http://dx.doi.org/10.37360/blacpma.24.23.4.36")</f>
        <v>http://dx.doi.org/10.37360/blacpma.24.23.4.36</v>
      </c>
      <c r="BG703" s="1" t="s">
        <v>74</v>
      </c>
      <c r="BH703" s="1" t="s">
        <v>74</v>
      </c>
      <c r="BI703" s="1" t="s">
        <v>74</v>
      </c>
      <c r="BJ703" s="1" t="s">
        <v>74</v>
      </c>
      <c r="BK703" s="1" t="s">
        <v>74</v>
      </c>
      <c r="BL703" s="1" t="s">
        <v>74</v>
      </c>
      <c r="BM703" s="1" t="s">
        <v>74</v>
      </c>
      <c r="BN703" s="1" t="s">
        <v>74</v>
      </c>
      <c r="BO703" s="1" t="s">
        <v>74</v>
      </c>
      <c r="BP703" s="1" t="s">
        <v>74</v>
      </c>
      <c r="BQ703" s="1" t="s">
        <v>74</v>
      </c>
      <c r="BR703" s="1" t="s">
        <v>74</v>
      </c>
      <c r="BS703" s="1" t="s">
        <v>6665</v>
      </c>
      <c r="BT703" s="1" t="str">
        <f>HYPERLINK("https%3A%2F%2Fwww.webofscience.com%2Fwos%2Fwoscc%2Ffull-record%2FWOS:001187354900005","View Full Record in Web of Science")</f>
        <v>View Full Record in Web of Science</v>
      </c>
    </row>
    <row r="704" ht="12.75" customHeight="1">
      <c r="A704" s="1" t="s">
        <v>72</v>
      </c>
      <c r="B704" s="1" t="s">
        <v>6666</v>
      </c>
      <c r="C704" s="1" t="s">
        <v>74</v>
      </c>
      <c r="D704" s="1" t="s">
        <v>74</v>
      </c>
      <c r="E704" s="1" t="s">
        <v>74</v>
      </c>
      <c r="F704" s="1" t="s">
        <v>6667</v>
      </c>
      <c r="G704" s="1" t="s">
        <v>74</v>
      </c>
      <c r="H704" s="1" t="s">
        <v>74</v>
      </c>
      <c r="I704" s="1" t="s">
        <v>6668</v>
      </c>
      <c r="J704" s="1" t="s">
        <v>6669</v>
      </c>
      <c r="K704" s="1" t="s">
        <v>74</v>
      </c>
      <c r="L704" s="1" t="s">
        <v>74</v>
      </c>
      <c r="M704" s="1" t="s">
        <v>74</v>
      </c>
      <c r="N704" s="1" t="s">
        <v>74</v>
      </c>
      <c r="O704" s="1" t="s">
        <v>74</v>
      </c>
      <c r="P704" s="1" t="s">
        <v>74</v>
      </c>
      <c r="Q704" s="1" t="s">
        <v>74</v>
      </c>
      <c r="R704" s="1" t="s">
        <v>74</v>
      </c>
      <c r="S704" s="1" t="s">
        <v>74</v>
      </c>
      <c r="T704" s="1" t="s">
        <v>74</v>
      </c>
      <c r="U704" s="1" t="s">
        <v>74</v>
      </c>
      <c r="V704" s="1" t="s">
        <v>6670</v>
      </c>
      <c r="W704" s="1" t="s">
        <v>74</v>
      </c>
      <c r="X704" s="1" t="s">
        <v>74</v>
      </c>
      <c r="Y704" s="1" t="s">
        <v>74</v>
      </c>
      <c r="Z704" s="1" t="s">
        <v>74</v>
      </c>
      <c r="AA704" s="1" t="s">
        <v>6671</v>
      </c>
      <c r="AB704" s="1" t="s">
        <v>74</v>
      </c>
      <c r="AC704" s="1" t="s">
        <v>74</v>
      </c>
      <c r="AD704" s="1" t="s">
        <v>74</v>
      </c>
      <c r="AE704" s="1" t="s">
        <v>74</v>
      </c>
      <c r="AF704" s="1" t="s">
        <v>74</v>
      </c>
      <c r="AG704" s="1" t="s">
        <v>74</v>
      </c>
      <c r="AH704" s="1" t="s">
        <v>74</v>
      </c>
      <c r="AI704" s="1" t="s">
        <v>74</v>
      </c>
      <c r="AJ704" s="1" t="s">
        <v>74</v>
      </c>
      <c r="AK704" s="1" t="s">
        <v>74</v>
      </c>
      <c r="AL704" s="1" t="s">
        <v>74</v>
      </c>
      <c r="AM704" s="1" t="s">
        <v>74</v>
      </c>
      <c r="AN704" s="1" t="s">
        <v>74</v>
      </c>
      <c r="AO704" s="1" t="s">
        <v>74</v>
      </c>
      <c r="AP704" s="1" t="s">
        <v>6672</v>
      </c>
      <c r="AQ704" s="1" t="s">
        <v>74</v>
      </c>
      <c r="AR704" s="1" t="s">
        <v>74</v>
      </c>
      <c r="AS704" s="1" t="s">
        <v>74</v>
      </c>
      <c r="AT704" s="1" t="s">
        <v>5120</v>
      </c>
      <c r="AU704" s="1">
        <v>2023.0</v>
      </c>
      <c r="AV704" s="1">
        <v>11.0</v>
      </c>
      <c r="AW704" s="1" t="s">
        <v>74</v>
      </c>
      <c r="AX704" s="1" t="s">
        <v>74</v>
      </c>
      <c r="AY704" s="1" t="s">
        <v>74</v>
      </c>
      <c r="AZ704" s="1" t="s">
        <v>74</v>
      </c>
      <c r="BA704" s="1" t="s">
        <v>74</v>
      </c>
      <c r="BB704" s="1" t="s">
        <v>74</v>
      </c>
      <c r="BC704" s="1" t="s">
        <v>74</v>
      </c>
      <c r="BD704" s="1">
        <v>1217177.0</v>
      </c>
      <c r="BE704" s="1" t="s">
        <v>6673</v>
      </c>
      <c r="BF704" s="2" t="str">
        <f>HYPERLINK("http://dx.doi.org/10.3389/fpubh.2023.1217177","http://dx.doi.org/10.3389/fpubh.2023.1217177")</f>
        <v>http://dx.doi.org/10.3389/fpubh.2023.1217177</v>
      </c>
      <c r="BG704" s="1" t="s">
        <v>74</v>
      </c>
      <c r="BH704" s="1" t="s">
        <v>74</v>
      </c>
      <c r="BI704" s="1" t="s">
        <v>74</v>
      </c>
      <c r="BJ704" s="1" t="s">
        <v>74</v>
      </c>
      <c r="BK704" s="1" t="s">
        <v>74</v>
      </c>
      <c r="BL704" s="1" t="s">
        <v>74</v>
      </c>
      <c r="BM704" s="1" t="s">
        <v>74</v>
      </c>
      <c r="BN704" s="1">
        <v>3.7693703E7</v>
      </c>
      <c r="BO704" s="1" t="s">
        <v>74</v>
      </c>
      <c r="BP704" s="1" t="s">
        <v>74</v>
      </c>
      <c r="BQ704" s="1" t="s">
        <v>74</v>
      </c>
      <c r="BR704" s="1" t="s">
        <v>74</v>
      </c>
      <c r="BS704" s="1" t="s">
        <v>6674</v>
      </c>
      <c r="BT704" s="1" t="str">
        <f>HYPERLINK("https%3A%2F%2Fwww.webofscience.com%2Fwos%2Fwoscc%2Ffull-record%2FWOS:001059951600001","View Full Record in Web of Science")</f>
        <v>View Full Record in Web of Science</v>
      </c>
    </row>
    <row r="705" ht="12.75" customHeight="1">
      <c r="A705" s="1" t="s">
        <v>72</v>
      </c>
      <c r="B705" s="1" t="s">
        <v>6675</v>
      </c>
      <c r="C705" s="1" t="s">
        <v>74</v>
      </c>
      <c r="D705" s="1" t="s">
        <v>74</v>
      </c>
      <c r="E705" s="1" t="s">
        <v>74</v>
      </c>
      <c r="F705" s="1" t="s">
        <v>6676</v>
      </c>
      <c r="G705" s="1" t="s">
        <v>74</v>
      </c>
      <c r="H705" s="1" t="s">
        <v>74</v>
      </c>
      <c r="I705" s="1" t="s">
        <v>6677</v>
      </c>
      <c r="J705" s="1" t="s">
        <v>6393</v>
      </c>
      <c r="K705" s="1" t="s">
        <v>74</v>
      </c>
      <c r="L705" s="1" t="s">
        <v>74</v>
      </c>
      <c r="M705" s="1" t="s">
        <v>74</v>
      </c>
      <c r="N705" s="1" t="s">
        <v>74</v>
      </c>
      <c r="O705" s="1" t="s">
        <v>74</v>
      </c>
      <c r="P705" s="1" t="s">
        <v>74</v>
      </c>
      <c r="Q705" s="1" t="s">
        <v>74</v>
      </c>
      <c r="R705" s="1" t="s">
        <v>74</v>
      </c>
      <c r="S705" s="1" t="s">
        <v>74</v>
      </c>
      <c r="T705" s="1" t="s">
        <v>74</v>
      </c>
      <c r="U705" s="1" t="s">
        <v>74</v>
      </c>
      <c r="V705" s="1" t="s">
        <v>6678</v>
      </c>
      <c r="W705" s="1" t="s">
        <v>74</v>
      </c>
      <c r="X705" s="1" t="s">
        <v>74</v>
      </c>
      <c r="Y705" s="1" t="s">
        <v>74</v>
      </c>
      <c r="Z705" s="1" t="s">
        <v>74</v>
      </c>
      <c r="AA705" s="1" t="s">
        <v>6679</v>
      </c>
      <c r="AB705" s="1" t="s">
        <v>6680</v>
      </c>
      <c r="AC705" s="1" t="s">
        <v>74</v>
      </c>
      <c r="AD705" s="1" t="s">
        <v>74</v>
      </c>
      <c r="AE705" s="1" t="s">
        <v>74</v>
      </c>
      <c r="AF705" s="1" t="s">
        <v>74</v>
      </c>
      <c r="AG705" s="1" t="s">
        <v>74</v>
      </c>
      <c r="AH705" s="1" t="s">
        <v>74</v>
      </c>
      <c r="AI705" s="1" t="s">
        <v>74</v>
      </c>
      <c r="AJ705" s="1" t="s">
        <v>74</v>
      </c>
      <c r="AK705" s="1" t="s">
        <v>74</v>
      </c>
      <c r="AL705" s="1" t="s">
        <v>74</v>
      </c>
      <c r="AM705" s="1" t="s">
        <v>74</v>
      </c>
      <c r="AN705" s="1" t="s">
        <v>74</v>
      </c>
      <c r="AO705" s="1" t="s">
        <v>6397</v>
      </c>
      <c r="AP705" s="1" t="s">
        <v>74</v>
      </c>
      <c r="AQ705" s="1" t="s">
        <v>74</v>
      </c>
      <c r="AR705" s="1" t="s">
        <v>74</v>
      </c>
      <c r="AS705" s="1" t="s">
        <v>74</v>
      </c>
      <c r="AT705" s="1" t="s">
        <v>379</v>
      </c>
      <c r="AU705" s="1">
        <v>2023.0</v>
      </c>
      <c r="AV705" s="1">
        <v>38.0</v>
      </c>
      <c r="AW705" s="1" t="s">
        <v>74</v>
      </c>
      <c r="AX705" s="1" t="s">
        <v>74</v>
      </c>
      <c r="AY705" s="1" t="s">
        <v>74</v>
      </c>
      <c r="AZ705" s="1" t="s">
        <v>74</v>
      </c>
      <c r="BA705" s="1" t="s">
        <v>74</v>
      </c>
      <c r="BB705" s="1" t="s">
        <v>74</v>
      </c>
      <c r="BC705" s="1" t="s">
        <v>74</v>
      </c>
      <c r="BD705" s="1">
        <v>101121.0</v>
      </c>
      <c r="BE705" s="1" t="s">
        <v>6681</v>
      </c>
      <c r="BF705" s="2" t="str">
        <f>HYPERLINK("http://dx.doi.org/10.1016/j.fpsl.2023.101121","http://dx.doi.org/10.1016/j.fpsl.2023.101121")</f>
        <v>http://dx.doi.org/10.1016/j.fpsl.2023.101121</v>
      </c>
      <c r="BG705" s="1" t="s">
        <v>74</v>
      </c>
      <c r="BH705" s="1" t="s">
        <v>2170</v>
      </c>
      <c r="BI705" s="1" t="s">
        <v>74</v>
      </c>
      <c r="BJ705" s="1" t="s">
        <v>74</v>
      </c>
      <c r="BK705" s="1" t="s">
        <v>74</v>
      </c>
      <c r="BL705" s="1" t="s">
        <v>74</v>
      </c>
      <c r="BM705" s="1" t="s">
        <v>74</v>
      </c>
      <c r="BN705" s="1" t="s">
        <v>74</v>
      </c>
      <c r="BO705" s="1" t="s">
        <v>74</v>
      </c>
      <c r="BP705" s="1" t="s">
        <v>74</v>
      </c>
      <c r="BQ705" s="1" t="s">
        <v>74</v>
      </c>
      <c r="BR705" s="1" t="s">
        <v>74</v>
      </c>
      <c r="BS705" s="1" t="s">
        <v>6682</v>
      </c>
      <c r="BT705" s="1" t="str">
        <f>HYPERLINK("https%3A%2F%2Fwww.webofscience.com%2Fwos%2Fwoscc%2Ffull-record%2FWOS:001043984400001","View Full Record in Web of Science")</f>
        <v>View Full Record in Web of Science</v>
      </c>
    </row>
    <row r="706" ht="12.75" customHeight="1">
      <c r="A706" s="1" t="s">
        <v>72</v>
      </c>
      <c r="B706" s="1" t="s">
        <v>6683</v>
      </c>
      <c r="C706" s="1" t="s">
        <v>74</v>
      </c>
      <c r="D706" s="1" t="s">
        <v>74</v>
      </c>
      <c r="E706" s="1" t="s">
        <v>74</v>
      </c>
      <c r="F706" s="1" t="s">
        <v>6684</v>
      </c>
      <c r="G706" s="1" t="s">
        <v>74</v>
      </c>
      <c r="H706" s="1" t="s">
        <v>74</v>
      </c>
      <c r="I706" s="1" t="s">
        <v>6685</v>
      </c>
      <c r="J706" s="1" t="s">
        <v>6686</v>
      </c>
      <c r="K706" s="1" t="s">
        <v>74</v>
      </c>
      <c r="L706" s="1" t="s">
        <v>74</v>
      </c>
      <c r="M706" s="1" t="s">
        <v>74</v>
      </c>
      <c r="N706" s="1" t="s">
        <v>74</v>
      </c>
      <c r="O706" s="1" t="s">
        <v>74</v>
      </c>
      <c r="P706" s="1" t="s">
        <v>74</v>
      </c>
      <c r="Q706" s="1" t="s">
        <v>74</v>
      </c>
      <c r="R706" s="1" t="s">
        <v>74</v>
      </c>
      <c r="S706" s="1" t="s">
        <v>74</v>
      </c>
      <c r="T706" s="1" t="s">
        <v>74</v>
      </c>
      <c r="U706" s="1" t="s">
        <v>74</v>
      </c>
      <c r="V706" s="1" t="s">
        <v>6687</v>
      </c>
      <c r="W706" s="1" t="s">
        <v>74</v>
      </c>
      <c r="X706" s="1" t="s">
        <v>74</v>
      </c>
      <c r="Y706" s="1" t="s">
        <v>74</v>
      </c>
      <c r="Z706" s="1" t="s">
        <v>74</v>
      </c>
      <c r="AA706" s="1" t="s">
        <v>6688</v>
      </c>
      <c r="AB706" s="1" t="s">
        <v>6689</v>
      </c>
      <c r="AC706" s="1" t="s">
        <v>74</v>
      </c>
      <c r="AD706" s="1" t="s">
        <v>74</v>
      </c>
      <c r="AE706" s="1" t="s">
        <v>74</v>
      </c>
      <c r="AF706" s="1" t="s">
        <v>74</v>
      </c>
      <c r="AG706" s="1" t="s">
        <v>74</v>
      </c>
      <c r="AH706" s="1" t="s">
        <v>74</v>
      </c>
      <c r="AI706" s="1" t="s">
        <v>74</v>
      </c>
      <c r="AJ706" s="1" t="s">
        <v>74</v>
      </c>
      <c r="AK706" s="1" t="s">
        <v>74</v>
      </c>
      <c r="AL706" s="1" t="s">
        <v>74</v>
      </c>
      <c r="AM706" s="1" t="s">
        <v>74</v>
      </c>
      <c r="AN706" s="1" t="s">
        <v>74</v>
      </c>
      <c r="AO706" s="1" t="s">
        <v>6690</v>
      </c>
      <c r="AP706" s="1" t="s">
        <v>6691</v>
      </c>
      <c r="AQ706" s="1" t="s">
        <v>74</v>
      </c>
      <c r="AR706" s="1" t="s">
        <v>74</v>
      </c>
      <c r="AS706" s="1" t="s">
        <v>74</v>
      </c>
      <c r="AT706" s="1" t="s">
        <v>74</v>
      </c>
      <c r="AU706" s="1">
        <v>2023.0</v>
      </c>
      <c r="AV706" s="1">
        <v>61.0</v>
      </c>
      <c r="AW706" s="1">
        <v>5.0</v>
      </c>
      <c r="AX706" s="1" t="s">
        <v>74</v>
      </c>
      <c r="AY706" s="1" t="s">
        <v>74</v>
      </c>
      <c r="AZ706" s="1" t="s">
        <v>74</v>
      </c>
      <c r="BA706" s="1" t="s">
        <v>74</v>
      </c>
      <c r="BB706" s="1">
        <v>2084.0</v>
      </c>
      <c r="BC706" s="1">
        <v>2105.0</v>
      </c>
      <c r="BD706" s="1" t="s">
        <v>74</v>
      </c>
      <c r="BE706" s="1" t="s">
        <v>6692</v>
      </c>
      <c r="BF706" s="2" t="str">
        <f>HYPERLINK("http://dx.doi.org/10.1137/22M1526307","http://dx.doi.org/10.1137/22M1526307")</f>
        <v>http://dx.doi.org/10.1137/22M1526307</v>
      </c>
      <c r="BG706" s="1" t="s">
        <v>74</v>
      </c>
      <c r="BH706" s="1" t="s">
        <v>74</v>
      </c>
      <c r="BI706" s="1" t="s">
        <v>74</v>
      </c>
      <c r="BJ706" s="1" t="s">
        <v>74</v>
      </c>
      <c r="BK706" s="1" t="s">
        <v>74</v>
      </c>
      <c r="BL706" s="1" t="s">
        <v>74</v>
      </c>
      <c r="BM706" s="1" t="s">
        <v>74</v>
      </c>
      <c r="BN706" s="1" t="s">
        <v>74</v>
      </c>
      <c r="BO706" s="1" t="s">
        <v>74</v>
      </c>
      <c r="BP706" s="1" t="s">
        <v>74</v>
      </c>
      <c r="BQ706" s="1" t="s">
        <v>74</v>
      </c>
      <c r="BR706" s="1" t="s">
        <v>74</v>
      </c>
      <c r="BS706" s="1" t="s">
        <v>6693</v>
      </c>
      <c r="BT706" s="1" t="str">
        <f>HYPERLINK("https%3A%2F%2Fwww.webofscience.com%2Fwos%2Fwoscc%2Ffull-record%2FWOS:001082987300004","View Full Record in Web of Science")</f>
        <v>View Full Record in Web of Science</v>
      </c>
    </row>
    <row r="707" ht="12.75" customHeight="1">
      <c r="A707" s="1" t="s">
        <v>72</v>
      </c>
      <c r="B707" s="1" t="s">
        <v>6694</v>
      </c>
      <c r="C707" s="1" t="s">
        <v>74</v>
      </c>
      <c r="D707" s="1" t="s">
        <v>74</v>
      </c>
      <c r="E707" s="1" t="s">
        <v>74</v>
      </c>
      <c r="F707" s="1" t="s">
        <v>6695</v>
      </c>
      <c r="G707" s="1" t="s">
        <v>74</v>
      </c>
      <c r="H707" s="1" t="s">
        <v>74</v>
      </c>
      <c r="I707" s="1" t="s">
        <v>6696</v>
      </c>
      <c r="J707" s="1" t="s">
        <v>553</v>
      </c>
      <c r="K707" s="1" t="s">
        <v>74</v>
      </c>
      <c r="L707" s="1" t="s">
        <v>74</v>
      </c>
      <c r="M707" s="1" t="s">
        <v>74</v>
      </c>
      <c r="N707" s="1" t="s">
        <v>74</v>
      </c>
      <c r="O707" s="1" t="s">
        <v>74</v>
      </c>
      <c r="P707" s="1" t="s">
        <v>74</v>
      </c>
      <c r="Q707" s="1" t="s">
        <v>74</v>
      </c>
      <c r="R707" s="1" t="s">
        <v>74</v>
      </c>
      <c r="S707" s="1" t="s">
        <v>74</v>
      </c>
      <c r="T707" s="1" t="s">
        <v>74</v>
      </c>
      <c r="U707" s="1" t="s">
        <v>74</v>
      </c>
      <c r="V707" s="1" t="s">
        <v>6697</v>
      </c>
      <c r="W707" s="1" t="s">
        <v>74</v>
      </c>
      <c r="X707" s="1" t="s">
        <v>74</v>
      </c>
      <c r="Y707" s="1" t="s">
        <v>74</v>
      </c>
      <c r="Z707" s="1" t="s">
        <v>74</v>
      </c>
      <c r="AA707" s="1" t="s">
        <v>6698</v>
      </c>
      <c r="AB707" s="1" t="s">
        <v>6699</v>
      </c>
      <c r="AC707" s="1" t="s">
        <v>74</v>
      </c>
      <c r="AD707" s="1" t="s">
        <v>74</v>
      </c>
      <c r="AE707" s="1" t="s">
        <v>74</v>
      </c>
      <c r="AF707" s="1" t="s">
        <v>74</v>
      </c>
      <c r="AG707" s="1" t="s">
        <v>74</v>
      </c>
      <c r="AH707" s="1" t="s">
        <v>74</v>
      </c>
      <c r="AI707" s="1" t="s">
        <v>74</v>
      </c>
      <c r="AJ707" s="1" t="s">
        <v>74</v>
      </c>
      <c r="AK707" s="1" t="s">
        <v>74</v>
      </c>
      <c r="AL707" s="1" t="s">
        <v>74</v>
      </c>
      <c r="AM707" s="1" t="s">
        <v>74</v>
      </c>
      <c r="AN707" s="1" t="s">
        <v>74</v>
      </c>
      <c r="AO707" s="1" t="s">
        <v>74</v>
      </c>
      <c r="AP707" s="1" t="s">
        <v>557</v>
      </c>
      <c r="AQ707" s="1" t="s">
        <v>74</v>
      </c>
      <c r="AR707" s="1" t="s">
        <v>74</v>
      </c>
      <c r="AS707" s="1" t="s">
        <v>74</v>
      </c>
      <c r="AT707" s="1" t="s">
        <v>277</v>
      </c>
      <c r="AU707" s="1">
        <v>2023.0</v>
      </c>
      <c r="AV707" s="1">
        <v>15.0</v>
      </c>
      <c r="AW707" s="1">
        <v>1.0</v>
      </c>
      <c r="AX707" s="1" t="s">
        <v>74</v>
      </c>
      <c r="AY707" s="1" t="s">
        <v>74</v>
      </c>
      <c r="AZ707" s="1" t="s">
        <v>74</v>
      </c>
      <c r="BA707" s="1" t="s">
        <v>74</v>
      </c>
      <c r="BB707" s="1" t="s">
        <v>74</v>
      </c>
      <c r="BC707" s="1" t="s">
        <v>74</v>
      </c>
      <c r="BD707" s="1">
        <v>110.0</v>
      </c>
      <c r="BE707" s="1" t="s">
        <v>6700</v>
      </c>
      <c r="BF707" s="2" t="str">
        <f>HYPERLINK("http://dx.doi.org/10.3390/polym15010110","http://dx.doi.org/10.3390/polym15010110")</f>
        <v>http://dx.doi.org/10.3390/polym15010110</v>
      </c>
      <c r="BG707" s="1" t="s">
        <v>74</v>
      </c>
      <c r="BH707" s="1" t="s">
        <v>74</v>
      </c>
      <c r="BI707" s="1" t="s">
        <v>74</v>
      </c>
      <c r="BJ707" s="1" t="s">
        <v>74</v>
      </c>
      <c r="BK707" s="1" t="s">
        <v>74</v>
      </c>
      <c r="BL707" s="1" t="s">
        <v>74</v>
      </c>
      <c r="BM707" s="1" t="s">
        <v>74</v>
      </c>
      <c r="BN707" s="1">
        <v>3.661646E7</v>
      </c>
      <c r="BO707" s="1" t="s">
        <v>74</v>
      </c>
      <c r="BP707" s="1" t="s">
        <v>74</v>
      </c>
      <c r="BQ707" s="1" t="s">
        <v>74</v>
      </c>
      <c r="BR707" s="1" t="s">
        <v>74</v>
      </c>
      <c r="BS707" s="1" t="s">
        <v>6701</v>
      </c>
      <c r="BT707" s="1" t="str">
        <f>HYPERLINK("https%3A%2F%2Fwww.webofscience.com%2Fwos%2Fwoscc%2Ffull-record%2FWOS:000909990500001","View Full Record in Web of Science")</f>
        <v>View Full Record in Web of Science</v>
      </c>
    </row>
    <row r="708" ht="12.75" customHeight="1">
      <c r="A708" s="1" t="s">
        <v>72</v>
      </c>
      <c r="B708" s="1" t="s">
        <v>6702</v>
      </c>
      <c r="C708" s="1" t="s">
        <v>74</v>
      </c>
      <c r="D708" s="1" t="s">
        <v>74</v>
      </c>
      <c r="E708" s="1" t="s">
        <v>74</v>
      </c>
      <c r="F708" s="1" t="s">
        <v>6703</v>
      </c>
      <c r="G708" s="1" t="s">
        <v>74</v>
      </c>
      <c r="H708" s="1" t="s">
        <v>74</v>
      </c>
      <c r="I708" s="1" t="s">
        <v>6704</v>
      </c>
      <c r="J708" s="1" t="s">
        <v>4748</v>
      </c>
      <c r="K708" s="1" t="s">
        <v>74</v>
      </c>
      <c r="L708" s="1" t="s">
        <v>74</v>
      </c>
      <c r="M708" s="1" t="s">
        <v>74</v>
      </c>
      <c r="N708" s="1" t="s">
        <v>74</v>
      </c>
      <c r="O708" s="1" t="s">
        <v>74</v>
      </c>
      <c r="P708" s="1" t="s">
        <v>74</v>
      </c>
      <c r="Q708" s="1" t="s">
        <v>74</v>
      </c>
      <c r="R708" s="1" t="s">
        <v>74</v>
      </c>
      <c r="S708" s="1" t="s">
        <v>74</v>
      </c>
      <c r="T708" s="1" t="s">
        <v>74</v>
      </c>
      <c r="U708" s="1" t="s">
        <v>74</v>
      </c>
      <c r="V708" s="1" t="s">
        <v>6705</v>
      </c>
      <c r="W708" s="1" t="s">
        <v>74</v>
      </c>
      <c r="X708" s="1" t="s">
        <v>74</v>
      </c>
      <c r="Y708" s="1" t="s">
        <v>74</v>
      </c>
      <c r="Z708" s="1" t="s">
        <v>74</v>
      </c>
      <c r="AA708" s="1" t="s">
        <v>6706</v>
      </c>
      <c r="AB708" s="1" t="s">
        <v>6707</v>
      </c>
      <c r="AC708" s="1" t="s">
        <v>74</v>
      </c>
      <c r="AD708" s="1" t="s">
        <v>74</v>
      </c>
      <c r="AE708" s="1" t="s">
        <v>74</v>
      </c>
      <c r="AF708" s="1" t="s">
        <v>74</v>
      </c>
      <c r="AG708" s="1" t="s">
        <v>74</v>
      </c>
      <c r="AH708" s="1" t="s">
        <v>74</v>
      </c>
      <c r="AI708" s="1" t="s">
        <v>74</v>
      </c>
      <c r="AJ708" s="1" t="s">
        <v>74</v>
      </c>
      <c r="AK708" s="1" t="s">
        <v>74</v>
      </c>
      <c r="AL708" s="1" t="s">
        <v>74</v>
      </c>
      <c r="AM708" s="1" t="s">
        <v>74</v>
      </c>
      <c r="AN708" s="1" t="s">
        <v>74</v>
      </c>
      <c r="AO708" s="1" t="s">
        <v>74</v>
      </c>
      <c r="AP708" s="1" t="s">
        <v>4752</v>
      </c>
      <c r="AQ708" s="1" t="s">
        <v>74</v>
      </c>
      <c r="AR708" s="1" t="s">
        <v>74</v>
      </c>
      <c r="AS708" s="1" t="s">
        <v>74</v>
      </c>
      <c r="AT708" s="1" t="s">
        <v>379</v>
      </c>
      <c r="AU708" s="1">
        <v>2022.0</v>
      </c>
      <c r="AV708" s="1">
        <v>27.0</v>
      </c>
      <c r="AW708" s="1">
        <v>18.0</v>
      </c>
      <c r="AX708" s="1" t="s">
        <v>74</v>
      </c>
      <c r="AY708" s="1" t="s">
        <v>74</v>
      </c>
      <c r="AZ708" s="1" t="s">
        <v>74</v>
      </c>
      <c r="BA708" s="1" t="s">
        <v>74</v>
      </c>
      <c r="BB708" s="1" t="s">
        <v>74</v>
      </c>
      <c r="BC708" s="1" t="s">
        <v>74</v>
      </c>
      <c r="BD708" s="1">
        <v>5745.0</v>
      </c>
      <c r="BE708" s="1" t="s">
        <v>6708</v>
      </c>
      <c r="BF708" s="2" t="str">
        <f>HYPERLINK("http://dx.doi.org/10.3390/molecules27185745","http://dx.doi.org/10.3390/molecules27185745")</f>
        <v>http://dx.doi.org/10.3390/molecules27185745</v>
      </c>
      <c r="BG708" s="1" t="s">
        <v>74</v>
      </c>
      <c r="BH708" s="1" t="s">
        <v>74</v>
      </c>
      <c r="BI708" s="1" t="s">
        <v>74</v>
      </c>
      <c r="BJ708" s="1" t="s">
        <v>74</v>
      </c>
      <c r="BK708" s="1" t="s">
        <v>74</v>
      </c>
      <c r="BL708" s="1" t="s">
        <v>74</v>
      </c>
      <c r="BM708" s="1" t="s">
        <v>74</v>
      </c>
      <c r="BN708" s="1">
        <v>3.6144483E7</v>
      </c>
      <c r="BO708" s="1" t="s">
        <v>74</v>
      </c>
      <c r="BP708" s="1" t="s">
        <v>74</v>
      </c>
      <c r="BQ708" s="1" t="s">
        <v>74</v>
      </c>
      <c r="BR708" s="1" t="s">
        <v>74</v>
      </c>
      <c r="BS708" s="1" t="s">
        <v>6709</v>
      </c>
      <c r="BT708" s="1" t="str">
        <f>HYPERLINK("https%3A%2F%2Fwww.webofscience.com%2Fwos%2Fwoscc%2Ffull-record%2FWOS:000856871200001","View Full Record in Web of Science")</f>
        <v>View Full Record in Web of Science</v>
      </c>
    </row>
    <row r="709" ht="12.75" customHeight="1">
      <c r="A709" s="1" t="s">
        <v>72</v>
      </c>
      <c r="B709" s="1" t="s">
        <v>6710</v>
      </c>
      <c r="C709" s="1" t="s">
        <v>74</v>
      </c>
      <c r="D709" s="1" t="s">
        <v>74</v>
      </c>
      <c r="E709" s="1" t="s">
        <v>74</v>
      </c>
      <c r="F709" s="1" t="s">
        <v>6711</v>
      </c>
      <c r="G709" s="1" t="s">
        <v>74</v>
      </c>
      <c r="H709" s="1" t="s">
        <v>74</v>
      </c>
      <c r="I709" s="1" t="s">
        <v>6712</v>
      </c>
      <c r="J709" s="1" t="s">
        <v>1898</v>
      </c>
      <c r="K709" s="1" t="s">
        <v>74</v>
      </c>
      <c r="L709" s="1" t="s">
        <v>74</v>
      </c>
      <c r="M709" s="1" t="s">
        <v>74</v>
      </c>
      <c r="N709" s="1" t="s">
        <v>74</v>
      </c>
      <c r="O709" s="1" t="s">
        <v>74</v>
      </c>
      <c r="P709" s="1" t="s">
        <v>74</v>
      </c>
      <c r="Q709" s="1" t="s">
        <v>74</v>
      </c>
      <c r="R709" s="1" t="s">
        <v>74</v>
      </c>
      <c r="S709" s="1" t="s">
        <v>74</v>
      </c>
      <c r="T709" s="1" t="s">
        <v>74</v>
      </c>
      <c r="U709" s="1" t="s">
        <v>74</v>
      </c>
      <c r="V709" s="1" t="s">
        <v>6713</v>
      </c>
      <c r="W709" s="1" t="s">
        <v>74</v>
      </c>
      <c r="X709" s="1" t="s">
        <v>74</v>
      </c>
      <c r="Y709" s="1" t="s">
        <v>74</v>
      </c>
      <c r="Z709" s="1" t="s">
        <v>74</v>
      </c>
      <c r="AA709" s="1" t="s">
        <v>74</v>
      </c>
      <c r="AB709" s="1" t="s">
        <v>74</v>
      </c>
      <c r="AC709" s="1" t="s">
        <v>74</v>
      </c>
      <c r="AD709" s="1" t="s">
        <v>74</v>
      </c>
      <c r="AE709" s="1" t="s">
        <v>74</v>
      </c>
      <c r="AF709" s="1" t="s">
        <v>74</v>
      </c>
      <c r="AG709" s="1" t="s">
        <v>74</v>
      </c>
      <c r="AH709" s="1" t="s">
        <v>74</v>
      </c>
      <c r="AI709" s="1" t="s">
        <v>74</v>
      </c>
      <c r="AJ709" s="1" t="s">
        <v>74</v>
      </c>
      <c r="AK709" s="1" t="s">
        <v>74</v>
      </c>
      <c r="AL709" s="1" t="s">
        <v>74</v>
      </c>
      <c r="AM709" s="1" t="s">
        <v>74</v>
      </c>
      <c r="AN709" s="1" t="s">
        <v>74</v>
      </c>
      <c r="AO709" s="1" t="s">
        <v>1902</v>
      </c>
      <c r="AP709" s="1" t="s">
        <v>74</v>
      </c>
      <c r="AQ709" s="1" t="s">
        <v>74</v>
      </c>
      <c r="AR709" s="1" t="s">
        <v>74</v>
      </c>
      <c r="AS709" s="1" t="s">
        <v>74</v>
      </c>
      <c r="AT709" s="1" t="s">
        <v>841</v>
      </c>
      <c r="AU709" s="1">
        <v>2022.0</v>
      </c>
      <c r="AV709" s="1">
        <v>180.0</v>
      </c>
      <c r="AW709" s="1" t="s">
        <v>74</v>
      </c>
      <c r="AX709" s="1" t="s">
        <v>74</v>
      </c>
      <c r="AY709" s="1" t="s">
        <v>74</v>
      </c>
      <c r="AZ709" s="1" t="s">
        <v>74</v>
      </c>
      <c r="BA709" s="1" t="s">
        <v>74</v>
      </c>
      <c r="BB709" s="1" t="s">
        <v>74</v>
      </c>
      <c r="BC709" s="1" t="s">
        <v>74</v>
      </c>
      <c r="BD709" s="1">
        <v>107490.0</v>
      </c>
      <c r="BE709" s="1" t="s">
        <v>6714</v>
      </c>
      <c r="BF709" s="2" t="str">
        <f>HYPERLINK("http://dx.doi.org/10.1016/j.mineng.2022.107490","http://dx.doi.org/10.1016/j.mineng.2022.107490")</f>
        <v>http://dx.doi.org/10.1016/j.mineng.2022.107490</v>
      </c>
      <c r="BG709" s="1" t="s">
        <v>74</v>
      </c>
      <c r="BH709" s="1" t="s">
        <v>6715</v>
      </c>
      <c r="BI709" s="1" t="s">
        <v>74</v>
      </c>
      <c r="BJ709" s="1" t="s">
        <v>74</v>
      </c>
      <c r="BK709" s="1" t="s">
        <v>74</v>
      </c>
      <c r="BL709" s="1" t="s">
        <v>74</v>
      </c>
      <c r="BM709" s="1" t="s">
        <v>74</v>
      </c>
      <c r="BN709" s="1" t="s">
        <v>74</v>
      </c>
      <c r="BO709" s="1" t="s">
        <v>74</v>
      </c>
      <c r="BP709" s="1" t="s">
        <v>74</v>
      </c>
      <c r="BQ709" s="1" t="s">
        <v>74</v>
      </c>
      <c r="BR709" s="1" t="s">
        <v>74</v>
      </c>
      <c r="BS709" s="1" t="s">
        <v>6716</v>
      </c>
      <c r="BT709" s="1" t="str">
        <f>HYPERLINK("https%3A%2F%2Fwww.webofscience.com%2Fwos%2Fwoscc%2Ffull-record%2FWOS:000781734100003","View Full Record in Web of Science")</f>
        <v>View Full Record in Web of Science</v>
      </c>
    </row>
    <row r="710" ht="12.75" customHeight="1">
      <c r="A710" s="1" t="s">
        <v>72</v>
      </c>
      <c r="B710" s="1" t="s">
        <v>6717</v>
      </c>
      <c r="C710" s="1" t="s">
        <v>74</v>
      </c>
      <c r="D710" s="1" t="s">
        <v>74</v>
      </c>
      <c r="E710" s="1" t="s">
        <v>74</v>
      </c>
      <c r="F710" s="1" t="s">
        <v>6718</v>
      </c>
      <c r="G710" s="1" t="s">
        <v>74</v>
      </c>
      <c r="H710" s="1" t="s">
        <v>74</v>
      </c>
      <c r="I710" s="1" t="s">
        <v>6719</v>
      </c>
      <c r="J710" s="1" t="s">
        <v>6720</v>
      </c>
      <c r="K710" s="1" t="s">
        <v>74</v>
      </c>
      <c r="L710" s="1" t="s">
        <v>74</v>
      </c>
      <c r="M710" s="1" t="s">
        <v>74</v>
      </c>
      <c r="N710" s="1" t="s">
        <v>74</v>
      </c>
      <c r="O710" s="1" t="s">
        <v>74</v>
      </c>
      <c r="P710" s="1" t="s">
        <v>74</v>
      </c>
      <c r="Q710" s="1" t="s">
        <v>74</v>
      </c>
      <c r="R710" s="1" t="s">
        <v>74</v>
      </c>
      <c r="S710" s="1" t="s">
        <v>74</v>
      </c>
      <c r="T710" s="1" t="s">
        <v>74</v>
      </c>
      <c r="U710" s="1" t="s">
        <v>74</v>
      </c>
      <c r="V710" s="1" t="s">
        <v>6721</v>
      </c>
      <c r="W710" s="1" t="s">
        <v>74</v>
      </c>
      <c r="X710" s="1" t="s">
        <v>74</v>
      </c>
      <c r="Y710" s="1" t="s">
        <v>74</v>
      </c>
      <c r="Z710" s="1" t="s">
        <v>74</v>
      </c>
      <c r="AA710" s="1" t="s">
        <v>6722</v>
      </c>
      <c r="AB710" s="1" t="s">
        <v>6723</v>
      </c>
      <c r="AC710" s="1" t="s">
        <v>74</v>
      </c>
      <c r="AD710" s="1" t="s">
        <v>74</v>
      </c>
      <c r="AE710" s="1" t="s">
        <v>74</v>
      </c>
      <c r="AF710" s="1" t="s">
        <v>74</v>
      </c>
      <c r="AG710" s="1" t="s">
        <v>74</v>
      </c>
      <c r="AH710" s="1" t="s">
        <v>74</v>
      </c>
      <c r="AI710" s="1" t="s">
        <v>74</v>
      </c>
      <c r="AJ710" s="1" t="s">
        <v>74</v>
      </c>
      <c r="AK710" s="1" t="s">
        <v>74</v>
      </c>
      <c r="AL710" s="1" t="s">
        <v>74</v>
      </c>
      <c r="AM710" s="1" t="s">
        <v>74</v>
      </c>
      <c r="AN710" s="1" t="s">
        <v>74</v>
      </c>
      <c r="AO710" s="1" t="s">
        <v>6724</v>
      </c>
      <c r="AP710" s="1" t="s">
        <v>6725</v>
      </c>
      <c r="AQ710" s="1" t="s">
        <v>74</v>
      </c>
      <c r="AR710" s="1" t="s">
        <v>74</v>
      </c>
      <c r="AS710" s="1" t="s">
        <v>74</v>
      </c>
      <c r="AT710" s="1" t="s">
        <v>2571</v>
      </c>
      <c r="AU710" s="1">
        <v>2022.0</v>
      </c>
      <c r="AV710" s="1">
        <v>9.0</v>
      </c>
      <c r="AW710" s="1">
        <v>6.0</v>
      </c>
      <c r="AX710" s="1" t="s">
        <v>74</v>
      </c>
      <c r="AY710" s="1" t="s">
        <v>74</v>
      </c>
      <c r="AZ710" s="1" t="s">
        <v>74</v>
      </c>
      <c r="BA710" s="1" t="s">
        <v>74</v>
      </c>
      <c r="BB710" s="1">
        <v>1210.0</v>
      </c>
      <c r="BC710" s="1">
        <v>1219.0</v>
      </c>
      <c r="BD710" s="1" t="s">
        <v>74</v>
      </c>
      <c r="BE710" s="1" t="s">
        <v>6726</v>
      </c>
      <c r="BF710" s="2" t="str">
        <f>HYPERLINK("http://dx.doi.org/10.1089/soro.2021.0128","http://dx.doi.org/10.1089/soro.2021.0128")</f>
        <v>http://dx.doi.org/10.1089/soro.2021.0128</v>
      </c>
      <c r="BG710" s="1" t="s">
        <v>74</v>
      </c>
      <c r="BH710" s="1" t="s">
        <v>634</v>
      </c>
      <c r="BI710" s="1" t="s">
        <v>74</v>
      </c>
      <c r="BJ710" s="1" t="s">
        <v>74</v>
      </c>
      <c r="BK710" s="1" t="s">
        <v>74</v>
      </c>
      <c r="BL710" s="1" t="s">
        <v>74</v>
      </c>
      <c r="BM710" s="1" t="s">
        <v>74</v>
      </c>
      <c r="BN710" s="1">
        <v>3.5230913E7</v>
      </c>
      <c r="BO710" s="1" t="s">
        <v>74</v>
      </c>
      <c r="BP710" s="1" t="s">
        <v>74</v>
      </c>
      <c r="BQ710" s="1" t="s">
        <v>74</v>
      </c>
      <c r="BR710" s="1" t="s">
        <v>74</v>
      </c>
      <c r="BS710" s="1" t="s">
        <v>6727</v>
      </c>
      <c r="BT710" s="1" t="str">
        <f>HYPERLINK("https%3A%2F%2Fwww.webofscience.com%2Fwos%2Fwoscc%2Ffull-record%2FWOS:000764294000001","View Full Record in Web of Science")</f>
        <v>View Full Record in Web of Science</v>
      </c>
    </row>
    <row r="711" ht="12.75" customHeight="1">
      <c r="A711" s="1" t="s">
        <v>72</v>
      </c>
      <c r="B711" s="1" t="s">
        <v>6728</v>
      </c>
      <c r="C711" s="1" t="s">
        <v>74</v>
      </c>
      <c r="D711" s="1" t="s">
        <v>74</v>
      </c>
      <c r="E711" s="1" t="s">
        <v>74</v>
      </c>
      <c r="F711" s="1" t="s">
        <v>6729</v>
      </c>
      <c r="G711" s="1" t="s">
        <v>74</v>
      </c>
      <c r="H711" s="1" t="s">
        <v>74</v>
      </c>
      <c r="I711" s="1" t="s">
        <v>6730</v>
      </c>
      <c r="J711" s="1" t="s">
        <v>6731</v>
      </c>
      <c r="K711" s="1" t="s">
        <v>74</v>
      </c>
      <c r="L711" s="1" t="s">
        <v>74</v>
      </c>
      <c r="M711" s="1" t="s">
        <v>74</v>
      </c>
      <c r="N711" s="1" t="s">
        <v>74</v>
      </c>
      <c r="O711" s="1" t="s">
        <v>74</v>
      </c>
      <c r="P711" s="1" t="s">
        <v>74</v>
      </c>
      <c r="Q711" s="1" t="s">
        <v>74</v>
      </c>
      <c r="R711" s="1" t="s">
        <v>74</v>
      </c>
      <c r="S711" s="1" t="s">
        <v>74</v>
      </c>
      <c r="T711" s="1" t="s">
        <v>74</v>
      </c>
      <c r="U711" s="1" t="s">
        <v>74</v>
      </c>
      <c r="V711" s="1" t="s">
        <v>6732</v>
      </c>
      <c r="W711" s="1" t="s">
        <v>74</v>
      </c>
      <c r="X711" s="1" t="s">
        <v>74</v>
      </c>
      <c r="Y711" s="1" t="s">
        <v>74</v>
      </c>
      <c r="Z711" s="1" t="s">
        <v>74</v>
      </c>
      <c r="AA711" s="1" t="s">
        <v>6733</v>
      </c>
      <c r="AB711" s="1" t="s">
        <v>6734</v>
      </c>
      <c r="AC711" s="1" t="s">
        <v>74</v>
      </c>
      <c r="AD711" s="1" t="s">
        <v>74</v>
      </c>
      <c r="AE711" s="1" t="s">
        <v>74</v>
      </c>
      <c r="AF711" s="1" t="s">
        <v>74</v>
      </c>
      <c r="AG711" s="1" t="s">
        <v>74</v>
      </c>
      <c r="AH711" s="1" t="s">
        <v>74</v>
      </c>
      <c r="AI711" s="1" t="s">
        <v>74</v>
      </c>
      <c r="AJ711" s="1" t="s">
        <v>74</v>
      </c>
      <c r="AK711" s="1" t="s">
        <v>74</v>
      </c>
      <c r="AL711" s="1" t="s">
        <v>74</v>
      </c>
      <c r="AM711" s="1" t="s">
        <v>74</v>
      </c>
      <c r="AN711" s="1" t="s">
        <v>74</v>
      </c>
      <c r="AO711" s="1" t="s">
        <v>74</v>
      </c>
      <c r="AP711" s="1" t="s">
        <v>6735</v>
      </c>
      <c r="AQ711" s="1" t="s">
        <v>74</v>
      </c>
      <c r="AR711" s="1" t="s">
        <v>74</v>
      </c>
      <c r="AS711" s="1" t="s">
        <v>74</v>
      </c>
      <c r="AT711" s="1" t="s">
        <v>415</v>
      </c>
      <c r="AU711" s="1">
        <v>2021.0</v>
      </c>
      <c r="AV711" s="1">
        <v>21.0</v>
      </c>
      <c r="AW711" s="1">
        <v>23.0</v>
      </c>
      <c r="AX711" s="1" t="s">
        <v>74</v>
      </c>
      <c r="AY711" s="1" t="s">
        <v>74</v>
      </c>
      <c r="AZ711" s="1" t="s">
        <v>74</v>
      </c>
      <c r="BA711" s="1" t="s">
        <v>74</v>
      </c>
      <c r="BB711" s="1" t="s">
        <v>74</v>
      </c>
      <c r="BC711" s="1" t="s">
        <v>74</v>
      </c>
      <c r="BD711" s="1">
        <v>7999.0</v>
      </c>
      <c r="BE711" s="1" t="s">
        <v>6736</v>
      </c>
      <c r="BF711" s="2" t="str">
        <f>HYPERLINK("http://dx.doi.org/10.3390/s21237999","http://dx.doi.org/10.3390/s21237999")</f>
        <v>http://dx.doi.org/10.3390/s21237999</v>
      </c>
      <c r="BG711" s="1" t="s">
        <v>74</v>
      </c>
      <c r="BH711" s="1" t="s">
        <v>74</v>
      </c>
      <c r="BI711" s="1" t="s">
        <v>74</v>
      </c>
      <c r="BJ711" s="1" t="s">
        <v>74</v>
      </c>
      <c r="BK711" s="1" t="s">
        <v>74</v>
      </c>
      <c r="BL711" s="1" t="s">
        <v>74</v>
      </c>
      <c r="BM711" s="1" t="s">
        <v>74</v>
      </c>
      <c r="BN711" s="1">
        <v>3.4884001E7</v>
      </c>
      <c r="BO711" s="1" t="s">
        <v>74</v>
      </c>
      <c r="BP711" s="1" t="s">
        <v>74</v>
      </c>
      <c r="BQ711" s="1" t="s">
        <v>74</v>
      </c>
      <c r="BR711" s="1" t="s">
        <v>74</v>
      </c>
      <c r="BS711" s="1" t="s">
        <v>6737</v>
      </c>
      <c r="BT711" s="1" t="str">
        <f>HYPERLINK("https%3A%2F%2Fwww.webofscience.com%2Fwos%2Fwoscc%2Ffull-record%2FWOS:000734709600001","View Full Record in Web of Science")</f>
        <v>View Full Record in Web of Science</v>
      </c>
    </row>
    <row r="712" ht="12.75" customHeight="1">
      <c r="A712" s="1" t="s">
        <v>72</v>
      </c>
      <c r="B712" s="1" t="s">
        <v>6738</v>
      </c>
      <c r="C712" s="1" t="s">
        <v>74</v>
      </c>
      <c r="D712" s="1" t="s">
        <v>74</v>
      </c>
      <c r="E712" s="1" t="s">
        <v>74</v>
      </c>
      <c r="F712" s="1" t="s">
        <v>6739</v>
      </c>
      <c r="G712" s="1" t="s">
        <v>74</v>
      </c>
      <c r="H712" s="1" t="s">
        <v>74</v>
      </c>
      <c r="I712" s="1" t="s">
        <v>6740</v>
      </c>
      <c r="J712" s="1" t="s">
        <v>6741</v>
      </c>
      <c r="K712" s="1" t="s">
        <v>74</v>
      </c>
      <c r="L712" s="1" t="s">
        <v>74</v>
      </c>
      <c r="M712" s="1" t="s">
        <v>74</v>
      </c>
      <c r="N712" s="1" t="s">
        <v>74</v>
      </c>
      <c r="O712" s="1" t="s">
        <v>74</v>
      </c>
      <c r="P712" s="1" t="s">
        <v>74</v>
      </c>
      <c r="Q712" s="1" t="s">
        <v>74</v>
      </c>
      <c r="R712" s="1" t="s">
        <v>74</v>
      </c>
      <c r="S712" s="1" t="s">
        <v>74</v>
      </c>
      <c r="T712" s="1" t="s">
        <v>74</v>
      </c>
      <c r="U712" s="1" t="s">
        <v>74</v>
      </c>
      <c r="V712" s="1" t="s">
        <v>74</v>
      </c>
      <c r="W712" s="1" t="s">
        <v>74</v>
      </c>
      <c r="X712" s="1" t="s">
        <v>74</v>
      </c>
      <c r="Y712" s="1" t="s">
        <v>74</v>
      </c>
      <c r="Z712" s="1" t="s">
        <v>74</v>
      </c>
      <c r="AA712" s="1" t="s">
        <v>6742</v>
      </c>
      <c r="AB712" s="1" t="s">
        <v>74</v>
      </c>
      <c r="AC712" s="1" t="s">
        <v>74</v>
      </c>
      <c r="AD712" s="1" t="s">
        <v>74</v>
      </c>
      <c r="AE712" s="1" t="s">
        <v>74</v>
      </c>
      <c r="AF712" s="1" t="s">
        <v>74</v>
      </c>
      <c r="AG712" s="1" t="s">
        <v>74</v>
      </c>
      <c r="AH712" s="1" t="s">
        <v>74</v>
      </c>
      <c r="AI712" s="1" t="s">
        <v>74</v>
      </c>
      <c r="AJ712" s="1" t="s">
        <v>74</v>
      </c>
      <c r="AK712" s="1" t="s">
        <v>74</v>
      </c>
      <c r="AL712" s="1" t="s">
        <v>74</v>
      </c>
      <c r="AM712" s="1" t="s">
        <v>74</v>
      </c>
      <c r="AN712" s="1" t="s">
        <v>74</v>
      </c>
      <c r="AO712" s="1" t="s">
        <v>6743</v>
      </c>
      <c r="AP712" s="1" t="s">
        <v>6744</v>
      </c>
      <c r="AQ712" s="1" t="s">
        <v>74</v>
      </c>
      <c r="AR712" s="1" t="s">
        <v>74</v>
      </c>
      <c r="AS712" s="1" t="s">
        <v>74</v>
      </c>
      <c r="AT712" s="1" t="s">
        <v>122</v>
      </c>
      <c r="AU712" s="1">
        <v>2021.0</v>
      </c>
      <c r="AV712" s="1">
        <v>51.0</v>
      </c>
      <c r="AW712" s="1" t="s">
        <v>74</v>
      </c>
      <c r="AX712" s="1" t="s">
        <v>74</v>
      </c>
      <c r="AY712" s="1">
        <v>1.0</v>
      </c>
      <c r="AZ712" s="1" t="s">
        <v>74</v>
      </c>
      <c r="BA712" s="1" t="s">
        <v>6745</v>
      </c>
      <c r="BB712" s="1">
        <v>65.0</v>
      </c>
      <c r="BC712" s="1">
        <v>65.0</v>
      </c>
      <c r="BD712" s="1" t="s">
        <v>74</v>
      </c>
      <c r="BE712" s="1" t="s">
        <v>74</v>
      </c>
      <c r="BF712" s="1" t="s">
        <v>74</v>
      </c>
      <c r="BG712" s="1" t="s">
        <v>74</v>
      </c>
      <c r="BH712" s="1" t="s">
        <v>74</v>
      </c>
      <c r="BI712" s="1" t="s">
        <v>74</v>
      </c>
      <c r="BJ712" s="1" t="s">
        <v>74</v>
      </c>
      <c r="BK712" s="1" t="s">
        <v>74</v>
      </c>
      <c r="BL712" s="1" t="s">
        <v>74</v>
      </c>
      <c r="BM712" s="1" t="s">
        <v>74</v>
      </c>
      <c r="BN712" s="1" t="s">
        <v>74</v>
      </c>
      <c r="BO712" s="1" t="s">
        <v>74</v>
      </c>
      <c r="BP712" s="1" t="s">
        <v>74</v>
      </c>
      <c r="BQ712" s="1" t="s">
        <v>74</v>
      </c>
      <c r="BR712" s="1" t="s">
        <v>74</v>
      </c>
      <c r="BS712" s="1" t="s">
        <v>6746</v>
      </c>
      <c r="BT712" s="1" t="str">
        <f>HYPERLINK("https%3A%2F%2Fwww.webofscience.com%2Fwos%2Fwoscc%2Ffull-record%2FWOS:000753366400182","View Full Record in Web of Science")</f>
        <v>View Full Record in Web of Science</v>
      </c>
    </row>
    <row r="713" ht="12.75" customHeight="1">
      <c r="A713" s="1" t="s">
        <v>147</v>
      </c>
      <c r="B713" s="1" t="s">
        <v>6747</v>
      </c>
      <c r="C713" s="1" t="s">
        <v>74</v>
      </c>
      <c r="D713" s="1" t="s">
        <v>74</v>
      </c>
      <c r="E713" s="1" t="s">
        <v>793</v>
      </c>
      <c r="F713" s="1" t="s">
        <v>6748</v>
      </c>
      <c r="G713" s="1" t="s">
        <v>74</v>
      </c>
      <c r="H713" s="1" t="s">
        <v>74</v>
      </c>
      <c r="I713" s="1" t="s">
        <v>6749</v>
      </c>
      <c r="J713" s="1" t="s">
        <v>6750</v>
      </c>
      <c r="K713" s="1" t="s">
        <v>74</v>
      </c>
      <c r="L713" s="1" t="s">
        <v>74</v>
      </c>
      <c r="M713" s="1" t="s">
        <v>74</v>
      </c>
      <c r="N713" s="1" t="s">
        <v>74</v>
      </c>
      <c r="O713" s="1" t="s">
        <v>6751</v>
      </c>
      <c r="P713" s="1" t="s">
        <v>6752</v>
      </c>
      <c r="Q713" s="1" t="s">
        <v>6753</v>
      </c>
      <c r="R713" s="1" t="s">
        <v>3113</v>
      </c>
      <c r="S713" s="1" t="s">
        <v>6754</v>
      </c>
      <c r="T713" s="1" t="s">
        <v>74</v>
      </c>
      <c r="U713" s="1" t="s">
        <v>74</v>
      </c>
      <c r="V713" s="1" t="s">
        <v>6755</v>
      </c>
      <c r="W713" s="1" t="s">
        <v>74</v>
      </c>
      <c r="X713" s="1" t="s">
        <v>74</v>
      </c>
      <c r="Y713" s="1" t="s">
        <v>74</v>
      </c>
      <c r="Z713" s="1" t="s">
        <v>74</v>
      </c>
      <c r="AA713" s="1" t="s">
        <v>6756</v>
      </c>
      <c r="AB713" s="1" t="s">
        <v>6757</v>
      </c>
      <c r="AC713" s="1" t="s">
        <v>74</v>
      </c>
      <c r="AD713" s="1" t="s">
        <v>74</v>
      </c>
      <c r="AE713" s="1" t="s">
        <v>74</v>
      </c>
      <c r="AF713" s="1" t="s">
        <v>74</v>
      </c>
      <c r="AG713" s="1" t="s">
        <v>74</v>
      </c>
      <c r="AH713" s="1" t="s">
        <v>74</v>
      </c>
      <c r="AI713" s="1" t="s">
        <v>74</v>
      </c>
      <c r="AJ713" s="1" t="s">
        <v>74</v>
      </c>
      <c r="AK713" s="1" t="s">
        <v>74</v>
      </c>
      <c r="AL713" s="1" t="s">
        <v>74</v>
      </c>
      <c r="AM713" s="1" t="s">
        <v>74</v>
      </c>
      <c r="AN713" s="1" t="s">
        <v>74</v>
      </c>
      <c r="AO713" s="1" t="s">
        <v>74</v>
      </c>
      <c r="AP713" s="1" t="s">
        <v>74</v>
      </c>
      <c r="AQ713" s="1" t="s">
        <v>6758</v>
      </c>
      <c r="AR713" s="1" t="s">
        <v>74</v>
      </c>
      <c r="AS713" s="1" t="s">
        <v>74</v>
      </c>
      <c r="AT713" s="1" t="s">
        <v>74</v>
      </c>
      <c r="AU713" s="1">
        <v>2021.0</v>
      </c>
      <c r="AV713" s="1" t="s">
        <v>74</v>
      </c>
      <c r="AW713" s="1" t="s">
        <v>74</v>
      </c>
      <c r="AX713" s="1" t="s">
        <v>74</v>
      </c>
      <c r="AY713" s="1" t="s">
        <v>74</v>
      </c>
      <c r="AZ713" s="1" t="s">
        <v>74</v>
      </c>
      <c r="BA713" s="1" t="s">
        <v>74</v>
      </c>
      <c r="BB713" s="1" t="s">
        <v>74</v>
      </c>
      <c r="BC713" s="1" t="s">
        <v>74</v>
      </c>
      <c r="BD713" s="1" t="s">
        <v>74</v>
      </c>
      <c r="BE713" s="1" t="s">
        <v>6759</v>
      </c>
      <c r="BF713" s="2" t="str">
        <f>HYPERLINK("http://dx.doi.org/10.1109/SCCC54552.2021.9650383","http://dx.doi.org/10.1109/SCCC54552.2021.9650383")</f>
        <v>http://dx.doi.org/10.1109/SCCC54552.2021.9650383</v>
      </c>
      <c r="BG713" s="1" t="s">
        <v>74</v>
      </c>
      <c r="BH713" s="1" t="s">
        <v>74</v>
      </c>
      <c r="BI713" s="1" t="s">
        <v>74</v>
      </c>
      <c r="BJ713" s="1" t="s">
        <v>74</v>
      </c>
      <c r="BK713" s="1" t="s">
        <v>74</v>
      </c>
      <c r="BL713" s="1" t="s">
        <v>74</v>
      </c>
      <c r="BM713" s="1" t="s">
        <v>74</v>
      </c>
      <c r="BN713" s="1" t="s">
        <v>74</v>
      </c>
      <c r="BO713" s="1" t="s">
        <v>74</v>
      </c>
      <c r="BP713" s="1" t="s">
        <v>74</v>
      </c>
      <c r="BQ713" s="1" t="s">
        <v>74</v>
      </c>
      <c r="BR713" s="1" t="s">
        <v>74</v>
      </c>
      <c r="BS713" s="1" t="s">
        <v>6760</v>
      </c>
      <c r="BT713" s="1" t="str">
        <f>HYPERLINK("https%3A%2F%2Fwww.webofscience.com%2Fwos%2Fwoscc%2Ffull-record%2FWOS:000765927700010","View Full Record in Web of Science")</f>
        <v>View Full Record in Web of Science</v>
      </c>
    </row>
    <row r="714" ht="12.75" customHeight="1">
      <c r="A714" s="1" t="s">
        <v>72</v>
      </c>
      <c r="B714" s="1" t="s">
        <v>6761</v>
      </c>
      <c r="C714" s="1" t="s">
        <v>74</v>
      </c>
      <c r="D714" s="1" t="s">
        <v>74</v>
      </c>
      <c r="E714" s="1" t="s">
        <v>74</v>
      </c>
      <c r="F714" s="1" t="s">
        <v>6762</v>
      </c>
      <c r="G714" s="1" t="s">
        <v>74</v>
      </c>
      <c r="H714" s="1" t="s">
        <v>74</v>
      </c>
      <c r="I714" s="1" t="s">
        <v>6763</v>
      </c>
      <c r="J714" s="1" t="s">
        <v>313</v>
      </c>
      <c r="K714" s="1" t="s">
        <v>74</v>
      </c>
      <c r="L714" s="1" t="s">
        <v>74</v>
      </c>
      <c r="M714" s="1" t="s">
        <v>74</v>
      </c>
      <c r="N714" s="1" t="s">
        <v>74</v>
      </c>
      <c r="O714" s="1" t="s">
        <v>74</v>
      </c>
      <c r="P714" s="1" t="s">
        <v>74</v>
      </c>
      <c r="Q714" s="1" t="s">
        <v>74</v>
      </c>
      <c r="R714" s="1" t="s">
        <v>74</v>
      </c>
      <c r="S714" s="1" t="s">
        <v>74</v>
      </c>
      <c r="T714" s="1" t="s">
        <v>74</v>
      </c>
      <c r="U714" s="1" t="s">
        <v>74</v>
      </c>
      <c r="V714" s="1" t="s">
        <v>6764</v>
      </c>
      <c r="W714" s="1" t="s">
        <v>74</v>
      </c>
      <c r="X714" s="1" t="s">
        <v>74</v>
      </c>
      <c r="Y714" s="1" t="s">
        <v>74</v>
      </c>
      <c r="Z714" s="1" t="s">
        <v>74</v>
      </c>
      <c r="AA714" s="1" t="s">
        <v>6765</v>
      </c>
      <c r="AB714" s="1" t="s">
        <v>6766</v>
      </c>
      <c r="AC714" s="1" t="s">
        <v>74</v>
      </c>
      <c r="AD714" s="1" t="s">
        <v>74</v>
      </c>
      <c r="AE714" s="1" t="s">
        <v>74</v>
      </c>
      <c r="AF714" s="1" t="s">
        <v>74</v>
      </c>
      <c r="AG714" s="1" t="s">
        <v>74</v>
      </c>
      <c r="AH714" s="1" t="s">
        <v>74</v>
      </c>
      <c r="AI714" s="1" t="s">
        <v>74</v>
      </c>
      <c r="AJ714" s="1" t="s">
        <v>74</v>
      </c>
      <c r="AK714" s="1" t="s">
        <v>74</v>
      </c>
      <c r="AL714" s="1" t="s">
        <v>74</v>
      </c>
      <c r="AM714" s="1" t="s">
        <v>74</v>
      </c>
      <c r="AN714" s="1" t="s">
        <v>74</v>
      </c>
      <c r="AO714" s="1" t="s">
        <v>317</v>
      </c>
      <c r="AP714" s="1" t="s">
        <v>6767</v>
      </c>
      <c r="AQ714" s="1" t="s">
        <v>74</v>
      </c>
      <c r="AR714" s="1" t="s">
        <v>74</v>
      </c>
      <c r="AS714" s="1" t="s">
        <v>74</v>
      </c>
      <c r="AT714" s="1" t="s">
        <v>74</v>
      </c>
      <c r="AU714" s="1">
        <v>2020.0</v>
      </c>
      <c r="AV714" s="1">
        <v>32.0</v>
      </c>
      <c r="AW714" s="1">
        <v>3.0</v>
      </c>
      <c r="AX714" s="1" t="s">
        <v>74</v>
      </c>
      <c r="AY714" s="1" t="s">
        <v>74</v>
      </c>
      <c r="AZ714" s="1" t="s">
        <v>74</v>
      </c>
      <c r="BA714" s="1" t="s">
        <v>74</v>
      </c>
      <c r="BB714" s="1">
        <v>399.0</v>
      </c>
      <c r="BC714" s="1">
        <v>409.0</v>
      </c>
      <c r="BD714" s="1" t="s">
        <v>74</v>
      </c>
      <c r="BE714" s="1" t="s">
        <v>6768</v>
      </c>
      <c r="BF714" s="2" t="str">
        <f>HYPERLINK("http://dx.doi.org/10.7334/psicothema2020.63","http://dx.doi.org/10.7334/psicothema2020.63")</f>
        <v>http://dx.doi.org/10.7334/psicothema2020.63</v>
      </c>
      <c r="BG714" s="1" t="s">
        <v>74</v>
      </c>
      <c r="BH714" s="1" t="s">
        <v>74</v>
      </c>
      <c r="BI714" s="1" t="s">
        <v>74</v>
      </c>
      <c r="BJ714" s="1" t="s">
        <v>74</v>
      </c>
      <c r="BK714" s="1" t="s">
        <v>74</v>
      </c>
      <c r="BL714" s="1" t="s">
        <v>74</v>
      </c>
      <c r="BM714" s="1" t="s">
        <v>74</v>
      </c>
      <c r="BN714" s="1">
        <v>3.2711676E7</v>
      </c>
      <c r="BO714" s="1" t="s">
        <v>74</v>
      </c>
      <c r="BP714" s="1" t="s">
        <v>74</v>
      </c>
      <c r="BQ714" s="1" t="s">
        <v>74</v>
      </c>
      <c r="BR714" s="1" t="s">
        <v>74</v>
      </c>
      <c r="BS714" s="1" t="s">
        <v>6769</v>
      </c>
      <c r="BT714" s="1" t="str">
        <f>HYPERLINK("https%3A%2F%2Fwww.webofscience.com%2Fwos%2Fwoscc%2Ffull-record%2FWOS:000554408800015","View Full Record in Web of Science")</f>
        <v>View Full Record in Web of Science</v>
      </c>
    </row>
    <row r="715" ht="12.75" customHeight="1">
      <c r="A715" s="1" t="s">
        <v>72</v>
      </c>
      <c r="B715" s="1" t="s">
        <v>6770</v>
      </c>
      <c r="C715" s="1" t="s">
        <v>74</v>
      </c>
      <c r="D715" s="1" t="s">
        <v>74</v>
      </c>
      <c r="E715" s="1" t="s">
        <v>74</v>
      </c>
      <c r="F715" s="1" t="s">
        <v>6771</v>
      </c>
      <c r="G715" s="1" t="s">
        <v>74</v>
      </c>
      <c r="H715" s="1" t="s">
        <v>74</v>
      </c>
      <c r="I715" s="1" t="s">
        <v>6772</v>
      </c>
      <c r="J715" s="1" t="s">
        <v>6773</v>
      </c>
      <c r="K715" s="1" t="s">
        <v>74</v>
      </c>
      <c r="L715" s="1" t="s">
        <v>74</v>
      </c>
      <c r="M715" s="1" t="s">
        <v>74</v>
      </c>
      <c r="N715" s="1" t="s">
        <v>74</v>
      </c>
      <c r="O715" s="1" t="s">
        <v>74</v>
      </c>
      <c r="P715" s="1" t="s">
        <v>74</v>
      </c>
      <c r="Q715" s="1" t="s">
        <v>74</v>
      </c>
      <c r="R715" s="1" t="s">
        <v>74</v>
      </c>
      <c r="S715" s="1" t="s">
        <v>74</v>
      </c>
      <c r="T715" s="1" t="s">
        <v>74</v>
      </c>
      <c r="U715" s="1" t="s">
        <v>74</v>
      </c>
      <c r="V715" s="1" t="s">
        <v>6774</v>
      </c>
      <c r="W715" s="1" t="s">
        <v>74</v>
      </c>
      <c r="X715" s="1" t="s">
        <v>74</v>
      </c>
      <c r="Y715" s="1" t="s">
        <v>74</v>
      </c>
      <c r="Z715" s="1" t="s">
        <v>74</v>
      </c>
      <c r="AA715" s="1" t="s">
        <v>6775</v>
      </c>
      <c r="AB715" s="1" t="s">
        <v>6776</v>
      </c>
      <c r="AC715" s="1" t="s">
        <v>74</v>
      </c>
      <c r="AD715" s="1" t="s">
        <v>74</v>
      </c>
      <c r="AE715" s="1" t="s">
        <v>74</v>
      </c>
      <c r="AF715" s="1" t="s">
        <v>74</v>
      </c>
      <c r="AG715" s="1" t="s">
        <v>74</v>
      </c>
      <c r="AH715" s="1" t="s">
        <v>74</v>
      </c>
      <c r="AI715" s="1" t="s">
        <v>74</v>
      </c>
      <c r="AJ715" s="1" t="s">
        <v>74</v>
      </c>
      <c r="AK715" s="1" t="s">
        <v>74</v>
      </c>
      <c r="AL715" s="1" t="s">
        <v>74</v>
      </c>
      <c r="AM715" s="1" t="s">
        <v>74</v>
      </c>
      <c r="AN715" s="1" t="s">
        <v>74</v>
      </c>
      <c r="AO715" s="1" t="s">
        <v>6777</v>
      </c>
      <c r="AP715" s="1" t="s">
        <v>74</v>
      </c>
      <c r="AQ715" s="1" t="s">
        <v>74</v>
      </c>
      <c r="AR715" s="1" t="s">
        <v>74</v>
      </c>
      <c r="AS715" s="1" t="s">
        <v>74</v>
      </c>
      <c r="AT715" s="1" t="s">
        <v>379</v>
      </c>
      <c r="AU715" s="1">
        <v>2019.0</v>
      </c>
      <c r="AV715" s="1">
        <v>9.0</v>
      </c>
      <c r="AW715" s="1">
        <v>9.0</v>
      </c>
      <c r="AX715" s="1" t="s">
        <v>74</v>
      </c>
      <c r="AY715" s="1" t="s">
        <v>74</v>
      </c>
      <c r="AZ715" s="1" t="s">
        <v>74</v>
      </c>
      <c r="BA715" s="1" t="s">
        <v>74</v>
      </c>
      <c r="BB715" s="1" t="s">
        <v>74</v>
      </c>
      <c r="BC715" s="1" t="s">
        <v>74</v>
      </c>
      <c r="BD715" s="1">
        <v>623.0</v>
      </c>
      <c r="BE715" s="1" t="s">
        <v>6778</v>
      </c>
      <c r="BF715" s="2" t="str">
        <f>HYPERLINK("http://dx.doi.org/10.3390/ani9090623","http://dx.doi.org/10.3390/ani9090623")</f>
        <v>http://dx.doi.org/10.3390/ani9090623</v>
      </c>
      <c r="BG715" s="1" t="s">
        <v>74</v>
      </c>
      <c r="BH715" s="1" t="s">
        <v>74</v>
      </c>
      <c r="BI715" s="1" t="s">
        <v>74</v>
      </c>
      <c r="BJ715" s="1" t="s">
        <v>74</v>
      </c>
      <c r="BK715" s="1" t="s">
        <v>74</v>
      </c>
      <c r="BL715" s="1" t="s">
        <v>74</v>
      </c>
      <c r="BM715" s="1" t="s">
        <v>74</v>
      </c>
      <c r="BN715" s="1">
        <v>3.147054E7</v>
      </c>
      <c r="BO715" s="1" t="s">
        <v>74</v>
      </c>
      <c r="BP715" s="1" t="s">
        <v>74</v>
      </c>
      <c r="BQ715" s="1" t="s">
        <v>74</v>
      </c>
      <c r="BR715" s="1" t="s">
        <v>74</v>
      </c>
      <c r="BS715" s="1" t="s">
        <v>6779</v>
      </c>
      <c r="BT715" s="1" t="str">
        <f>HYPERLINK("https%3A%2F%2Fwww.webofscience.com%2Fwos%2Fwoscc%2Ffull-record%2FWOS:000487978900087","View Full Record in Web of Science")</f>
        <v>View Full Record in Web of Science</v>
      </c>
    </row>
    <row r="716" ht="12.75" customHeight="1">
      <c r="A716" s="1" t="s">
        <v>72</v>
      </c>
      <c r="B716" s="1" t="s">
        <v>6780</v>
      </c>
      <c r="C716" s="1" t="s">
        <v>74</v>
      </c>
      <c r="D716" s="1" t="s">
        <v>74</v>
      </c>
      <c r="E716" s="1" t="s">
        <v>74</v>
      </c>
      <c r="F716" s="1" t="s">
        <v>6781</v>
      </c>
      <c r="G716" s="1" t="s">
        <v>74</v>
      </c>
      <c r="H716" s="1" t="s">
        <v>74</v>
      </c>
      <c r="I716" s="1" t="s">
        <v>6782</v>
      </c>
      <c r="J716" s="1" t="s">
        <v>6783</v>
      </c>
      <c r="K716" s="1" t="s">
        <v>74</v>
      </c>
      <c r="L716" s="1" t="s">
        <v>74</v>
      </c>
      <c r="M716" s="1" t="s">
        <v>74</v>
      </c>
      <c r="N716" s="1" t="s">
        <v>74</v>
      </c>
      <c r="O716" s="1" t="s">
        <v>74</v>
      </c>
      <c r="P716" s="1" t="s">
        <v>74</v>
      </c>
      <c r="Q716" s="1" t="s">
        <v>74</v>
      </c>
      <c r="R716" s="1" t="s">
        <v>74</v>
      </c>
      <c r="S716" s="1" t="s">
        <v>74</v>
      </c>
      <c r="T716" s="1" t="s">
        <v>74</v>
      </c>
      <c r="U716" s="1" t="s">
        <v>74</v>
      </c>
      <c r="V716" s="1" t="s">
        <v>6784</v>
      </c>
      <c r="W716" s="1" t="s">
        <v>74</v>
      </c>
      <c r="X716" s="1" t="s">
        <v>74</v>
      </c>
      <c r="Y716" s="1" t="s">
        <v>74</v>
      </c>
      <c r="Z716" s="1" t="s">
        <v>74</v>
      </c>
      <c r="AA716" s="1" t="s">
        <v>3214</v>
      </c>
      <c r="AB716" s="1" t="s">
        <v>6785</v>
      </c>
      <c r="AC716" s="1" t="s">
        <v>74</v>
      </c>
      <c r="AD716" s="1" t="s">
        <v>74</v>
      </c>
      <c r="AE716" s="1" t="s">
        <v>74</v>
      </c>
      <c r="AF716" s="1" t="s">
        <v>74</v>
      </c>
      <c r="AG716" s="1" t="s">
        <v>74</v>
      </c>
      <c r="AH716" s="1" t="s">
        <v>74</v>
      </c>
      <c r="AI716" s="1" t="s">
        <v>74</v>
      </c>
      <c r="AJ716" s="1" t="s">
        <v>74</v>
      </c>
      <c r="AK716" s="1" t="s">
        <v>74</v>
      </c>
      <c r="AL716" s="1" t="s">
        <v>74</v>
      </c>
      <c r="AM716" s="1" t="s">
        <v>74</v>
      </c>
      <c r="AN716" s="1" t="s">
        <v>74</v>
      </c>
      <c r="AO716" s="1" t="s">
        <v>6786</v>
      </c>
      <c r="AP716" s="1" t="s">
        <v>6787</v>
      </c>
      <c r="AQ716" s="1" t="s">
        <v>74</v>
      </c>
      <c r="AR716" s="1" t="s">
        <v>74</v>
      </c>
      <c r="AS716" s="1" t="s">
        <v>74</v>
      </c>
      <c r="AT716" s="1" t="s">
        <v>277</v>
      </c>
      <c r="AU716" s="1">
        <v>2018.0</v>
      </c>
      <c r="AV716" s="1">
        <v>53.0</v>
      </c>
      <c r="AW716" s="1" t="s">
        <v>308</v>
      </c>
      <c r="AX716" s="1" t="s">
        <v>74</v>
      </c>
      <c r="AY716" s="1" t="s">
        <v>74</v>
      </c>
      <c r="AZ716" s="1" t="s">
        <v>74</v>
      </c>
      <c r="BA716" s="1" t="s">
        <v>74</v>
      </c>
      <c r="BB716" s="1">
        <v>161.0</v>
      </c>
      <c r="BC716" s="1">
        <v>173.0</v>
      </c>
      <c r="BD716" s="1" t="s">
        <v>74</v>
      </c>
      <c r="BE716" s="1" t="s">
        <v>6788</v>
      </c>
      <c r="BF716" s="2" t="str">
        <f>HYPERLINK("http://dx.doi.org/10.1007/s11012-017-0716-z","http://dx.doi.org/10.1007/s11012-017-0716-z")</f>
        <v>http://dx.doi.org/10.1007/s11012-017-0716-z</v>
      </c>
      <c r="BG716" s="1" t="s">
        <v>74</v>
      </c>
      <c r="BH716" s="1" t="s">
        <v>74</v>
      </c>
      <c r="BI716" s="1" t="s">
        <v>74</v>
      </c>
      <c r="BJ716" s="1" t="s">
        <v>74</v>
      </c>
      <c r="BK716" s="1" t="s">
        <v>74</v>
      </c>
      <c r="BL716" s="1" t="s">
        <v>74</v>
      </c>
      <c r="BM716" s="1" t="s">
        <v>74</v>
      </c>
      <c r="BN716" s="1" t="s">
        <v>74</v>
      </c>
      <c r="BO716" s="1" t="s">
        <v>74</v>
      </c>
      <c r="BP716" s="1" t="s">
        <v>74</v>
      </c>
      <c r="BQ716" s="1" t="s">
        <v>74</v>
      </c>
      <c r="BR716" s="1" t="s">
        <v>74</v>
      </c>
      <c r="BS716" s="1" t="s">
        <v>6789</v>
      </c>
      <c r="BT716" s="1" t="str">
        <f>HYPERLINK("https%3A%2F%2Fwww.webofscience.com%2Fwos%2Fwoscc%2Ffull-record%2FWOS:000424460100011","View Full Record in Web of Science")</f>
        <v>View Full Record in Web of Science</v>
      </c>
    </row>
    <row r="717" ht="12.75" customHeight="1">
      <c r="A717" s="1" t="s">
        <v>72</v>
      </c>
      <c r="B717" s="1" t="s">
        <v>6790</v>
      </c>
      <c r="C717" s="1" t="s">
        <v>74</v>
      </c>
      <c r="D717" s="1" t="s">
        <v>74</v>
      </c>
      <c r="E717" s="1" t="s">
        <v>74</v>
      </c>
      <c r="F717" s="1" t="s">
        <v>6791</v>
      </c>
      <c r="G717" s="1" t="s">
        <v>74</v>
      </c>
      <c r="H717" s="1" t="s">
        <v>74</v>
      </c>
      <c r="I717" s="1" t="s">
        <v>6792</v>
      </c>
      <c r="J717" s="1" t="s">
        <v>6793</v>
      </c>
      <c r="K717" s="1" t="s">
        <v>74</v>
      </c>
      <c r="L717" s="1" t="s">
        <v>74</v>
      </c>
      <c r="M717" s="1" t="s">
        <v>74</v>
      </c>
      <c r="N717" s="1" t="s">
        <v>74</v>
      </c>
      <c r="O717" s="1" t="s">
        <v>74</v>
      </c>
      <c r="P717" s="1" t="s">
        <v>74</v>
      </c>
      <c r="Q717" s="1" t="s">
        <v>74</v>
      </c>
      <c r="R717" s="1" t="s">
        <v>74</v>
      </c>
      <c r="S717" s="1" t="s">
        <v>74</v>
      </c>
      <c r="T717" s="1" t="s">
        <v>74</v>
      </c>
      <c r="U717" s="1" t="s">
        <v>74</v>
      </c>
      <c r="V717" s="1" t="s">
        <v>6794</v>
      </c>
      <c r="W717" s="1" t="s">
        <v>74</v>
      </c>
      <c r="X717" s="1" t="s">
        <v>74</v>
      </c>
      <c r="Y717" s="1" t="s">
        <v>74</v>
      </c>
      <c r="Z717" s="1" t="s">
        <v>74</v>
      </c>
      <c r="AA717" s="1" t="s">
        <v>6795</v>
      </c>
      <c r="AB717" s="1" t="s">
        <v>6796</v>
      </c>
      <c r="AC717" s="1" t="s">
        <v>74</v>
      </c>
      <c r="AD717" s="1" t="s">
        <v>74</v>
      </c>
      <c r="AE717" s="1" t="s">
        <v>74</v>
      </c>
      <c r="AF717" s="1" t="s">
        <v>74</v>
      </c>
      <c r="AG717" s="1" t="s">
        <v>74</v>
      </c>
      <c r="AH717" s="1" t="s">
        <v>74</v>
      </c>
      <c r="AI717" s="1" t="s">
        <v>74</v>
      </c>
      <c r="AJ717" s="1" t="s">
        <v>74</v>
      </c>
      <c r="AK717" s="1" t="s">
        <v>74</v>
      </c>
      <c r="AL717" s="1" t="s">
        <v>74</v>
      </c>
      <c r="AM717" s="1" t="s">
        <v>74</v>
      </c>
      <c r="AN717" s="1" t="s">
        <v>74</v>
      </c>
      <c r="AO717" s="1" t="s">
        <v>6797</v>
      </c>
      <c r="AP717" s="1" t="s">
        <v>6798</v>
      </c>
      <c r="AQ717" s="1" t="s">
        <v>74</v>
      </c>
      <c r="AR717" s="1" t="s">
        <v>74</v>
      </c>
      <c r="AS717" s="1" t="s">
        <v>74</v>
      </c>
      <c r="AT717" s="1" t="s">
        <v>74</v>
      </c>
      <c r="AU717" s="1">
        <v>2018.0</v>
      </c>
      <c r="AV717" s="1">
        <v>26.0</v>
      </c>
      <c r="AW717" s="1">
        <v>5.0</v>
      </c>
      <c r="AX717" s="1" t="s">
        <v>74</v>
      </c>
      <c r="AY717" s="1" t="s">
        <v>74</v>
      </c>
      <c r="AZ717" s="1" t="s">
        <v>74</v>
      </c>
      <c r="BA717" s="1" t="s">
        <v>74</v>
      </c>
      <c r="BB717" s="1">
        <v>2648.0</v>
      </c>
      <c r="BC717" s="1">
        <v>2660.0</v>
      </c>
      <c r="BD717" s="1" t="s">
        <v>74</v>
      </c>
      <c r="BE717" s="1" t="s">
        <v>6799</v>
      </c>
      <c r="BF717" s="2" t="str">
        <f>HYPERLINK("http://dx.doi.org/10.3906/elk-1801-261","http://dx.doi.org/10.3906/elk-1801-261")</f>
        <v>http://dx.doi.org/10.3906/elk-1801-261</v>
      </c>
      <c r="BG717" s="1" t="s">
        <v>74</v>
      </c>
      <c r="BH717" s="1" t="s">
        <v>74</v>
      </c>
      <c r="BI717" s="1" t="s">
        <v>74</v>
      </c>
      <c r="BJ717" s="1" t="s">
        <v>74</v>
      </c>
      <c r="BK717" s="1" t="s">
        <v>74</v>
      </c>
      <c r="BL717" s="1" t="s">
        <v>74</v>
      </c>
      <c r="BM717" s="1" t="s">
        <v>74</v>
      </c>
      <c r="BN717" s="1" t="s">
        <v>74</v>
      </c>
      <c r="BO717" s="1" t="s">
        <v>74</v>
      </c>
      <c r="BP717" s="1" t="s">
        <v>74</v>
      </c>
      <c r="BQ717" s="1" t="s">
        <v>74</v>
      </c>
      <c r="BR717" s="1" t="s">
        <v>74</v>
      </c>
      <c r="BS717" s="1" t="s">
        <v>6800</v>
      </c>
      <c r="BT717" s="1" t="str">
        <f>HYPERLINK("https%3A%2F%2Fwww.webofscience.com%2Fwos%2Fwoscc%2Ffull-record%2FWOS:000448109200039","View Full Record in Web of Science")</f>
        <v>View Full Record in Web of Science</v>
      </c>
    </row>
    <row r="718" ht="12.75" customHeight="1">
      <c r="A718" s="1" t="s">
        <v>72</v>
      </c>
      <c r="B718" s="1" t="s">
        <v>6801</v>
      </c>
      <c r="C718" s="1" t="s">
        <v>74</v>
      </c>
      <c r="D718" s="1" t="s">
        <v>74</v>
      </c>
      <c r="E718" s="1" t="s">
        <v>74</v>
      </c>
      <c r="F718" s="1" t="s">
        <v>6802</v>
      </c>
      <c r="G718" s="1" t="s">
        <v>74</v>
      </c>
      <c r="H718" s="1" t="s">
        <v>74</v>
      </c>
      <c r="I718" s="1" t="s">
        <v>6803</v>
      </c>
      <c r="J718" s="1" t="s">
        <v>6039</v>
      </c>
      <c r="K718" s="1" t="s">
        <v>74</v>
      </c>
      <c r="L718" s="1" t="s">
        <v>74</v>
      </c>
      <c r="M718" s="1" t="s">
        <v>74</v>
      </c>
      <c r="N718" s="1" t="s">
        <v>74</v>
      </c>
      <c r="O718" s="1" t="s">
        <v>74</v>
      </c>
      <c r="P718" s="1" t="s">
        <v>74</v>
      </c>
      <c r="Q718" s="1" t="s">
        <v>74</v>
      </c>
      <c r="R718" s="1" t="s">
        <v>74</v>
      </c>
      <c r="S718" s="1" t="s">
        <v>74</v>
      </c>
      <c r="T718" s="1" t="s">
        <v>74</v>
      </c>
      <c r="U718" s="1" t="s">
        <v>74</v>
      </c>
      <c r="V718" s="1" t="s">
        <v>6804</v>
      </c>
      <c r="W718" s="1" t="s">
        <v>74</v>
      </c>
      <c r="X718" s="1" t="s">
        <v>74</v>
      </c>
      <c r="Y718" s="1" t="s">
        <v>74</v>
      </c>
      <c r="Z718" s="1" t="s">
        <v>74</v>
      </c>
      <c r="AA718" s="1" t="s">
        <v>498</v>
      </c>
      <c r="AB718" s="1" t="s">
        <v>74</v>
      </c>
      <c r="AC718" s="1" t="s">
        <v>74</v>
      </c>
      <c r="AD718" s="1" t="s">
        <v>74</v>
      </c>
      <c r="AE718" s="1" t="s">
        <v>74</v>
      </c>
      <c r="AF718" s="1" t="s">
        <v>74</v>
      </c>
      <c r="AG718" s="1" t="s">
        <v>74</v>
      </c>
      <c r="AH718" s="1" t="s">
        <v>74</v>
      </c>
      <c r="AI718" s="1" t="s">
        <v>74</v>
      </c>
      <c r="AJ718" s="1" t="s">
        <v>74</v>
      </c>
      <c r="AK718" s="1" t="s">
        <v>74</v>
      </c>
      <c r="AL718" s="1" t="s">
        <v>74</v>
      </c>
      <c r="AM718" s="1" t="s">
        <v>74</v>
      </c>
      <c r="AN718" s="1" t="s">
        <v>74</v>
      </c>
      <c r="AO718" s="1" t="s">
        <v>6041</v>
      </c>
      <c r="AP718" s="1" t="s">
        <v>74</v>
      </c>
      <c r="AQ718" s="1" t="s">
        <v>74</v>
      </c>
      <c r="AR718" s="1" t="s">
        <v>74</v>
      </c>
      <c r="AS718" s="1" t="s">
        <v>74</v>
      </c>
      <c r="AT718" s="1" t="s">
        <v>6805</v>
      </c>
      <c r="AU718" s="1">
        <v>2017.0</v>
      </c>
      <c r="AV718" s="1" t="s">
        <v>74</v>
      </c>
      <c r="AW718" s="1" t="s">
        <v>74</v>
      </c>
      <c r="AX718" s="1" t="s">
        <v>74</v>
      </c>
      <c r="AY718" s="1" t="s">
        <v>74</v>
      </c>
      <c r="AZ718" s="1" t="s">
        <v>74</v>
      </c>
      <c r="BA718" s="1" t="s">
        <v>74</v>
      </c>
      <c r="BB718" s="1" t="s">
        <v>74</v>
      </c>
      <c r="BC718" s="1" t="s">
        <v>74</v>
      </c>
      <c r="BD718" s="1">
        <v>222.0</v>
      </c>
      <c r="BE718" s="1" t="s">
        <v>74</v>
      </c>
      <c r="BF718" s="1" t="s">
        <v>74</v>
      </c>
      <c r="BG718" s="1" t="s">
        <v>74</v>
      </c>
      <c r="BH718" s="1" t="s">
        <v>74</v>
      </c>
      <c r="BI718" s="1" t="s">
        <v>74</v>
      </c>
      <c r="BJ718" s="1" t="s">
        <v>74</v>
      </c>
      <c r="BK718" s="1" t="s">
        <v>74</v>
      </c>
      <c r="BL718" s="1" t="s">
        <v>74</v>
      </c>
      <c r="BM718" s="1" t="s">
        <v>74</v>
      </c>
      <c r="BN718" s="1" t="s">
        <v>74</v>
      </c>
      <c r="BO718" s="1" t="s">
        <v>74</v>
      </c>
      <c r="BP718" s="1" t="s">
        <v>74</v>
      </c>
      <c r="BQ718" s="1" t="s">
        <v>74</v>
      </c>
      <c r="BR718" s="1" t="s">
        <v>74</v>
      </c>
      <c r="BS718" s="1" t="s">
        <v>6806</v>
      </c>
      <c r="BT718" s="1" t="str">
        <f>HYPERLINK("https%3A%2F%2Fwww.webofscience.com%2Fwos%2Fwoscc%2Ffull-record%2FWOS:000412322300001","View Full Record in Web of Science")</f>
        <v>View Full Record in Web of Science</v>
      </c>
    </row>
    <row r="719" ht="12.75" customHeight="1">
      <c r="A719" s="1" t="s">
        <v>147</v>
      </c>
      <c r="B719" s="1" t="s">
        <v>6807</v>
      </c>
      <c r="C719" s="1" t="s">
        <v>74</v>
      </c>
      <c r="D719" s="1" t="s">
        <v>74</v>
      </c>
      <c r="E719" s="1" t="s">
        <v>793</v>
      </c>
      <c r="F719" s="1" t="s">
        <v>6808</v>
      </c>
      <c r="G719" s="1" t="s">
        <v>74</v>
      </c>
      <c r="H719" s="1" t="s">
        <v>74</v>
      </c>
      <c r="I719" s="1" t="s">
        <v>6809</v>
      </c>
      <c r="J719" s="1" t="s">
        <v>6810</v>
      </c>
      <c r="K719" s="1" t="s">
        <v>3110</v>
      </c>
      <c r="L719" s="1" t="s">
        <v>74</v>
      </c>
      <c r="M719" s="1" t="s">
        <v>74</v>
      </c>
      <c r="N719" s="1" t="s">
        <v>74</v>
      </c>
      <c r="O719" s="1" t="s">
        <v>6811</v>
      </c>
      <c r="P719" s="1" t="s">
        <v>6812</v>
      </c>
      <c r="Q719" s="1" t="s">
        <v>6813</v>
      </c>
      <c r="R719" s="1" t="s">
        <v>6814</v>
      </c>
      <c r="S719" s="1" t="s">
        <v>74</v>
      </c>
      <c r="T719" s="1" t="s">
        <v>74</v>
      </c>
      <c r="U719" s="1" t="s">
        <v>74</v>
      </c>
      <c r="V719" s="1" t="s">
        <v>6815</v>
      </c>
      <c r="W719" s="1" t="s">
        <v>74</v>
      </c>
      <c r="X719" s="1" t="s">
        <v>74</v>
      </c>
      <c r="Y719" s="1" t="s">
        <v>74</v>
      </c>
      <c r="Z719" s="1" t="s">
        <v>74</v>
      </c>
      <c r="AA719" s="1" t="s">
        <v>6816</v>
      </c>
      <c r="AB719" s="1" t="s">
        <v>6817</v>
      </c>
      <c r="AC719" s="1" t="s">
        <v>74</v>
      </c>
      <c r="AD719" s="1" t="s">
        <v>74</v>
      </c>
      <c r="AE719" s="1" t="s">
        <v>74</v>
      </c>
      <c r="AF719" s="1" t="s">
        <v>74</v>
      </c>
      <c r="AG719" s="1" t="s">
        <v>74</v>
      </c>
      <c r="AH719" s="1" t="s">
        <v>74</v>
      </c>
      <c r="AI719" s="1" t="s">
        <v>74</v>
      </c>
      <c r="AJ719" s="1" t="s">
        <v>74</v>
      </c>
      <c r="AK719" s="1" t="s">
        <v>74</v>
      </c>
      <c r="AL719" s="1" t="s">
        <v>74</v>
      </c>
      <c r="AM719" s="1" t="s">
        <v>74</v>
      </c>
      <c r="AN719" s="1" t="s">
        <v>74</v>
      </c>
      <c r="AO719" s="1" t="s">
        <v>3117</v>
      </c>
      <c r="AP719" s="1" t="s">
        <v>74</v>
      </c>
      <c r="AQ719" s="1" t="s">
        <v>6818</v>
      </c>
      <c r="AR719" s="1" t="s">
        <v>74</v>
      </c>
      <c r="AS719" s="1" t="s">
        <v>74</v>
      </c>
      <c r="AT719" s="1" t="s">
        <v>74</v>
      </c>
      <c r="AU719" s="1">
        <v>2017.0</v>
      </c>
      <c r="AV719" s="1" t="s">
        <v>74</v>
      </c>
      <c r="AW719" s="1" t="s">
        <v>74</v>
      </c>
      <c r="AX719" s="1" t="s">
        <v>74</v>
      </c>
      <c r="AY719" s="1" t="s">
        <v>74</v>
      </c>
      <c r="AZ719" s="1" t="s">
        <v>74</v>
      </c>
      <c r="BA719" s="1" t="s">
        <v>74</v>
      </c>
      <c r="BB719" s="1" t="s">
        <v>74</v>
      </c>
      <c r="BC719" s="1" t="s">
        <v>74</v>
      </c>
      <c r="BD719" s="1" t="s">
        <v>74</v>
      </c>
      <c r="BE719" s="1" t="s">
        <v>74</v>
      </c>
      <c r="BF719" s="1" t="s">
        <v>74</v>
      </c>
      <c r="BG719" s="1" t="s">
        <v>74</v>
      </c>
      <c r="BH719" s="1" t="s">
        <v>74</v>
      </c>
      <c r="BI719" s="1" t="s">
        <v>74</v>
      </c>
      <c r="BJ719" s="1" t="s">
        <v>74</v>
      </c>
      <c r="BK719" s="1" t="s">
        <v>74</v>
      </c>
      <c r="BL719" s="1" t="s">
        <v>74</v>
      </c>
      <c r="BM719" s="1" t="s">
        <v>74</v>
      </c>
      <c r="BN719" s="1" t="s">
        <v>74</v>
      </c>
      <c r="BO719" s="1" t="s">
        <v>74</v>
      </c>
      <c r="BP719" s="1" t="s">
        <v>74</v>
      </c>
      <c r="BQ719" s="1" t="s">
        <v>74</v>
      </c>
      <c r="BR719" s="1" t="s">
        <v>74</v>
      </c>
      <c r="BS719" s="1" t="s">
        <v>6819</v>
      </c>
      <c r="BT719" s="1" t="str">
        <f>HYPERLINK("https%3A%2F%2Fwww.webofscience.com%2Fwos%2Fwoscc%2Ffull-record%2FWOS:000455184200035","View Full Record in Web of Science")</f>
        <v>View Full Record in Web of Science</v>
      </c>
    </row>
    <row r="720" ht="12.75" customHeight="1">
      <c r="A720" s="1" t="s">
        <v>72</v>
      </c>
      <c r="B720" s="1" t="s">
        <v>6820</v>
      </c>
      <c r="C720" s="1" t="s">
        <v>74</v>
      </c>
      <c r="D720" s="1" t="s">
        <v>74</v>
      </c>
      <c r="E720" s="1" t="s">
        <v>74</v>
      </c>
      <c r="F720" s="1" t="s">
        <v>6821</v>
      </c>
      <c r="G720" s="1" t="s">
        <v>74</v>
      </c>
      <c r="H720" s="1" t="s">
        <v>74</v>
      </c>
      <c r="I720" s="1" t="s">
        <v>6822</v>
      </c>
      <c r="J720" s="1" t="s">
        <v>6823</v>
      </c>
      <c r="K720" s="1" t="s">
        <v>74</v>
      </c>
      <c r="L720" s="1" t="s">
        <v>74</v>
      </c>
      <c r="M720" s="1" t="s">
        <v>74</v>
      </c>
      <c r="N720" s="1" t="s">
        <v>74</v>
      </c>
      <c r="O720" s="1" t="s">
        <v>74</v>
      </c>
      <c r="P720" s="1" t="s">
        <v>74</v>
      </c>
      <c r="Q720" s="1" t="s">
        <v>74</v>
      </c>
      <c r="R720" s="1" t="s">
        <v>74</v>
      </c>
      <c r="S720" s="1" t="s">
        <v>74</v>
      </c>
      <c r="T720" s="1" t="s">
        <v>74</v>
      </c>
      <c r="U720" s="1" t="s">
        <v>74</v>
      </c>
      <c r="V720" s="1" t="s">
        <v>6824</v>
      </c>
      <c r="W720" s="1" t="s">
        <v>74</v>
      </c>
      <c r="X720" s="1" t="s">
        <v>74</v>
      </c>
      <c r="Y720" s="1" t="s">
        <v>74</v>
      </c>
      <c r="Z720" s="1" t="s">
        <v>74</v>
      </c>
      <c r="AA720" s="1" t="s">
        <v>6825</v>
      </c>
      <c r="AB720" s="1" t="s">
        <v>6826</v>
      </c>
      <c r="AC720" s="1" t="s">
        <v>74</v>
      </c>
      <c r="AD720" s="1" t="s">
        <v>74</v>
      </c>
      <c r="AE720" s="1" t="s">
        <v>74</v>
      </c>
      <c r="AF720" s="1" t="s">
        <v>74</v>
      </c>
      <c r="AG720" s="1" t="s">
        <v>74</v>
      </c>
      <c r="AH720" s="1" t="s">
        <v>74</v>
      </c>
      <c r="AI720" s="1" t="s">
        <v>74</v>
      </c>
      <c r="AJ720" s="1" t="s">
        <v>74</v>
      </c>
      <c r="AK720" s="1" t="s">
        <v>74</v>
      </c>
      <c r="AL720" s="1" t="s">
        <v>74</v>
      </c>
      <c r="AM720" s="1" t="s">
        <v>74</v>
      </c>
      <c r="AN720" s="1" t="s">
        <v>74</v>
      </c>
      <c r="AO720" s="1" t="s">
        <v>6827</v>
      </c>
      <c r="AP720" s="1" t="s">
        <v>6828</v>
      </c>
      <c r="AQ720" s="1" t="s">
        <v>74</v>
      </c>
      <c r="AR720" s="1" t="s">
        <v>74</v>
      </c>
      <c r="AS720" s="1" t="s">
        <v>74</v>
      </c>
      <c r="AT720" s="1" t="s">
        <v>74</v>
      </c>
      <c r="AU720" s="1">
        <v>2016.0</v>
      </c>
      <c r="AV720" s="1">
        <v>2016.0</v>
      </c>
      <c r="AW720" s="1" t="s">
        <v>74</v>
      </c>
      <c r="AX720" s="1" t="s">
        <v>74</v>
      </c>
      <c r="AY720" s="1" t="s">
        <v>74</v>
      </c>
      <c r="AZ720" s="1" t="s">
        <v>74</v>
      </c>
      <c r="BA720" s="1" t="s">
        <v>74</v>
      </c>
      <c r="BB720" s="1" t="s">
        <v>74</v>
      </c>
      <c r="BC720" s="1" t="s">
        <v>74</v>
      </c>
      <c r="BD720" s="1">
        <v>9605253.0</v>
      </c>
      <c r="BE720" s="1" t="s">
        <v>6829</v>
      </c>
      <c r="BF720" s="2" t="str">
        <f>HYPERLINK("http://dx.doi.org/10.1155/2016/9605253","http://dx.doi.org/10.1155/2016/9605253")</f>
        <v>http://dx.doi.org/10.1155/2016/9605253</v>
      </c>
      <c r="BG720" s="1" t="s">
        <v>74</v>
      </c>
      <c r="BH720" s="1" t="s">
        <v>74</v>
      </c>
      <c r="BI720" s="1" t="s">
        <v>74</v>
      </c>
      <c r="BJ720" s="1" t="s">
        <v>74</v>
      </c>
      <c r="BK720" s="1" t="s">
        <v>74</v>
      </c>
      <c r="BL720" s="1" t="s">
        <v>74</v>
      </c>
      <c r="BM720" s="1" t="s">
        <v>74</v>
      </c>
      <c r="BN720" s="1">
        <v>2.7413259E7</v>
      </c>
      <c r="BO720" s="1" t="s">
        <v>74</v>
      </c>
      <c r="BP720" s="1" t="s">
        <v>74</v>
      </c>
      <c r="BQ720" s="1" t="s">
        <v>74</v>
      </c>
      <c r="BR720" s="1" t="s">
        <v>74</v>
      </c>
      <c r="BS720" s="1" t="s">
        <v>6830</v>
      </c>
      <c r="BT720" s="1" t="str">
        <f>HYPERLINK("https%3A%2F%2Fwww.webofscience.com%2Fwos%2Fwoscc%2Ffull-record%2FWOS:000379054900001","View Full Record in Web of Science")</f>
        <v>View Full Record in Web of Science</v>
      </c>
    </row>
    <row r="721" ht="12.75" customHeight="1">
      <c r="A721" s="1" t="s">
        <v>72</v>
      </c>
      <c r="B721" s="1" t="s">
        <v>6831</v>
      </c>
      <c r="C721" s="1" t="s">
        <v>74</v>
      </c>
      <c r="D721" s="1" t="s">
        <v>74</v>
      </c>
      <c r="E721" s="1" t="s">
        <v>74</v>
      </c>
      <c r="F721" s="1" t="s">
        <v>6832</v>
      </c>
      <c r="G721" s="1" t="s">
        <v>74</v>
      </c>
      <c r="H721" s="1" t="s">
        <v>74</v>
      </c>
      <c r="I721" s="1" t="s">
        <v>6833</v>
      </c>
      <c r="J721" s="1" t="s">
        <v>810</v>
      </c>
      <c r="K721" s="1" t="s">
        <v>74</v>
      </c>
      <c r="L721" s="1" t="s">
        <v>74</v>
      </c>
      <c r="M721" s="1" t="s">
        <v>74</v>
      </c>
      <c r="N721" s="1" t="s">
        <v>74</v>
      </c>
      <c r="O721" s="1" t="s">
        <v>74</v>
      </c>
      <c r="P721" s="1" t="s">
        <v>74</v>
      </c>
      <c r="Q721" s="1" t="s">
        <v>74</v>
      </c>
      <c r="R721" s="1" t="s">
        <v>74</v>
      </c>
      <c r="S721" s="1" t="s">
        <v>74</v>
      </c>
      <c r="T721" s="1" t="s">
        <v>74</v>
      </c>
      <c r="U721" s="1" t="s">
        <v>74</v>
      </c>
      <c r="V721" s="1" t="s">
        <v>6834</v>
      </c>
      <c r="W721" s="1" t="s">
        <v>74</v>
      </c>
      <c r="X721" s="1" t="s">
        <v>74</v>
      </c>
      <c r="Y721" s="1" t="s">
        <v>74</v>
      </c>
      <c r="Z721" s="1" t="s">
        <v>74</v>
      </c>
      <c r="AA721" s="1" t="s">
        <v>6835</v>
      </c>
      <c r="AB721" s="1" t="s">
        <v>74</v>
      </c>
      <c r="AC721" s="1" t="s">
        <v>74</v>
      </c>
      <c r="AD721" s="1" t="s">
        <v>74</v>
      </c>
      <c r="AE721" s="1" t="s">
        <v>74</v>
      </c>
      <c r="AF721" s="1" t="s">
        <v>74</v>
      </c>
      <c r="AG721" s="1" t="s">
        <v>74</v>
      </c>
      <c r="AH721" s="1" t="s">
        <v>74</v>
      </c>
      <c r="AI721" s="1" t="s">
        <v>74</v>
      </c>
      <c r="AJ721" s="1" t="s">
        <v>74</v>
      </c>
      <c r="AK721" s="1" t="s">
        <v>74</v>
      </c>
      <c r="AL721" s="1" t="s">
        <v>74</v>
      </c>
      <c r="AM721" s="1" t="s">
        <v>74</v>
      </c>
      <c r="AN721" s="1" t="s">
        <v>74</v>
      </c>
      <c r="AO721" s="1" t="s">
        <v>814</v>
      </c>
      <c r="AP721" s="1" t="s">
        <v>815</v>
      </c>
      <c r="AQ721" s="1" t="s">
        <v>74</v>
      </c>
      <c r="AR721" s="1" t="s">
        <v>74</v>
      </c>
      <c r="AS721" s="1" t="s">
        <v>74</v>
      </c>
      <c r="AT721" s="1" t="s">
        <v>3738</v>
      </c>
      <c r="AU721" s="1">
        <v>2015.0</v>
      </c>
      <c r="AV721" s="1">
        <v>424.0</v>
      </c>
      <c r="AW721" s="1">
        <v>1.0</v>
      </c>
      <c r="AX721" s="1" t="s">
        <v>74</v>
      </c>
      <c r="AY721" s="1" t="s">
        <v>74</v>
      </c>
      <c r="AZ721" s="1" t="s">
        <v>74</v>
      </c>
      <c r="BA721" s="1" t="s">
        <v>74</v>
      </c>
      <c r="BB721" s="1">
        <v>179.0</v>
      </c>
      <c r="BC721" s="1">
        <v>200.0</v>
      </c>
      <c r="BD721" s="1" t="s">
        <v>74</v>
      </c>
      <c r="BE721" s="1" t="s">
        <v>6836</v>
      </c>
      <c r="BF721" s="2" t="str">
        <f>HYPERLINK("http://dx.doi.org/10.1016/j.jmaa.2014.11.019","http://dx.doi.org/10.1016/j.jmaa.2014.11.019")</f>
        <v>http://dx.doi.org/10.1016/j.jmaa.2014.11.019</v>
      </c>
      <c r="BG721" s="1" t="s">
        <v>74</v>
      </c>
      <c r="BH721" s="1" t="s">
        <v>74</v>
      </c>
      <c r="BI721" s="1" t="s">
        <v>74</v>
      </c>
      <c r="BJ721" s="1" t="s">
        <v>74</v>
      </c>
      <c r="BK721" s="1" t="s">
        <v>74</v>
      </c>
      <c r="BL721" s="1" t="s">
        <v>74</v>
      </c>
      <c r="BM721" s="1" t="s">
        <v>74</v>
      </c>
      <c r="BN721" s="1" t="s">
        <v>74</v>
      </c>
      <c r="BO721" s="1" t="s">
        <v>74</v>
      </c>
      <c r="BP721" s="1" t="s">
        <v>74</v>
      </c>
      <c r="BQ721" s="1" t="s">
        <v>74</v>
      </c>
      <c r="BR721" s="1" t="s">
        <v>74</v>
      </c>
      <c r="BS721" s="1" t="s">
        <v>6837</v>
      </c>
      <c r="BT721" s="1" t="str">
        <f>HYPERLINK("https%3A%2F%2Fwww.webofscience.com%2Fwos%2Fwoscc%2Ffull-record%2FWOS:000348488700008","View Full Record in Web of Science")</f>
        <v>View Full Record in Web of Science</v>
      </c>
    </row>
    <row r="722" ht="12.75" customHeight="1">
      <c r="A722" s="1" t="s">
        <v>72</v>
      </c>
      <c r="B722" s="1" t="s">
        <v>6838</v>
      </c>
      <c r="C722" s="1" t="s">
        <v>74</v>
      </c>
      <c r="D722" s="1" t="s">
        <v>74</v>
      </c>
      <c r="E722" s="1" t="s">
        <v>74</v>
      </c>
      <c r="F722" s="1" t="s">
        <v>6839</v>
      </c>
      <c r="G722" s="1" t="s">
        <v>74</v>
      </c>
      <c r="H722" s="1" t="s">
        <v>74</v>
      </c>
      <c r="I722" s="1" t="s">
        <v>6840</v>
      </c>
      <c r="J722" s="1" t="s">
        <v>6841</v>
      </c>
      <c r="K722" s="1" t="s">
        <v>74</v>
      </c>
      <c r="L722" s="1" t="s">
        <v>74</v>
      </c>
      <c r="M722" s="1" t="s">
        <v>74</v>
      </c>
      <c r="N722" s="1" t="s">
        <v>74</v>
      </c>
      <c r="O722" s="1" t="s">
        <v>74</v>
      </c>
      <c r="P722" s="1" t="s">
        <v>74</v>
      </c>
      <c r="Q722" s="1" t="s">
        <v>74</v>
      </c>
      <c r="R722" s="1" t="s">
        <v>74</v>
      </c>
      <c r="S722" s="1" t="s">
        <v>74</v>
      </c>
      <c r="T722" s="1" t="s">
        <v>74</v>
      </c>
      <c r="U722" s="1" t="s">
        <v>74</v>
      </c>
      <c r="V722" s="1" t="s">
        <v>6842</v>
      </c>
      <c r="W722" s="1" t="s">
        <v>74</v>
      </c>
      <c r="X722" s="1" t="s">
        <v>74</v>
      </c>
      <c r="Y722" s="1" t="s">
        <v>74</v>
      </c>
      <c r="Z722" s="1" t="s">
        <v>74</v>
      </c>
      <c r="AA722" s="1" t="s">
        <v>74</v>
      </c>
      <c r="AB722" s="1" t="s">
        <v>6843</v>
      </c>
      <c r="AC722" s="1" t="s">
        <v>74</v>
      </c>
      <c r="AD722" s="1" t="s">
        <v>74</v>
      </c>
      <c r="AE722" s="1" t="s">
        <v>74</v>
      </c>
      <c r="AF722" s="1" t="s">
        <v>74</v>
      </c>
      <c r="AG722" s="1" t="s">
        <v>74</v>
      </c>
      <c r="AH722" s="1" t="s">
        <v>74</v>
      </c>
      <c r="AI722" s="1" t="s">
        <v>74</v>
      </c>
      <c r="AJ722" s="1" t="s">
        <v>74</v>
      </c>
      <c r="AK722" s="1" t="s">
        <v>74</v>
      </c>
      <c r="AL722" s="1" t="s">
        <v>74</v>
      </c>
      <c r="AM722" s="1" t="s">
        <v>74</v>
      </c>
      <c r="AN722" s="1" t="s">
        <v>74</v>
      </c>
      <c r="AO722" s="1" t="s">
        <v>6844</v>
      </c>
      <c r="AP722" s="1" t="s">
        <v>6845</v>
      </c>
      <c r="AQ722" s="1" t="s">
        <v>74</v>
      </c>
      <c r="AR722" s="1" t="s">
        <v>74</v>
      </c>
      <c r="AS722" s="1" t="s">
        <v>74</v>
      </c>
      <c r="AT722" s="1" t="s">
        <v>179</v>
      </c>
      <c r="AU722" s="1">
        <v>2015.0</v>
      </c>
      <c r="AV722" s="1">
        <v>49.0</v>
      </c>
      <c r="AW722" s="1">
        <v>1.0</v>
      </c>
      <c r="AX722" s="1" t="s">
        <v>74</v>
      </c>
      <c r="AY722" s="1" t="s">
        <v>74</v>
      </c>
      <c r="AZ722" s="1" t="s">
        <v>74</v>
      </c>
      <c r="BA722" s="1" t="s">
        <v>74</v>
      </c>
      <c r="BB722" s="1">
        <v>1.0</v>
      </c>
      <c r="BC722" s="1">
        <v>14.0</v>
      </c>
      <c r="BD722" s="1" t="s">
        <v>74</v>
      </c>
      <c r="BE722" s="1" t="s">
        <v>6846</v>
      </c>
      <c r="BF722" s="2" t="str">
        <f>HYPERLINK("http://dx.doi.org/10.1051/ro/2014026","http://dx.doi.org/10.1051/ro/2014026")</f>
        <v>http://dx.doi.org/10.1051/ro/2014026</v>
      </c>
      <c r="BG722" s="1" t="s">
        <v>74</v>
      </c>
      <c r="BH722" s="1" t="s">
        <v>74</v>
      </c>
      <c r="BI722" s="1" t="s">
        <v>74</v>
      </c>
      <c r="BJ722" s="1" t="s">
        <v>74</v>
      </c>
      <c r="BK722" s="1" t="s">
        <v>74</v>
      </c>
      <c r="BL722" s="1" t="s">
        <v>74</v>
      </c>
      <c r="BM722" s="1" t="s">
        <v>74</v>
      </c>
      <c r="BN722" s="1" t="s">
        <v>74</v>
      </c>
      <c r="BO722" s="1" t="s">
        <v>74</v>
      </c>
      <c r="BP722" s="1" t="s">
        <v>74</v>
      </c>
      <c r="BQ722" s="1" t="s">
        <v>74</v>
      </c>
      <c r="BR722" s="1" t="s">
        <v>74</v>
      </c>
      <c r="BS722" s="1" t="s">
        <v>6847</v>
      </c>
      <c r="BT722" s="1" t="str">
        <f>HYPERLINK("https%3A%2F%2Fwww.webofscience.com%2Fwos%2Fwoscc%2Ffull-record%2FWOS:000347714700001","View Full Record in Web of Science")</f>
        <v>View Full Record in Web of Science</v>
      </c>
    </row>
    <row r="723" ht="12.75" customHeight="1">
      <c r="A723" s="1" t="s">
        <v>72</v>
      </c>
      <c r="B723" s="1" t="s">
        <v>6848</v>
      </c>
      <c r="C723" s="1" t="s">
        <v>74</v>
      </c>
      <c r="D723" s="1" t="s">
        <v>74</v>
      </c>
      <c r="E723" s="1" t="s">
        <v>74</v>
      </c>
      <c r="F723" s="1" t="s">
        <v>6849</v>
      </c>
      <c r="G723" s="1" t="s">
        <v>74</v>
      </c>
      <c r="H723" s="1" t="s">
        <v>74</v>
      </c>
      <c r="I723" s="1" t="s">
        <v>6850</v>
      </c>
      <c r="J723" s="1" t="s">
        <v>6851</v>
      </c>
      <c r="K723" s="1" t="s">
        <v>74</v>
      </c>
      <c r="L723" s="1" t="s">
        <v>74</v>
      </c>
      <c r="M723" s="1" t="s">
        <v>74</v>
      </c>
      <c r="N723" s="1" t="s">
        <v>74</v>
      </c>
      <c r="O723" s="1" t="s">
        <v>74</v>
      </c>
      <c r="P723" s="1" t="s">
        <v>74</v>
      </c>
      <c r="Q723" s="1" t="s">
        <v>74</v>
      </c>
      <c r="R723" s="1" t="s">
        <v>74</v>
      </c>
      <c r="S723" s="1" t="s">
        <v>74</v>
      </c>
      <c r="T723" s="1" t="s">
        <v>74</v>
      </c>
      <c r="U723" s="1" t="s">
        <v>74</v>
      </c>
      <c r="V723" s="1" t="s">
        <v>6852</v>
      </c>
      <c r="W723" s="1" t="s">
        <v>74</v>
      </c>
      <c r="X723" s="1" t="s">
        <v>74</v>
      </c>
      <c r="Y723" s="1" t="s">
        <v>74</v>
      </c>
      <c r="Z723" s="1" t="s">
        <v>74</v>
      </c>
      <c r="AA723" s="1" t="s">
        <v>74</v>
      </c>
      <c r="AB723" s="1" t="s">
        <v>6853</v>
      </c>
      <c r="AC723" s="1" t="s">
        <v>74</v>
      </c>
      <c r="AD723" s="1" t="s">
        <v>74</v>
      </c>
      <c r="AE723" s="1" t="s">
        <v>74</v>
      </c>
      <c r="AF723" s="1" t="s">
        <v>74</v>
      </c>
      <c r="AG723" s="1" t="s">
        <v>74</v>
      </c>
      <c r="AH723" s="1" t="s">
        <v>74</v>
      </c>
      <c r="AI723" s="1" t="s">
        <v>74</v>
      </c>
      <c r="AJ723" s="1" t="s">
        <v>74</v>
      </c>
      <c r="AK723" s="1" t="s">
        <v>74</v>
      </c>
      <c r="AL723" s="1" t="s">
        <v>74</v>
      </c>
      <c r="AM723" s="1" t="s">
        <v>74</v>
      </c>
      <c r="AN723" s="1" t="s">
        <v>74</v>
      </c>
      <c r="AO723" s="1" t="s">
        <v>6854</v>
      </c>
      <c r="AP723" s="1" t="s">
        <v>6855</v>
      </c>
      <c r="AQ723" s="1" t="s">
        <v>74</v>
      </c>
      <c r="AR723" s="1" t="s">
        <v>74</v>
      </c>
      <c r="AS723" s="1" t="s">
        <v>74</v>
      </c>
      <c r="AT723" s="1" t="s">
        <v>363</v>
      </c>
      <c r="AU723" s="1">
        <v>2014.0</v>
      </c>
      <c r="AV723" s="1">
        <v>185.0</v>
      </c>
      <c r="AW723" s="1" t="s">
        <v>74</v>
      </c>
      <c r="AX723" s="1" t="s">
        <v>74</v>
      </c>
      <c r="AY723" s="1" t="s">
        <v>74</v>
      </c>
      <c r="AZ723" s="1" t="s">
        <v>74</v>
      </c>
      <c r="BA723" s="1" t="s">
        <v>74</v>
      </c>
      <c r="BB723" s="1">
        <v>8.0</v>
      </c>
      <c r="BC723" s="1">
        <v>28.0</v>
      </c>
      <c r="BD723" s="1" t="s">
        <v>74</v>
      </c>
      <c r="BE723" s="1" t="s">
        <v>6856</v>
      </c>
      <c r="BF723" s="2" t="str">
        <f>HYPERLINK("http://dx.doi.org/10.1016/j.autneu.2014.05.010","http://dx.doi.org/10.1016/j.autneu.2014.05.010")</f>
        <v>http://dx.doi.org/10.1016/j.autneu.2014.05.010</v>
      </c>
      <c r="BG723" s="1" t="s">
        <v>74</v>
      </c>
      <c r="BH723" s="1" t="s">
        <v>74</v>
      </c>
      <c r="BI723" s="1" t="s">
        <v>74</v>
      </c>
      <c r="BJ723" s="1" t="s">
        <v>74</v>
      </c>
      <c r="BK723" s="1" t="s">
        <v>74</v>
      </c>
      <c r="BL723" s="1" t="s">
        <v>74</v>
      </c>
      <c r="BM723" s="1" t="s">
        <v>74</v>
      </c>
      <c r="BN723" s="1">
        <v>2.4956963E7</v>
      </c>
      <c r="BO723" s="1" t="s">
        <v>74</v>
      </c>
      <c r="BP723" s="1" t="s">
        <v>74</v>
      </c>
      <c r="BQ723" s="1" t="s">
        <v>74</v>
      </c>
      <c r="BR723" s="1" t="s">
        <v>74</v>
      </c>
      <c r="BS723" s="1" t="s">
        <v>6857</v>
      </c>
      <c r="BT723" s="1" t="str">
        <f>HYPERLINK("https%3A%2F%2Fwww.webofscience.com%2Fwos%2Fwoscc%2Ffull-record%2FWOS:000342863700003","View Full Record in Web of Science")</f>
        <v>View Full Record in Web of Science</v>
      </c>
    </row>
    <row r="724" ht="12.75" customHeight="1">
      <c r="A724" s="1" t="s">
        <v>72</v>
      </c>
      <c r="B724" s="1" t="s">
        <v>6858</v>
      </c>
      <c r="C724" s="1" t="s">
        <v>74</v>
      </c>
      <c r="D724" s="1" t="s">
        <v>74</v>
      </c>
      <c r="E724" s="1" t="s">
        <v>74</v>
      </c>
      <c r="F724" s="1" t="s">
        <v>6859</v>
      </c>
      <c r="G724" s="1" t="s">
        <v>74</v>
      </c>
      <c r="H724" s="1" t="s">
        <v>74</v>
      </c>
      <c r="I724" s="1" t="s">
        <v>6860</v>
      </c>
      <c r="J724" s="1" t="s">
        <v>6861</v>
      </c>
      <c r="K724" s="1" t="s">
        <v>74</v>
      </c>
      <c r="L724" s="1" t="s">
        <v>74</v>
      </c>
      <c r="M724" s="1" t="s">
        <v>74</v>
      </c>
      <c r="N724" s="1" t="s">
        <v>74</v>
      </c>
      <c r="O724" s="1" t="s">
        <v>74</v>
      </c>
      <c r="P724" s="1" t="s">
        <v>74</v>
      </c>
      <c r="Q724" s="1" t="s">
        <v>74</v>
      </c>
      <c r="R724" s="1" t="s">
        <v>74</v>
      </c>
      <c r="S724" s="1" t="s">
        <v>74</v>
      </c>
      <c r="T724" s="1" t="s">
        <v>74</v>
      </c>
      <c r="U724" s="1" t="s">
        <v>74</v>
      </c>
      <c r="V724" s="1" t="s">
        <v>6862</v>
      </c>
      <c r="W724" s="1" t="s">
        <v>74</v>
      </c>
      <c r="X724" s="1" t="s">
        <v>74</v>
      </c>
      <c r="Y724" s="1" t="s">
        <v>74</v>
      </c>
      <c r="Z724" s="1" t="s">
        <v>74</v>
      </c>
      <c r="AA724" s="1" t="s">
        <v>6863</v>
      </c>
      <c r="AB724" s="1" t="s">
        <v>1255</v>
      </c>
      <c r="AC724" s="1" t="s">
        <v>74</v>
      </c>
      <c r="AD724" s="1" t="s">
        <v>74</v>
      </c>
      <c r="AE724" s="1" t="s">
        <v>74</v>
      </c>
      <c r="AF724" s="1" t="s">
        <v>74</v>
      </c>
      <c r="AG724" s="1" t="s">
        <v>74</v>
      </c>
      <c r="AH724" s="1" t="s">
        <v>74</v>
      </c>
      <c r="AI724" s="1" t="s">
        <v>74</v>
      </c>
      <c r="AJ724" s="1" t="s">
        <v>74</v>
      </c>
      <c r="AK724" s="1" t="s">
        <v>74</v>
      </c>
      <c r="AL724" s="1" t="s">
        <v>74</v>
      </c>
      <c r="AM724" s="1" t="s">
        <v>74</v>
      </c>
      <c r="AN724" s="1" t="s">
        <v>74</v>
      </c>
      <c r="AO724" s="1" t="s">
        <v>6864</v>
      </c>
      <c r="AP724" s="1" t="s">
        <v>6865</v>
      </c>
      <c r="AQ724" s="1" t="s">
        <v>74</v>
      </c>
      <c r="AR724" s="1" t="s">
        <v>74</v>
      </c>
      <c r="AS724" s="1" t="s">
        <v>74</v>
      </c>
      <c r="AT724" s="1" t="s">
        <v>112</v>
      </c>
      <c r="AU724" s="1">
        <v>2012.0</v>
      </c>
      <c r="AV724" s="1">
        <v>47.0</v>
      </c>
      <c r="AW724" s="1">
        <v>11.0</v>
      </c>
      <c r="AX724" s="1" t="s">
        <v>74</v>
      </c>
      <c r="AY724" s="1" t="s">
        <v>74</v>
      </c>
      <c r="AZ724" s="1" t="s">
        <v>74</v>
      </c>
      <c r="BA724" s="1" t="s">
        <v>74</v>
      </c>
      <c r="BB724" s="1">
        <v>2436.0</v>
      </c>
      <c r="BC724" s="1">
        <v>2443.0</v>
      </c>
      <c r="BD724" s="1" t="s">
        <v>74</v>
      </c>
      <c r="BE724" s="1" t="s">
        <v>6866</v>
      </c>
      <c r="BF724" s="2" t="str">
        <f>HYPERLINK("http://dx.doi.org/10.1111/j.1365-2621.2012.03120.x","http://dx.doi.org/10.1111/j.1365-2621.2012.03120.x")</f>
        <v>http://dx.doi.org/10.1111/j.1365-2621.2012.03120.x</v>
      </c>
      <c r="BG724" s="1" t="s">
        <v>74</v>
      </c>
      <c r="BH724" s="1" t="s">
        <v>74</v>
      </c>
      <c r="BI724" s="1" t="s">
        <v>74</v>
      </c>
      <c r="BJ724" s="1" t="s">
        <v>74</v>
      </c>
      <c r="BK724" s="1" t="s">
        <v>74</v>
      </c>
      <c r="BL724" s="1" t="s">
        <v>74</v>
      </c>
      <c r="BM724" s="1" t="s">
        <v>74</v>
      </c>
      <c r="BN724" s="1" t="s">
        <v>74</v>
      </c>
      <c r="BO724" s="1" t="s">
        <v>74</v>
      </c>
      <c r="BP724" s="1" t="s">
        <v>74</v>
      </c>
      <c r="BQ724" s="1" t="s">
        <v>74</v>
      </c>
      <c r="BR724" s="1" t="s">
        <v>74</v>
      </c>
      <c r="BS724" s="1" t="s">
        <v>6867</v>
      </c>
      <c r="BT724" s="1" t="str">
        <f>HYPERLINK("https%3A%2F%2Fwww.webofscience.com%2Fwos%2Fwoscc%2Ffull-record%2FWOS:000310469700026","View Full Record in Web of Science")</f>
        <v>View Full Record in Web of Science</v>
      </c>
    </row>
    <row r="725" ht="12.75" customHeight="1">
      <c r="A725" s="1" t="s">
        <v>72</v>
      </c>
      <c r="B725" s="1" t="s">
        <v>6868</v>
      </c>
      <c r="C725" s="1" t="s">
        <v>74</v>
      </c>
      <c r="D725" s="1" t="s">
        <v>74</v>
      </c>
      <c r="E725" s="1" t="s">
        <v>74</v>
      </c>
      <c r="F725" s="1" t="s">
        <v>6869</v>
      </c>
      <c r="G725" s="1" t="s">
        <v>74</v>
      </c>
      <c r="H725" s="1" t="s">
        <v>74</v>
      </c>
      <c r="I725" s="1" t="s">
        <v>6870</v>
      </c>
      <c r="J725" s="1" t="s">
        <v>997</v>
      </c>
      <c r="K725" s="1" t="s">
        <v>74</v>
      </c>
      <c r="L725" s="1" t="s">
        <v>74</v>
      </c>
      <c r="M725" s="1" t="s">
        <v>74</v>
      </c>
      <c r="N725" s="1" t="s">
        <v>74</v>
      </c>
      <c r="O725" s="1" t="s">
        <v>74</v>
      </c>
      <c r="P725" s="1" t="s">
        <v>74</v>
      </c>
      <c r="Q725" s="1" t="s">
        <v>74</v>
      </c>
      <c r="R725" s="1" t="s">
        <v>74</v>
      </c>
      <c r="S725" s="1" t="s">
        <v>74</v>
      </c>
      <c r="T725" s="1" t="s">
        <v>74</v>
      </c>
      <c r="U725" s="1" t="s">
        <v>74</v>
      </c>
      <c r="V725" s="1" t="s">
        <v>6871</v>
      </c>
      <c r="W725" s="1" t="s">
        <v>74</v>
      </c>
      <c r="X725" s="1" t="s">
        <v>74</v>
      </c>
      <c r="Y725" s="1" t="s">
        <v>74</v>
      </c>
      <c r="Z725" s="1" t="s">
        <v>74</v>
      </c>
      <c r="AA725" s="1" t="s">
        <v>6872</v>
      </c>
      <c r="AB725" s="1" t="s">
        <v>74</v>
      </c>
      <c r="AC725" s="1" t="s">
        <v>74</v>
      </c>
      <c r="AD725" s="1" t="s">
        <v>74</v>
      </c>
      <c r="AE725" s="1" t="s">
        <v>74</v>
      </c>
      <c r="AF725" s="1" t="s">
        <v>74</v>
      </c>
      <c r="AG725" s="1" t="s">
        <v>74</v>
      </c>
      <c r="AH725" s="1" t="s">
        <v>74</v>
      </c>
      <c r="AI725" s="1" t="s">
        <v>74</v>
      </c>
      <c r="AJ725" s="1" t="s">
        <v>74</v>
      </c>
      <c r="AK725" s="1" t="s">
        <v>74</v>
      </c>
      <c r="AL725" s="1" t="s">
        <v>74</v>
      </c>
      <c r="AM725" s="1" t="s">
        <v>74</v>
      </c>
      <c r="AN725" s="1" t="s">
        <v>74</v>
      </c>
      <c r="AO725" s="1" t="s">
        <v>1000</v>
      </c>
      <c r="AP725" s="1" t="s">
        <v>1001</v>
      </c>
      <c r="AQ725" s="1" t="s">
        <v>74</v>
      </c>
      <c r="AR725" s="1" t="s">
        <v>74</v>
      </c>
      <c r="AS725" s="1" t="s">
        <v>74</v>
      </c>
      <c r="AT725" s="1" t="s">
        <v>6873</v>
      </c>
      <c r="AU725" s="1">
        <v>2012.0</v>
      </c>
      <c r="AV725" s="1">
        <v>85.0</v>
      </c>
      <c r="AW725" s="1">
        <v>4.0</v>
      </c>
      <c r="AX725" s="1" t="s">
        <v>74</v>
      </c>
      <c r="AY725" s="1" t="s">
        <v>74</v>
      </c>
      <c r="AZ725" s="1" t="s">
        <v>74</v>
      </c>
      <c r="BA725" s="1" t="s">
        <v>74</v>
      </c>
      <c r="BB725" s="1" t="s">
        <v>74</v>
      </c>
      <c r="BC725" s="1" t="s">
        <v>74</v>
      </c>
      <c r="BD725" s="1">
        <v>45035.0</v>
      </c>
      <c r="BE725" s="1" t="s">
        <v>6874</v>
      </c>
      <c r="BF725" s="2" t="str">
        <f>HYPERLINK("http://dx.doi.org/10.1103/PhysRevD.85.045035","http://dx.doi.org/10.1103/PhysRevD.85.045035")</f>
        <v>http://dx.doi.org/10.1103/PhysRevD.85.045035</v>
      </c>
      <c r="BG725" s="1" t="s">
        <v>74</v>
      </c>
      <c r="BH725" s="1" t="s">
        <v>74</v>
      </c>
      <c r="BI725" s="1" t="s">
        <v>74</v>
      </c>
      <c r="BJ725" s="1" t="s">
        <v>74</v>
      </c>
      <c r="BK725" s="1" t="s">
        <v>74</v>
      </c>
      <c r="BL725" s="1" t="s">
        <v>74</v>
      </c>
      <c r="BM725" s="1" t="s">
        <v>74</v>
      </c>
      <c r="BN725" s="1" t="s">
        <v>74</v>
      </c>
      <c r="BO725" s="1" t="s">
        <v>74</v>
      </c>
      <c r="BP725" s="1" t="s">
        <v>74</v>
      </c>
      <c r="BQ725" s="1" t="s">
        <v>74</v>
      </c>
      <c r="BR725" s="1" t="s">
        <v>74</v>
      </c>
      <c r="BS725" s="1" t="s">
        <v>6875</v>
      </c>
      <c r="BT725" s="1" t="str">
        <f>HYPERLINK("https%3A%2F%2Fwww.webofscience.com%2Fwos%2Fwoscc%2Ffull-record%2FWOS:000300835800003","View Full Record in Web of Science")</f>
        <v>View Full Record in Web of Science</v>
      </c>
    </row>
    <row r="726" ht="12.75" customHeight="1">
      <c r="A726" s="1" t="s">
        <v>72</v>
      </c>
      <c r="B726" s="1" t="s">
        <v>6876</v>
      </c>
      <c r="C726" s="1" t="s">
        <v>74</v>
      </c>
      <c r="D726" s="1" t="s">
        <v>74</v>
      </c>
      <c r="E726" s="1" t="s">
        <v>74</v>
      </c>
      <c r="F726" s="1" t="s">
        <v>6877</v>
      </c>
      <c r="G726" s="1" t="s">
        <v>74</v>
      </c>
      <c r="H726" s="1" t="s">
        <v>74</v>
      </c>
      <c r="I726" s="1" t="s">
        <v>6878</v>
      </c>
      <c r="J726" s="1" t="s">
        <v>6879</v>
      </c>
      <c r="K726" s="1" t="s">
        <v>74</v>
      </c>
      <c r="L726" s="1" t="s">
        <v>74</v>
      </c>
      <c r="M726" s="1" t="s">
        <v>74</v>
      </c>
      <c r="N726" s="1" t="s">
        <v>74</v>
      </c>
      <c r="O726" s="1" t="s">
        <v>74</v>
      </c>
      <c r="P726" s="1" t="s">
        <v>74</v>
      </c>
      <c r="Q726" s="1" t="s">
        <v>74</v>
      </c>
      <c r="R726" s="1" t="s">
        <v>74</v>
      </c>
      <c r="S726" s="1" t="s">
        <v>74</v>
      </c>
      <c r="T726" s="1" t="s">
        <v>74</v>
      </c>
      <c r="U726" s="1" t="s">
        <v>74</v>
      </c>
      <c r="V726" s="1" t="s">
        <v>6880</v>
      </c>
      <c r="W726" s="1" t="s">
        <v>74</v>
      </c>
      <c r="X726" s="1" t="s">
        <v>74</v>
      </c>
      <c r="Y726" s="1" t="s">
        <v>74</v>
      </c>
      <c r="Z726" s="1" t="s">
        <v>74</v>
      </c>
      <c r="AA726" s="1" t="s">
        <v>74</v>
      </c>
      <c r="AB726" s="1" t="s">
        <v>74</v>
      </c>
      <c r="AC726" s="1" t="s">
        <v>74</v>
      </c>
      <c r="AD726" s="1" t="s">
        <v>74</v>
      </c>
      <c r="AE726" s="1" t="s">
        <v>74</v>
      </c>
      <c r="AF726" s="1" t="s">
        <v>74</v>
      </c>
      <c r="AG726" s="1" t="s">
        <v>74</v>
      </c>
      <c r="AH726" s="1" t="s">
        <v>74</v>
      </c>
      <c r="AI726" s="1" t="s">
        <v>74</v>
      </c>
      <c r="AJ726" s="1" t="s">
        <v>74</v>
      </c>
      <c r="AK726" s="1" t="s">
        <v>74</v>
      </c>
      <c r="AL726" s="1" t="s">
        <v>74</v>
      </c>
      <c r="AM726" s="1" t="s">
        <v>74</v>
      </c>
      <c r="AN726" s="1" t="s">
        <v>74</v>
      </c>
      <c r="AO726" s="1" t="s">
        <v>74</v>
      </c>
      <c r="AP726" s="1" t="s">
        <v>6881</v>
      </c>
      <c r="AQ726" s="1" t="s">
        <v>74</v>
      </c>
      <c r="AR726" s="1" t="s">
        <v>74</v>
      </c>
      <c r="AS726" s="1" t="s">
        <v>74</v>
      </c>
      <c r="AT726" s="1" t="s">
        <v>6882</v>
      </c>
      <c r="AU726" s="1">
        <v>2012.0</v>
      </c>
      <c r="AV726" s="1">
        <v>10.0</v>
      </c>
      <c r="AW726" s="1" t="s">
        <v>74</v>
      </c>
      <c r="AX726" s="1" t="s">
        <v>74</v>
      </c>
      <c r="AY726" s="1" t="s">
        <v>74</v>
      </c>
      <c r="AZ726" s="1" t="s">
        <v>74</v>
      </c>
      <c r="BA726" s="1" t="s">
        <v>74</v>
      </c>
      <c r="BB726" s="1" t="s">
        <v>74</v>
      </c>
      <c r="BC726" s="1" t="s">
        <v>74</v>
      </c>
      <c r="BD726" s="1">
        <v>8.0</v>
      </c>
      <c r="BE726" s="1" t="s">
        <v>6883</v>
      </c>
      <c r="BF726" s="2" t="str">
        <f>HYPERLINK("http://dx.doi.org/10.1186/1477-7827-10-8","http://dx.doi.org/10.1186/1477-7827-10-8")</f>
        <v>http://dx.doi.org/10.1186/1477-7827-10-8</v>
      </c>
      <c r="BG726" s="1" t="s">
        <v>74</v>
      </c>
      <c r="BH726" s="1" t="s">
        <v>74</v>
      </c>
      <c r="BI726" s="1" t="s">
        <v>74</v>
      </c>
      <c r="BJ726" s="1" t="s">
        <v>74</v>
      </c>
      <c r="BK726" s="1" t="s">
        <v>74</v>
      </c>
      <c r="BL726" s="1" t="s">
        <v>74</v>
      </c>
      <c r="BM726" s="1" t="s">
        <v>74</v>
      </c>
      <c r="BN726" s="1">
        <v>2.2289514E7</v>
      </c>
      <c r="BO726" s="1" t="s">
        <v>74</v>
      </c>
      <c r="BP726" s="1" t="s">
        <v>74</v>
      </c>
      <c r="BQ726" s="1" t="s">
        <v>74</v>
      </c>
      <c r="BR726" s="1" t="s">
        <v>74</v>
      </c>
      <c r="BS726" s="1" t="s">
        <v>6884</v>
      </c>
      <c r="BT726" s="1" t="str">
        <f>HYPERLINK("https%3A%2F%2Fwww.webofscience.com%2Fwos%2Fwoscc%2Ffull-record%2FWOS:000301713800001","View Full Record in Web of Science")</f>
        <v>View Full Record in Web of Science</v>
      </c>
    </row>
    <row r="727" ht="12.75" customHeight="1">
      <c r="A727" s="1" t="s">
        <v>72</v>
      </c>
      <c r="B727" s="1" t="s">
        <v>6885</v>
      </c>
      <c r="C727" s="1" t="s">
        <v>74</v>
      </c>
      <c r="D727" s="1" t="s">
        <v>74</v>
      </c>
      <c r="E727" s="1" t="s">
        <v>74</v>
      </c>
      <c r="F727" s="1" t="s">
        <v>6886</v>
      </c>
      <c r="G727" s="1" t="s">
        <v>74</v>
      </c>
      <c r="H727" s="1" t="s">
        <v>74</v>
      </c>
      <c r="I727" s="1" t="s">
        <v>6887</v>
      </c>
      <c r="J727" s="1" t="s">
        <v>6888</v>
      </c>
      <c r="K727" s="1" t="s">
        <v>74</v>
      </c>
      <c r="L727" s="1" t="s">
        <v>74</v>
      </c>
      <c r="M727" s="1" t="s">
        <v>74</v>
      </c>
      <c r="N727" s="1" t="s">
        <v>74</v>
      </c>
      <c r="O727" s="1" t="s">
        <v>74</v>
      </c>
      <c r="P727" s="1" t="s">
        <v>74</v>
      </c>
      <c r="Q727" s="1" t="s">
        <v>74</v>
      </c>
      <c r="R727" s="1" t="s">
        <v>74</v>
      </c>
      <c r="S727" s="1" t="s">
        <v>74</v>
      </c>
      <c r="T727" s="1" t="s">
        <v>74</v>
      </c>
      <c r="U727" s="1" t="s">
        <v>74</v>
      </c>
      <c r="V727" s="1" t="s">
        <v>6889</v>
      </c>
      <c r="W727" s="1" t="s">
        <v>74</v>
      </c>
      <c r="X727" s="1" t="s">
        <v>74</v>
      </c>
      <c r="Y727" s="1" t="s">
        <v>74</v>
      </c>
      <c r="Z727" s="1" t="s">
        <v>74</v>
      </c>
      <c r="AA727" s="1" t="s">
        <v>6890</v>
      </c>
      <c r="AB727" s="1" t="s">
        <v>6891</v>
      </c>
      <c r="AC727" s="1" t="s">
        <v>74</v>
      </c>
      <c r="AD727" s="1" t="s">
        <v>74</v>
      </c>
      <c r="AE727" s="1" t="s">
        <v>74</v>
      </c>
      <c r="AF727" s="1" t="s">
        <v>74</v>
      </c>
      <c r="AG727" s="1" t="s">
        <v>74</v>
      </c>
      <c r="AH727" s="1" t="s">
        <v>74</v>
      </c>
      <c r="AI727" s="1" t="s">
        <v>74</v>
      </c>
      <c r="AJ727" s="1" t="s">
        <v>74</v>
      </c>
      <c r="AK727" s="1" t="s">
        <v>74</v>
      </c>
      <c r="AL727" s="1" t="s">
        <v>74</v>
      </c>
      <c r="AM727" s="1" t="s">
        <v>74</v>
      </c>
      <c r="AN727" s="1" t="s">
        <v>74</v>
      </c>
      <c r="AO727" s="1" t="s">
        <v>6892</v>
      </c>
      <c r="AP727" s="1" t="s">
        <v>6893</v>
      </c>
      <c r="AQ727" s="1" t="s">
        <v>74</v>
      </c>
      <c r="AR727" s="1" t="s">
        <v>74</v>
      </c>
      <c r="AS727" s="1" t="s">
        <v>74</v>
      </c>
      <c r="AT727" s="1" t="s">
        <v>6894</v>
      </c>
      <c r="AU727" s="1">
        <v>2010.0</v>
      </c>
      <c r="AV727" s="1">
        <v>398.0</v>
      </c>
      <c r="AW727" s="1">
        <v>4.0</v>
      </c>
      <c r="AX727" s="1" t="s">
        <v>74</v>
      </c>
      <c r="AY727" s="1" t="s">
        <v>74</v>
      </c>
      <c r="AZ727" s="1" t="s">
        <v>74</v>
      </c>
      <c r="BA727" s="1" t="s">
        <v>74</v>
      </c>
      <c r="BB727" s="1">
        <v>690.0</v>
      </c>
      <c r="BC727" s="1">
        <v>694.0</v>
      </c>
      <c r="BD727" s="1" t="s">
        <v>74</v>
      </c>
      <c r="BE727" s="1" t="s">
        <v>6895</v>
      </c>
      <c r="BF727" s="2" t="str">
        <f>HYPERLINK("http://dx.doi.org/10.1016/j.bbrc.2010.07.002","http://dx.doi.org/10.1016/j.bbrc.2010.07.002")</f>
        <v>http://dx.doi.org/10.1016/j.bbrc.2010.07.002</v>
      </c>
      <c r="BG727" s="1" t="s">
        <v>74</v>
      </c>
      <c r="BH727" s="1" t="s">
        <v>74</v>
      </c>
      <c r="BI727" s="1" t="s">
        <v>74</v>
      </c>
      <c r="BJ727" s="1" t="s">
        <v>74</v>
      </c>
      <c r="BK727" s="1" t="s">
        <v>74</v>
      </c>
      <c r="BL727" s="1" t="s">
        <v>74</v>
      </c>
      <c r="BM727" s="1" t="s">
        <v>74</v>
      </c>
      <c r="BN727" s="1">
        <v>2.0621065E7</v>
      </c>
      <c r="BO727" s="1" t="s">
        <v>74</v>
      </c>
      <c r="BP727" s="1" t="s">
        <v>74</v>
      </c>
      <c r="BQ727" s="1" t="s">
        <v>74</v>
      </c>
      <c r="BR727" s="1" t="s">
        <v>74</v>
      </c>
      <c r="BS727" s="1" t="s">
        <v>6896</v>
      </c>
      <c r="BT727" s="1" t="str">
        <f>HYPERLINK("https%3A%2F%2Fwww.webofscience.com%2Fwos%2Fwoscc%2Ffull-record%2FWOS:000280901300013","View Full Record in Web of Science")</f>
        <v>View Full Record in Web of Science</v>
      </c>
    </row>
    <row r="728" ht="12.75" customHeight="1">
      <c r="A728" s="1" t="s">
        <v>72</v>
      </c>
      <c r="B728" s="1" t="s">
        <v>6897</v>
      </c>
      <c r="C728" s="1" t="s">
        <v>74</v>
      </c>
      <c r="D728" s="1" t="s">
        <v>74</v>
      </c>
      <c r="E728" s="1" t="s">
        <v>74</v>
      </c>
      <c r="F728" s="1" t="s">
        <v>6898</v>
      </c>
      <c r="G728" s="1" t="s">
        <v>74</v>
      </c>
      <c r="H728" s="1" t="s">
        <v>74</v>
      </c>
      <c r="I728" s="1" t="s">
        <v>6899</v>
      </c>
      <c r="J728" s="1" t="s">
        <v>6900</v>
      </c>
      <c r="K728" s="1" t="s">
        <v>74</v>
      </c>
      <c r="L728" s="1" t="s">
        <v>74</v>
      </c>
      <c r="M728" s="1" t="s">
        <v>74</v>
      </c>
      <c r="N728" s="1" t="s">
        <v>74</v>
      </c>
      <c r="O728" s="1" t="s">
        <v>74</v>
      </c>
      <c r="P728" s="1" t="s">
        <v>74</v>
      </c>
      <c r="Q728" s="1" t="s">
        <v>74</v>
      </c>
      <c r="R728" s="1" t="s">
        <v>74</v>
      </c>
      <c r="S728" s="1" t="s">
        <v>74</v>
      </c>
      <c r="T728" s="1" t="s">
        <v>74</v>
      </c>
      <c r="U728" s="1" t="s">
        <v>74</v>
      </c>
      <c r="V728" s="1" t="s">
        <v>6901</v>
      </c>
      <c r="W728" s="1" t="s">
        <v>74</v>
      </c>
      <c r="X728" s="1" t="s">
        <v>74</v>
      </c>
      <c r="Y728" s="1" t="s">
        <v>74</v>
      </c>
      <c r="Z728" s="1" t="s">
        <v>74</v>
      </c>
      <c r="AA728" s="1" t="s">
        <v>6902</v>
      </c>
      <c r="AB728" s="1" t="s">
        <v>6903</v>
      </c>
      <c r="AC728" s="1" t="s">
        <v>74</v>
      </c>
      <c r="AD728" s="1" t="s">
        <v>74</v>
      </c>
      <c r="AE728" s="1" t="s">
        <v>74</v>
      </c>
      <c r="AF728" s="1" t="s">
        <v>74</v>
      </c>
      <c r="AG728" s="1" t="s">
        <v>74</v>
      </c>
      <c r="AH728" s="1" t="s">
        <v>74</v>
      </c>
      <c r="AI728" s="1" t="s">
        <v>74</v>
      </c>
      <c r="AJ728" s="1" t="s">
        <v>74</v>
      </c>
      <c r="AK728" s="1" t="s">
        <v>74</v>
      </c>
      <c r="AL728" s="1" t="s">
        <v>74</v>
      </c>
      <c r="AM728" s="1" t="s">
        <v>74</v>
      </c>
      <c r="AN728" s="1" t="s">
        <v>74</v>
      </c>
      <c r="AO728" s="1" t="s">
        <v>6904</v>
      </c>
      <c r="AP728" s="1" t="s">
        <v>6905</v>
      </c>
      <c r="AQ728" s="1" t="s">
        <v>74</v>
      </c>
      <c r="AR728" s="1" t="s">
        <v>74</v>
      </c>
      <c r="AS728" s="1" t="s">
        <v>74</v>
      </c>
      <c r="AT728" s="1" t="s">
        <v>74</v>
      </c>
      <c r="AU728" s="1">
        <v>2008.0</v>
      </c>
      <c r="AV728" s="1">
        <v>14.0</v>
      </c>
      <c r="AW728" s="1">
        <v>5.0</v>
      </c>
      <c r="AX728" s="1" t="s">
        <v>74</v>
      </c>
      <c r="AY728" s="1" t="s">
        <v>74</v>
      </c>
      <c r="AZ728" s="1" t="s">
        <v>74</v>
      </c>
      <c r="BA728" s="1" t="s">
        <v>74</v>
      </c>
      <c r="BB728" s="1">
        <v>260.0</v>
      </c>
      <c r="BC728" s="1">
        <v>270.0</v>
      </c>
      <c r="BD728" s="1" t="s">
        <v>74</v>
      </c>
      <c r="BE728" s="1" t="s">
        <v>6906</v>
      </c>
      <c r="BF728" s="2" t="str">
        <f>HYPERLINK("http://dx.doi.org/10.1108/13552540810907929","http://dx.doi.org/10.1108/13552540810907929")</f>
        <v>http://dx.doi.org/10.1108/13552540810907929</v>
      </c>
      <c r="BG728" s="1" t="s">
        <v>74</v>
      </c>
      <c r="BH728" s="1" t="s">
        <v>74</v>
      </c>
      <c r="BI728" s="1" t="s">
        <v>74</v>
      </c>
      <c r="BJ728" s="1" t="s">
        <v>74</v>
      </c>
      <c r="BK728" s="1" t="s">
        <v>74</v>
      </c>
      <c r="BL728" s="1" t="s">
        <v>74</v>
      </c>
      <c r="BM728" s="1" t="s">
        <v>74</v>
      </c>
      <c r="BN728" s="1" t="s">
        <v>74</v>
      </c>
      <c r="BO728" s="1" t="s">
        <v>74</v>
      </c>
      <c r="BP728" s="1" t="s">
        <v>74</v>
      </c>
      <c r="BQ728" s="1" t="s">
        <v>74</v>
      </c>
      <c r="BR728" s="1" t="s">
        <v>74</v>
      </c>
      <c r="BS728" s="1" t="s">
        <v>6907</v>
      </c>
      <c r="BT728" s="1" t="str">
        <f>HYPERLINK("https%3A%2F%2Fwww.webofscience.com%2Fwos%2Fwoscc%2Ffull-record%2FWOS:000261405000002","View Full Record in Web of Science")</f>
        <v>View Full Record in Web of Science</v>
      </c>
    </row>
    <row r="729" ht="12.75" customHeight="1">
      <c r="A729" s="1" t="s">
        <v>72</v>
      </c>
      <c r="B729" s="1" t="s">
        <v>6908</v>
      </c>
      <c r="C729" s="1" t="s">
        <v>74</v>
      </c>
      <c r="D729" s="1" t="s">
        <v>74</v>
      </c>
      <c r="E729" s="1" t="s">
        <v>74</v>
      </c>
      <c r="F729" s="1" t="s">
        <v>6909</v>
      </c>
      <c r="G729" s="1" t="s">
        <v>74</v>
      </c>
      <c r="H729" s="1" t="s">
        <v>74</v>
      </c>
      <c r="I729" s="1" t="s">
        <v>6910</v>
      </c>
      <c r="J729" s="1" t="s">
        <v>6911</v>
      </c>
      <c r="K729" s="1" t="s">
        <v>74</v>
      </c>
      <c r="L729" s="1" t="s">
        <v>74</v>
      </c>
      <c r="M729" s="1" t="s">
        <v>74</v>
      </c>
      <c r="N729" s="1" t="s">
        <v>74</v>
      </c>
      <c r="O729" s="1" t="s">
        <v>74</v>
      </c>
      <c r="P729" s="1" t="s">
        <v>74</v>
      </c>
      <c r="Q729" s="1" t="s">
        <v>74</v>
      </c>
      <c r="R729" s="1" t="s">
        <v>74</v>
      </c>
      <c r="S729" s="1" t="s">
        <v>74</v>
      </c>
      <c r="T729" s="1" t="s">
        <v>74</v>
      </c>
      <c r="U729" s="1" t="s">
        <v>74</v>
      </c>
      <c r="V729" s="1" t="s">
        <v>6912</v>
      </c>
      <c r="W729" s="1" t="s">
        <v>74</v>
      </c>
      <c r="X729" s="1" t="s">
        <v>74</v>
      </c>
      <c r="Y729" s="1" t="s">
        <v>74</v>
      </c>
      <c r="Z729" s="1" t="s">
        <v>74</v>
      </c>
      <c r="AA729" s="1" t="s">
        <v>6913</v>
      </c>
      <c r="AB729" s="1" t="s">
        <v>74</v>
      </c>
      <c r="AC729" s="1" t="s">
        <v>74</v>
      </c>
      <c r="AD729" s="1" t="s">
        <v>74</v>
      </c>
      <c r="AE729" s="1" t="s">
        <v>74</v>
      </c>
      <c r="AF729" s="1" t="s">
        <v>74</v>
      </c>
      <c r="AG729" s="1" t="s">
        <v>74</v>
      </c>
      <c r="AH729" s="1" t="s">
        <v>74</v>
      </c>
      <c r="AI729" s="1" t="s">
        <v>74</v>
      </c>
      <c r="AJ729" s="1" t="s">
        <v>74</v>
      </c>
      <c r="AK729" s="1" t="s">
        <v>74</v>
      </c>
      <c r="AL729" s="1" t="s">
        <v>74</v>
      </c>
      <c r="AM729" s="1" t="s">
        <v>74</v>
      </c>
      <c r="AN729" s="1" t="s">
        <v>74</v>
      </c>
      <c r="AO729" s="1" t="s">
        <v>6914</v>
      </c>
      <c r="AP729" s="1" t="s">
        <v>6915</v>
      </c>
      <c r="AQ729" s="1" t="s">
        <v>74</v>
      </c>
      <c r="AR729" s="1" t="s">
        <v>74</v>
      </c>
      <c r="AS729" s="1" t="s">
        <v>74</v>
      </c>
      <c r="AT729" s="1" t="s">
        <v>389</v>
      </c>
      <c r="AU729" s="1">
        <v>2007.0</v>
      </c>
      <c r="AV729" s="1">
        <v>61.0</v>
      </c>
      <c r="AW729" s="1" t="s">
        <v>6916</v>
      </c>
      <c r="AX729" s="1" t="s">
        <v>74</v>
      </c>
      <c r="AY729" s="1" t="s">
        <v>74</v>
      </c>
      <c r="AZ729" s="1" t="s">
        <v>74</v>
      </c>
      <c r="BA729" s="1" t="s">
        <v>74</v>
      </c>
      <c r="BB729" s="1">
        <v>929.0</v>
      </c>
      <c r="BC729" s="1">
        <v>933.0</v>
      </c>
      <c r="BD729" s="1" t="s">
        <v>74</v>
      </c>
      <c r="BE729" s="1" t="s">
        <v>6917</v>
      </c>
      <c r="BF729" s="2" t="str">
        <f>HYPERLINK("http://dx.doi.org/10.1016/j.matlet.2006.11.070","http://dx.doi.org/10.1016/j.matlet.2006.11.070")</f>
        <v>http://dx.doi.org/10.1016/j.matlet.2006.11.070</v>
      </c>
      <c r="BG729" s="1" t="s">
        <v>74</v>
      </c>
      <c r="BH729" s="1" t="s">
        <v>74</v>
      </c>
      <c r="BI729" s="1" t="s">
        <v>74</v>
      </c>
      <c r="BJ729" s="1" t="s">
        <v>74</v>
      </c>
      <c r="BK729" s="1" t="s">
        <v>74</v>
      </c>
      <c r="BL729" s="1" t="s">
        <v>74</v>
      </c>
      <c r="BM729" s="1" t="s">
        <v>74</v>
      </c>
      <c r="BN729" s="1" t="s">
        <v>74</v>
      </c>
      <c r="BO729" s="1" t="s">
        <v>74</v>
      </c>
      <c r="BP729" s="1" t="s">
        <v>74</v>
      </c>
      <c r="BQ729" s="1" t="s">
        <v>74</v>
      </c>
      <c r="BR729" s="1" t="s">
        <v>74</v>
      </c>
      <c r="BS729" s="1" t="s">
        <v>6918</v>
      </c>
      <c r="BT729" s="1" t="str">
        <f>HYPERLINK("https%3A%2F%2Fwww.webofscience.com%2Fwos%2Fwoscc%2Ffull-record%2FWOS:000243844100001","View Full Record in Web of Science")</f>
        <v>View Full Record in Web of Science</v>
      </c>
    </row>
    <row r="730" ht="12.75" customHeight="1">
      <c r="A730" s="1" t="s">
        <v>72</v>
      </c>
      <c r="B730" s="1" t="s">
        <v>6919</v>
      </c>
      <c r="C730" s="1" t="s">
        <v>74</v>
      </c>
      <c r="D730" s="1" t="s">
        <v>74</v>
      </c>
      <c r="E730" s="1" t="s">
        <v>74</v>
      </c>
      <c r="F730" s="1" t="s">
        <v>6920</v>
      </c>
      <c r="G730" s="1" t="s">
        <v>74</v>
      </c>
      <c r="H730" s="1" t="s">
        <v>74</v>
      </c>
      <c r="I730" s="1" t="s">
        <v>6921</v>
      </c>
      <c r="J730" s="1" t="s">
        <v>6922</v>
      </c>
      <c r="K730" s="1" t="s">
        <v>74</v>
      </c>
      <c r="L730" s="1" t="s">
        <v>74</v>
      </c>
      <c r="M730" s="1" t="s">
        <v>74</v>
      </c>
      <c r="N730" s="1" t="s">
        <v>74</v>
      </c>
      <c r="O730" s="1" t="s">
        <v>6923</v>
      </c>
      <c r="P730" s="1" t="s">
        <v>6924</v>
      </c>
      <c r="Q730" s="1" t="s">
        <v>6925</v>
      </c>
      <c r="R730" s="1" t="s">
        <v>6926</v>
      </c>
      <c r="S730" s="1" t="s">
        <v>74</v>
      </c>
      <c r="T730" s="1" t="s">
        <v>74</v>
      </c>
      <c r="U730" s="1" t="s">
        <v>74</v>
      </c>
      <c r="V730" s="1" t="s">
        <v>6927</v>
      </c>
      <c r="W730" s="1" t="s">
        <v>74</v>
      </c>
      <c r="X730" s="1" t="s">
        <v>74</v>
      </c>
      <c r="Y730" s="1" t="s">
        <v>74</v>
      </c>
      <c r="Z730" s="1" t="s">
        <v>74</v>
      </c>
      <c r="AA730" s="1" t="s">
        <v>6928</v>
      </c>
      <c r="AB730" s="1" t="s">
        <v>6929</v>
      </c>
      <c r="AC730" s="1" t="s">
        <v>74</v>
      </c>
      <c r="AD730" s="1" t="s">
        <v>74</v>
      </c>
      <c r="AE730" s="1" t="s">
        <v>74</v>
      </c>
      <c r="AF730" s="1" t="s">
        <v>74</v>
      </c>
      <c r="AG730" s="1" t="s">
        <v>74</v>
      </c>
      <c r="AH730" s="1" t="s">
        <v>74</v>
      </c>
      <c r="AI730" s="1" t="s">
        <v>74</v>
      </c>
      <c r="AJ730" s="1" t="s">
        <v>74</v>
      </c>
      <c r="AK730" s="1" t="s">
        <v>74</v>
      </c>
      <c r="AL730" s="1" t="s">
        <v>74</v>
      </c>
      <c r="AM730" s="1" t="s">
        <v>74</v>
      </c>
      <c r="AN730" s="1" t="s">
        <v>74</v>
      </c>
      <c r="AO730" s="1" t="s">
        <v>6930</v>
      </c>
      <c r="AP730" s="1" t="s">
        <v>6931</v>
      </c>
      <c r="AQ730" s="1" t="s">
        <v>74</v>
      </c>
      <c r="AR730" s="1" t="s">
        <v>74</v>
      </c>
      <c r="AS730" s="1" t="s">
        <v>74</v>
      </c>
      <c r="AT730" s="1" t="s">
        <v>1654</v>
      </c>
      <c r="AU730" s="1">
        <v>2006.0</v>
      </c>
      <c r="AV730" s="1">
        <v>384.0</v>
      </c>
      <c r="AW730" s="1" t="s">
        <v>308</v>
      </c>
      <c r="AX730" s="1" t="s">
        <v>74</v>
      </c>
      <c r="AY730" s="1" t="s">
        <v>74</v>
      </c>
      <c r="AZ730" s="1" t="s">
        <v>74</v>
      </c>
      <c r="BA730" s="1" t="s">
        <v>74</v>
      </c>
      <c r="BB730" s="1">
        <v>290.0</v>
      </c>
      <c r="BC730" s="1">
        <v>293.0</v>
      </c>
      <c r="BD730" s="1" t="s">
        <v>74</v>
      </c>
      <c r="BE730" s="1" t="s">
        <v>6932</v>
      </c>
      <c r="BF730" s="2" t="str">
        <f>HYPERLINK("http://dx.doi.org/10.1016/j.physb.2006.06.013","http://dx.doi.org/10.1016/j.physb.2006.06.013")</f>
        <v>http://dx.doi.org/10.1016/j.physb.2006.06.013</v>
      </c>
      <c r="BG730" s="1" t="s">
        <v>74</v>
      </c>
      <c r="BH730" s="1" t="s">
        <v>74</v>
      </c>
      <c r="BI730" s="1" t="s">
        <v>74</v>
      </c>
      <c r="BJ730" s="1" t="s">
        <v>74</v>
      </c>
      <c r="BK730" s="1" t="s">
        <v>74</v>
      </c>
      <c r="BL730" s="1" t="s">
        <v>74</v>
      </c>
      <c r="BM730" s="1" t="s">
        <v>74</v>
      </c>
      <c r="BN730" s="1" t="s">
        <v>74</v>
      </c>
      <c r="BO730" s="1" t="s">
        <v>74</v>
      </c>
      <c r="BP730" s="1" t="s">
        <v>74</v>
      </c>
      <c r="BQ730" s="1" t="s">
        <v>74</v>
      </c>
      <c r="BR730" s="1" t="s">
        <v>74</v>
      </c>
      <c r="BS730" s="1" t="s">
        <v>6933</v>
      </c>
      <c r="BT730" s="1" t="str">
        <f>HYPERLINK("https%3A%2F%2Fwww.webofscience.com%2Fwos%2Fwoscc%2Ffull-record%2FWOS:000241020700088","View Full Record in Web of Science")</f>
        <v>View Full Record in Web of Science</v>
      </c>
    </row>
    <row r="731" ht="12.75" customHeight="1">
      <c r="A731" s="1" t="s">
        <v>72</v>
      </c>
      <c r="B731" s="1" t="s">
        <v>6934</v>
      </c>
      <c r="C731" s="1" t="s">
        <v>74</v>
      </c>
      <c r="D731" s="1" t="s">
        <v>74</v>
      </c>
      <c r="E731" s="1" t="s">
        <v>74</v>
      </c>
      <c r="F731" s="1" t="s">
        <v>6934</v>
      </c>
      <c r="G731" s="1" t="s">
        <v>74</v>
      </c>
      <c r="H731" s="1" t="s">
        <v>74</v>
      </c>
      <c r="I731" s="1" t="s">
        <v>6935</v>
      </c>
      <c r="J731" s="1" t="s">
        <v>6936</v>
      </c>
      <c r="K731" s="1" t="s">
        <v>74</v>
      </c>
      <c r="L731" s="1" t="s">
        <v>74</v>
      </c>
      <c r="M731" s="1" t="s">
        <v>74</v>
      </c>
      <c r="N731" s="1" t="s">
        <v>74</v>
      </c>
      <c r="O731" s="1" t="s">
        <v>74</v>
      </c>
      <c r="P731" s="1" t="s">
        <v>74</v>
      </c>
      <c r="Q731" s="1" t="s">
        <v>74</v>
      </c>
      <c r="R731" s="1" t="s">
        <v>74</v>
      </c>
      <c r="S731" s="1" t="s">
        <v>74</v>
      </c>
      <c r="T731" s="1" t="s">
        <v>74</v>
      </c>
      <c r="U731" s="1" t="s">
        <v>74</v>
      </c>
      <c r="V731" s="1" t="s">
        <v>6937</v>
      </c>
      <c r="W731" s="1" t="s">
        <v>74</v>
      </c>
      <c r="X731" s="1" t="s">
        <v>74</v>
      </c>
      <c r="Y731" s="1" t="s">
        <v>74</v>
      </c>
      <c r="Z731" s="1" t="s">
        <v>74</v>
      </c>
      <c r="AA731" s="1" t="s">
        <v>74</v>
      </c>
      <c r="AB731" s="1" t="s">
        <v>74</v>
      </c>
      <c r="AC731" s="1" t="s">
        <v>74</v>
      </c>
      <c r="AD731" s="1" t="s">
        <v>74</v>
      </c>
      <c r="AE731" s="1" t="s">
        <v>74</v>
      </c>
      <c r="AF731" s="1" t="s">
        <v>74</v>
      </c>
      <c r="AG731" s="1" t="s">
        <v>74</v>
      </c>
      <c r="AH731" s="1" t="s">
        <v>74</v>
      </c>
      <c r="AI731" s="1" t="s">
        <v>74</v>
      </c>
      <c r="AJ731" s="1" t="s">
        <v>74</v>
      </c>
      <c r="AK731" s="1" t="s">
        <v>74</v>
      </c>
      <c r="AL731" s="1" t="s">
        <v>74</v>
      </c>
      <c r="AM731" s="1" t="s">
        <v>74</v>
      </c>
      <c r="AN731" s="1" t="s">
        <v>74</v>
      </c>
      <c r="AO731" s="1" t="s">
        <v>6938</v>
      </c>
      <c r="AP731" s="1" t="s">
        <v>74</v>
      </c>
      <c r="AQ731" s="1" t="s">
        <v>74</v>
      </c>
      <c r="AR731" s="1" t="s">
        <v>74</v>
      </c>
      <c r="AS731" s="1" t="s">
        <v>74</v>
      </c>
      <c r="AT731" s="1" t="s">
        <v>144</v>
      </c>
      <c r="AU731" s="1">
        <v>2004.0</v>
      </c>
      <c r="AV731" s="1">
        <v>50.0</v>
      </c>
      <c r="AW731" s="1">
        <v>5.0</v>
      </c>
      <c r="AX731" s="1" t="s">
        <v>74</v>
      </c>
      <c r="AY731" s="1" t="s">
        <v>74</v>
      </c>
      <c r="AZ731" s="1" t="s">
        <v>74</v>
      </c>
      <c r="BA731" s="1" t="s">
        <v>74</v>
      </c>
      <c r="BB731" s="1">
        <v>651.0</v>
      </c>
      <c r="BC731" s="1">
        <v>654.0</v>
      </c>
      <c r="BD731" s="1" t="s">
        <v>74</v>
      </c>
      <c r="BE731" s="1" t="s">
        <v>6939</v>
      </c>
      <c r="BF731" s="2" t="str">
        <f>HYPERLINK("http://dx.doi.org/10.1016/j.scriptamat.2003.11.021","http://dx.doi.org/10.1016/j.scriptamat.2003.11.021")</f>
        <v>http://dx.doi.org/10.1016/j.scriptamat.2003.11.021</v>
      </c>
      <c r="BG731" s="1" t="s">
        <v>74</v>
      </c>
      <c r="BH731" s="1" t="s">
        <v>74</v>
      </c>
      <c r="BI731" s="1" t="s">
        <v>74</v>
      </c>
      <c r="BJ731" s="1" t="s">
        <v>74</v>
      </c>
      <c r="BK731" s="1" t="s">
        <v>74</v>
      </c>
      <c r="BL731" s="1" t="s">
        <v>74</v>
      </c>
      <c r="BM731" s="1" t="s">
        <v>74</v>
      </c>
      <c r="BN731" s="1" t="s">
        <v>74</v>
      </c>
      <c r="BO731" s="1" t="s">
        <v>74</v>
      </c>
      <c r="BP731" s="1" t="s">
        <v>74</v>
      </c>
      <c r="BQ731" s="1" t="s">
        <v>74</v>
      </c>
      <c r="BR731" s="1" t="s">
        <v>74</v>
      </c>
      <c r="BS731" s="1" t="s">
        <v>6940</v>
      </c>
      <c r="BT731" s="1" t="str">
        <f>HYPERLINK("https%3A%2F%2Fwww.webofscience.com%2Fwos%2Fwoscc%2Ffull-record%2FWOS:000188063400018","View Full Record in Web of Science")</f>
        <v>View Full Record in Web of Science</v>
      </c>
    </row>
    <row r="732" ht="12.75" customHeight="1">
      <c r="A732" s="1" t="s">
        <v>72</v>
      </c>
      <c r="B732" s="1" t="s">
        <v>6941</v>
      </c>
      <c r="C732" s="1" t="s">
        <v>74</v>
      </c>
      <c r="D732" s="1" t="s">
        <v>74</v>
      </c>
      <c r="E732" s="1" t="s">
        <v>74</v>
      </c>
      <c r="F732" s="1" t="s">
        <v>6941</v>
      </c>
      <c r="G732" s="1" t="s">
        <v>74</v>
      </c>
      <c r="H732" s="1" t="s">
        <v>74</v>
      </c>
      <c r="I732" s="1" t="s">
        <v>6942</v>
      </c>
      <c r="J732" s="1" t="s">
        <v>3822</v>
      </c>
      <c r="K732" s="1" t="s">
        <v>74</v>
      </c>
      <c r="L732" s="1" t="s">
        <v>74</v>
      </c>
      <c r="M732" s="1" t="s">
        <v>74</v>
      </c>
      <c r="N732" s="1" t="s">
        <v>74</v>
      </c>
      <c r="O732" s="1" t="s">
        <v>74</v>
      </c>
      <c r="P732" s="1" t="s">
        <v>74</v>
      </c>
      <c r="Q732" s="1" t="s">
        <v>74</v>
      </c>
      <c r="R732" s="1" t="s">
        <v>74</v>
      </c>
      <c r="S732" s="1" t="s">
        <v>74</v>
      </c>
      <c r="T732" s="1" t="s">
        <v>74</v>
      </c>
      <c r="U732" s="1" t="s">
        <v>74</v>
      </c>
      <c r="V732" s="1" t="s">
        <v>6943</v>
      </c>
      <c r="W732" s="1" t="s">
        <v>74</v>
      </c>
      <c r="X732" s="1" t="s">
        <v>74</v>
      </c>
      <c r="Y732" s="1" t="s">
        <v>74</v>
      </c>
      <c r="Z732" s="1" t="s">
        <v>74</v>
      </c>
      <c r="AA732" s="1" t="s">
        <v>74</v>
      </c>
      <c r="AB732" s="1" t="s">
        <v>6944</v>
      </c>
      <c r="AC732" s="1" t="s">
        <v>74</v>
      </c>
      <c r="AD732" s="1" t="s">
        <v>74</v>
      </c>
      <c r="AE732" s="1" t="s">
        <v>74</v>
      </c>
      <c r="AF732" s="1" t="s">
        <v>74</v>
      </c>
      <c r="AG732" s="1" t="s">
        <v>74</v>
      </c>
      <c r="AH732" s="1" t="s">
        <v>74</v>
      </c>
      <c r="AI732" s="1" t="s">
        <v>74</v>
      </c>
      <c r="AJ732" s="1" t="s">
        <v>74</v>
      </c>
      <c r="AK732" s="1" t="s">
        <v>74</v>
      </c>
      <c r="AL732" s="1" t="s">
        <v>74</v>
      </c>
      <c r="AM732" s="1" t="s">
        <v>74</v>
      </c>
      <c r="AN732" s="1" t="s">
        <v>74</v>
      </c>
      <c r="AO732" s="1" t="s">
        <v>3825</v>
      </c>
      <c r="AP732" s="1" t="s">
        <v>3826</v>
      </c>
      <c r="AQ732" s="1" t="s">
        <v>74</v>
      </c>
      <c r="AR732" s="1" t="s">
        <v>74</v>
      </c>
      <c r="AS732" s="1" t="s">
        <v>74</v>
      </c>
      <c r="AT732" s="1" t="s">
        <v>363</v>
      </c>
      <c r="AU732" s="1">
        <v>2002.0</v>
      </c>
      <c r="AV732" s="1">
        <v>66.0</v>
      </c>
      <c r="AW732" s="1" t="s">
        <v>3395</v>
      </c>
      <c r="AX732" s="1" t="s">
        <v>74</v>
      </c>
      <c r="AY732" s="1" t="s">
        <v>74</v>
      </c>
      <c r="AZ732" s="1" t="s">
        <v>74</v>
      </c>
      <c r="BA732" s="1" t="s">
        <v>74</v>
      </c>
      <c r="BB732" s="1">
        <v>101.0</v>
      </c>
      <c r="BC732" s="1">
        <v>105.0</v>
      </c>
      <c r="BD732" s="1" t="s">
        <v>6945</v>
      </c>
      <c r="BE732" s="1" t="s">
        <v>6946</v>
      </c>
      <c r="BF732" s="2" t="str">
        <f>HYPERLINK("http://dx.doi.org/10.1016/S0304-386X(02)00108-1","http://dx.doi.org/10.1016/S0304-386X(02)00108-1")</f>
        <v>http://dx.doi.org/10.1016/S0304-386X(02)00108-1</v>
      </c>
      <c r="BG732" s="1" t="s">
        <v>74</v>
      </c>
      <c r="BH732" s="1" t="s">
        <v>74</v>
      </c>
      <c r="BI732" s="1" t="s">
        <v>74</v>
      </c>
      <c r="BJ732" s="1" t="s">
        <v>74</v>
      </c>
      <c r="BK732" s="1" t="s">
        <v>74</v>
      </c>
      <c r="BL732" s="1" t="s">
        <v>74</v>
      </c>
      <c r="BM732" s="1" t="s">
        <v>74</v>
      </c>
      <c r="BN732" s="1" t="s">
        <v>74</v>
      </c>
      <c r="BO732" s="1" t="s">
        <v>74</v>
      </c>
      <c r="BP732" s="1" t="s">
        <v>74</v>
      </c>
      <c r="BQ732" s="1" t="s">
        <v>74</v>
      </c>
      <c r="BR732" s="1" t="s">
        <v>74</v>
      </c>
      <c r="BS732" s="1" t="s">
        <v>6947</v>
      </c>
      <c r="BT732" s="1" t="str">
        <f>HYPERLINK("https%3A%2F%2Fwww.webofscience.com%2Fwos%2Fwoscc%2Ffull-record%2FWOS:000178516300009","View Full Record in Web of Science")</f>
        <v>View Full Record in Web of Science</v>
      </c>
    </row>
    <row r="733" ht="12.75" customHeight="1">
      <c r="A733" s="1" t="s">
        <v>72</v>
      </c>
      <c r="B733" s="1" t="s">
        <v>6948</v>
      </c>
      <c r="C733" s="1" t="s">
        <v>74</v>
      </c>
      <c r="D733" s="1" t="s">
        <v>74</v>
      </c>
      <c r="E733" s="1" t="s">
        <v>74</v>
      </c>
      <c r="F733" s="1" t="s">
        <v>6948</v>
      </c>
      <c r="G733" s="1" t="s">
        <v>74</v>
      </c>
      <c r="H733" s="1" t="s">
        <v>74</v>
      </c>
      <c r="I733" s="1" t="s">
        <v>6949</v>
      </c>
      <c r="J733" s="1" t="s">
        <v>6950</v>
      </c>
      <c r="K733" s="1" t="s">
        <v>74</v>
      </c>
      <c r="L733" s="1" t="s">
        <v>74</v>
      </c>
      <c r="M733" s="1" t="s">
        <v>74</v>
      </c>
      <c r="N733" s="1" t="s">
        <v>74</v>
      </c>
      <c r="O733" s="1" t="s">
        <v>74</v>
      </c>
      <c r="P733" s="1" t="s">
        <v>74</v>
      </c>
      <c r="Q733" s="1" t="s">
        <v>74</v>
      </c>
      <c r="R733" s="1" t="s">
        <v>74</v>
      </c>
      <c r="S733" s="1" t="s">
        <v>74</v>
      </c>
      <c r="T733" s="1" t="s">
        <v>74</v>
      </c>
      <c r="U733" s="1" t="s">
        <v>74</v>
      </c>
      <c r="V733" s="1" t="s">
        <v>6951</v>
      </c>
      <c r="W733" s="1" t="s">
        <v>74</v>
      </c>
      <c r="X733" s="1" t="s">
        <v>74</v>
      </c>
      <c r="Y733" s="1" t="s">
        <v>74</v>
      </c>
      <c r="Z733" s="1" t="s">
        <v>74</v>
      </c>
      <c r="AA733" s="1" t="s">
        <v>74</v>
      </c>
      <c r="AB733" s="1" t="s">
        <v>6952</v>
      </c>
      <c r="AC733" s="1" t="s">
        <v>74</v>
      </c>
      <c r="AD733" s="1" t="s">
        <v>74</v>
      </c>
      <c r="AE733" s="1" t="s">
        <v>74</v>
      </c>
      <c r="AF733" s="1" t="s">
        <v>74</v>
      </c>
      <c r="AG733" s="1" t="s">
        <v>74</v>
      </c>
      <c r="AH733" s="1" t="s">
        <v>74</v>
      </c>
      <c r="AI733" s="1" t="s">
        <v>74</v>
      </c>
      <c r="AJ733" s="1" t="s">
        <v>74</v>
      </c>
      <c r="AK733" s="1" t="s">
        <v>74</v>
      </c>
      <c r="AL733" s="1" t="s">
        <v>74</v>
      </c>
      <c r="AM733" s="1" t="s">
        <v>74</v>
      </c>
      <c r="AN733" s="1" t="s">
        <v>74</v>
      </c>
      <c r="AO733" s="1" t="s">
        <v>6953</v>
      </c>
      <c r="AP733" s="1" t="s">
        <v>74</v>
      </c>
      <c r="AQ733" s="1" t="s">
        <v>74</v>
      </c>
      <c r="AR733" s="1" t="s">
        <v>74</v>
      </c>
      <c r="AS733" s="1" t="s">
        <v>74</v>
      </c>
      <c r="AT733" s="1" t="s">
        <v>74</v>
      </c>
      <c r="AU733" s="1">
        <v>2001.0</v>
      </c>
      <c r="AV733" s="1">
        <v>74.0</v>
      </c>
      <c r="AW733" s="1">
        <v>1.0</v>
      </c>
      <c r="AX733" s="1" t="s">
        <v>74</v>
      </c>
      <c r="AY733" s="1" t="s">
        <v>74</v>
      </c>
      <c r="AZ733" s="1" t="s">
        <v>74</v>
      </c>
      <c r="BA733" s="1" t="s">
        <v>74</v>
      </c>
      <c r="BB733" s="1">
        <v>111.0</v>
      </c>
      <c r="BC733" s="1">
        <v>118.0</v>
      </c>
      <c r="BD733" s="1" t="s">
        <v>74</v>
      </c>
      <c r="BE733" s="1" t="s">
        <v>6954</v>
      </c>
      <c r="BF733" s="2" t="str">
        <f>HYPERLINK("http://dx.doi.org/10.1023/A:1014115914661","http://dx.doi.org/10.1023/A:1014115914661")</f>
        <v>http://dx.doi.org/10.1023/A:1014115914661</v>
      </c>
      <c r="BG733" s="1" t="s">
        <v>74</v>
      </c>
      <c r="BH733" s="1" t="s">
        <v>74</v>
      </c>
      <c r="BI733" s="1" t="s">
        <v>74</v>
      </c>
      <c r="BJ733" s="1" t="s">
        <v>74</v>
      </c>
      <c r="BK733" s="1" t="s">
        <v>74</v>
      </c>
      <c r="BL733" s="1" t="s">
        <v>74</v>
      </c>
      <c r="BM733" s="1" t="s">
        <v>74</v>
      </c>
      <c r="BN733" s="1" t="s">
        <v>74</v>
      </c>
      <c r="BO733" s="1" t="s">
        <v>74</v>
      </c>
      <c r="BP733" s="1" t="s">
        <v>74</v>
      </c>
      <c r="BQ733" s="1" t="s">
        <v>74</v>
      </c>
      <c r="BR733" s="1" t="s">
        <v>74</v>
      </c>
      <c r="BS733" s="1" t="s">
        <v>6955</v>
      </c>
      <c r="BT733" s="1" t="str">
        <f>HYPERLINK("https%3A%2F%2Fwww.webofscience.com%2Fwos%2Fwoscc%2Ffull-record%2FWOS:000172755100015","View Full Record in Web of Science")</f>
        <v>View Full Record in Web of Science</v>
      </c>
    </row>
    <row r="734" ht="12.75" customHeight="1">
      <c r="A734" s="1" t="s">
        <v>72</v>
      </c>
      <c r="B734" s="1" t="s">
        <v>6956</v>
      </c>
      <c r="C734" s="1" t="s">
        <v>74</v>
      </c>
      <c r="D734" s="1" t="s">
        <v>74</v>
      </c>
      <c r="E734" s="1" t="s">
        <v>74</v>
      </c>
      <c r="F734" s="1" t="s">
        <v>6956</v>
      </c>
      <c r="G734" s="1" t="s">
        <v>74</v>
      </c>
      <c r="H734" s="1" t="s">
        <v>74</v>
      </c>
      <c r="I734" s="1" t="s">
        <v>6957</v>
      </c>
      <c r="J734" s="1" t="s">
        <v>6958</v>
      </c>
      <c r="K734" s="1" t="s">
        <v>74</v>
      </c>
      <c r="L734" s="1" t="s">
        <v>74</v>
      </c>
      <c r="M734" s="1" t="s">
        <v>74</v>
      </c>
      <c r="N734" s="1" t="s">
        <v>74</v>
      </c>
      <c r="O734" s="1" t="s">
        <v>6959</v>
      </c>
      <c r="P734" s="1" t="s">
        <v>6960</v>
      </c>
      <c r="Q734" s="1" t="s">
        <v>6961</v>
      </c>
      <c r="R734" s="1" t="s">
        <v>74</v>
      </c>
      <c r="S734" s="1" t="s">
        <v>74</v>
      </c>
      <c r="T734" s="1" t="s">
        <v>74</v>
      </c>
      <c r="U734" s="1" t="s">
        <v>74</v>
      </c>
      <c r="V734" s="1" t="s">
        <v>6962</v>
      </c>
      <c r="W734" s="1" t="s">
        <v>74</v>
      </c>
      <c r="X734" s="1" t="s">
        <v>74</v>
      </c>
      <c r="Y734" s="1" t="s">
        <v>74</v>
      </c>
      <c r="Z734" s="1" t="s">
        <v>74</v>
      </c>
      <c r="AA734" s="1" t="s">
        <v>74</v>
      </c>
      <c r="AB734" s="1" t="s">
        <v>74</v>
      </c>
      <c r="AC734" s="1" t="s">
        <v>74</v>
      </c>
      <c r="AD734" s="1" t="s">
        <v>74</v>
      </c>
      <c r="AE734" s="1" t="s">
        <v>74</v>
      </c>
      <c r="AF734" s="1" t="s">
        <v>74</v>
      </c>
      <c r="AG734" s="1" t="s">
        <v>74</v>
      </c>
      <c r="AH734" s="1" t="s">
        <v>74</v>
      </c>
      <c r="AI734" s="1" t="s">
        <v>74</v>
      </c>
      <c r="AJ734" s="1" t="s">
        <v>74</v>
      </c>
      <c r="AK734" s="1" t="s">
        <v>74</v>
      </c>
      <c r="AL734" s="1" t="s">
        <v>74</v>
      </c>
      <c r="AM734" s="1" t="s">
        <v>74</v>
      </c>
      <c r="AN734" s="1" t="s">
        <v>74</v>
      </c>
      <c r="AO734" s="1" t="s">
        <v>6963</v>
      </c>
      <c r="AP734" s="1" t="s">
        <v>74</v>
      </c>
      <c r="AQ734" s="1" t="s">
        <v>74</v>
      </c>
      <c r="AR734" s="1" t="s">
        <v>74</v>
      </c>
      <c r="AS734" s="1" t="s">
        <v>74</v>
      </c>
      <c r="AT734" s="1" t="s">
        <v>1821</v>
      </c>
      <c r="AU734" s="1">
        <v>1999.0</v>
      </c>
      <c r="AV734" s="1">
        <v>107.0</v>
      </c>
      <c r="AW734" s="1" t="s">
        <v>3395</v>
      </c>
      <c r="AX734" s="1" t="s">
        <v>74</v>
      </c>
      <c r="AY734" s="1" t="s">
        <v>74</v>
      </c>
      <c r="AZ734" s="1" t="s">
        <v>74</v>
      </c>
      <c r="BA734" s="1" t="s">
        <v>74</v>
      </c>
      <c r="BB734" s="1">
        <v>155.0</v>
      </c>
      <c r="BC734" s="1">
        <v>159.0</v>
      </c>
      <c r="BD734" s="1" t="s">
        <v>74</v>
      </c>
      <c r="BE734" s="1" t="s">
        <v>6964</v>
      </c>
      <c r="BF734" s="2" t="str">
        <f>HYPERLINK("http://dx.doi.org/10.1016/S0378-4274(99)00042-9","http://dx.doi.org/10.1016/S0378-4274(99)00042-9")</f>
        <v>http://dx.doi.org/10.1016/S0378-4274(99)00042-9</v>
      </c>
      <c r="BG734" s="1" t="s">
        <v>74</v>
      </c>
      <c r="BH734" s="1" t="s">
        <v>74</v>
      </c>
      <c r="BI734" s="1" t="s">
        <v>74</v>
      </c>
      <c r="BJ734" s="1" t="s">
        <v>74</v>
      </c>
      <c r="BK734" s="1" t="s">
        <v>74</v>
      </c>
      <c r="BL734" s="1" t="s">
        <v>74</v>
      </c>
      <c r="BM734" s="1" t="s">
        <v>74</v>
      </c>
      <c r="BN734" s="1">
        <v>1.0414792E7</v>
      </c>
      <c r="BO734" s="1" t="s">
        <v>74</v>
      </c>
      <c r="BP734" s="1" t="s">
        <v>74</v>
      </c>
      <c r="BQ734" s="1" t="s">
        <v>74</v>
      </c>
      <c r="BR734" s="1" t="s">
        <v>74</v>
      </c>
      <c r="BS734" s="1" t="s">
        <v>6965</v>
      </c>
      <c r="BT734" s="1" t="str">
        <f>HYPERLINK("https%3A%2F%2Fwww.webofscience.com%2Fwos%2Fwoscc%2Ffull-record%2FWOS:000081353500018","View Full Record in Web of Science")</f>
        <v>View Full Record in Web of Science</v>
      </c>
    </row>
    <row r="735" ht="12.75" customHeight="1">
      <c r="A735" s="1" t="s">
        <v>72</v>
      </c>
      <c r="B735" s="1" t="s">
        <v>6966</v>
      </c>
      <c r="C735" s="1" t="s">
        <v>74</v>
      </c>
      <c r="D735" s="1" t="s">
        <v>74</v>
      </c>
      <c r="E735" s="1" t="s">
        <v>74</v>
      </c>
      <c r="F735" s="1" t="s">
        <v>6966</v>
      </c>
      <c r="G735" s="1" t="s">
        <v>74</v>
      </c>
      <c r="H735" s="1" t="s">
        <v>74</v>
      </c>
      <c r="I735" s="1" t="s">
        <v>6967</v>
      </c>
      <c r="J735" s="1" t="s">
        <v>6968</v>
      </c>
      <c r="K735" s="1" t="s">
        <v>74</v>
      </c>
      <c r="L735" s="1" t="s">
        <v>74</v>
      </c>
      <c r="M735" s="1" t="s">
        <v>74</v>
      </c>
      <c r="N735" s="1" t="s">
        <v>74</v>
      </c>
      <c r="O735" s="1" t="s">
        <v>74</v>
      </c>
      <c r="P735" s="1" t="s">
        <v>74</v>
      </c>
      <c r="Q735" s="1" t="s">
        <v>74</v>
      </c>
      <c r="R735" s="1" t="s">
        <v>74</v>
      </c>
      <c r="S735" s="1" t="s">
        <v>74</v>
      </c>
      <c r="T735" s="1" t="s">
        <v>74</v>
      </c>
      <c r="U735" s="1" t="s">
        <v>74</v>
      </c>
      <c r="V735" s="1" t="s">
        <v>6969</v>
      </c>
      <c r="W735" s="1" t="s">
        <v>74</v>
      </c>
      <c r="X735" s="1" t="s">
        <v>74</v>
      </c>
      <c r="Y735" s="1" t="s">
        <v>74</v>
      </c>
      <c r="Z735" s="1" t="s">
        <v>74</v>
      </c>
      <c r="AA735" s="1" t="s">
        <v>6970</v>
      </c>
      <c r="AB735" s="1" t="s">
        <v>5030</v>
      </c>
      <c r="AC735" s="1" t="s">
        <v>74</v>
      </c>
      <c r="AD735" s="1" t="s">
        <v>74</v>
      </c>
      <c r="AE735" s="1" t="s">
        <v>74</v>
      </c>
      <c r="AF735" s="1" t="s">
        <v>74</v>
      </c>
      <c r="AG735" s="1" t="s">
        <v>74</v>
      </c>
      <c r="AH735" s="1" t="s">
        <v>74</v>
      </c>
      <c r="AI735" s="1" t="s">
        <v>74</v>
      </c>
      <c r="AJ735" s="1" t="s">
        <v>74</v>
      </c>
      <c r="AK735" s="1" t="s">
        <v>74</v>
      </c>
      <c r="AL735" s="1" t="s">
        <v>74</v>
      </c>
      <c r="AM735" s="1" t="s">
        <v>74</v>
      </c>
      <c r="AN735" s="1" t="s">
        <v>74</v>
      </c>
      <c r="AO735" s="1" t="s">
        <v>6971</v>
      </c>
      <c r="AP735" s="1" t="s">
        <v>74</v>
      </c>
      <c r="AQ735" s="1" t="s">
        <v>74</v>
      </c>
      <c r="AR735" s="1" t="s">
        <v>74</v>
      </c>
      <c r="AS735" s="1" t="s">
        <v>74</v>
      </c>
      <c r="AT735" s="1" t="s">
        <v>289</v>
      </c>
      <c r="AU735" s="1">
        <v>1999.0</v>
      </c>
      <c r="AV735" s="1">
        <v>3.0</v>
      </c>
      <c r="AW735" s="1">
        <v>5.0</v>
      </c>
      <c r="AX735" s="1" t="s">
        <v>74</v>
      </c>
      <c r="AY735" s="1" t="s">
        <v>74</v>
      </c>
      <c r="AZ735" s="1" t="s">
        <v>74</v>
      </c>
      <c r="BA735" s="1" t="s">
        <v>74</v>
      </c>
      <c r="BB735" s="1">
        <v>355.0</v>
      </c>
      <c r="BC735" s="1">
        <v>363.0</v>
      </c>
      <c r="BD735" s="1" t="s">
        <v>74</v>
      </c>
      <c r="BE735" s="1" t="s">
        <v>6972</v>
      </c>
      <c r="BF735" s="2" t="str">
        <f>HYPERLINK("http://dx.doi.org/10.1002/(SICI)1099-1409(199906)3:5&lt;355::AID-JPP144&gt;3.3.CO;2-L","http://dx.doi.org/10.1002/(SICI)1099-1409(199906)3:5&lt;355::AID-JPP144&gt;3.3.CO;2-L")</f>
        <v>http://dx.doi.org/10.1002/(SICI)1099-1409(199906)3:5&lt;355::AID-JPP144&gt;3.3.CO;2-L</v>
      </c>
      <c r="BG735" s="1" t="s">
        <v>74</v>
      </c>
      <c r="BH735" s="1" t="s">
        <v>74</v>
      </c>
      <c r="BI735" s="1" t="s">
        <v>74</v>
      </c>
      <c r="BJ735" s="1" t="s">
        <v>74</v>
      </c>
      <c r="BK735" s="1" t="s">
        <v>74</v>
      </c>
      <c r="BL735" s="1" t="s">
        <v>74</v>
      </c>
      <c r="BM735" s="1" t="s">
        <v>74</v>
      </c>
      <c r="BN735" s="1" t="s">
        <v>74</v>
      </c>
      <c r="BO735" s="1" t="s">
        <v>74</v>
      </c>
      <c r="BP735" s="1" t="s">
        <v>74</v>
      </c>
      <c r="BQ735" s="1" t="s">
        <v>74</v>
      </c>
      <c r="BR735" s="1" t="s">
        <v>74</v>
      </c>
      <c r="BS735" s="1" t="s">
        <v>6973</v>
      </c>
      <c r="BT735" s="1" t="str">
        <f>HYPERLINK("https%3A%2F%2Fwww.webofscience.com%2Fwos%2Fwoscc%2Ffull-record%2FWOS:000081257200004","View Full Record in Web of Science")</f>
        <v>View Full Record in Web of Science</v>
      </c>
    </row>
    <row r="736" ht="12.75" customHeight="1">
      <c r="A736" s="1" t="s">
        <v>72</v>
      </c>
      <c r="B736" s="1" t="s">
        <v>6974</v>
      </c>
      <c r="C736" s="1" t="s">
        <v>74</v>
      </c>
      <c r="D736" s="1" t="s">
        <v>74</v>
      </c>
      <c r="E736" s="1" t="s">
        <v>74</v>
      </c>
      <c r="F736" s="1" t="s">
        <v>6974</v>
      </c>
      <c r="G736" s="1" t="s">
        <v>74</v>
      </c>
      <c r="H736" s="1" t="s">
        <v>74</v>
      </c>
      <c r="I736" s="1" t="s">
        <v>6975</v>
      </c>
      <c r="J736" s="1" t="s">
        <v>5609</v>
      </c>
      <c r="K736" s="1" t="s">
        <v>74</v>
      </c>
      <c r="L736" s="1" t="s">
        <v>74</v>
      </c>
      <c r="M736" s="1" t="s">
        <v>74</v>
      </c>
      <c r="N736" s="1" t="s">
        <v>74</v>
      </c>
      <c r="O736" s="1" t="s">
        <v>74</v>
      </c>
      <c r="P736" s="1" t="s">
        <v>74</v>
      </c>
      <c r="Q736" s="1" t="s">
        <v>74</v>
      </c>
      <c r="R736" s="1" t="s">
        <v>74</v>
      </c>
      <c r="S736" s="1" t="s">
        <v>74</v>
      </c>
      <c r="T736" s="1" t="s">
        <v>74</v>
      </c>
      <c r="U736" s="1" t="s">
        <v>74</v>
      </c>
      <c r="V736" s="1" t="s">
        <v>74</v>
      </c>
      <c r="W736" s="1" t="s">
        <v>74</v>
      </c>
      <c r="X736" s="1" t="s">
        <v>74</v>
      </c>
      <c r="Y736" s="1" t="s">
        <v>74</v>
      </c>
      <c r="Z736" s="1" t="s">
        <v>74</v>
      </c>
      <c r="AA736" s="1" t="s">
        <v>6976</v>
      </c>
      <c r="AB736" s="1" t="s">
        <v>6977</v>
      </c>
      <c r="AC736" s="1" t="s">
        <v>74</v>
      </c>
      <c r="AD736" s="1" t="s">
        <v>74</v>
      </c>
      <c r="AE736" s="1" t="s">
        <v>74</v>
      </c>
      <c r="AF736" s="1" t="s">
        <v>74</v>
      </c>
      <c r="AG736" s="1" t="s">
        <v>74</v>
      </c>
      <c r="AH736" s="1" t="s">
        <v>74</v>
      </c>
      <c r="AI736" s="1" t="s">
        <v>74</v>
      </c>
      <c r="AJ736" s="1" t="s">
        <v>74</v>
      </c>
      <c r="AK736" s="1" t="s">
        <v>74</v>
      </c>
      <c r="AL736" s="1" t="s">
        <v>74</v>
      </c>
      <c r="AM736" s="1" t="s">
        <v>74</v>
      </c>
      <c r="AN736" s="1" t="s">
        <v>74</v>
      </c>
      <c r="AO736" s="1" t="s">
        <v>5616</v>
      </c>
      <c r="AP736" s="1" t="s">
        <v>74</v>
      </c>
      <c r="AQ736" s="1" t="s">
        <v>74</v>
      </c>
      <c r="AR736" s="1" t="s">
        <v>74</v>
      </c>
      <c r="AS736" s="1" t="s">
        <v>74</v>
      </c>
      <c r="AT736" s="1" t="s">
        <v>74</v>
      </c>
      <c r="AU736" s="1">
        <v>1999.0</v>
      </c>
      <c r="AV736" s="1">
        <v>60.0</v>
      </c>
      <c r="AW736" s="1" t="s">
        <v>74</v>
      </c>
      <c r="AX736" s="1" t="s">
        <v>74</v>
      </c>
      <c r="AY736" s="1">
        <v>1.0</v>
      </c>
      <c r="AZ736" s="1" t="s">
        <v>74</v>
      </c>
      <c r="BA736" s="1">
        <v>550.0</v>
      </c>
      <c r="BB736" s="1">
        <v>264.0</v>
      </c>
      <c r="BC736" s="1">
        <v>264.0</v>
      </c>
      <c r="BD736" s="1" t="s">
        <v>74</v>
      </c>
      <c r="BE736" s="1" t="s">
        <v>74</v>
      </c>
      <c r="BF736" s="1" t="s">
        <v>74</v>
      </c>
      <c r="BG736" s="1" t="s">
        <v>74</v>
      </c>
      <c r="BH736" s="1" t="s">
        <v>74</v>
      </c>
      <c r="BI736" s="1" t="s">
        <v>74</v>
      </c>
      <c r="BJ736" s="1" t="s">
        <v>74</v>
      </c>
      <c r="BK736" s="1" t="s">
        <v>74</v>
      </c>
      <c r="BL736" s="1" t="s">
        <v>74</v>
      </c>
      <c r="BM736" s="1" t="s">
        <v>74</v>
      </c>
      <c r="BN736" s="1" t="s">
        <v>74</v>
      </c>
      <c r="BO736" s="1" t="s">
        <v>74</v>
      </c>
      <c r="BP736" s="1" t="s">
        <v>74</v>
      </c>
      <c r="BQ736" s="1" t="s">
        <v>74</v>
      </c>
      <c r="BR736" s="1" t="s">
        <v>74</v>
      </c>
      <c r="BS736" s="1" t="s">
        <v>6978</v>
      </c>
      <c r="BT736" s="1" t="str">
        <f>HYPERLINK("https%3A%2F%2Fwww.webofscience.com%2Fwos%2Fwoscc%2Ffull-record%2FWOS:000081141300613","View Full Record in Web of Science")</f>
        <v>View Full Record in Web of Science</v>
      </c>
    </row>
    <row r="737" ht="12.75" customHeight="1">
      <c r="A737" s="1" t="s">
        <v>72</v>
      </c>
      <c r="B737" s="1" t="s">
        <v>6979</v>
      </c>
      <c r="C737" s="1" t="s">
        <v>74</v>
      </c>
      <c r="D737" s="1" t="s">
        <v>74</v>
      </c>
      <c r="E737" s="1" t="s">
        <v>74</v>
      </c>
      <c r="F737" s="1" t="s">
        <v>6979</v>
      </c>
      <c r="G737" s="1" t="s">
        <v>74</v>
      </c>
      <c r="H737" s="1" t="s">
        <v>74</v>
      </c>
      <c r="I737" s="1" t="s">
        <v>6980</v>
      </c>
      <c r="J737" s="1" t="s">
        <v>360</v>
      </c>
      <c r="K737" s="1" t="s">
        <v>74</v>
      </c>
      <c r="L737" s="1" t="s">
        <v>74</v>
      </c>
      <c r="M737" s="1" t="s">
        <v>74</v>
      </c>
      <c r="N737" s="1" t="s">
        <v>74</v>
      </c>
      <c r="O737" s="1" t="s">
        <v>74</v>
      </c>
      <c r="P737" s="1" t="s">
        <v>74</v>
      </c>
      <c r="Q737" s="1" t="s">
        <v>74</v>
      </c>
      <c r="R737" s="1" t="s">
        <v>74</v>
      </c>
      <c r="S737" s="1" t="s">
        <v>74</v>
      </c>
      <c r="T737" s="1" t="s">
        <v>74</v>
      </c>
      <c r="U737" s="1" t="s">
        <v>74</v>
      </c>
      <c r="V737" s="1" t="s">
        <v>6981</v>
      </c>
      <c r="W737" s="1" t="s">
        <v>74</v>
      </c>
      <c r="X737" s="1" t="s">
        <v>74</v>
      </c>
      <c r="Y737" s="1" t="s">
        <v>74</v>
      </c>
      <c r="Z737" s="1" t="s">
        <v>74</v>
      </c>
      <c r="AA737" s="1" t="s">
        <v>74</v>
      </c>
      <c r="AB737" s="1" t="s">
        <v>74</v>
      </c>
      <c r="AC737" s="1" t="s">
        <v>74</v>
      </c>
      <c r="AD737" s="1" t="s">
        <v>74</v>
      </c>
      <c r="AE737" s="1" t="s">
        <v>74</v>
      </c>
      <c r="AF737" s="1" t="s">
        <v>74</v>
      </c>
      <c r="AG737" s="1" t="s">
        <v>74</v>
      </c>
      <c r="AH737" s="1" t="s">
        <v>74</v>
      </c>
      <c r="AI737" s="1" t="s">
        <v>74</v>
      </c>
      <c r="AJ737" s="1" t="s">
        <v>74</v>
      </c>
      <c r="AK737" s="1" t="s">
        <v>74</v>
      </c>
      <c r="AL737" s="1" t="s">
        <v>74</v>
      </c>
      <c r="AM737" s="1" t="s">
        <v>74</v>
      </c>
      <c r="AN737" s="1" t="s">
        <v>74</v>
      </c>
      <c r="AO737" s="1" t="s">
        <v>362</v>
      </c>
      <c r="AP737" s="1" t="s">
        <v>74</v>
      </c>
      <c r="AQ737" s="1" t="s">
        <v>74</v>
      </c>
      <c r="AR737" s="1" t="s">
        <v>74</v>
      </c>
      <c r="AS737" s="1" t="s">
        <v>74</v>
      </c>
      <c r="AT737" s="1" t="s">
        <v>363</v>
      </c>
      <c r="AU737" s="1">
        <v>1998.0</v>
      </c>
      <c r="AV737" s="1">
        <v>126.0</v>
      </c>
      <c r="AW737" s="1">
        <v>10.0</v>
      </c>
      <c r="AX737" s="1" t="s">
        <v>74</v>
      </c>
      <c r="AY737" s="1" t="s">
        <v>74</v>
      </c>
      <c r="AZ737" s="1" t="s">
        <v>74</v>
      </c>
      <c r="BA737" s="1" t="s">
        <v>74</v>
      </c>
      <c r="BB737" s="1">
        <v>1153.0</v>
      </c>
      <c r="BC737" s="1">
        <v>1160.0</v>
      </c>
      <c r="BD737" s="1" t="s">
        <v>74</v>
      </c>
      <c r="BE737" s="1" t="s">
        <v>74</v>
      </c>
      <c r="BF737" s="1" t="s">
        <v>74</v>
      </c>
      <c r="BG737" s="1" t="s">
        <v>74</v>
      </c>
      <c r="BH737" s="1" t="s">
        <v>74</v>
      </c>
      <c r="BI737" s="1" t="s">
        <v>74</v>
      </c>
      <c r="BJ737" s="1" t="s">
        <v>74</v>
      </c>
      <c r="BK737" s="1" t="s">
        <v>74</v>
      </c>
      <c r="BL737" s="1" t="s">
        <v>74</v>
      </c>
      <c r="BM737" s="1" t="s">
        <v>74</v>
      </c>
      <c r="BN737" s="1">
        <v>1.0030085E7</v>
      </c>
      <c r="BO737" s="1" t="s">
        <v>74</v>
      </c>
      <c r="BP737" s="1" t="s">
        <v>74</v>
      </c>
      <c r="BQ737" s="1" t="s">
        <v>74</v>
      </c>
      <c r="BR737" s="1" t="s">
        <v>74</v>
      </c>
      <c r="BS737" s="1" t="s">
        <v>6982</v>
      </c>
      <c r="BT737" s="1" t="str">
        <f>HYPERLINK("https%3A%2F%2Fwww.webofscience.com%2Fwos%2Fwoscc%2Ffull-record%2FWOS:000077387700002","View Full Record in Web of Science")</f>
        <v>View Full Record in Web of Science</v>
      </c>
    </row>
    <row r="738" ht="12.75" customHeight="1">
      <c r="A738" s="1" t="s">
        <v>72</v>
      </c>
      <c r="B738" s="1" t="s">
        <v>6983</v>
      </c>
      <c r="C738" s="1" t="s">
        <v>74</v>
      </c>
      <c r="D738" s="1" t="s">
        <v>74</v>
      </c>
      <c r="E738" s="1" t="s">
        <v>74</v>
      </c>
      <c r="F738" s="1" t="s">
        <v>6983</v>
      </c>
      <c r="G738" s="1" t="s">
        <v>74</v>
      </c>
      <c r="H738" s="1" t="s">
        <v>74</v>
      </c>
      <c r="I738" s="1" t="s">
        <v>6984</v>
      </c>
      <c r="J738" s="1" t="s">
        <v>413</v>
      </c>
      <c r="K738" s="1" t="s">
        <v>74</v>
      </c>
      <c r="L738" s="1" t="s">
        <v>74</v>
      </c>
      <c r="M738" s="1" t="s">
        <v>74</v>
      </c>
      <c r="N738" s="1" t="s">
        <v>74</v>
      </c>
      <c r="O738" s="1" t="s">
        <v>74</v>
      </c>
      <c r="P738" s="1" t="s">
        <v>74</v>
      </c>
      <c r="Q738" s="1" t="s">
        <v>74</v>
      </c>
      <c r="R738" s="1" t="s">
        <v>74</v>
      </c>
      <c r="S738" s="1" t="s">
        <v>74</v>
      </c>
      <c r="T738" s="1" t="s">
        <v>74</v>
      </c>
      <c r="U738" s="1" t="s">
        <v>74</v>
      </c>
      <c r="V738" s="1" t="s">
        <v>6985</v>
      </c>
      <c r="W738" s="1" t="s">
        <v>74</v>
      </c>
      <c r="X738" s="1" t="s">
        <v>74</v>
      </c>
      <c r="Y738" s="1" t="s">
        <v>74</v>
      </c>
      <c r="Z738" s="1" t="s">
        <v>74</v>
      </c>
      <c r="AA738" s="1" t="s">
        <v>74</v>
      </c>
      <c r="AB738" s="1" t="s">
        <v>74</v>
      </c>
      <c r="AC738" s="1" t="s">
        <v>74</v>
      </c>
      <c r="AD738" s="1" t="s">
        <v>74</v>
      </c>
      <c r="AE738" s="1" t="s">
        <v>74</v>
      </c>
      <c r="AF738" s="1" t="s">
        <v>74</v>
      </c>
      <c r="AG738" s="1" t="s">
        <v>74</v>
      </c>
      <c r="AH738" s="1" t="s">
        <v>74</v>
      </c>
      <c r="AI738" s="1" t="s">
        <v>74</v>
      </c>
      <c r="AJ738" s="1" t="s">
        <v>74</v>
      </c>
      <c r="AK738" s="1" t="s">
        <v>74</v>
      </c>
      <c r="AL738" s="1" t="s">
        <v>74</v>
      </c>
      <c r="AM738" s="1" t="s">
        <v>74</v>
      </c>
      <c r="AN738" s="1" t="s">
        <v>74</v>
      </c>
      <c r="AO738" s="1" t="s">
        <v>414</v>
      </c>
      <c r="AP738" s="1" t="s">
        <v>74</v>
      </c>
      <c r="AQ738" s="1" t="s">
        <v>74</v>
      </c>
      <c r="AR738" s="1" t="s">
        <v>74</v>
      </c>
      <c r="AS738" s="1" t="s">
        <v>74</v>
      </c>
      <c r="AT738" s="1" t="s">
        <v>144</v>
      </c>
      <c r="AU738" s="1">
        <v>1998.0</v>
      </c>
      <c r="AV738" s="1">
        <v>43.0</v>
      </c>
      <c r="AW738" s="1">
        <v>1.0</v>
      </c>
      <c r="AX738" s="1" t="s">
        <v>74</v>
      </c>
      <c r="AY738" s="1" t="s">
        <v>74</v>
      </c>
      <c r="AZ738" s="1" t="s">
        <v>74</v>
      </c>
      <c r="BA738" s="1" t="s">
        <v>74</v>
      </c>
      <c r="BB738" s="1">
        <v>55.0</v>
      </c>
      <c r="BC738" s="1">
        <v>59.0</v>
      </c>
      <c r="BD738" s="1" t="s">
        <v>74</v>
      </c>
      <c r="BE738" s="1" t="s">
        <v>74</v>
      </c>
      <c r="BF738" s="1" t="s">
        <v>74</v>
      </c>
      <c r="BG738" s="1" t="s">
        <v>74</v>
      </c>
      <c r="BH738" s="1" t="s">
        <v>74</v>
      </c>
      <c r="BI738" s="1" t="s">
        <v>74</v>
      </c>
      <c r="BJ738" s="1" t="s">
        <v>74</v>
      </c>
      <c r="BK738" s="1" t="s">
        <v>74</v>
      </c>
      <c r="BL738" s="1" t="s">
        <v>74</v>
      </c>
      <c r="BM738" s="1" t="s">
        <v>74</v>
      </c>
      <c r="BN738" s="1" t="s">
        <v>74</v>
      </c>
      <c r="BO738" s="1" t="s">
        <v>74</v>
      </c>
      <c r="BP738" s="1" t="s">
        <v>74</v>
      </c>
      <c r="BQ738" s="1" t="s">
        <v>74</v>
      </c>
      <c r="BR738" s="1" t="s">
        <v>74</v>
      </c>
      <c r="BS738" s="1" t="s">
        <v>6986</v>
      </c>
      <c r="BT738" s="1" t="str">
        <f>HYPERLINK("https%3A%2F%2Fwww.webofscience.com%2Fwos%2Fwoscc%2Ffull-record%2FWOS:000072914800008","View Full Record in Web of Science")</f>
        <v>View Full Record in Web of Science</v>
      </c>
    </row>
    <row r="739" ht="12.75" customHeight="1">
      <c r="A739" s="1" t="s">
        <v>72</v>
      </c>
      <c r="B739" s="1" t="s">
        <v>6987</v>
      </c>
      <c r="C739" s="1" t="s">
        <v>74</v>
      </c>
      <c r="D739" s="1" t="s">
        <v>74</v>
      </c>
      <c r="E739" s="1" t="s">
        <v>74</v>
      </c>
      <c r="F739" s="1" t="s">
        <v>6987</v>
      </c>
      <c r="G739" s="1" t="s">
        <v>74</v>
      </c>
      <c r="H739" s="1" t="s">
        <v>74</v>
      </c>
      <c r="I739" s="1" t="s">
        <v>6988</v>
      </c>
      <c r="J739" s="1" t="s">
        <v>6950</v>
      </c>
      <c r="K739" s="1" t="s">
        <v>74</v>
      </c>
      <c r="L739" s="1" t="s">
        <v>74</v>
      </c>
      <c r="M739" s="1" t="s">
        <v>74</v>
      </c>
      <c r="N739" s="1" t="s">
        <v>74</v>
      </c>
      <c r="O739" s="1" t="s">
        <v>74</v>
      </c>
      <c r="P739" s="1" t="s">
        <v>74</v>
      </c>
      <c r="Q739" s="1" t="s">
        <v>74</v>
      </c>
      <c r="R739" s="1" t="s">
        <v>74</v>
      </c>
      <c r="S739" s="1" t="s">
        <v>74</v>
      </c>
      <c r="T739" s="1" t="s">
        <v>74</v>
      </c>
      <c r="U739" s="1" t="s">
        <v>74</v>
      </c>
      <c r="V739" s="1" t="s">
        <v>6989</v>
      </c>
      <c r="W739" s="1" t="s">
        <v>74</v>
      </c>
      <c r="X739" s="1" t="s">
        <v>74</v>
      </c>
      <c r="Y739" s="1" t="s">
        <v>74</v>
      </c>
      <c r="Z739" s="1" t="s">
        <v>74</v>
      </c>
      <c r="AA739" s="1" t="s">
        <v>74</v>
      </c>
      <c r="AB739" s="1" t="s">
        <v>74</v>
      </c>
      <c r="AC739" s="1" t="s">
        <v>74</v>
      </c>
      <c r="AD739" s="1" t="s">
        <v>74</v>
      </c>
      <c r="AE739" s="1" t="s">
        <v>74</v>
      </c>
      <c r="AF739" s="1" t="s">
        <v>74</v>
      </c>
      <c r="AG739" s="1" t="s">
        <v>74</v>
      </c>
      <c r="AH739" s="1" t="s">
        <v>74</v>
      </c>
      <c r="AI739" s="1" t="s">
        <v>74</v>
      </c>
      <c r="AJ739" s="1" t="s">
        <v>74</v>
      </c>
      <c r="AK739" s="1" t="s">
        <v>74</v>
      </c>
      <c r="AL739" s="1" t="s">
        <v>74</v>
      </c>
      <c r="AM739" s="1" t="s">
        <v>74</v>
      </c>
      <c r="AN739" s="1" t="s">
        <v>74</v>
      </c>
      <c r="AO739" s="1" t="s">
        <v>6953</v>
      </c>
      <c r="AP739" s="1" t="s">
        <v>74</v>
      </c>
      <c r="AQ739" s="1" t="s">
        <v>74</v>
      </c>
      <c r="AR739" s="1" t="s">
        <v>74</v>
      </c>
      <c r="AS739" s="1" t="s">
        <v>74</v>
      </c>
      <c r="AT739" s="1" t="s">
        <v>112</v>
      </c>
      <c r="AU739" s="1">
        <v>1997.0</v>
      </c>
      <c r="AV739" s="1">
        <v>62.0</v>
      </c>
      <c r="AW739" s="1">
        <v>2.0</v>
      </c>
      <c r="AX739" s="1" t="s">
        <v>74</v>
      </c>
      <c r="AY739" s="1" t="s">
        <v>74</v>
      </c>
      <c r="AZ739" s="1" t="s">
        <v>74</v>
      </c>
      <c r="BA739" s="1" t="s">
        <v>74</v>
      </c>
      <c r="BB739" s="1">
        <v>251.0</v>
      </c>
      <c r="BC739" s="1">
        <v>256.0</v>
      </c>
      <c r="BD739" s="1" t="s">
        <v>74</v>
      </c>
      <c r="BE739" s="1" t="s">
        <v>6990</v>
      </c>
      <c r="BF739" s="2" t="str">
        <f>HYPERLINK("http://dx.doi.org/10.1007/BF02475459","http://dx.doi.org/10.1007/BF02475459")</f>
        <v>http://dx.doi.org/10.1007/BF02475459</v>
      </c>
      <c r="BG739" s="1" t="s">
        <v>74</v>
      </c>
      <c r="BH739" s="1" t="s">
        <v>74</v>
      </c>
      <c r="BI739" s="1" t="s">
        <v>74</v>
      </c>
      <c r="BJ739" s="1" t="s">
        <v>74</v>
      </c>
      <c r="BK739" s="1" t="s">
        <v>74</v>
      </c>
      <c r="BL739" s="1" t="s">
        <v>74</v>
      </c>
      <c r="BM739" s="1" t="s">
        <v>74</v>
      </c>
      <c r="BN739" s="1" t="s">
        <v>74</v>
      </c>
      <c r="BO739" s="1" t="s">
        <v>74</v>
      </c>
      <c r="BP739" s="1" t="s">
        <v>74</v>
      </c>
      <c r="BQ739" s="1" t="s">
        <v>74</v>
      </c>
      <c r="BR739" s="1" t="s">
        <v>74</v>
      </c>
      <c r="BS739" s="1" t="s">
        <v>6991</v>
      </c>
      <c r="BT739" s="1" t="str">
        <f>HYPERLINK("https%3A%2F%2Fwww.webofscience.com%2Fwos%2Fwoscc%2Ffull-record%2FWOS:000071752000007","View Full Record in Web of Science")</f>
        <v>View Full Record in Web of Science</v>
      </c>
    </row>
    <row r="740" ht="12.75" customHeight="1">
      <c r="A740" s="1" t="s">
        <v>72</v>
      </c>
      <c r="B740" s="1" t="s">
        <v>6992</v>
      </c>
      <c r="C740" s="1" t="s">
        <v>74</v>
      </c>
      <c r="D740" s="1" t="s">
        <v>74</v>
      </c>
      <c r="E740" s="1" t="s">
        <v>74</v>
      </c>
      <c r="F740" s="1" t="s">
        <v>6992</v>
      </c>
      <c r="G740" s="1" t="s">
        <v>74</v>
      </c>
      <c r="H740" s="1" t="s">
        <v>74</v>
      </c>
      <c r="I740" s="1" t="s">
        <v>6993</v>
      </c>
      <c r="J740" s="1" t="s">
        <v>6994</v>
      </c>
      <c r="K740" s="1" t="s">
        <v>74</v>
      </c>
      <c r="L740" s="1" t="s">
        <v>74</v>
      </c>
      <c r="M740" s="1" t="s">
        <v>74</v>
      </c>
      <c r="N740" s="1" t="s">
        <v>74</v>
      </c>
      <c r="O740" s="1" t="s">
        <v>74</v>
      </c>
      <c r="P740" s="1" t="s">
        <v>74</v>
      </c>
      <c r="Q740" s="1" t="s">
        <v>74</v>
      </c>
      <c r="R740" s="1" t="s">
        <v>74</v>
      </c>
      <c r="S740" s="1" t="s">
        <v>74</v>
      </c>
      <c r="T740" s="1" t="s">
        <v>74</v>
      </c>
      <c r="U740" s="1" t="s">
        <v>74</v>
      </c>
      <c r="V740" s="1" t="s">
        <v>6995</v>
      </c>
      <c r="W740" s="1" t="s">
        <v>74</v>
      </c>
      <c r="X740" s="1" t="s">
        <v>74</v>
      </c>
      <c r="Y740" s="1" t="s">
        <v>74</v>
      </c>
      <c r="Z740" s="1" t="s">
        <v>74</v>
      </c>
      <c r="AA740" s="1" t="s">
        <v>74</v>
      </c>
      <c r="AB740" s="1" t="s">
        <v>74</v>
      </c>
      <c r="AC740" s="1" t="s">
        <v>74</v>
      </c>
      <c r="AD740" s="1" t="s">
        <v>74</v>
      </c>
      <c r="AE740" s="1" t="s">
        <v>74</v>
      </c>
      <c r="AF740" s="1" t="s">
        <v>74</v>
      </c>
      <c r="AG740" s="1" t="s">
        <v>74</v>
      </c>
      <c r="AH740" s="1" t="s">
        <v>74</v>
      </c>
      <c r="AI740" s="1" t="s">
        <v>74</v>
      </c>
      <c r="AJ740" s="1" t="s">
        <v>74</v>
      </c>
      <c r="AK740" s="1" t="s">
        <v>74</v>
      </c>
      <c r="AL740" s="1" t="s">
        <v>74</v>
      </c>
      <c r="AM740" s="1" t="s">
        <v>74</v>
      </c>
      <c r="AN740" s="1" t="s">
        <v>74</v>
      </c>
      <c r="AO740" s="1" t="s">
        <v>6996</v>
      </c>
      <c r="AP740" s="1" t="s">
        <v>74</v>
      </c>
      <c r="AQ740" s="1" t="s">
        <v>74</v>
      </c>
      <c r="AR740" s="1" t="s">
        <v>74</v>
      </c>
      <c r="AS740" s="1" t="s">
        <v>74</v>
      </c>
      <c r="AT740" s="1" t="s">
        <v>841</v>
      </c>
      <c r="AU740" s="1">
        <v>1995.0</v>
      </c>
      <c r="AV740" s="1">
        <v>12.0</v>
      </c>
      <c r="AW740" s="1">
        <v>4.0</v>
      </c>
      <c r="AX740" s="1" t="s">
        <v>74</v>
      </c>
      <c r="AY740" s="1" t="s">
        <v>74</v>
      </c>
      <c r="AZ740" s="1" t="s">
        <v>74</v>
      </c>
      <c r="BA740" s="1" t="s">
        <v>74</v>
      </c>
      <c r="BB740" s="1">
        <v>975.0</v>
      </c>
      <c r="BC740" s="1">
        <v>981.0</v>
      </c>
      <c r="BD740" s="1" t="s">
        <v>74</v>
      </c>
      <c r="BE740" s="1" t="s">
        <v>6997</v>
      </c>
      <c r="BF740" s="2" t="str">
        <f>HYPERLINK("http://dx.doi.org/10.1088/0264-9381/12/4/008","http://dx.doi.org/10.1088/0264-9381/12/4/008")</f>
        <v>http://dx.doi.org/10.1088/0264-9381/12/4/008</v>
      </c>
      <c r="BG740" s="1" t="s">
        <v>74</v>
      </c>
      <c r="BH740" s="1" t="s">
        <v>74</v>
      </c>
      <c r="BI740" s="1" t="s">
        <v>74</v>
      </c>
      <c r="BJ740" s="1" t="s">
        <v>74</v>
      </c>
      <c r="BK740" s="1" t="s">
        <v>74</v>
      </c>
      <c r="BL740" s="1" t="s">
        <v>74</v>
      </c>
      <c r="BM740" s="1" t="s">
        <v>74</v>
      </c>
      <c r="BN740" s="1" t="s">
        <v>74</v>
      </c>
      <c r="BO740" s="1" t="s">
        <v>74</v>
      </c>
      <c r="BP740" s="1" t="s">
        <v>74</v>
      </c>
      <c r="BQ740" s="1" t="s">
        <v>74</v>
      </c>
      <c r="BR740" s="1" t="s">
        <v>74</v>
      </c>
      <c r="BS740" s="1" t="s">
        <v>6998</v>
      </c>
      <c r="BT740" s="1" t="str">
        <f>HYPERLINK("https%3A%2F%2Fwww.webofscience.com%2Fwos%2Fwoscc%2Ffull-record%2FWOS:A1995QW51700008","View Full Record in Web of Science")</f>
        <v>View Full Record in Web of Science</v>
      </c>
    </row>
    <row r="741" ht="12.75" customHeight="1">
      <c r="A741" s="1" t="s">
        <v>72</v>
      </c>
      <c r="B741" s="1" t="s">
        <v>6999</v>
      </c>
      <c r="C741" s="1" t="s">
        <v>74</v>
      </c>
      <c r="D741" s="1" t="s">
        <v>74</v>
      </c>
      <c r="E741" s="1" t="s">
        <v>74</v>
      </c>
      <c r="F741" s="1" t="s">
        <v>6999</v>
      </c>
      <c r="G741" s="1" t="s">
        <v>74</v>
      </c>
      <c r="H741" s="1" t="s">
        <v>74</v>
      </c>
      <c r="I741" s="1" t="s">
        <v>7000</v>
      </c>
      <c r="J741" s="1" t="s">
        <v>7001</v>
      </c>
      <c r="K741" s="1" t="s">
        <v>74</v>
      </c>
      <c r="L741" s="1" t="s">
        <v>74</v>
      </c>
      <c r="M741" s="1" t="s">
        <v>74</v>
      </c>
      <c r="N741" s="1" t="s">
        <v>74</v>
      </c>
      <c r="O741" s="1" t="s">
        <v>74</v>
      </c>
      <c r="P741" s="1" t="s">
        <v>74</v>
      </c>
      <c r="Q741" s="1" t="s">
        <v>74</v>
      </c>
      <c r="R741" s="1" t="s">
        <v>74</v>
      </c>
      <c r="S741" s="1" t="s">
        <v>74</v>
      </c>
      <c r="T741" s="1" t="s">
        <v>74</v>
      </c>
      <c r="U741" s="1" t="s">
        <v>74</v>
      </c>
      <c r="V741" s="1" t="s">
        <v>74</v>
      </c>
      <c r="W741" s="1" t="s">
        <v>74</v>
      </c>
      <c r="X741" s="1" t="s">
        <v>74</v>
      </c>
      <c r="Y741" s="1" t="s">
        <v>74</v>
      </c>
      <c r="Z741" s="1" t="s">
        <v>74</v>
      </c>
      <c r="AA741" s="1" t="s">
        <v>74</v>
      </c>
      <c r="AB741" s="1" t="s">
        <v>74</v>
      </c>
      <c r="AC741" s="1" t="s">
        <v>74</v>
      </c>
      <c r="AD741" s="1" t="s">
        <v>74</v>
      </c>
      <c r="AE741" s="1" t="s">
        <v>74</v>
      </c>
      <c r="AF741" s="1" t="s">
        <v>74</v>
      </c>
      <c r="AG741" s="1" t="s">
        <v>74</v>
      </c>
      <c r="AH741" s="1" t="s">
        <v>74</v>
      </c>
      <c r="AI741" s="1" t="s">
        <v>74</v>
      </c>
      <c r="AJ741" s="1" t="s">
        <v>74</v>
      </c>
      <c r="AK741" s="1" t="s">
        <v>74</v>
      </c>
      <c r="AL741" s="1" t="s">
        <v>74</v>
      </c>
      <c r="AM741" s="1" t="s">
        <v>74</v>
      </c>
      <c r="AN741" s="1" t="s">
        <v>74</v>
      </c>
      <c r="AO741" s="1" t="s">
        <v>7002</v>
      </c>
      <c r="AP741" s="1" t="s">
        <v>74</v>
      </c>
      <c r="AQ741" s="1" t="s">
        <v>74</v>
      </c>
      <c r="AR741" s="1" t="s">
        <v>74</v>
      </c>
      <c r="AS741" s="1" t="s">
        <v>74</v>
      </c>
      <c r="AT741" s="1" t="s">
        <v>112</v>
      </c>
      <c r="AU741" s="1">
        <v>1987.0</v>
      </c>
      <c r="AV741" s="1">
        <v>20.0</v>
      </c>
      <c r="AW741" s="1">
        <v>2.0</v>
      </c>
      <c r="AX741" s="1" t="s">
        <v>74</v>
      </c>
      <c r="AY741" s="1" t="s">
        <v>74</v>
      </c>
      <c r="AZ741" s="1" t="s">
        <v>74</v>
      </c>
      <c r="BA741" s="1" t="s">
        <v>74</v>
      </c>
      <c r="BB741" s="1" t="s">
        <v>7003</v>
      </c>
      <c r="BC741" s="1" t="s">
        <v>7003</v>
      </c>
      <c r="BD741" s="1" t="s">
        <v>74</v>
      </c>
      <c r="BE741" s="1" t="s">
        <v>74</v>
      </c>
      <c r="BF741" s="1" t="s">
        <v>74</v>
      </c>
      <c r="BG741" s="1" t="s">
        <v>74</v>
      </c>
      <c r="BH741" s="1" t="s">
        <v>74</v>
      </c>
      <c r="BI741" s="1" t="s">
        <v>74</v>
      </c>
      <c r="BJ741" s="1" t="s">
        <v>74</v>
      </c>
      <c r="BK741" s="1" t="s">
        <v>74</v>
      </c>
      <c r="BL741" s="1" t="s">
        <v>74</v>
      </c>
      <c r="BM741" s="1" t="s">
        <v>74</v>
      </c>
      <c r="BN741" s="1" t="s">
        <v>74</v>
      </c>
      <c r="BO741" s="1" t="s">
        <v>74</v>
      </c>
      <c r="BP741" s="1" t="s">
        <v>74</v>
      </c>
      <c r="BQ741" s="1" t="s">
        <v>74</v>
      </c>
      <c r="BR741" s="1" t="s">
        <v>74</v>
      </c>
      <c r="BS741" s="1" t="s">
        <v>7004</v>
      </c>
      <c r="BT741" s="1" t="str">
        <f>HYPERLINK("https%3A%2F%2Fwww.webofscience.com%2Fwos%2Fwoscc%2Ffull-record%2FWOS:A1987L151200091","View Full Record in Web of Science")</f>
        <v>View Full Record in Web of Science</v>
      </c>
    </row>
    <row r="742" ht="12.75" customHeight="1">
      <c r="A742" s="1" t="s">
        <v>72</v>
      </c>
      <c r="B742" s="1" t="s">
        <v>7005</v>
      </c>
      <c r="C742" s="1" t="s">
        <v>74</v>
      </c>
      <c r="D742" s="1" t="s">
        <v>74</v>
      </c>
      <c r="E742" s="1" t="s">
        <v>74</v>
      </c>
      <c r="F742" s="1" t="s">
        <v>7005</v>
      </c>
      <c r="G742" s="1" t="s">
        <v>74</v>
      </c>
      <c r="H742" s="1" t="s">
        <v>74</v>
      </c>
      <c r="I742" s="1" t="s">
        <v>7006</v>
      </c>
      <c r="J742" s="1" t="s">
        <v>7001</v>
      </c>
      <c r="K742" s="1" t="s">
        <v>74</v>
      </c>
      <c r="L742" s="1" t="s">
        <v>74</v>
      </c>
      <c r="M742" s="1" t="s">
        <v>74</v>
      </c>
      <c r="N742" s="1" t="s">
        <v>74</v>
      </c>
      <c r="O742" s="1" t="s">
        <v>74</v>
      </c>
      <c r="P742" s="1" t="s">
        <v>74</v>
      </c>
      <c r="Q742" s="1" t="s">
        <v>74</v>
      </c>
      <c r="R742" s="1" t="s">
        <v>74</v>
      </c>
      <c r="S742" s="1" t="s">
        <v>74</v>
      </c>
      <c r="T742" s="1" t="s">
        <v>74</v>
      </c>
      <c r="U742" s="1" t="s">
        <v>74</v>
      </c>
      <c r="V742" s="1" t="s">
        <v>74</v>
      </c>
      <c r="W742" s="1" t="s">
        <v>74</v>
      </c>
      <c r="X742" s="1" t="s">
        <v>74</v>
      </c>
      <c r="Y742" s="1" t="s">
        <v>74</v>
      </c>
      <c r="Z742" s="1" t="s">
        <v>74</v>
      </c>
      <c r="AA742" s="1" t="s">
        <v>74</v>
      </c>
      <c r="AB742" s="1" t="s">
        <v>74</v>
      </c>
      <c r="AC742" s="1" t="s">
        <v>74</v>
      </c>
      <c r="AD742" s="1" t="s">
        <v>74</v>
      </c>
      <c r="AE742" s="1" t="s">
        <v>74</v>
      </c>
      <c r="AF742" s="1" t="s">
        <v>74</v>
      </c>
      <c r="AG742" s="1" t="s">
        <v>74</v>
      </c>
      <c r="AH742" s="1" t="s">
        <v>74</v>
      </c>
      <c r="AI742" s="1" t="s">
        <v>74</v>
      </c>
      <c r="AJ742" s="1" t="s">
        <v>74</v>
      </c>
      <c r="AK742" s="1" t="s">
        <v>74</v>
      </c>
      <c r="AL742" s="1" t="s">
        <v>74</v>
      </c>
      <c r="AM742" s="1" t="s">
        <v>74</v>
      </c>
      <c r="AN742" s="1" t="s">
        <v>74</v>
      </c>
      <c r="AO742" s="1" t="s">
        <v>7002</v>
      </c>
      <c r="AP742" s="1" t="s">
        <v>74</v>
      </c>
      <c r="AQ742" s="1" t="s">
        <v>74</v>
      </c>
      <c r="AR742" s="1" t="s">
        <v>74</v>
      </c>
      <c r="AS742" s="1" t="s">
        <v>74</v>
      </c>
      <c r="AT742" s="1" t="s">
        <v>112</v>
      </c>
      <c r="AU742" s="1">
        <v>1986.0</v>
      </c>
      <c r="AV742" s="1">
        <v>19.0</v>
      </c>
      <c r="AW742" s="1">
        <v>2.0</v>
      </c>
      <c r="AX742" s="1" t="s">
        <v>74</v>
      </c>
      <c r="AY742" s="1" t="s">
        <v>74</v>
      </c>
      <c r="AZ742" s="1" t="s">
        <v>74</v>
      </c>
      <c r="BA742" s="1" t="s">
        <v>74</v>
      </c>
      <c r="BB742" s="1" t="s">
        <v>7007</v>
      </c>
      <c r="BC742" s="1" t="s">
        <v>7007</v>
      </c>
      <c r="BD742" s="1" t="s">
        <v>74</v>
      </c>
      <c r="BE742" s="1" t="s">
        <v>74</v>
      </c>
      <c r="BF742" s="1" t="s">
        <v>74</v>
      </c>
      <c r="BG742" s="1" t="s">
        <v>74</v>
      </c>
      <c r="BH742" s="1" t="s">
        <v>74</v>
      </c>
      <c r="BI742" s="1" t="s">
        <v>74</v>
      </c>
      <c r="BJ742" s="1" t="s">
        <v>74</v>
      </c>
      <c r="BK742" s="1" t="s">
        <v>74</v>
      </c>
      <c r="BL742" s="1" t="s">
        <v>74</v>
      </c>
      <c r="BM742" s="1" t="s">
        <v>74</v>
      </c>
      <c r="BN742" s="1" t="s">
        <v>74</v>
      </c>
      <c r="BO742" s="1" t="s">
        <v>74</v>
      </c>
      <c r="BP742" s="1" t="s">
        <v>74</v>
      </c>
      <c r="BQ742" s="1" t="s">
        <v>74</v>
      </c>
      <c r="BR742" s="1" t="s">
        <v>74</v>
      </c>
      <c r="BS742" s="1" t="s">
        <v>7008</v>
      </c>
      <c r="BT742" s="1" t="str">
        <f>HYPERLINK("https%3A%2F%2Fwww.webofscience.com%2Fwos%2Fwoscc%2Ffull-record%2FWOS:A1986F093100269","View Full Record in Web of Science")</f>
        <v>View Full Record in Web of Science</v>
      </c>
    </row>
    <row r="743" ht="12.75" customHeight="1">
      <c r="A743" s="1" t="s">
        <v>72</v>
      </c>
      <c r="B743" s="1" t="s">
        <v>7009</v>
      </c>
      <c r="C743" s="1" t="s">
        <v>74</v>
      </c>
      <c r="D743" s="1" t="s">
        <v>74</v>
      </c>
      <c r="E743" s="1" t="s">
        <v>74</v>
      </c>
      <c r="F743" s="1" t="s">
        <v>7010</v>
      </c>
      <c r="G743" s="1" t="s">
        <v>74</v>
      </c>
      <c r="H743" s="1" t="s">
        <v>74</v>
      </c>
      <c r="I743" s="1" t="s">
        <v>7011</v>
      </c>
      <c r="J743" s="1" t="s">
        <v>7012</v>
      </c>
      <c r="K743" s="1" t="s">
        <v>74</v>
      </c>
      <c r="L743" s="1" t="s">
        <v>74</v>
      </c>
      <c r="M743" s="1" t="s">
        <v>74</v>
      </c>
      <c r="N743" s="1" t="s">
        <v>74</v>
      </c>
      <c r="O743" s="1" t="s">
        <v>74</v>
      </c>
      <c r="P743" s="1" t="s">
        <v>74</v>
      </c>
      <c r="Q743" s="1" t="s">
        <v>74</v>
      </c>
      <c r="R743" s="1" t="s">
        <v>74</v>
      </c>
      <c r="S743" s="1" t="s">
        <v>74</v>
      </c>
      <c r="T743" s="1" t="s">
        <v>74</v>
      </c>
      <c r="U743" s="1" t="s">
        <v>74</v>
      </c>
      <c r="V743" s="1" t="s">
        <v>7013</v>
      </c>
      <c r="W743" s="1" t="s">
        <v>74</v>
      </c>
      <c r="X743" s="1" t="s">
        <v>74</v>
      </c>
      <c r="Y743" s="1" t="s">
        <v>74</v>
      </c>
      <c r="Z743" s="1" t="s">
        <v>74</v>
      </c>
      <c r="AA743" s="1" t="s">
        <v>7014</v>
      </c>
      <c r="AB743" s="1" t="s">
        <v>7015</v>
      </c>
      <c r="AC743" s="1" t="s">
        <v>74</v>
      </c>
      <c r="AD743" s="1" t="s">
        <v>74</v>
      </c>
      <c r="AE743" s="1" t="s">
        <v>74</v>
      </c>
      <c r="AF743" s="1" t="s">
        <v>74</v>
      </c>
      <c r="AG743" s="1" t="s">
        <v>74</v>
      </c>
      <c r="AH743" s="1" t="s">
        <v>74</v>
      </c>
      <c r="AI743" s="1" t="s">
        <v>74</v>
      </c>
      <c r="AJ743" s="1" t="s">
        <v>74</v>
      </c>
      <c r="AK743" s="1" t="s">
        <v>74</v>
      </c>
      <c r="AL743" s="1" t="s">
        <v>74</v>
      </c>
      <c r="AM743" s="1" t="s">
        <v>74</v>
      </c>
      <c r="AN743" s="1" t="s">
        <v>74</v>
      </c>
      <c r="AO743" s="1" t="s">
        <v>74</v>
      </c>
      <c r="AP743" s="1" t="s">
        <v>7016</v>
      </c>
      <c r="AQ743" s="1" t="s">
        <v>74</v>
      </c>
      <c r="AR743" s="1" t="s">
        <v>74</v>
      </c>
      <c r="AS743" s="1" t="s">
        <v>74</v>
      </c>
      <c r="AT743" s="1" t="s">
        <v>389</v>
      </c>
      <c r="AU743" s="1">
        <v>2025.0</v>
      </c>
      <c r="AV743" s="1">
        <v>10.0</v>
      </c>
      <c r="AW743" s="1">
        <v>2.0</v>
      </c>
      <c r="AX743" s="1" t="s">
        <v>74</v>
      </c>
      <c r="AY743" s="1" t="s">
        <v>74</v>
      </c>
      <c r="AZ743" s="1" t="s">
        <v>74</v>
      </c>
      <c r="BA743" s="1" t="s">
        <v>74</v>
      </c>
      <c r="BB743" s="1" t="s">
        <v>74</v>
      </c>
      <c r="BC743" s="1" t="s">
        <v>74</v>
      </c>
      <c r="BD743" s="1">
        <v>20.0</v>
      </c>
      <c r="BE743" s="1" t="s">
        <v>7017</v>
      </c>
      <c r="BF743" s="2" t="str">
        <f>HYPERLINK("http://dx.doi.org/10.3390/data10020020","http://dx.doi.org/10.3390/data10020020")</f>
        <v>http://dx.doi.org/10.3390/data10020020</v>
      </c>
      <c r="BG743" s="1" t="s">
        <v>74</v>
      </c>
      <c r="BH743" s="1" t="s">
        <v>74</v>
      </c>
      <c r="BI743" s="1" t="s">
        <v>74</v>
      </c>
      <c r="BJ743" s="1" t="s">
        <v>74</v>
      </c>
      <c r="BK743" s="1" t="s">
        <v>74</v>
      </c>
      <c r="BL743" s="1" t="s">
        <v>74</v>
      </c>
      <c r="BM743" s="1" t="s">
        <v>74</v>
      </c>
      <c r="BN743" s="1" t="s">
        <v>74</v>
      </c>
      <c r="BO743" s="1" t="s">
        <v>74</v>
      </c>
      <c r="BP743" s="1" t="s">
        <v>74</v>
      </c>
      <c r="BQ743" s="1" t="s">
        <v>74</v>
      </c>
      <c r="BR743" s="1" t="s">
        <v>74</v>
      </c>
      <c r="BS743" s="1" t="s">
        <v>7018</v>
      </c>
      <c r="BT743" s="1" t="str">
        <f>HYPERLINK("https%3A%2F%2Fwww.webofscience.com%2Fwos%2Fwoscc%2Ffull-record%2FWOS:001433214900001","View Full Record in Web of Science")</f>
        <v>View Full Record in Web of Science</v>
      </c>
    </row>
    <row r="744" ht="12.75" customHeight="1">
      <c r="A744" s="1" t="s">
        <v>72</v>
      </c>
      <c r="B744" s="1" t="s">
        <v>7019</v>
      </c>
      <c r="C744" s="1" t="s">
        <v>74</v>
      </c>
      <c r="D744" s="1" t="s">
        <v>74</v>
      </c>
      <c r="E744" s="1" t="s">
        <v>74</v>
      </c>
      <c r="F744" s="1" t="s">
        <v>7020</v>
      </c>
      <c r="G744" s="1" t="s">
        <v>74</v>
      </c>
      <c r="H744" s="1" t="s">
        <v>74</v>
      </c>
      <c r="I744" s="1" t="s">
        <v>7021</v>
      </c>
      <c r="J744" s="1" t="s">
        <v>7022</v>
      </c>
      <c r="K744" s="1" t="s">
        <v>74</v>
      </c>
      <c r="L744" s="1" t="s">
        <v>74</v>
      </c>
      <c r="M744" s="1" t="s">
        <v>74</v>
      </c>
      <c r="N744" s="1" t="s">
        <v>74</v>
      </c>
      <c r="O744" s="1" t="s">
        <v>74</v>
      </c>
      <c r="P744" s="1" t="s">
        <v>74</v>
      </c>
      <c r="Q744" s="1" t="s">
        <v>74</v>
      </c>
      <c r="R744" s="1" t="s">
        <v>74</v>
      </c>
      <c r="S744" s="1" t="s">
        <v>74</v>
      </c>
      <c r="T744" s="1" t="s">
        <v>74</v>
      </c>
      <c r="U744" s="1" t="s">
        <v>74</v>
      </c>
      <c r="V744" s="1" t="s">
        <v>7023</v>
      </c>
      <c r="W744" s="1" t="s">
        <v>74</v>
      </c>
      <c r="X744" s="1" t="s">
        <v>74</v>
      </c>
      <c r="Y744" s="1" t="s">
        <v>74</v>
      </c>
      <c r="Z744" s="1" t="s">
        <v>74</v>
      </c>
      <c r="AA744" s="1" t="s">
        <v>7024</v>
      </c>
      <c r="AB744" s="1" t="s">
        <v>7025</v>
      </c>
      <c r="AC744" s="1" t="s">
        <v>74</v>
      </c>
      <c r="AD744" s="1" t="s">
        <v>74</v>
      </c>
      <c r="AE744" s="1" t="s">
        <v>74</v>
      </c>
      <c r="AF744" s="1" t="s">
        <v>74</v>
      </c>
      <c r="AG744" s="1" t="s">
        <v>74</v>
      </c>
      <c r="AH744" s="1" t="s">
        <v>74</v>
      </c>
      <c r="AI744" s="1" t="s">
        <v>74</v>
      </c>
      <c r="AJ744" s="1" t="s">
        <v>74</v>
      </c>
      <c r="AK744" s="1" t="s">
        <v>74</v>
      </c>
      <c r="AL744" s="1" t="s">
        <v>74</v>
      </c>
      <c r="AM744" s="1" t="s">
        <v>74</v>
      </c>
      <c r="AN744" s="1" t="s">
        <v>74</v>
      </c>
      <c r="AO744" s="1" t="s">
        <v>7026</v>
      </c>
      <c r="AP744" s="1" t="s">
        <v>7027</v>
      </c>
      <c r="AQ744" s="1" t="s">
        <v>74</v>
      </c>
      <c r="AR744" s="1" t="s">
        <v>74</v>
      </c>
      <c r="AS744" s="1" t="s">
        <v>74</v>
      </c>
      <c r="AT744" s="1" t="s">
        <v>7028</v>
      </c>
      <c r="AU744" s="1">
        <v>2024.0</v>
      </c>
      <c r="AV744" s="1">
        <v>57.0</v>
      </c>
      <c r="AW744" s="1">
        <v>2.0</v>
      </c>
      <c r="AX744" s="1" t="s">
        <v>74</v>
      </c>
      <c r="AY744" s="1" t="s">
        <v>74</v>
      </c>
      <c r="AZ744" s="1" t="s">
        <v>74</v>
      </c>
      <c r="BA744" s="1" t="s">
        <v>74</v>
      </c>
      <c r="BB744" s="1" t="s">
        <v>74</v>
      </c>
      <c r="BC744" s="1" t="s">
        <v>74</v>
      </c>
      <c r="BD744" s="1" t="s">
        <v>7029</v>
      </c>
      <c r="BE744" s="1" t="s">
        <v>7030</v>
      </c>
      <c r="BF744" s="2" t="str">
        <f>HYPERLINK("http://dx.doi.org/10.1144/qjegh2023-137","http://dx.doi.org/10.1144/qjegh2023-137")</f>
        <v>http://dx.doi.org/10.1144/qjegh2023-137</v>
      </c>
      <c r="BG744" s="1" t="s">
        <v>74</v>
      </c>
      <c r="BH744" s="1" t="s">
        <v>74</v>
      </c>
      <c r="BI744" s="1" t="s">
        <v>74</v>
      </c>
      <c r="BJ744" s="1" t="s">
        <v>74</v>
      </c>
      <c r="BK744" s="1" t="s">
        <v>74</v>
      </c>
      <c r="BL744" s="1" t="s">
        <v>74</v>
      </c>
      <c r="BM744" s="1" t="s">
        <v>74</v>
      </c>
      <c r="BN744" s="1" t="s">
        <v>74</v>
      </c>
      <c r="BO744" s="1" t="s">
        <v>74</v>
      </c>
      <c r="BP744" s="1" t="s">
        <v>74</v>
      </c>
      <c r="BQ744" s="1" t="s">
        <v>74</v>
      </c>
      <c r="BR744" s="1" t="s">
        <v>74</v>
      </c>
      <c r="BS744" s="1" t="s">
        <v>7031</v>
      </c>
      <c r="BT744" s="1" t="str">
        <f>HYPERLINK("https%3A%2F%2Fwww.webofscience.com%2Fwos%2Fwoscc%2Ffull-record%2FWOS:001208442800001","View Full Record in Web of Science")</f>
        <v>View Full Record in Web of Science</v>
      </c>
    </row>
    <row r="745" ht="12.75" customHeight="1">
      <c r="A745" s="1" t="s">
        <v>72</v>
      </c>
      <c r="B745" s="1" t="s">
        <v>7032</v>
      </c>
      <c r="C745" s="1" t="s">
        <v>74</v>
      </c>
      <c r="D745" s="1" t="s">
        <v>74</v>
      </c>
      <c r="E745" s="1" t="s">
        <v>74</v>
      </c>
      <c r="F745" s="1" t="s">
        <v>7033</v>
      </c>
      <c r="G745" s="1" t="s">
        <v>74</v>
      </c>
      <c r="H745" s="1" t="s">
        <v>74</v>
      </c>
      <c r="I745" s="1" t="s">
        <v>7034</v>
      </c>
      <c r="J745" s="1" t="s">
        <v>7035</v>
      </c>
      <c r="K745" s="1" t="s">
        <v>74</v>
      </c>
      <c r="L745" s="1" t="s">
        <v>74</v>
      </c>
      <c r="M745" s="1" t="s">
        <v>74</v>
      </c>
      <c r="N745" s="1" t="s">
        <v>74</v>
      </c>
      <c r="O745" s="1" t="s">
        <v>74</v>
      </c>
      <c r="P745" s="1" t="s">
        <v>74</v>
      </c>
      <c r="Q745" s="1" t="s">
        <v>74</v>
      </c>
      <c r="R745" s="1" t="s">
        <v>74</v>
      </c>
      <c r="S745" s="1" t="s">
        <v>74</v>
      </c>
      <c r="T745" s="1" t="s">
        <v>74</v>
      </c>
      <c r="U745" s="1" t="s">
        <v>74</v>
      </c>
      <c r="V745" s="1" t="s">
        <v>7036</v>
      </c>
      <c r="W745" s="1" t="s">
        <v>74</v>
      </c>
      <c r="X745" s="1" t="s">
        <v>74</v>
      </c>
      <c r="Y745" s="1" t="s">
        <v>74</v>
      </c>
      <c r="Z745" s="1" t="s">
        <v>74</v>
      </c>
      <c r="AA745" s="1" t="s">
        <v>7037</v>
      </c>
      <c r="AB745" s="1" t="s">
        <v>74</v>
      </c>
      <c r="AC745" s="1" t="s">
        <v>74</v>
      </c>
      <c r="AD745" s="1" t="s">
        <v>74</v>
      </c>
      <c r="AE745" s="1" t="s">
        <v>74</v>
      </c>
      <c r="AF745" s="1" t="s">
        <v>74</v>
      </c>
      <c r="AG745" s="1" t="s">
        <v>74</v>
      </c>
      <c r="AH745" s="1" t="s">
        <v>74</v>
      </c>
      <c r="AI745" s="1" t="s">
        <v>74</v>
      </c>
      <c r="AJ745" s="1" t="s">
        <v>74</v>
      </c>
      <c r="AK745" s="1" t="s">
        <v>74</v>
      </c>
      <c r="AL745" s="1" t="s">
        <v>74</v>
      </c>
      <c r="AM745" s="1" t="s">
        <v>74</v>
      </c>
      <c r="AN745" s="1" t="s">
        <v>74</v>
      </c>
      <c r="AO745" s="1" t="s">
        <v>7038</v>
      </c>
      <c r="AP745" s="1" t="s">
        <v>74</v>
      </c>
      <c r="AQ745" s="1" t="s">
        <v>74</v>
      </c>
      <c r="AR745" s="1" t="s">
        <v>74</v>
      </c>
      <c r="AS745" s="1" t="s">
        <v>74</v>
      </c>
      <c r="AT745" s="1" t="s">
        <v>74</v>
      </c>
      <c r="AU745" s="1">
        <v>2024.0</v>
      </c>
      <c r="AV745" s="1">
        <v>21.0</v>
      </c>
      <c r="AW745" s="1">
        <v>3.0</v>
      </c>
      <c r="AX745" s="1" t="s">
        <v>74</v>
      </c>
      <c r="AY745" s="1" t="s">
        <v>74</v>
      </c>
      <c r="AZ745" s="1" t="s">
        <v>74</v>
      </c>
      <c r="BA745" s="1" t="s">
        <v>74</v>
      </c>
      <c r="BB745" s="1">
        <v>235.0</v>
      </c>
      <c r="BC745" s="1">
        <v>260.0</v>
      </c>
      <c r="BD745" s="1" t="s">
        <v>74</v>
      </c>
      <c r="BE745" s="1" t="s">
        <v>74</v>
      </c>
      <c r="BF745" s="1" t="s">
        <v>74</v>
      </c>
      <c r="BG745" s="1" t="s">
        <v>74</v>
      </c>
      <c r="BH745" s="1" t="s">
        <v>74</v>
      </c>
      <c r="BI745" s="1" t="s">
        <v>74</v>
      </c>
      <c r="BJ745" s="1" t="s">
        <v>74</v>
      </c>
      <c r="BK745" s="1" t="s">
        <v>74</v>
      </c>
      <c r="BL745" s="1" t="s">
        <v>74</v>
      </c>
      <c r="BM745" s="1" t="s">
        <v>74</v>
      </c>
      <c r="BN745" s="1" t="s">
        <v>74</v>
      </c>
      <c r="BO745" s="1" t="s">
        <v>74</v>
      </c>
      <c r="BP745" s="1" t="s">
        <v>74</v>
      </c>
      <c r="BQ745" s="1" t="s">
        <v>74</v>
      </c>
      <c r="BR745" s="1" t="s">
        <v>74</v>
      </c>
      <c r="BS745" s="1" t="s">
        <v>7039</v>
      </c>
      <c r="BT745" s="1" t="str">
        <f>HYPERLINK("https%3A%2F%2Fwww.webofscience.com%2Fwos%2Fwoscc%2Ffull-record%2FWOS:001241217600002","View Full Record in Web of Science")</f>
        <v>View Full Record in Web of Science</v>
      </c>
    </row>
    <row r="746" ht="12.75" customHeight="1">
      <c r="A746" s="1" t="s">
        <v>72</v>
      </c>
      <c r="B746" s="1" t="s">
        <v>7040</v>
      </c>
      <c r="C746" s="1" t="s">
        <v>74</v>
      </c>
      <c r="D746" s="1" t="s">
        <v>74</v>
      </c>
      <c r="E746" s="1" t="s">
        <v>74</v>
      </c>
      <c r="F746" s="1" t="s">
        <v>7041</v>
      </c>
      <c r="G746" s="1" t="s">
        <v>74</v>
      </c>
      <c r="H746" s="1" t="s">
        <v>74</v>
      </c>
      <c r="I746" s="1" t="s">
        <v>7042</v>
      </c>
      <c r="J746" s="1" t="s">
        <v>7043</v>
      </c>
      <c r="K746" s="1" t="s">
        <v>74</v>
      </c>
      <c r="L746" s="1" t="s">
        <v>74</v>
      </c>
      <c r="M746" s="1" t="s">
        <v>74</v>
      </c>
      <c r="N746" s="1" t="s">
        <v>74</v>
      </c>
      <c r="O746" s="1" t="s">
        <v>74</v>
      </c>
      <c r="P746" s="1" t="s">
        <v>74</v>
      </c>
      <c r="Q746" s="1" t="s">
        <v>74</v>
      </c>
      <c r="R746" s="1" t="s">
        <v>74</v>
      </c>
      <c r="S746" s="1" t="s">
        <v>74</v>
      </c>
      <c r="T746" s="1" t="s">
        <v>74</v>
      </c>
      <c r="U746" s="1" t="s">
        <v>74</v>
      </c>
      <c r="V746" s="1" t="s">
        <v>7044</v>
      </c>
      <c r="W746" s="1" t="s">
        <v>74</v>
      </c>
      <c r="X746" s="1" t="s">
        <v>74</v>
      </c>
      <c r="Y746" s="1" t="s">
        <v>74</v>
      </c>
      <c r="Z746" s="1" t="s">
        <v>74</v>
      </c>
      <c r="AA746" s="1" t="s">
        <v>7045</v>
      </c>
      <c r="AB746" s="1" t="s">
        <v>7046</v>
      </c>
      <c r="AC746" s="1" t="s">
        <v>74</v>
      </c>
      <c r="AD746" s="1" t="s">
        <v>74</v>
      </c>
      <c r="AE746" s="1" t="s">
        <v>74</v>
      </c>
      <c r="AF746" s="1" t="s">
        <v>74</v>
      </c>
      <c r="AG746" s="1" t="s">
        <v>74</v>
      </c>
      <c r="AH746" s="1" t="s">
        <v>74</v>
      </c>
      <c r="AI746" s="1" t="s">
        <v>74</v>
      </c>
      <c r="AJ746" s="1" t="s">
        <v>74</v>
      </c>
      <c r="AK746" s="1" t="s">
        <v>74</v>
      </c>
      <c r="AL746" s="1" t="s">
        <v>74</v>
      </c>
      <c r="AM746" s="1" t="s">
        <v>74</v>
      </c>
      <c r="AN746" s="1" t="s">
        <v>74</v>
      </c>
      <c r="AO746" s="1" t="s">
        <v>7047</v>
      </c>
      <c r="AP746" s="1" t="s">
        <v>7048</v>
      </c>
      <c r="AQ746" s="1" t="s">
        <v>74</v>
      </c>
      <c r="AR746" s="1" t="s">
        <v>74</v>
      </c>
      <c r="AS746" s="1" t="s">
        <v>74</v>
      </c>
      <c r="AT746" s="1" t="s">
        <v>6882</v>
      </c>
      <c r="AU746" s="1">
        <v>2024.0</v>
      </c>
      <c r="AV746" s="1">
        <v>53.0</v>
      </c>
      <c r="AW746" s="1">
        <v>5.0</v>
      </c>
      <c r="AX746" s="1" t="s">
        <v>74</v>
      </c>
      <c r="AY746" s="1" t="s">
        <v>74</v>
      </c>
      <c r="AZ746" s="1" t="s">
        <v>74</v>
      </c>
      <c r="BA746" s="1" t="s">
        <v>74</v>
      </c>
      <c r="BB746" s="1">
        <v>2207.0</v>
      </c>
      <c r="BC746" s="1">
        <v>2217.0</v>
      </c>
      <c r="BD746" s="1" t="s">
        <v>74</v>
      </c>
      <c r="BE746" s="1" t="s">
        <v>7049</v>
      </c>
      <c r="BF746" s="2" t="str">
        <f>HYPERLINK("http://dx.doi.org/10.1039/d3dt04179d","http://dx.doi.org/10.1039/d3dt04179d")</f>
        <v>http://dx.doi.org/10.1039/d3dt04179d</v>
      </c>
      <c r="BG746" s="1" t="s">
        <v>74</v>
      </c>
      <c r="BH746" s="1" t="s">
        <v>2839</v>
      </c>
      <c r="BI746" s="1" t="s">
        <v>74</v>
      </c>
      <c r="BJ746" s="1" t="s">
        <v>74</v>
      </c>
      <c r="BK746" s="1" t="s">
        <v>74</v>
      </c>
      <c r="BL746" s="1" t="s">
        <v>74</v>
      </c>
      <c r="BM746" s="1" t="s">
        <v>74</v>
      </c>
      <c r="BN746" s="1">
        <v>3.8193335E7</v>
      </c>
      <c r="BO746" s="1" t="s">
        <v>74</v>
      </c>
      <c r="BP746" s="1" t="s">
        <v>74</v>
      </c>
      <c r="BQ746" s="1" t="s">
        <v>74</v>
      </c>
      <c r="BR746" s="1" t="s">
        <v>74</v>
      </c>
      <c r="BS746" s="1" t="s">
        <v>7050</v>
      </c>
      <c r="BT746" s="1" t="str">
        <f>HYPERLINK("https%3A%2F%2Fwww.webofscience.com%2Fwos%2Fwoscc%2Ffull-record%2FWOS:001138416200001","View Full Record in Web of Science")</f>
        <v>View Full Record in Web of Science</v>
      </c>
    </row>
    <row r="747" ht="12.75" customHeight="1">
      <c r="A747" s="1" t="s">
        <v>72</v>
      </c>
      <c r="B747" s="1" t="s">
        <v>7051</v>
      </c>
      <c r="C747" s="1" t="s">
        <v>74</v>
      </c>
      <c r="D747" s="1" t="s">
        <v>74</v>
      </c>
      <c r="E747" s="1" t="s">
        <v>74</v>
      </c>
      <c r="F747" s="1" t="s">
        <v>7052</v>
      </c>
      <c r="G747" s="1" t="s">
        <v>74</v>
      </c>
      <c r="H747" s="1" t="s">
        <v>74</v>
      </c>
      <c r="I747" s="1" t="s">
        <v>7053</v>
      </c>
      <c r="J747" s="1" t="s">
        <v>7054</v>
      </c>
      <c r="K747" s="1" t="s">
        <v>74</v>
      </c>
      <c r="L747" s="1" t="s">
        <v>74</v>
      </c>
      <c r="M747" s="1" t="s">
        <v>74</v>
      </c>
      <c r="N747" s="1" t="s">
        <v>74</v>
      </c>
      <c r="O747" s="1" t="s">
        <v>74</v>
      </c>
      <c r="P747" s="1" t="s">
        <v>74</v>
      </c>
      <c r="Q747" s="1" t="s">
        <v>74</v>
      </c>
      <c r="R747" s="1" t="s">
        <v>74</v>
      </c>
      <c r="S747" s="1" t="s">
        <v>74</v>
      </c>
      <c r="T747" s="1" t="s">
        <v>74</v>
      </c>
      <c r="U747" s="1" t="s">
        <v>74</v>
      </c>
      <c r="V747" s="1" t="s">
        <v>7055</v>
      </c>
      <c r="W747" s="1" t="s">
        <v>74</v>
      </c>
      <c r="X747" s="1" t="s">
        <v>74</v>
      </c>
      <c r="Y747" s="1" t="s">
        <v>74</v>
      </c>
      <c r="Z747" s="1" t="s">
        <v>74</v>
      </c>
      <c r="AA747" s="1" t="s">
        <v>74</v>
      </c>
      <c r="AB747" s="1" t="s">
        <v>74</v>
      </c>
      <c r="AC747" s="1" t="s">
        <v>74</v>
      </c>
      <c r="AD747" s="1" t="s">
        <v>74</v>
      </c>
      <c r="AE747" s="1" t="s">
        <v>74</v>
      </c>
      <c r="AF747" s="1" t="s">
        <v>74</v>
      </c>
      <c r="AG747" s="1" t="s">
        <v>74</v>
      </c>
      <c r="AH747" s="1" t="s">
        <v>74</v>
      </c>
      <c r="AI747" s="1" t="s">
        <v>74</v>
      </c>
      <c r="AJ747" s="1" t="s">
        <v>74</v>
      </c>
      <c r="AK747" s="1" t="s">
        <v>74</v>
      </c>
      <c r="AL747" s="1" t="s">
        <v>74</v>
      </c>
      <c r="AM747" s="1" t="s">
        <v>74</v>
      </c>
      <c r="AN747" s="1" t="s">
        <v>74</v>
      </c>
      <c r="AO747" s="1" t="s">
        <v>7056</v>
      </c>
      <c r="AP747" s="1" t="s">
        <v>7057</v>
      </c>
      <c r="AQ747" s="1" t="s">
        <v>74</v>
      </c>
      <c r="AR747" s="1" t="s">
        <v>74</v>
      </c>
      <c r="AS747" s="1" t="s">
        <v>74</v>
      </c>
      <c r="AT747" s="1" t="s">
        <v>7058</v>
      </c>
      <c r="AU747" s="1">
        <v>2023.0</v>
      </c>
      <c r="AV747" s="1" t="s">
        <v>74</v>
      </c>
      <c r="AW747" s="1" t="s">
        <v>74</v>
      </c>
      <c r="AX747" s="1" t="s">
        <v>74</v>
      </c>
      <c r="AY747" s="1" t="s">
        <v>74</v>
      </c>
      <c r="AZ747" s="1" t="s">
        <v>74</v>
      </c>
      <c r="BA747" s="1" t="s">
        <v>74</v>
      </c>
      <c r="BB747" s="1" t="s">
        <v>74</v>
      </c>
      <c r="BC747" s="1" t="s">
        <v>74</v>
      </c>
      <c r="BD747" s="1" t="s">
        <v>74</v>
      </c>
      <c r="BE747" s="1" t="s">
        <v>7059</v>
      </c>
      <c r="BF747" s="2" t="str">
        <f>HYPERLINK("http://dx.doi.org/10.1007/s10884-023-10330-x","http://dx.doi.org/10.1007/s10884-023-10330-x")</f>
        <v>http://dx.doi.org/10.1007/s10884-023-10330-x</v>
      </c>
      <c r="BG747" s="1" t="s">
        <v>74</v>
      </c>
      <c r="BH747" s="1" t="s">
        <v>2839</v>
      </c>
      <c r="BI747" s="1" t="s">
        <v>74</v>
      </c>
      <c r="BJ747" s="1" t="s">
        <v>74</v>
      </c>
      <c r="BK747" s="1" t="s">
        <v>74</v>
      </c>
      <c r="BL747" s="1" t="s">
        <v>74</v>
      </c>
      <c r="BM747" s="1" t="s">
        <v>74</v>
      </c>
      <c r="BN747" s="1" t="s">
        <v>74</v>
      </c>
      <c r="BO747" s="1" t="s">
        <v>74</v>
      </c>
      <c r="BP747" s="1" t="s">
        <v>74</v>
      </c>
      <c r="BQ747" s="1" t="s">
        <v>74</v>
      </c>
      <c r="BR747" s="1" t="s">
        <v>74</v>
      </c>
      <c r="BS747" s="1" t="s">
        <v>7060</v>
      </c>
      <c r="BT747" s="1" t="str">
        <f>HYPERLINK("https%3A%2F%2Fwww.webofscience.com%2Fwos%2Fwoscc%2Ffull-record%2FWOS:001113494200001","View Full Record in Web of Science")</f>
        <v>View Full Record in Web of Science</v>
      </c>
    </row>
    <row r="748" ht="12.75" customHeight="1">
      <c r="A748" s="1" t="s">
        <v>72</v>
      </c>
      <c r="B748" s="1" t="s">
        <v>7061</v>
      </c>
      <c r="C748" s="1" t="s">
        <v>74</v>
      </c>
      <c r="D748" s="1" t="s">
        <v>74</v>
      </c>
      <c r="E748" s="1" t="s">
        <v>74</v>
      </c>
      <c r="F748" s="1" t="s">
        <v>7062</v>
      </c>
      <c r="G748" s="1" t="s">
        <v>74</v>
      </c>
      <c r="H748" s="1" t="s">
        <v>74</v>
      </c>
      <c r="I748" s="1" t="s">
        <v>7063</v>
      </c>
      <c r="J748" s="1" t="s">
        <v>7064</v>
      </c>
      <c r="K748" s="1" t="s">
        <v>74</v>
      </c>
      <c r="L748" s="1" t="s">
        <v>74</v>
      </c>
      <c r="M748" s="1" t="s">
        <v>74</v>
      </c>
      <c r="N748" s="1" t="s">
        <v>74</v>
      </c>
      <c r="O748" s="1" t="s">
        <v>74</v>
      </c>
      <c r="P748" s="1" t="s">
        <v>74</v>
      </c>
      <c r="Q748" s="1" t="s">
        <v>74</v>
      </c>
      <c r="R748" s="1" t="s">
        <v>74</v>
      </c>
      <c r="S748" s="1" t="s">
        <v>74</v>
      </c>
      <c r="T748" s="1" t="s">
        <v>74</v>
      </c>
      <c r="U748" s="1" t="s">
        <v>74</v>
      </c>
      <c r="V748" s="1" t="s">
        <v>7065</v>
      </c>
      <c r="W748" s="1" t="s">
        <v>74</v>
      </c>
      <c r="X748" s="1" t="s">
        <v>74</v>
      </c>
      <c r="Y748" s="1" t="s">
        <v>74</v>
      </c>
      <c r="Z748" s="1" t="s">
        <v>74</v>
      </c>
      <c r="AA748" s="1" t="s">
        <v>7066</v>
      </c>
      <c r="AB748" s="1" t="s">
        <v>7067</v>
      </c>
      <c r="AC748" s="1" t="s">
        <v>74</v>
      </c>
      <c r="AD748" s="1" t="s">
        <v>74</v>
      </c>
      <c r="AE748" s="1" t="s">
        <v>74</v>
      </c>
      <c r="AF748" s="1" t="s">
        <v>74</v>
      </c>
      <c r="AG748" s="1" t="s">
        <v>74</v>
      </c>
      <c r="AH748" s="1" t="s">
        <v>74</v>
      </c>
      <c r="AI748" s="1" t="s">
        <v>74</v>
      </c>
      <c r="AJ748" s="1" t="s">
        <v>74</v>
      </c>
      <c r="AK748" s="1" t="s">
        <v>74</v>
      </c>
      <c r="AL748" s="1" t="s">
        <v>74</v>
      </c>
      <c r="AM748" s="1" t="s">
        <v>74</v>
      </c>
      <c r="AN748" s="1" t="s">
        <v>74</v>
      </c>
      <c r="AO748" s="1" t="s">
        <v>74</v>
      </c>
      <c r="AP748" s="1" t="s">
        <v>7068</v>
      </c>
      <c r="AQ748" s="1" t="s">
        <v>74</v>
      </c>
      <c r="AR748" s="1" t="s">
        <v>74</v>
      </c>
      <c r="AS748" s="1" t="s">
        <v>74</v>
      </c>
      <c r="AT748" s="1" t="s">
        <v>415</v>
      </c>
      <c r="AU748" s="1">
        <v>2022.0</v>
      </c>
      <c r="AV748" s="1">
        <v>3.0</v>
      </c>
      <c r="AW748" s="1">
        <v>4.0</v>
      </c>
      <c r="AX748" s="1" t="s">
        <v>74</v>
      </c>
      <c r="AY748" s="1" t="s">
        <v>74</v>
      </c>
      <c r="AZ748" s="1" t="s">
        <v>74</v>
      </c>
      <c r="BA748" s="1" t="s">
        <v>74</v>
      </c>
      <c r="BB748" s="1">
        <v>802.0</v>
      </c>
      <c r="BC748" s="1">
        <v>820.0</v>
      </c>
      <c r="BD748" s="1" t="s">
        <v>74</v>
      </c>
      <c r="BE748" s="1" t="s">
        <v>7069</v>
      </c>
      <c r="BF748" s="2" t="str">
        <f>HYPERLINK("http://dx.doi.org/10.3390/world3040045","http://dx.doi.org/10.3390/world3040045")</f>
        <v>http://dx.doi.org/10.3390/world3040045</v>
      </c>
      <c r="BG748" s="1" t="s">
        <v>74</v>
      </c>
      <c r="BH748" s="1" t="s">
        <v>74</v>
      </c>
      <c r="BI748" s="1" t="s">
        <v>74</v>
      </c>
      <c r="BJ748" s="1" t="s">
        <v>74</v>
      </c>
      <c r="BK748" s="1" t="s">
        <v>74</v>
      </c>
      <c r="BL748" s="1" t="s">
        <v>74</v>
      </c>
      <c r="BM748" s="1" t="s">
        <v>74</v>
      </c>
      <c r="BN748" s="1" t="s">
        <v>74</v>
      </c>
      <c r="BO748" s="1" t="s">
        <v>74</v>
      </c>
      <c r="BP748" s="1" t="s">
        <v>74</v>
      </c>
      <c r="BQ748" s="1" t="s">
        <v>74</v>
      </c>
      <c r="BR748" s="1" t="s">
        <v>74</v>
      </c>
      <c r="BS748" s="1" t="s">
        <v>7070</v>
      </c>
      <c r="BT748" s="1" t="str">
        <f>HYPERLINK("https%3A%2F%2Fwww.webofscience.com%2Fwos%2Fwoscc%2Ffull-record%2FWOS:001109280100001","View Full Record in Web of Science")</f>
        <v>View Full Record in Web of Science</v>
      </c>
    </row>
    <row r="749" ht="12.75" customHeight="1">
      <c r="A749" s="1" t="s">
        <v>72</v>
      </c>
      <c r="B749" s="1" t="s">
        <v>7071</v>
      </c>
      <c r="C749" s="1" t="s">
        <v>74</v>
      </c>
      <c r="D749" s="1" t="s">
        <v>74</v>
      </c>
      <c r="E749" s="1" t="s">
        <v>74</v>
      </c>
      <c r="F749" s="1" t="s">
        <v>7072</v>
      </c>
      <c r="G749" s="1" t="s">
        <v>74</v>
      </c>
      <c r="H749" s="1" t="s">
        <v>74</v>
      </c>
      <c r="I749" s="1" t="s">
        <v>7073</v>
      </c>
      <c r="J749" s="1" t="s">
        <v>7074</v>
      </c>
      <c r="K749" s="1" t="s">
        <v>74</v>
      </c>
      <c r="L749" s="1" t="s">
        <v>74</v>
      </c>
      <c r="M749" s="1" t="s">
        <v>74</v>
      </c>
      <c r="N749" s="1" t="s">
        <v>74</v>
      </c>
      <c r="O749" s="1" t="s">
        <v>74</v>
      </c>
      <c r="P749" s="1" t="s">
        <v>74</v>
      </c>
      <c r="Q749" s="1" t="s">
        <v>74</v>
      </c>
      <c r="R749" s="1" t="s">
        <v>74</v>
      </c>
      <c r="S749" s="1" t="s">
        <v>74</v>
      </c>
      <c r="T749" s="1" t="s">
        <v>74</v>
      </c>
      <c r="U749" s="1" t="s">
        <v>74</v>
      </c>
      <c r="V749" s="1" t="s">
        <v>7075</v>
      </c>
      <c r="W749" s="1" t="s">
        <v>74</v>
      </c>
      <c r="X749" s="1" t="s">
        <v>74</v>
      </c>
      <c r="Y749" s="1" t="s">
        <v>74</v>
      </c>
      <c r="Z749" s="1" t="s">
        <v>74</v>
      </c>
      <c r="AA749" s="1" t="s">
        <v>74</v>
      </c>
      <c r="AB749" s="1" t="s">
        <v>74</v>
      </c>
      <c r="AC749" s="1" t="s">
        <v>74</v>
      </c>
      <c r="AD749" s="1" t="s">
        <v>74</v>
      </c>
      <c r="AE749" s="1" t="s">
        <v>74</v>
      </c>
      <c r="AF749" s="1" t="s">
        <v>74</v>
      </c>
      <c r="AG749" s="1" t="s">
        <v>74</v>
      </c>
      <c r="AH749" s="1" t="s">
        <v>74</v>
      </c>
      <c r="AI749" s="1" t="s">
        <v>74</v>
      </c>
      <c r="AJ749" s="1" t="s">
        <v>74</v>
      </c>
      <c r="AK749" s="1" t="s">
        <v>74</v>
      </c>
      <c r="AL749" s="1" t="s">
        <v>74</v>
      </c>
      <c r="AM749" s="1" t="s">
        <v>74</v>
      </c>
      <c r="AN749" s="1" t="s">
        <v>74</v>
      </c>
      <c r="AO749" s="1" t="s">
        <v>7076</v>
      </c>
      <c r="AP749" s="1" t="s">
        <v>7077</v>
      </c>
      <c r="AQ749" s="1" t="s">
        <v>74</v>
      </c>
      <c r="AR749" s="1" t="s">
        <v>74</v>
      </c>
      <c r="AS749" s="1" t="s">
        <v>74</v>
      </c>
      <c r="AT749" s="1" t="s">
        <v>415</v>
      </c>
      <c r="AU749" s="1">
        <v>2022.0</v>
      </c>
      <c r="AV749" s="1">
        <v>16.0</v>
      </c>
      <c r="AW749" s="1">
        <v>24.0</v>
      </c>
      <c r="AX749" s="1" t="s">
        <v>74</v>
      </c>
      <c r="AY749" s="1" t="s">
        <v>74</v>
      </c>
      <c r="AZ749" s="1" t="s">
        <v>74</v>
      </c>
      <c r="BA749" s="1" t="s">
        <v>74</v>
      </c>
      <c r="BB749" s="1">
        <v>4924.0</v>
      </c>
      <c r="BC749" s="1">
        <v>4935.0</v>
      </c>
      <c r="BD749" s="1" t="s">
        <v>74</v>
      </c>
      <c r="BE749" s="1" t="s">
        <v>7078</v>
      </c>
      <c r="BF749" s="2" t="str">
        <f>HYPERLINK("http://dx.doi.org/10.1049/gtd2.12641","http://dx.doi.org/10.1049/gtd2.12641")</f>
        <v>http://dx.doi.org/10.1049/gtd2.12641</v>
      </c>
      <c r="BG749" s="1" t="s">
        <v>74</v>
      </c>
      <c r="BH749" s="1" t="s">
        <v>1374</v>
      </c>
      <c r="BI749" s="1" t="s">
        <v>74</v>
      </c>
      <c r="BJ749" s="1" t="s">
        <v>74</v>
      </c>
      <c r="BK749" s="1" t="s">
        <v>74</v>
      </c>
      <c r="BL749" s="1" t="s">
        <v>74</v>
      </c>
      <c r="BM749" s="1" t="s">
        <v>74</v>
      </c>
      <c r="BN749" s="1" t="s">
        <v>74</v>
      </c>
      <c r="BO749" s="1" t="s">
        <v>74</v>
      </c>
      <c r="BP749" s="1" t="s">
        <v>74</v>
      </c>
      <c r="BQ749" s="1" t="s">
        <v>74</v>
      </c>
      <c r="BR749" s="1" t="s">
        <v>74</v>
      </c>
      <c r="BS749" s="1" t="s">
        <v>7079</v>
      </c>
      <c r="BT749" s="1" t="str">
        <f>HYPERLINK("https%3A%2F%2Fwww.webofscience.com%2Fwos%2Fwoscc%2Ffull-record%2FWOS:000879794400001","View Full Record in Web of Science")</f>
        <v>View Full Record in Web of Science</v>
      </c>
    </row>
    <row r="750" ht="12.75" customHeight="1">
      <c r="A750" s="1" t="s">
        <v>72</v>
      </c>
      <c r="B750" s="1" t="s">
        <v>7080</v>
      </c>
      <c r="C750" s="1" t="s">
        <v>74</v>
      </c>
      <c r="D750" s="1" t="s">
        <v>74</v>
      </c>
      <c r="E750" s="1" t="s">
        <v>74</v>
      </c>
      <c r="F750" s="1" t="s">
        <v>7081</v>
      </c>
      <c r="G750" s="1" t="s">
        <v>74</v>
      </c>
      <c r="H750" s="1" t="s">
        <v>74</v>
      </c>
      <c r="I750" s="1" t="s">
        <v>7082</v>
      </c>
      <c r="J750" s="1" t="s">
        <v>7083</v>
      </c>
      <c r="K750" s="1" t="s">
        <v>74</v>
      </c>
      <c r="L750" s="1" t="s">
        <v>74</v>
      </c>
      <c r="M750" s="1" t="s">
        <v>74</v>
      </c>
      <c r="N750" s="1" t="s">
        <v>74</v>
      </c>
      <c r="O750" s="1" t="s">
        <v>74</v>
      </c>
      <c r="P750" s="1" t="s">
        <v>74</v>
      </c>
      <c r="Q750" s="1" t="s">
        <v>74</v>
      </c>
      <c r="R750" s="1" t="s">
        <v>74</v>
      </c>
      <c r="S750" s="1" t="s">
        <v>74</v>
      </c>
      <c r="T750" s="1" t="s">
        <v>74</v>
      </c>
      <c r="U750" s="1" t="s">
        <v>74</v>
      </c>
      <c r="V750" s="1" t="s">
        <v>7084</v>
      </c>
      <c r="W750" s="1" t="s">
        <v>74</v>
      </c>
      <c r="X750" s="1" t="s">
        <v>74</v>
      </c>
      <c r="Y750" s="1" t="s">
        <v>74</v>
      </c>
      <c r="Z750" s="1" t="s">
        <v>74</v>
      </c>
      <c r="AA750" s="1" t="s">
        <v>7085</v>
      </c>
      <c r="AB750" s="1" t="s">
        <v>7086</v>
      </c>
      <c r="AC750" s="1" t="s">
        <v>74</v>
      </c>
      <c r="AD750" s="1" t="s">
        <v>74</v>
      </c>
      <c r="AE750" s="1" t="s">
        <v>74</v>
      </c>
      <c r="AF750" s="1" t="s">
        <v>74</v>
      </c>
      <c r="AG750" s="1" t="s">
        <v>74</v>
      </c>
      <c r="AH750" s="1" t="s">
        <v>74</v>
      </c>
      <c r="AI750" s="1" t="s">
        <v>74</v>
      </c>
      <c r="AJ750" s="1" t="s">
        <v>74</v>
      </c>
      <c r="AK750" s="1" t="s">
        <v>74</v>
      </c>
      <c r="AL750" s="1" t="s">
        <v>74</v>
      </c>
      <c r="AM750" s="1" t="s">
        <v>74</v>
      </c>
      <c r="AN750" s="1" t="s">
        <v>74</v>
      </c>
      <c r="AO750" s="1" t="s">
        <v>7087</v>
      </c>
      <c r="AP750" s="1" t="s">
        <v>7088</v>
      </c>
      <c r="AQ750" s="1" t="s">
        <v>74</v>
      </c>
      <c r="AR750" s="1" t="s">
        <v>74</v>
      </c>
      <c r="AS750" s="1" t="s">
        <v>74</v>
      </c>
      <c r="AT750" s="1" t="s">
        <v>74</v>
      </c>
      <c r="AU750" s="1">
        <v>2023.0</v>
      </c>
      <c r="AV750" s="1">
        <v>23.0</v>
      </c>
      <c r="AW750" s="1">
        <v>2.0</v>
      </c>
      <c r="AX750" s="1" t="s">
        <v>74</v>
      </c>
      <c r="AY750" s="1" t="s">
        <v>74</v>
      </c>
      <c r="AZ750" s="1" t="s">
        <v>74</v>
      </c>
      <c r="BA750" s="1" t="s">
        <v>74</v>
      </c>
      <c r="BB750" s="1">
        <v>51.0</v>
      </c>
      <c r="BC750" s="1">
        <v>68.0</v>
      </c>
      <c r="BD750" s="1" t="s">
        <v>74</v>
      </c>
      <c r="BE750" s="1" t="s">
        <v>7089</v>
      </c>
      <c r="BF750" s="2" t="str">
        <f>HYPERLINK("http://dx.doi.org/10.5295/cdg.211490em","http://dx.doi.org/10.5295/cdg.211490em")</f>
        <v>http://dx.doi.org/10.5295/cdg.211490em</v>
      </c>
      <c r="BG750" s="1" t="s">
        <v>74</v>
      </c>
      <c r="BH750" s="1" t="s">
        <v>7090</v>
      </c>
      <c r="BI750" s="1" t="s">
        <v>74</v>
      </c>
      <c r="BJ750" s="1" t="s">
        <v>74</v>
      </c>
      <c r="BK750" s="1" t="s">
        <v>74</v>
      </c>
      <c r="BL750" s="1" t="s">
        <v>74</v>
      </c>
      <c r="BM750" s="1" t="s">
        <v>74</v>
      </c>
      <c r="BN750" s="1" t="s">
        <v>74</v>
      </c>
      <c r="BO750" s="1" t="s">
        <v>74</v>
      </c>
      <c r="BP750" s="1" t="s">
        <v>74</v>
      </c>
      <c r="BQ750" s="1" t="s">
        <v>74</v>
      </c>
      <c r="BR750" s="1" t="s">
        <v>74</v>
      </c>
      <c r="BS750" s="1" t="s">
        <v>7091</v>
      </c>
      <c r="BT750" s="1" t="str">
        <f>HYPERLINK("https%3A%2F%2Fwww.webofscience.com%2Fwos%2Fwoscc%2Ffull-record%2FWOS:000796240800001","View Full Record in Web of Science")</f>
        <v>View Full Record in Web of Science</v>
      </c>
    </row>
    <row r="751" ht="12.75" customHeight="1">
      <c r="A751" s="1" t="s">
        <v>72</v>
      </c>
      <c r="B751" s="1" t="s">
        <v>7092</v>
      </c>
      <c r="C751" s="1" t="s">
        <v>74</v>
      </c>
      <c r="D751" s="1" t="s">
        <v>74</v>
      </c>
      <c r="E751" s="1" t="s">
        <v>74</v>
      </c>
      <c r="F751" s="1" t="s">
        <v>7093</v>
      </c>
      <c r="G751" s="1" t="s">
        <v>74</v>
      </c>
      <c r="H751" s="1" t="s">
        <v>74</v>
      </c>
      <c r="I751" s="1" t="s">
        <v>7094</v>
      </c>
      <c r="J751" s="1" t="s">
        <v>6448</v>
      </c>
      <c r="K751" s="1" t="s">
        <v>74</v>
      </c>
      <c r="L751" s="1" t="s">
        <v>74</v>
      </c>
      <c r="M751" s="1" t="s">
        <v>74</v>
      </c>
      <c r="N751" s="1" t="s">
        <v>74</v>
      </c>
      <c r="O751" s="1" t="s">
        <v>74</v>
      </c>
      <c r="P751" s="1" t="s">
        <v>74</v>
      </c>
      <c r="Q751" s="1" t="s">
        <v>74</v>
      </c>
      <c r="R751" s="1" t="s">
        <v>74</v>
      </c>
      <c r="S751" s="1" t="s">
        <v>74</v>
      </c>
      <c r="T751" s="1" t="s">
        <v>74</v>
      </c>
      <c r="U751" s="1" t="s">
        <v>74</v>
      </c>
      <c r="V751" s="1" t="s">
        <v>7095</v>
      </c>
      <c r="W751" s="1" t="s">
        <v>74</v>
      </c>
      <c r="X751" s="1" t="s">
        <v>74</v>
      </c>
      <c r="Y751" s="1" t="s">
        <v>74</v>
      </c>
      <c r="Z751" s="1" t="s">
        <v>74</v>
      </c>
      <c r="AA751" s="1" t="s">
        <v>7096</v>
      </c>
      <c r="AB751" s="1" t="s">
        <v>7097</v>
      </c>
      <c r="AC751" s="1" t="s">
        <v>74</v>
      </c>
      <c r="AD751" s="1" t="s">
        <v>74</v>
      </c>
      <c r="AE751" s="1" t="s">
        <v>74</v>
      </c>
      <c r="AF751" s="1" t="s">
        <v>74</v>
      </c>
      <c r="AG751" s="1" t="s">
        <v>74</v>
      </c>
      <c r="AH751" s="1" t="s">
        <v>74</v>
      </c>
      <c r="AI751" s="1" t="s">
        <v>74</v>
      </c>
      <c r="AJ751" s="1" t="s">
        <v>74</v>
      </c>
      <c r="AK751" s="1" t="s">
        <v>74</v>
      </c>
      <c r="AL751" s="1" t="s">
        <v>74</v>
      </c>
      <c r="AM751" s="1" t="s">
        <v>74</v>
      </c>
      <c r="AN751" s="1" t="s">
        <v>74</v>
      </c>
      <c r="AO751" s="1" t="s">
        <v>6452</v>
      </c>
      <c r="AP751" s="1" t="s">
        <v>74</v>
      </c>
      <c r="AQ751" s="1" t="s">
        <v>74</v>
      </c>
      <c r="AR751" s="1" t="s">
        <v>74</v>
      </c>
      <c r="AS751" s="1" t="s">
        <v>74</v>
      </c>
      <c r="AT751" s="1" t="s">
        <v>415</v>
      </c>
      <c r="AU751" s="1">
        <v>2021.0</v>
      </c>
      <c r="AV751" s="1">
        <v>31.0</v>
      </c>
      <c r="AW751" s="1" t="s">
        <v>74</v>
      </c>
      <c r="AX751" s="1" t="s">
        <v>74</v>
      </c>
      <c r="AY751" s="1" t="s">
        <v>74</v>
      </c>
      <c r="AZ751" s="1" t="s">
        <v>74</v>
      </c>
      <c r="BA751" s="1" t="s">
        <v>74</v>
      </c>
      <c r="BB751" s="1" t="s">
        <v>74</v>
      </c>
      <c r="BC751" s="1" t="s">
        <v>74</v>
      </c>
      <c r="BD751" s="1">
        <v>104874.0</v>
      </c>
      <c r="BE751" s="1" t="s">
        <v>7098</v>
      </c>
      <c r="BF751" s="2" t="str">
        <f>HYPERLINK("http://dx.doi.org/10.1016/j.rinp.2021.104874","http://dx.doi.org/10.1016/j.rinp.2021.104874")</f>
        <v>http://dx.doi.org/10.1016/j.rinp.2021.104874</v>
      </c>
      <c r="BG751" s="1" t="s">
        <v>74</v>
      </c>
      <c r="BH751" s="1" t="s">
        <v>3698</v>
      </c>
      <c r="BI751" s="1" t="s">
        <v>74</v>
      </c>
      <c r="BJ751" s="1" t="s">
        <v>74</v>
      </c>
      <c r="BK751" s="1" t="s">
        <v>74</v>
      </c>
      <c r="BL751" s="1" t="s">
        <v>74</v>
      </c>
      <c r="BM751" s="1" t="s">
        <v>74</v>
      </c>
      <c r="BN751" s="1" t="s">
        <v>74</v>
      </c>
      <c r="BO751" s="1" t="s">
        <v>74</v>
      </c>
      <c r="BP751" s="1" t="s">
        <v>74</v>
      </c>
      <c r="BQ751" s="1" t="s">
        <v>74</v>
      </c>
      <c r="BR751" s="1" t="s">
        <v>74</v>
      </c>
      <c r="BS751" s="1" t="s">
        <v>7099</v>
      </c>
      <c r="BT751" s="1" t="str">
        <f>HYPERLINK("https%3A%2F%2Fwww.webofscience.com%2Fwos%2Fwoscc%2Ffull-record%2FWOS:000714892400015","View Full Record in Web of Science")</f>
        <v>View Full Record in Web of Science</v>
      </c>
    </row>
    <row r="752" ht="12.75" customHeight="1">
      <c r="A752" s="1" t="s">
        <v>72</v>
      </c>
      <c r="B752" s="1" t="s">
        <v>7100</v>
      </c>
      <c r="C752" s="1" t="s">
        <v>74</v>
      </c>
      <c r="D752" s="1" t="s">
        <v>74</v>
      </c>
      <c r="E752" s="1" t="s">
        <v>74</v>
      </c>
      <c r="F752" s="1" t="s">
        <v>7101</v>
      </c>
      <c r="G752" s="1" t="s">
        <v>74</v>
      </c>
      <c r="H752" s="1" t="s">
        <v>74</v>
      </c>
      <c r="I752" s="1" t="s">
        <v>7102</v>
      </c>
      <c r="J752" s="1" t="s">
        <v>846</v>
      </c>
      <c r="K752" s="1" t="s">
        <v>74</v>
      </c>
      <c r="L752" s="1" t="s">
        <v>74</v>
      </c>
      <c r="M752" s="1" t="s">
        <v>74</v>
      </c>
      <c r="N752" s="1" t="s">
        <v>74</v>
      </c>
      <c r="O752" s="1" t="s">
        <v>74</v>
      </c>
      <c r="P752" s="1" t="s">
        <v>74</v>
      </c>
      <c r="Q752" s="1" t="s">
        <v>74</v>
      </c>
      <c r="R752" s="1" t="s">
        <v>74</v>
      </c>
      <c r="S752" s="1" t="s">
        <v>74</v>
      </c>
      <c r="T752" s="1" t="s">
        <v>74</v>
      </c>
      <c r="U752" s="1" t="s">
        <v>74</v>
      </c>
      <c r="V752" s="1" t="s">
        <v>7103</v>
      </c>
      <c r="W752" s="1" t="s">
        <v>74</v>
      </c>
      <c r="X752" s="1" t="s">
        <v>74</v>
      </c>
      <c r="Y752" s="1" t="s">
        <v>74</v>
      </c>
      <c r="Z752" s="1" t="s">
        <v>74</v>
      </c>
      <c r="AA752" s="1" t="s">
        <v>7104</v>
      </c>
      <c r="AB752" s="1" t="s">
        <v>7105</v>
      </c>
      <c r="AC752" s="1" t="s">
        <v>74</v>
      </c>
      <c r="AD752" s="1" t="s">
        <v>74</v>
      </c>
      <c r="AE752" s="1" t="s">
        <v>74</v>
      </c>
      <c r="AF752" s="1" t="s">
        <v>74</v>
      </c>
      <c r="AG752" s="1" t="s">
        <v>74</v>
      </c>
      <c r="AH752" s="1" t="s">
        <v>74</v>
      </c>
      <c r="AI752" s="1" t="s">
        <v>74</v>
      </c>
      <c r="AJ752" s="1" t="s">
        <v>74</v>
      </c>
      <c r="AK752" s="1" t="s">
        <v>74</v>
      </c>
      <c r="AL752" s="1" t="s">
        <v>74</v>
      </c>
      <c r="AM752" s="1" t="s">
        <v>74</v>
      </c>
      <c r="AN752" s="1" t="s">
        <v>74</v>
      </c>
      <c r="AO752" s="1" t="s">
        <v>850</v>
      </c>
      <c r="AP752" s="1" t="s">
        <v>74</v>
      </c>
      <c r="AQ752" s="1" t="s">
        <v>74</v>
      </c>
      <c r="AR752" s="1" t="s">
        <v>74</v>
      </c>
      <c r="AS752" s="1" t="s">
        <v>74</v>
      </c>
      <c r="AT752" s="1" t="s">
        <v>7028</v>
      </c>
      <c r="AU752" s="1">
        <v>2021.0</v>
      </c>
      <c r="AV752" s="1">
        <v>16.0</v>
      </c>
      <c r="AW752" s="1">
        <v>5.0</v>
      </c>
      <c r="AX752" s="1" t="s">
        <v>74</v>
      </c>
      <c r="AY752" s="1" t="s">
        <v>74</v>
      </c>
      <c r="AZ752" s="1" t="s">
        <v>74</v>
      </c>
      <c r="BA752" s="1" t="s">
        <v>74</v>
      </c>
      <c r="BB752" s="1" t="s">
        <v>74</v>
      </c>
      <c r="BC752" s="1" t="s">
        <v>74</v>
      </c>
      <c r="BD752" s="1" t="s">
        <v>7106</v>
      </c>
      <c r="BE752" s="1" t="s">
        <v>7107</v>
      </c>
      <c r="BF752" s="2" t="str">
        <f>HYPERLINK("http://dx.doi.org/10.1371/journal.pone.0250707","http://dx.doi.org/10.1371/journal.pone.0250707")</f>
        <v>http://dx.doi.org/10.1371/journal.pone.0250707</v>
      </c>
      <c r="BG752" s="1" t="s">
        <v>74</v>
      </c>
      <c r="BH752" s="1" t="s">
        <v>74</v>
      </c>
      <c r="BI752" s="1" t="s">
        <v>74</v>
      </c>
      <c r="BJ752" s="1" t="s">
        <v>74</v>
      </c>
      <c r="BK752" s="1" t="s">
        <v>74</v>
      </c>
      <c r="BL752" s="1" t="s">
        <v>74</v>
      </c>
      <c r="BM752" s="1" t="s">
        <v>74</v>
      </c>
      <c r="BN752" s="1">
        <v>3.3956827E7</v>
      </c>
      <c r="BO752" s="1" t="s">
        <v>74</v>
      </c>
      <c r="BP752" s="1" t="s">
        <v>74</v>
      </c>
      <c r="BQ752" s="1" t="s">
        <v>74</v>
      </c>
      <c r="BR752" s="1" t="s">
        <v>74</v>
      </c>
      <c r="BS752" s="1" t="s">
        <v>7108</v>
      </c>
      <c r="BT752" s="1" t="str">
        <f>HYPERLINK("https%3A%2F%2Fwww.webofscience.com%2Fwos%2Fwoscc%2Ffull-record%2FWOS:000664611400036","View Full Record in Web of Science")</f>
        <v>View Full Record in Web of Science</v>
      </c>
    </row>
    <row r="753" ht="12.75" customHeight="1">
      <c r="A753" s="1" t="s">
        <v>72</v>
      </c>
      <c r="B753" s="1" t="s">
        <v>7109</v>
      </c>
      <c r="C753" s="1" t="s">
        <v>74</v>
      </c>
      <c r="D753" s="1" t="s">
        <v>74</v>
      </c>
      <c r="E753" s="1" t="s">
        <v>74</v>
      </c>
      <c r="F753" s="1" t="s">
        <v>7110</v>
      </c>
      <c r="G753" s="1" t="s">
        <v>74</v>
      </c>
      <c r="H753" s="1" t="s">
        <v>74</v>
      </c>
      <c r="I753" s="1" t="s">
        <v>7111</v>
      </c>
      <c r="J753" s="1" t="s">
        <v>7112</v>
      </c>
      <c r="K753" s="1" t="s">
        <v>74</v>
      </c>
      <c r="L753" s="1" t="s">
        <v>74</v>
      </c>
      <c r="M753" s="1" t="s">
        <v>74</v>
      </c>
      <c r="N753" s="1" t="s">
        <v>74</v>
      </c>
      <c r="O753" s="1" t="s">
        <v>74</v>
      </c>
      <c r="P753" s="1" t="s">
        <v>74</v>
      </c>
      <c r="Q753" s="1" t="s">
        <v>74</v>
      </c>
      <c r="R753" s="1" t="s">
        <v>74</v>
      </c>
      <c r="S753" s="1" t="s">
        <v>74</v>
      </c>
      <c r="T753" s="1" t="s">
        <v>74</v>
      </c>
      <c r="U753" s="1" t="s">
        <v>74</v>
      </c>
      <c r="V753" s="1" t="s">
        <v>7113</v>
      </c>
      <c r="W753" s="1" t="s">
        <v>74</v>
      </c>
      <c r="X753" s="1" t="s">
        <v>74</v>
      </c>
      <c r="Y753" s="1" t="s">
        <v>74</v>
      </c>
      <c r="Z753" s="1" t="s">
        <v>74</v>
      </c>
      <c r="AA753" s="1" t="s">
        <v>7114</v>
      </c>
      <c r="AB753" s="1" t="s">
        <v>74</v>
      </c>
      <c r="AC753" s="1" t="s">
        <v>74</v>
      </c>
      <c r="AD753" s="1" t="s">
        <v>74</v>
      </c>
      <c r="AE753" s="1" t="s">
        <v>74</v>
      </c>
      <c r="AF753" s="1" t="s">
        <v>74</v>
      </c>
      <c r="AG753" s="1" t="s">
        <v>74</v>
      </c>
      <c r="AH753" s="1" t="s">
        <v>74</v>
      </c>
      <c r="AI753" s="1" t="s">
        <v>74</v>
      </c>
      <c r="AJ753" s="1" t="s">
        <v>74</v>
      </c>
      <c r="AK753" s="1" t="s">
        <v>74</v>
      </c>
      <c r="AL753" s="1" t="s">
        <v>74</v>
      </c>
      <c r="AM753" s="1" t="s">
        <v>74</v>
      </c>
      <c r="AN753" s="1" t="s">
        <v>74</v>
      </c>
      <c r="AO753" s="1" t="s">
        <v>7115</v>
      </c>
      <c r="AP753" s="1" t="s">
        <v>7116</v>
      </c>
      <c r="AQ753" s="1" t="s">
        <v>74</v>
      </c>
      <c r="AR753" s="1" t="s">
        <v>74</v>
      </c>
      <c r="AS753" s="1" t="s">
        <v>74</v>
      </c>
      <c r="AT753" s="1" t="s">
        <v>7117</v>
      </c>
      <c r="AU753" s="1">
        <v>2020.0</v>
      </c>
      <c r="AV753" s="1">
        <v>76.0</v>
      </c>
      <c r="AW753" s="1">
        <v>7.0</v>
      </c>
      <c r="AX753" s="1" t="s">
        <v>74</v>
      </c>
      <c r="AY753" s="1" t="s">
        <v>74</v>
      </c>
      <c r="AZ753" s="1" t="s">
        <v>74</v>
      </c>
      <c r="BA753" s="1" t="s">
        <v>74</v>
      </c>
      <c r="BB753" s="1" t="s">
        <v>7118</v>
      </c>
      <c r="BC753" s="1" t="s">
        <v>7119</v>
      </c>
      <c r="BD753" s="1" t="s">
        <v>74</v>
      </c>
      <c r="BE753" s="1" t="s">
        <v>7120</v>
      </c>
      <c r="BF753" s="2" t="str">
        <f>HYPERLINK("http://dx.doi.org/10.1093/geronb/gbaa092","http://dx.doi.org/10.1093/geronb/gbaa092")</f>
        <v>http://dx.doi.org/10.1093/geronb/gbaa092</v>
      </c>
      <c r="BG753" s="1" t="s">
        <v>74</v>
      </c>
      <c r="BH753" s="1" t="s">
        <v>74</v>
      </c>
      <c r="BI753" s="1" t="s">
        <v>74</v>
      </c>
      <c r="BJ753" s="1" t="s">
        <v>74</v>
      </c>
      <c r="BK753" s="1" t="s">
        <v>74</v>
      </c>
      <c r="BL753" s="1" t="s">
        <v>74</v>
      </c>
      <c r="BM753" s="1" t="s">
        <v>74</v>
      </c>
      <c r="BN753" s="1" t="s">
        <v>74</v>
      </c>
      <c r="BO753" s="1" t="s">
        <v>74</v>
      </c>
      <c r="BP753" s="1" t="s">
        <v>74</v>
      </c>
      <c r="BQ753" s="1" t="s">
        <v>74</v>
      </c>
      <c r="BR753" s="1" t="s">
        <v>74</v>
      </c>
      <c r="BS753" s="1" t="s">
        <v>7121</v>
      </c>
      <c r="BT753" s="1" t="str">
        <f>HYPERLINK("https%3A%2F%2Fwww.webofscience.com%2Fwos%2Fwoscc%2Ffull-record%2FWOS:001336514700001","View Full Record in Web of Science")</f>
        <v>View Full Record in Web of Science</v>
      </c>
    </row>
    <row r="754" ht="12.75" customHeight="1">
      <c r="A754" s="1" t="s">
        <v>72</v>
      </c>
      <c r="B754" s="1" t="s">
        <v>7122</v>
      </c>
      <c r="C754" s="1" t="s">
        <v>74</v>
      </c>
      <c r="D754" s="1" t="s">
        <v>74</v>
      </c>
      <c r="E754" s="1" t="s">
        <v>74</v>
      </c>
      <c r="F754" s="1" t="s">
        <v>7123</v>
      </c>
      <c r="G754" s="1" t="s">
        <v>74</v>
      </c>
      <c r="H754" s="1" t="s">
        <v>74</v>
      </c>
      <c r="I754" s="1" t="s">
        <v>7124</v>
      </c>
      <c r="J754" s="1" t="s">
        <v>7125</v>
      </c>
      <c r="K754" s="1" t="s">
        <v>74</v>
      </c>
      <c r="L754" s="1" t="s">
        <v>74</v>
      </c>
      <c r="M754" s="1" t="s">
        <v>74</v>
      </c>
      <c r="N754" s="1" t="s">
        <v>74</v>
      </c>
      <c r="O754" s="1" t="s">
        <v>74</v>
      </c>
      <c r="P754" s="1" t="s">
        <v>74</v>
      </c>
      <c r="Q754" s="1" t="s">
        <v>74</v>
      </c>
      <c r="R754" s="1" t="s">
        <v>74</v>
      </c>
      <c r="S754" s="1" t="s">
        <v>74</v>
      </c>
      <c r="T754" s="1" t="s">
        <v>74</v>
      </c>
      <c r="U754" s="1" t="s">
        <v>74</v>
      </c>
      <c r="V754" s="1" t="s">
        <v>7126</v>
      </c>
      <c r="W754" s="1" t="s">
        <v>74</v>
      </c>
      <c r="X754" s="1" t="s">
        <v>74</v>
      </c>
      <c r="Y754" s="1" t="s">
        <v>74</v>
      </c>
      <c r="Z754" s="1" t="s">
        <v>74</v>
      </c>
      <c r="AA754" s="1" t="s">
        <v>5333</v>
      </c>
      <c r="AB754" s="1" t="s">
        <v>7127</v>
      </c>
      <c r="AC754" s="1" t="s">
        <v>74</v>
      </c>
      <c r="AD754" s="1" t="s">
        <v>74</v>
      </c>
      <c r="AE754" s="1" t="s">
        <v>74</v>
      </c>
      <c r="AF754" s="1" t="s">
        <v>74</v>
      </c>
      <c r="AG754" s="1" t="s">
        <v>74</v>
      </c>
      <c r="AH754" s="1" t="s">
        <v>74</v>
      </c>
      <c r="AI754" s="1" t="s">
        <v>74</v>
      </c>
      <c r="AJ754" s="1" t="s">
        <v>74</v>
      </c>
      <c r="AK754" s="1" t="s">
        <v>74</v>
      </c>
      <c r="AL754" s="1" t="s">
        <v>74</v>
      </c>
      <c r="AM754" s="1" t="s">
        <v>74</v>
      </c>
      <c r="AN754" s="1" t="s">
        <v>74</v>
      </c>
      <c r="AO754" s="1" t="s">
        <v>7128</v>
      </c>
      <c r="AP754" s="1" t="s">
        <v>7129</v>
      </c>
      <c r="AQ754" s="1" t="s">
        <v>74</v>
      </c>
      <c r="AR754" s="1" t="s">
        <v>74</v>
      </c>
      <c r="AS754" s="1" t="s">
        <v>74</v>
      </c>
      <c r="AT754" s="1" t="s">
        <v>621</v>
      </c>
      <c r="AU754" s="1">
        <v>2019.0</v>
      </c>
      <c r="AV754" s="1">
        <v>112.0</v>
      </c>
      <c r="AW754" s="1">
        <v>7.0</v>
      </c>
      <c r="AX754" s="1" t="s">
        <v>74</v>
      </c>
      <c r="AY754" s="1" t="s">
        <v>74</v>
      </c>
      <c r="AZ754" s="1" t="s">
        <v>74</v>
      </c>
      <c r="BA754" s="1" t="s">
        <v>74</v>
      </c>
      <c r="BB754" s="1">
        <v>965.0</v>
      </c>
      <c r="BC754" s="1">
        <v>973.0</v>
      </c>
      <c r="BD754" s="1" t="s">
        <v>74</v>
      </c>
      <c r="BE754" s="1" t="s">
        <v>7130</v>
      </c>
      <c r="BF754" s="2" t="str">
        <f>HYPERLINK("http://dx.doi.org/10.1007/s10482-019-01231-5","http://dx.doi.org/10.1007/s10482-019-01231-5")</f>
        <v>http://dx.doi.org/10.1007/s10482-019-01231-5</v>
      </c>
      <c r="BG754" s="1" t="s">
        <v>74</v>
      </c>
      <c r="BH754" s="1" t="s">
        <v>74</v>
      </c>
      <c r="BI754" s="1" t="s">
        <v>74</v>
      </c>
      <c r="BJ754" s="1" t="s">
        <v>74</v>
      </c>
      <c r="BK754" s="1" t="s">
        <v>74</v>
      </c>
      <c r="BL754" s="1" t="s">
        <v>74</v>
      </c>
      <c r="BM754" s="1" t="s">
        <v>74</v>
      </c>
      <c r="BN754" s="1">
        <v>3.0671692E7</v>
      </c>
      <c r="BO754" s="1" t="s">
        <v>74</v>
      </c>
      <c r="BP754" s="1" t="s">
        <v>74</v>
      </c>
      <c r="BQ754" s="1" t="s">
        <v>74</v>
      </c>
      <c r="BR754" s="1" t="s">
        <v>74</v>
      </c>
      <c r="BS754" s="1" t="s">
        <v>7131</v>
      </c>
      <c r="BT754" s="1" t="str">
        <f>HYPERLINK("https%3A%2F%2Fwww.webofscience.com%2Fwos%2Fwoscc%2Ffull-record%2FWOS:000470098500001","View Full Record in Web of Science")</f>
        <v>View Full Record in Web of Science</v>
      </c>
    </row>
    <row r="755" ht="12.75" customHeight="1">
      <c r="A755" s="1" t="s">
        <v>72</v>
      </c>
      <c r="B755" s="1" t="s">
        <v>7132</v>
      </c>
      <c r="C755" s="1" t="s">
        <v>74</v>
      </c>
      <c r="D755" s="1" t="s">
        <v>74</v>
      </c>
      <c r="E755" s="1" t="s">
        <v>74</v>
      </c>
      <c r="F755" s="1" t="s">
        <v>7133</v>
      </c>
      <c r="G755" s="1" t="s">
        <v>74</v>
      </c>
      <c r="H755" s="1" t="s">
        <v>74</v>
      </c>
      <c r="I755" s="1" t="s">
        <v>7134</v>
      </c>
      <c r="J755" s="1" t="s">
        <v>7135</v>
      </c>
      <c r="K755" s="1" t="s">
        <v>74</v>
      </c>
      <c r="L755" s="1" t="s">
        <v>74</v>
      </c>
      <c r="M755" s="1" t="s">
        <v>74</v>
      </c>
      <c r="N755" s="1" t="s">
        <v>74</v>
      </c>
      <c r="O755" s="1" t="s">
        <v>74</v>
      </c>
      <c r="P755" s="1" t="s">
        <v>74</v>
      </c>
      <c r="Q755" s="1" t="s">
        <v>74</v>
      </c>
      <c r="R755" s="1" t="s">
        <v>74</v>
      </c>
      <c r="S755" s="1" t="s">
        <v>74</v>
      </c>
      <c r="T755" s="1" t="s">
        <v>74</v>
      </c>
      <c r="U755" s="1" t="s">
        <v>74</v>
      </c>
      <c r="V755" s="1" t="s">
        <v>7136</v>
      </c>
      <c r="W755" s="1" t="s">
        <v>74</v>
      </c>
      <c r="X755" s="1" t="s">
        <v>74</v>
      </c>
      <c r="Y755" s="1" t="s">
        <v>74</v>
      </c>
      <c r="Z755" s="1" t="s">
        <v>74</v>
      </c>
      <c r="AA755" s="1" t="s">
        <v>7137</v>
      </c>
      <c r="AB755" s="1" t="s">
        <v>7138</v>
      </c>
      <c r="AC755" s="1" t="s">
        <v>74</v>
      </c>
      <c r="AD755" s="1" t="s">
        <v>74</v>
      </c>
      <c r="AE755" s="1" t="s">
        <v>74</v>
      </c>
      <c r="AF755" s="1" t="s">
        <v>74</v>
      </c>
      <c r="AG755" s="1" t="s">
        <v>74</v>
      </c>
      <c r="AH755" s="1" t="s">
        <v>74</v>
      </c>
      <c r="AI755" s="1" t="s">
        <v>74</v>
      </c>
      <c r="AJ755" s="1" t="s">
        <v>74</v>
      </c>
      <c r="AK755" s="1" t="s">
        <v>74</v>
      </c>
      <c r="AL755" s="1" t="s">
        <v>74</v>
      </c>
      <c r="AM755" s="1" t="s">
        <v>74</v>
      </c>
      <c r="AN755" s="1" t="s">
        <v>74</v>
      </c>
      <c r="AO755" s="1" t="s">
        <v>7139</v>
      </c>
      <c r="AP755" s="1" t="s">
        <v>74</v>
      </c>
      <c r="AQ755" s="1" t="s">
        <v>74</v>
      </c>
      <c r="AR755" s="1" t="s">
        <v>74</v>
      </c>
      <c r="AS755" s="1" t="s">
        <v>74</v>
      </c>
      <c r="AT755" s="1" t="s">
        <v>289</v>
      </c>
      <c r="AU755" s="1">
        <v>2019.0</v>
      </c>
      <c r="AV755" s="1">
        <v>9.0</v>
      </c>
      <c r="AW755" s="1">
        <v>6.0</v>
      </c>
      <c r="AX755" s="1" t="s">
        <v>74</v>
      </c>
      <c r="AY755" s="1" t="s">
        <v>74</v>
      </c>
      <c r="AZ755" s="1" t="s">
        <v>74</v>
      </c>
      <c r="BA755" s="1" t="s">
        <v>74</v>
      </c>
      <c r="BB755" s="1" t="s">
        <v>74</v>
      </c>
      <c r="BC755" s="1" t="s">
        <v>74</v>
      </c>
      <c r="BD755" s="1">
        <v>65007.0</v>
      </c>
      <c r="BE755" s="1" t="s">
        <v>7140</v>
      </c>
      <c r="BF755" s="2" t="str">
        <f>HYPERLINK("http://dx.doi.org/10.1063/1.5091813","http://dx.doi.org/10.1063/1.5091813")</f>
        <v>http://dx.doi.org/10.1063/1.5091813</v>
      </c>
      <c r="BG755" s="1" t="s">
        <v>74</v>
      </c>
      <c r="BH755" s="1" t="s">
        <v>74</v>
      </c>
      <c r="BI755" s="1" t="s">
        <v>74</v>
      </c>
      <c r="BJ755" s="1" t="s">
        <v>74</v>
      </c>
      <c r="BK755" s="1" t="s">
        <v>74</v>
      </c>
      <c r="BL755" s="1" t="s">
        <v>74</v>
      </c>
      <c r="BM755" s="1" t="s">
        <v>74</v>
      </c>
      <c r="BN755" s="1" t="s">
        <v>74</v>
      </c>
      <c r="BO755" s="1" t="s">
        <v>74</v>
      </c>
      <c r="BP755" s="1" t="s">
        <v>74</v>
      </c>
      <c r="BQ755" s="1" t="s">
        <v>74</v>
      </c>
      <c r="BR755" s="1" t="s">
        <v>74</v>
      </c>
      <c r="BS755" s="1" t="s">
        <v>7141</v>
      </c>
      <c r="BT755" s="1" t="str">
        <f>HYPERLINK("https%3A%2F%2Fwww.webofscience.com%2Fwos%2Fwoscc%2Ffull-record%2FWOS:000474430700010","View Full Record in Web of Science")</f>
        <v>View Full Record in Web of Science</v>
      </c>
    </row>
    <row r="756" ht="12.75" customHeight="1">
      <c r="A756" s="1" t="s">
        <v>147</v>
      </c>
      <c r="B756" s="1" t="s">
        <v>7142</v>
      </c>
      <c r="C756" s="1" t="s">
        <v>74</v>
      </c>
      <c r="D756" s="1" t="s">
        <v>74</v>
      </c>
      <c r="E756" s="1" t="s">
        <v>793</v>
      </c>
      <c r="F756" s="1" t="s">
        <v>7143</v>
      </c>
      <c r="G756" s="1" t="s">
        <v>74</v>
      </c>
      <c r="H756" s="1" t="s">
        <v>74</v>
      </c>
      <c r="I756" s="1" t="s">
        <v>7144</v>
      </c>
      <c r="J756" s="1" t="s">
        <v>3095</v>
      </c>
      <c r="K756" s="1" t="s">
        <v>74</v>
      </c>
      <c r="L756" s="1" t="s">
        <v>74</v>
      </c>
      <c r="M756" s="1" t="s">
        <v>74</v>
      </c>
      <c r="N756" s="1" t="s">
        <v>74</v>
      </c>
      <c r="O756" s="1" t="s">
        <v>3096</v>
      </c>
      <c r="P756" s="1" t="s">
        <v>3097</v>
      </c>
      <c r="Q756" s="1" t="s">
        <v>3098</v>
      </c>
      <c r="R756" s="1" t="s">
        <v>3099</v>
      </c>
      <c r="S756" s="1" t="s">
        <v>74</v>
      </c>
      <c r="T756" s="1" t="s">
        <v>74</v>
      </c>
      <c r="U756" s="1" t="s">
        <v>74</v>
      </c>
      <c r="V756" s="1" t="s">
        <v>7145</v>
      </c>
      <c r="W756" s="1" t="s">
        <v>74</v>
      </c>
      <c r="X756" s="1" t="s">
        <v>74</v>
      </c>
      <c r="Y756" s="1" t="s">
        <v>74</v>
      </c>
      <c r="Z756" s="1" t="s">
        <v>74</v>
      </c>
      <c r="AA756" s="1" t="s">
        <v>7146</v>
      </c>
      <c r="AB756" s="1" t="s">
        <v>7147</v>
      </c>
      <c r="AC756" s="1" t="s">
        <v>74</v>
      </c>
      <c r="AD756" s="1" t="s">
        <v>74</v>
      </c>
      <c r="AE756" s="1" t="s">
        <v>74</v>
      </c>
      <c r="AF756" s="1" t="s">
        <v>74</v>
      </c>
      <c r="AG756" s="1" t="s">
        <v>74</v>
      </c>
      <c r="AH756" s="1" t="s">
        <v>74</v>
      </c>
      <c r="AI756" s="1" t="s">
        <v>74</v>
      </c>
      <c r="AJ756" s="1" t="s">
        <v>74</v>
      </c>
      <c r="AK756" s="1" t="s">
        <v>74</v>
      </c>
      <c r="AL756" s="1" t="s">
        <v>74</v>
      </c>
      <c r="AM756" s="1" t="s">
        <v>74</v>
      </c>
      <c r="AN756" s="1" t="s">
        <v>74</v>
      </c>
      <c r="AO756" s="1" t="s">
        <v>74</v>
      </c>
      <c r="AP756" s="1" t="s">
        <v>74</v>
      </c>
      <c r="AQ756" s="1" t="s">
        <v>3103</v>
      </c>
      <c r="AR756" s="1" t="s">
        <v>74</v>
      </c>
      <c r="AS756" s="1" t="s">
        <v>74</v>
      </c>
      <c r="AT756" s="1" t="s">
        <v>74</v>
      </c>
      <c r="AU756" s="1">
        <v>2019.0</v>
      </c>
      <c r="AV756" s="1" t="s">
        <v>74</v>
      </c>
      <c r="AW756" s="1" t="s">
        <v>74</v>
      </c>
      <c r="AX756" s="1" t="s">
        <v>74</v>
      </c>
      <c r="AY756" s="1" t="s">
        <v>74</v>
      </c>
      <c r="AZ756" s="1" t="s">
        <v>74</v>
      </c>
      <c r="BA756" s="1" t="s">
        <v>74</v>
      </c>
      <c r="BB756" s="1" t="s">
        <v>74</v>
      </c>
      <c r="BC756" s="1" t="s">
        <v>74</v>
      </c>
      <c r="BD756" s="1" t="s">
        <v>74</v>
      </c>
      <c r="BE756" s="1" t="s">
        <v>7148</v>
      </c>
      <c r="BF756" s="2" t="str">
        <f>HYPERLINK("http://dx.doi.org/10.1109/chilecon47746.2019.8988099","http://dx.doi.org/10.1109/chilecon47746.2019.8988099")</f>
        <v>http://dx.doi.org/10.1109/chilecon47746.2019.8988099</v>
      </c>
      <c r="BG756" s="1" t="s">
        <v>74</v>
      </c>
      <c r="BH756" s="1" t="s">
        <v>74</v>
      </c>
      <c r="BI756" s="1" t="s">
        <v>74</v>
      </c>
      <c r="BJ756" s="1" t="s">
        <v>74</v>
      </c>
      <c r="BK756" s="1" t="s">
        <v>74</v>
      </c>
      <c r="BL756" s="1" t="s">
        <v>74</v>
      </c>
      <c r="BM756" s="1" t="s">
        <v>74</v>
      </c>
      <c r="BN756" s="1" t="s">
        <v>74</v>
      </c>
      <c r="BO756" s="1" t="s">
        <v>74</v>
      </c>
      <c r="BP756" s="1" t="s">
        <v>74</v>
      </c>
      <c r="BQ756" s="1" t="s">
        <v>74</v>
      </c>
      <c r="BR756" s="1" t="s">
        <v>74</v>
      </c>
      <c r="BS756" s="1" t="s">
        <v>7149</v>
      </c>
      <c r="BT756" s="1" t="str">
        <f>HYPERLINK("https%3A%2F%2Fwww.webofscience.com%2Fwos%2Fwoscc%2Ffull-record%2FWOS:000542919100200","View Full Record in Web of Science")</f>
        <v>View Full Record in Web of Science</v>
      </c>
    </row>
    <row r="757" ht="12.75" customHeight="1">
      <c r="A757" s="1" t="s">
        <v>72</v>
      </c>
      <c r="B757" s="1" t="s">
        <v>7150</v>
      </c>
      <c r="C757" s="1" t="s">
        <v>74</v>
      </c>
      <c r="D757" s="1" t="s">
        <v>74</v>
      </c>
      <c r="E757" s="1" t="s">
        <v>74</v>
      </c>
      <c r="F757" s="1" t="s">
        <v>7151</v>
      </c>
      <c r="G757" s="1" t="s">
        <v>74</v>
      </c>
      <c r="H757" s="1" t="s">
        <v>74</v>
      </c>
      <c r="I757" s="1" t="s">
        <v>7152</v>
      </c>
      <c r="J757" s="1" t="s">
        <v>649</v>
      </c>
      <c r="K757" s="1" t="s">
        <v>74</v>
      </c>
      <c r="L757" s="1" t="s">
        <v>74</v>
      </c>
      <c r="M757" s="1" t="s">
        <v>74</v>
      </c>
      <c r="N757" s="1" t="s">
        <v>74</v>
      </c>
      <c r="O757" s="1" t="s">
        <v>74</v>
      </c>
      <c r="P757" s="1" t="s">
        <v>74</v>
      </c>
      <c r="Q757" s="1" t="s">
        <v>74</v>
      </c>
      <c r="R757" s="1" t="s">
        <v>74</v>
      </c>
      <c r="S757" s="1" t="s">
        <v>74</v>
      </c>
      <c r="T757" s="1" t="s">
        <v>74</v>
      </c>
      <c r="U757" s="1" t="s">
        <v>74</v>
      </c>
      <c r="V757" s="1" t="s">
        <v>7153</v>
      </c>
      <c r="W757" s="1" t="s">
        <v>74</v>
      </c>
      <c r="X757" s="1" t="s">
        <v>74</v>
      </c>
      <c r="Y757" s="1" t="s">
        <v>74</v>
      </c>
      <c r="Z757" s="1" t="s">
        <v>74</v>
      </c>
      <c r="AA757" s="1" t="s">
        <v>7154</v>
      </c>
      <c r="AB757" s="1" t="s">
        <v>74</v>
      </c>
      <c r="AC757" s="1" t="s">
        <v>74</v>
      </c>
      <c r="AD757" s="1" t="s">
        <v>74</v>
      </c>
      <c r="AE757" s="1" t="s">
        <v>74</v>
      </c>
      <c r="AF757" s="1" t="s">
        <v>74</v>
      </c>
      <c r="AG757" s="1" t="s">
        <v>74</v>
      </c>
      <c r="AH757" s="1" t="s">
        <v>74</v>
      </c>
      <c r="AI757" s="1" t="s">
        <v>74</v>
      </c>
      <c r="AJ757" s="1" t="s">
        <v>74</v>
      </c>
      <c r="AK757" s="1" t="s">
        <v>74</v>
      </c>
      <c r="AL757" s="1" t="s">
        <v>74</v>
      </c>
      <c r="AM757" s="1" t="s">
        <v>74</v>
      </c>
      <c r="AN757" s="1" t="s">
        <v>74</v>
      </c>
      <c r="AO757" s="1" t="s">
        <v>653</v>
      </c>
      <c r="AP757" s="1" t="s">
        <v>654</v>
      </c>
      <c r="AQ757" s="1" t="s">
        <v>74</v>
      </c>
      <c r="AR757" s="1" t="s">
        <v>74</v>
      </c>
      <c r="AS757" s="1" t="s">
        <v>74</v>
      </c>
      <c r="AT757" s="1" t="s">
        <v>7155</v>
      </c>
      <c r="AU757" s="1">
        <v>2017.0</v>
      </c>
      <c r="AV757" s="1">
        <v>118.0</v>
      </c>
      <c r="AW757" s="1">
        <v>22.0</v>
      </c>
      <c r="AX757" s="1" t="s">
        <v>74</v>
      </c>
      <c r="AY757" s="1" t="s">
        <v>74</v>
      </c>
      <c r="AZ757" s="1" t="s">
        <v>74</v>
      </c>
      <c r="BA757" s="1" t="s">
        <v>74</v>
      </c>
      <c r="BB757" s="1" t="s">
        <v>74</v>
      </c>
      <c r="BC757" s="1" t="s">
        <v>74</v>
      </c>
      <c r="BD757" s="1" t="s">
        <v>74</v>
      </c>
      <c r="BE757" s="1" t="s">
        <v>74</v>
      </c>
      <c r="BF757" s="1" t="s">
        <v>74</v>
      </c>
      <c r="BG757" s="1" t="s">
        <v>74</v>
      </c>
      <c r="BH757" s="1" t="s">
        <v>74</v>
      </c>
      <c r="BI757" s="1" t="s">
        <v>74</v>
      </c>
      <c r="BJ757" s="1" t="s">
        <v>74</v>
      </c>
      <c r="BK757" s="1" t="s">
        <v>74</v>
      </c>
      <c r="BL757" s="1" t="s">
        <v>74</v>
      </c>
      <c r="BM757" s="1" t="s">
        <v>74</v>
      </c>
      <c r="BN757" s="1" t="s">
        <v>74</v>
      </c>
      <c r="BO757" s="1" t="s">
        <v>74</v>
      </c>
      <c r="BP757" s="1" t="s">
        <v>74</v>
      </c>
      <c r="BQ757" s="1" t="s">
        <v>74</v>
      </c>
      <c r="BR757" s="1" t="s">
        <v>74</v>
      </c>
      <c r="BS757" s="1" t="s">
        <v>7156</v>
      </c>
      <c r="BT757" s="1" t="str">
        <f>HYPERLINK("https%3A%2F%2Fwww.webofscience.com%2Fwos%2Fwoscc%2Ffull-record%2FWOS:000403603900004","View Full Record in Web of Science")</f>
        <v>View Full Record in Web of Science</v>
      </c>
    </row>
    <row r="758" ht="12.75" customHeight="1">
      <c r="A758" s="1" t="s">
        <v>72</v>
      </c>
      <c r="B758" s="1" t="s">
        <v>7157</v>
      </c>
      <c r="C758" s="1" t="s">
        <v>74</v>
      </c>
      <c r="D758" s="1" t="s">
        <v>74</v>
      </c>
      <c r="E758" s="1" t="s">
        <v>74</v>
      </c>
      <c r="F758" s="1" t="s">
        <v>7158</v>
      </c>
      <c r="G758" s="1" t="s">
        <v>74</v>
      </c>
      <c r="H758" s="1" t="s">
        <v>74</v>
      </c>
      <c r="I758" s="1" t="s">
        <v>7159</v>
      </c>
      <c r="J758" s="1" t="s">
        <v>1643</v>
      </c>
      <c r="K758" s="1" t="s">
        <v>74</v>
      </c>
      <c r="L758" s="1" t="s">
        <v>74</v>
      </c>
      <c r="M758" s="1" t="s">
        <v>74</v>
      </c>
      <c r="N758" s="1" t="s">
        <v>74</v>
      </c>
      <c r="O758" s="1" t="s">
        <v>74</v>
      </c>
      <c r="P758" s="1" t="s">
        <v>74</v>
      </c>
      <c r="Q758" s="1" t="s">
        <v>74</v>
      </c>
      <c r="R758" s="1" t="s">
        <v>74</v>
      </c>
      <c r="S758" s="1" t="s">
        <v>74</v>
      </c>
      <c r="T758" s="1" t="s">
        <v>74</v>
      </c>
      <c r="U758" s="1" t="s">
        <v>74</v>
      </c>
      <c r="V758" s="1" t="s">
        <v>7160</v>
      </c>
      <c r="W758" s="1" t="s">
        <v>74</v>
      </c>
      <c r="X758" s="1" t="s">
        <v>74</v>
      </c>
      <c r="Y758" s="1" t="s">
        <v>74</v>
      </c>
      <c r="Z758" s="1" t="s">
        <v>74</v>
      </c>
      <c r="AA758" s="1" t="s">
        <v>7161</v>
      </c>
      <c r="AB758" s="1" t="s">
        <v>7162</v>
      </c>
      <c r="AC758" s="1" t="s">
        <v>74</v>
      </c>
      <c r="AD758" s="1" t="s">
        <v>74</v>
      </c>
      <c r="AE758" s="1" t="s">
        <v>74</v>
      </c>
      <c r="AF758" s="1" t="s">
        <v>74</v>
      </c>
      <c r="AG758" s="1" t="s">
        <v>74</v>
      </c>
      <c r="AH758" s="1" t="s">
        <v>74</v>
      </c>
      <c r="AI758" s="1" t="s">
        <v>74</v>
      </c>
      <c r="AJ758" s="1" t="s">
        <v>74</v>
      </c>
      <c r="AK758" s="1" t="s">
        <v>74</v>
      </c>
      <c r="AL758" s="1" t="s">
        <v>74</v>
      </c>
      <c r="AM758" s="1" t="s">
        <v>74</v>
      </c>
      <c r="AN758" s="1" t="s">
        <v>74</v>
      </c>
      <c r="AO758" s="1" t="s">
        <v>1645</v>
      </c>
      <c r="AP758" s="1" t="s">
        <v>74</v>
      </c>
      <c r="AQ758" s="1" t="s">
        <v>74</v>
      </c>
      <c r="AR758" s="1" t="s">
        <v>74</v>
      </c>
      <c r="AS758" s="1" t="s">
        <v>74</v>
      </c>
      <c r="AT758" s="1" t="s">
        <v>112</v>
      </c>
      <c r="AU758" s="1">
        <v>2016.0</v>
      </c>
      <c r="AV758" s="1">
        <v>15.0</v>
      </c>
      <c r="AW758" s="1">
        <v>6.0</v>
      </c>
      <c r="AX758" s="1" t="s">
        <v>74</v>
      </c>
      <c r="AY758" s="1" t="s">
        <v>74</v>
      </c>
      <c r="AZ758" s="1" t="s">
        <v>74</v>
      </c>
      <c r="BA758" s="1" t="s">
        <v>74</v>
      </c>
      <c r="BB758" s="1">
        <v>407.0</v>
      </c>
      <c r="BC758" s="1">
        <v>421.0</v>
      </c>
      <c r="BD758" s="1" t="s">
        <v>74</v>
      </c>
      <c r="BE758" s="1" t="s">
        <v>74</v>
      </c>
      <c r="BF758" s="1" t="s">
        <v>74</v>
      </c>
      <c r="BG758" s="1" t="s">
        <v>74</v>
      </c>
      <c r="BH758" s="1" t="s">
        <v>74</v>
      </c>
      <c r="BI758" s="1" t="s">
        <v>74</v>
      </c>
      <c r="BJ758" s="1" t="s">
        <v>74</v>
      </c>
      <c r="BK758" s="1" t="s">
        <v>74</v>
      </c>
      <c r="BL758" s="1" t="s">
        <v>74</v>
      </c>
      <c r="BM758" s="1" t="s">
        <v>74</v>
      </c>
      <c r="BN758" s="1" t="s">
        <v>74</v>
      </c>
      <c r="BO758" s="1" t="s">
        <v>74</v>
      </c>
      <c r="BP758" s="1" t="s">
        <v>74</v>
      </c>
      <c r="BQ758" s="1" t="s">
        <v>74</v>
      </c>
      <c r="BR758" s="1" t="s">
        <v>74</v>
      </c>
      <c r="BS758" s="1" t="s">
        <v>7163</v>
      </c>
      <c r="BT758" s="1" t="str">
        <f>HYPERLINK("https%3A%2F%2Fwww.webofscience.com%2Fwos%2Fwoscc%2Ffull-record%2FWOS:000392703100004","View Full Record in Web of Science")</f>
        <v>View Full Record in Web of Science</v>
      </c>
    </row>
    <row r="759" ht="12.75" customHeight="1">
      <c r="A759" s="1" t="s">
        <v>72</v>
      </c>
      <c r="B759" s="1" t="s">
        <v>7164</v>
      </c>
      <c r="C759" s="1" t="s">
        <v>74</v>
      </c>
      <c r="D759" s="1" t="s">
        <v>74</v>
      </c>
      <c r="E759" s="1" t="s">
        <v>74</v>
      </c>
      <c r="F759" s="1" t="s">
        <v>7165</v>
      </c>
      <c r="G759" s="1" t="s">
        <v>74</v>
      </c>
      <c r="H759" s="1" t="s">
        <v>74</v>
      </c>
      <c r="I759" s="1" t="s">
        <v>7166</v>
      </c>
      <c r="J759" s="1" t="s">
        <v>7167</v>
      </c>
      <c r="K759" s="1" t="s">
        <v>74</v>
      </c>
      <c r="L759" s="1" t="s">
        <v>74</v>
      </c>
      <c r="M759" s="1" t="s">
        <v>74</v>
      </c>
      <c r="N759" s="1" t="s">
        <v>74</v>
      </c>
      <c r="O759" s="1" t="s">
        <v>74</v>
      </c>
      <c r="P759" s="1" t="s">
        <v>74</v>
      </c>
      <c r="Q759" s="1" t="s">
        <v>74</v>
      </c>
      <c r="R759" s="1" t="s">
        <v>74</v>
      </c>
      <c r="S759" s="1" t="s">
        <v>74</v>
      </c>
      <c r="T759" s="1" t="s">
        <v>74</v>
      </c>
      <c r="U759" s="1" t="s">
        <v>74</v>
      </c>
      <c r="V759" s="1" t="s">
        <v>7168</v>
      </c>
      <c r="W759" s="1" t="s">
        <v>74</v>
      </c>
      <c r="X759" s="1" t="s">
        <v>74</v>
      </c>
      <c r="Y759" s="1" t="s">
        <v>74</v>
      </c>
      <c r="Z759" s="1" t="s">
        <v>74</v>
      </c>
      <c r="AA759" s="1" t="s">
        <v>7169</v>
      </c>
      <c r="AB759" s="1" t="s">
        <v>7170</v>
      </c>
      <c r="AC759" s="1" t="s">
        <v>74</v>
      </c>
      <c r="AD759" s="1" t="s">
        <v>74</v>
      </c>
      <c r="AE759" s="1" t="s">
        <v>74</v>
      </c>
      <c r="AF759" s="1" t="s">
        <v>74</v>
      </c>
      <c r="AG759" s="1" t="s">
        <v>74</v>
      </c>
      <c r="AH759" s="1" t="s">
        <v>74</v>
      </c>
      <c r="AI759" s="1" t="s">
        <v>74</v>
      </c>
      <c r="AJ759" s="1" t="s">
        <v>74</v>
      </c>
      <c r="AK759" s="1" t="s">
        <v>74</v>
      </c>
      <c r="AL759" s="1" t="s">
        <v>74</v>
      </c>
      <c r="AM759" s="1" t="s">
        <v>74</v>
      </c>
      <c r="AN759" s="1" t="s">
        <v>74</v>
      </c>
      <c r="AO759" s="1" t="s">
        <v>7171</v>
      </c>
      <c r="AP759" s="1" t="s">
        <v>7172</v>
      </c>
      <c r="AQ759" s="1" t="s">
        <v>74</v>
      </c>
      <c r="AR759" s="1" t="s">
        <v>74</v>
      </c>
      <c r="AS759" s="1" t="s">
        <v>74</v>
      </c>
      <c r="AT759" s="1" t="s">
        <v>122</v>
      </c>
      <c r="AU759" s="1">
        <v>2016.0</v>
      </c>
      <c r="AV759" s="1">
        <v>19.0</v>
      </c>
      <c r="AW759" s="1">
        <v>4.0</v>
      </c>
      <c r="AX759" s="1" t="s">
        <v>74</v>
      </c>
      <c r="AY759" s="1" t="s">
        <v>74</v>
      </c>
      <c r="AZ759" s="1" t="s">
        <v>74</v>
      </c>
      <c r="BA759" s="1" t="s">
        <v>74</v>
      </c>
      <c r="BB759" s="1">
        <v>1010.0</v>
      </c>
      <c r="BC759" s="1">
        <v>1030.0</v>
      </c>
      <c r="BD759" s="1" t="s">
        <v>74</v>
      </c>
      <c r="BE759" s="1" t="s">
        <v>7173</v>
      </c>
      <c r="BF759" s="2" t="str">
        <f>HYPERLINK("http://dx.doi.org/10.1515/fca-2016-0055","http://dx.doi.org/10.1515/fca-2016-0055")</f>
        <v>http://dx.doi.org/10.1515/fca-2016-0055</v>
      </c>
      <c r="BG759" s="1" t="s">
        <v>74</v>
      </c>
      <c r="BH759" s="1" t="s">
        <v>74</v>
      </c>
      <c r="BI759" s="1" t="s">
        <v>74</v>
      </c>
      <c r="BJ759" s="1" t="s">
        <v>74</v>
      </c>
      <c r="BK759" s="1" t="s">
        <v>74</v>
      </c>
      <c r="BL759" s="1" t="s">
        <v>74</v>
      </c>
      <c r="BM759" s="1" t="s">
        <v>74</v>
      </c>
      <c r="BN759" s="1" t="s">
        <v>74</v>
      </c>
      <c r="BO759" s="1" t="s">
        <v>74</v>
      </c>
      <c r="BP759" s="1" t="s">
        <v>74</v>
      </c>
      <c r="BQ759" s="1" t="s">
        <v>74</v>
      </c>
      <c r="BR759" s="1" t="s">
        <v>74</v>
      </c>
      <c r="BS759" s="1" t="s">
        <v>7174</v>
      </c>
      <c r="BT759" s="1" t="str">
        <f>HYPERLINK("https%3A%2F%2Fwww.webofscience.com%2Fwos%2Fwoscc%2Ffull-record%2FWOS:000383390700001","View Full Record in Web of Science")</f>
        <v>View Full Record in Web of Science</v>
      </c>
    </row>
    <row r="760" ht="12.75" customHeight="1">
      <c r="A760" s="1" t="s">
        <v>72</v>
      </c>
      <c r="B760" s="1" t="s">
        <v>7175</v>
      </c>
      <c r="C760" s="1" t="s">
        <v>74</v>
      </c>
      <c r="D760" s="1" t="s">
        <v>74</v>
      </c>
      <c r="E760" s="1" t="s">
        <v>74</v>
      </c>
      <c r="F760" s="1" t="s">
        <v>7176</v>
      </c>
      <c r="G760" s="1" t="s">
        <v>74</v>
      </c>
      <c r="H760" s="1" t="s">
        <v>74</v>
      </c>
      <c r="I760" s="1" t="s">
        <v>7177</v>
      </c>
      <c r="J760" s="1" t="s">
        <v>7178</v>
      </c>
      <c r="K760" s="1" t="s">
        <v>74</v>
      </c>
      <c r="L760" s="1" t="s">
        <v>74</v>
      </c>
      <c r="M760" s="1" t="s">
        <v>74</v>
      </c>
      <c r="N760" s="1" t="s">
        <v>74</v>
      </c>
      <c r="O760" s="1" t="s">
        <v>74</v>
      </c>
      <c r="P760" s="1" t="s">
        <v>74</v>
      </c>
      <c r="Q760" s="1" t="s">
        <v>74</v>
      </c>
      <c r="R760" s="1" t="s">
        <v>74</v>
      </c>
      <c r="S760" s="1" t="s">
        <v>74</v>
      </c>
      <c r="T760" s="1" t="s">
        <v>74</v>
      </c>
      <c r="U760" s="1" t="s">
        <v>74</v>
      </c>
      <c r="V760" s="1" t="s">
        <v>7179</v>
      </c>
      <c r="W760" s="1" t="s">
        <v>74</v>
      </c>
      <c r="X760" s="1" t="s">
        <v>74</v>
      </c>
      <c r="Y760" s="1" t="s">
        <v>74</v>
      </c>
      <c r="Z760" s="1" t="s">
        <v>74</v>
      </c>
      <c r="AA760" s="1" t="s">
        <v>7180</v>
      </c>
      <c r="AB760" s="1" t="s">
        <v>7181</v>
      </c>
      <c r="AC760" s="1" t="s">
        <v>74</v>
      </c>
      <c r="AD760" s="1" t="s">
        <v>74</v>
      </c>
      <c r="AE760" s="1" t="s">
        <v>74</v>
      </c>
      <c r="AF760" s="1" t="s">
        <v>74</v>
      </c>
      <c r="AG760" s="1" t="s">
        <v>74</v>
      </c>
      <c r="AH760" s="1" t="s">
        <v>74</v>
      </c>
      <c r="AI760" s="1" t="s">
        <v>74</v>
      </c>
      <c r="AJ760" s="1" t="s">
        <v>74</v>
      </c>
      <c r="AK760" s="1" t="s">
        <v>74</v>
      </c>
      <c r="AL760" s="1" t="s">
        <v>74</v>
      </c>
      <c r="AM760" s="1" t="s">
        <v>74</v>
      </c>
      <c r="AN760" s="1" t="s">
        <v>74</v>
      </c>
      <c r="AO760" s="1" t="s">
        <v>7182</v>
      </c>
      <c r="AP760" s="1" t="s">
        <v>7183</v>
      </c>
      <c r="AQ760" s="1" t="s">
        <v>74</v>
      </c>
      <c r="AR760" s="1" t="s">
        <v>74</v>
      </c>
      <c r="AS760" s="1" t="s">
        <v>74</v>
      </c>
      <c r="AT760" s="1" t="s">
        <v>621</v>
      </c>
      <c r="AU760" s="1">
        <v>2016.0</v>
      </c>
      <c r="AV760" s="1">
        <v>58.0</v>
      </c>
      <c r="AW760" s="1">
        <v>3.0</v>
      </c>
      <c r="AX760" s="1" t="s">
        <v>74</v>
      </c>
      <c r="AY760" s="1" t="s">
        <v>74</v>
      </c>
      <c r="AZ760" s="1" t="s">
        <v>74</v>
      </c>
      <c r="BA760" s="1" t="s">
        <v>74</v>
      </c>
      <c r="BB760" s="1">
        <v>335.0</v>
      </c>
      <c r="BC760" s="1">
        <v>343.0</v>
      </c>
      <c r="BD760" s="1" t="s">
        <v>74</v>
      </c>
      <c r="BE760" s="1" t="s">
        <v>7184</v>
      </c>
      <c r="BF760" s="2" t="str">
        <f>HYPERLINK("http://dx.doi.org/10.1007/s10144-016-0550-5","http://dx.doi.org/10.1007/s10144-016-0550-5")</f>
        <v>http://dx.doi.org/10.1007/s10144-016-0550-5</v>
      </c>
      <c r="BG760" s="1" t="s">
        <v>74</v>
      </c>
      <c r="BH760" s="1" t="s">
        <v>74</v>
      </c>
      <c r="BI760" s="1" t="s">
        <v>74</v>
      </c>
      <c r="BJ760" s="1" t="s">
        <v>74</v>
      </c>
      <c r="BK760" s="1" t="s">
        <v>74</v>
      </c>
      <c r="BL760" s="1" t="s">
        <v>74</v>
      </c>
      <c r="BM760" s="1" t="s">
        <v>74</v>
      </c>
      <c r="BN760" s="1" t="s">
        <v>74</v>
      </c>
      <c r="BO760" s="1" t="s">
        <v>74</v>
      </c>
      <c r="BP760" s="1" t="s">
        <v>74</v>
      </c>
      <c r="BQ760" s="1" t="s">
        <v>74</v>
      </c>
      <c r="BR760" s="1" t="s">
        <v>74</v>
      </c>
      <c r="BS760" s="1" t="s">
        <v>7185</v>
      </c>
      <c r="BT760" s="1" t="str">
        <f>HYPERLINK("https%3A%2F%2Fwww.webofscience.com%2Fwos%2Fwoscc%2Ffull-record%2FWOS:000379082600001","View Full Record in Web of Science")</f>
        <v>View Full Record in Web of Science</v>
      </c>
    </row>
    <row r="761" ht="12.75" customHeight="1">
      <c r="A761" s="1" t="s">
        <v>72</v>
      </c>
      <c r="B761" s="1" t="s">
        <v>7186</v>
      </c>
      <c r="C761" s="1" t="s">
        <v>74</v>
      </c>
      <c r="D761" s="1" t="s">
        <v>74</v>
      </c>
      <c r="E761" s="1" t="s">
        <v>74</v>
      </c>
      <c r="F761" s="1" t="s">
        <v>7187</v>
      </c>
      <c r="G761" s="1" t="s">
        <v>74</v>
      </c>
      <c r="H761" s="1" t="s">
        <v>74</v>
      </c>
      <c r="I761" s="1" t="s">
        <v>7188</v>
      </c>
      <c r="J761" s="1" t="s">
        <v>7189</v>
      </c>
      <c r="K761" s="1" t="s">
        <v>74</v>
      </c>
      <c r="L761" s="1" t="s">
        <v>74</v>
      </c>
      <c r="M761" s="1" t="s">
        <v>74</v>
      </c>
      <c r="N761" s="1" t="s">
        <v>74</v>
      </c>
      <c r="O761" s="1" t="s">
        <v>74</v>
      </c>
      <c r="P761" s="1" t="s">
        <v>74</v>
      </c>
      <c r="Q761" s="1" t="s">
        <v>74</v>
      </c>
      <c r="R761" s="1" t="s">
        <v>74</v>
      </c>
      <c r="S761" s="1" t="s">
        <v>74</v>
      </c>
      <c r="T761" s="1" t="s">
        <v>74</v>
      </c>
      <c r="U761" s="1" t="s">
        <v>74</v>
      </c>
      <c r="V761" s="1" t="s">
        <v>7190</v>
      </c>
      <c r="W761" s="1" t="s">
        <v>74</v>
      </c>
      <c r="X761" s="1" t="s">
        <v>74</v>
      </c>
      <c r="Y761" s="1" t="s">
        <v>74</v>
      </c>
      <c r="Z761" s="1" t="s">
        <v>74</v>
      </c>
      <c r="AA761" s="1" t="s">
        <v>7191</v>
      </c>
      <c r="AB761" s="1" t="s">
        <v>7192</v>
      </c>
      <c r="AC761" s="1" t="s">
        <v>74</v>
      </c>
      <c r="AD761" s="1" t="s">
        <v>74</v>
      </c>
      <c r="AE761" s="1" t="s">
        <v>74</v>
      </c>
      <c r="AF761" s="1" t="s">
        <v>74</v>
      </c>
      <c r="AG761" s="1" t="s">
        <v>74</v>
      </c>
      <c r="AH761" s="1" t="s">
        <v>74</v>
      </c>
      <c r="AI761" s="1" t="s">
        <v>74</v>
      </c>
      <c r="AJ761" s="1" t="s">
        <v>74</v>
      </c>
      <c r="AK761" s="1" t="s">
        <v>74</v>
      </c>
      <c r="AL761" s="1" t="s">
        <v>74</v>
      </c>
      <c r="AM761" s="1" t="s">
        <v>74</v>
      </c>
      <c r="AN761" s="1" t="s">
        <v>74</v>
      </c>
      <c r="AO761" s="1" t="s">
        <v>7193</v>
      </c>
      <c r="AP761" s="1" t="s">
        <v>7194</v>
      </c>
      <c r="AQ761" s="1" t="s">
        <v>74</v>
      </c>
      <c r="AR761" s="1" t="s">
        <v>74</v>
      </c>
      <c r="AS761" s="1" t="s">
        <v>74</v>
      </c>
      <c r="AT761" s="1" t="s">
        <v>841</v>
      </c>
      <c r="AU761" s="1">
        <v>2016.0</v>
      </c>
      <c r="AV761" s="1">
        <v>28.0</v>
      </c>
      <c r="AW761" s="1">
        <v>2.0</v>
      </c>
      <c r="AX761" s="1" t="s">
        <v>74</v>
      </c>
      <c r="AY761" s="1" t="s">
        <v>74</v>
      </c>
      <c r="AZ761" s="1" t="s">
        <v>74</v>
      </c>
      <c r="BA761" s="1" t="s">
        <v>74</v>
      </c>
      <c r="BB761" s="1">
        <v>1275.0</v>
      </c>
      <c r="BC761" s="1">
        <v>1286.0</v>
      </c>
      <c r="BD761" s="1" t="s">
        <v>74</v>
      </c>
      <c r="BE761" s="1" t="s">
        <v>7195</v>
      </c>
      <c r="BF761" s="2" t="str">
        <f>HYPERLINK("http://dx.doi.org/10.1007/s10811-015-0641-2","http://dx.doi.org/10.1007/s10811-015-0641-2")</f>
        <v>http://dx.doi.org/10.1007/s10811-015-0641-2</v>
      </c>
      <c r="BG761" s="1" t="s">
        <v>74</v>
      </c>
      <c r="BH761" s="1" t="s">
        <v>74</v>
      </c>
      <c r="BI761" s="1" t="s">
        <v>74</v>
      </c>
      <c r="BJ761" s="1" t="s">
        <v>74</v>
      </c>
      <c r="BK761" s="1" t="s">
        <v>74</v>
      </c>
      <c r="BL761" s="1" t="s">
        <v>74</v>
      </c>
      <c r="BM761" s="1" t="s">
        <v>74</v>
      </c>
      <c r="BN761" s="1" t="s">
        <v>74</v>
      </c>
      <c r="BO761" s="1" t="s">
        <v>74</v>
      </c>
      <c r="BP761" s="1" t="s">
        <v>74</v>
      </c>
      <c r="BQ761" s="1" t="s">
        <v>74</v>
      </c>
      <c r="BR761" s="1" t="s">
        <v>74</v>
      </c>
      <c r="BS761" s="1" t="s">
        <v>7196</v>
      </c>
      <c r="BT761" s="1" t="str">
        <f>HYPERLINK("https%3A%2F%2Fwww.webofscience.com%2Fwos%2Fwoscc%2Ffull-record%2FWOS:000372256900055","View Full Record in Web of Science")</f>
        <v>View Full Record in Web of Science</v>
      </c>
    </row>
    <row r="762" ht="12.75" customHeight="1">
      <c r="A762" s="1" t="s">
        <v>72</v>
      </c>
      <c r="B762" s="1" t="s">
        <v>7197</v>
      </c>
      <c r="C762" s="1" t="s">
        <v>74</v>
      </c>
      <c r="D762" s="1" t="s">
        <v>74</v>
      </c>
      <c r="E762" s="1" t="s">
        <v>74</v>
      </c>
      <c r="F762" s="1" t="s">
        <v>7198</v>
      </c>
      <c r="G762" s="1" t="s">
        <v>74</v>
      </c>
      <c r="H762" s="1" t="s">
        <v>74</v>
      </c>
      <c r="I762" s="1" t="s">
        <v>7199</v>
      </c>
      <c r="J762" s="1" t="s">
        <v>1355</v>
      </c>
      <c r="K762" s="1" t="s">
        <v>74</v>
      </c>
      <c r="L762" s="1" t="s">
        <v>74</v>
      </c>
      <c r="M762" s="1" t="s">
        <v>74</v>
      </c>
      <c r="N762" s="1" t="s">
        <v>74</v>
      </c>
      <c r="O762" s="1" t="s">
        <v>74</v>
      </c>
      <c r="P762" s="1" t="s">
        <v>74</v>
      </c>
      <c r="Q762" s="1" t="s">
        <v>74</v>
      </c>
      <c r="R762" s="1" t="s">
        <v>74</v>
      </c>
      <c r="S762" s="1" t="s">
        <v>74</v>
      </c>
      <c r="T762" s="1" t="s">
        <v>74</v>
      </c>
      <c r="U762" s="1" t="s">
        <v>74</v>
      </c>
      <c r="V762" s="1" t="s">
        <v>7200</v>
      </c>
      <c r="W762" s="1" t="s">
        <v>74</v>
      </c>
      <c r="X762" s="1" t="s">
        <v>74</v>
      </c>
      <c r="Y762" s="1" t="s">
        <v>74</v>
      </c>
      <c r="Z762" s="1" t="s">
        <v>74</v>
      </c>
      <c r="AA762" s="1" t="s">
        <v>7201</v>
      </c>
      <c r="AB762" s="1" t="s">
        <v>7202</v>
      </c>
      <c r="AC762" s="1" t="s">
        <v>74</v>
      </c>
      <c r="AD762" s="1" t="s">
        <v>74</v>
      </c>
      <c r="AE762" s="1" t="s">
        <v>74</v>
      </c>
      <c r="AF762" s="1" t="s">
        <v>74</v>
      </c>
      <c r="AG762" s="1" t="s">
        <v>74</v>
      </c>
      <c r="AH762" s="1" t="s">
        <v>74</v>
      </c>
      <c r="AI762" s="1" t="s">
        <v>74</v>
      </c>
      <c r="AJ762" s="1" t="s">
        <v>74</v>
      </c>
      <c r="AK762" s="1" t="s">
        <v>74</v>
      </c>
      <c r="AL762" s="1" t="s">
        <v>74</v>
      </c>
      <c r="AM762" s="1" t="s">
        <v>74</v>
      </c>
      <c r="AN762" s="1" t="s">
        <v>74</v>
      </c>
      <c r="AO762" s="1" t="s">
        <v>1359</v>
      </c>
      <c r="AP762" s="1" t="s">
        <v>1360</v>
      </c>
      <c r="AQ762" s="1" t="s">
        <v>74</v>
      </c>
      <c r="AR762" s="1" t="s">
        <v>74</v>
      </c>
      <c r="AS762" s="1" t="s">
        <v>74</v>
      </c>
      <c r="AT762" s="1" t="s">
        <v>421</v>
      </c>
      <c r="AU762" s="1">
        <v>2015.0</v>
      </c>
      <c r="AV762" s="1">
        <v>61.0</v>
      </c>
      <c r="AW762" s="1">
        <v>2.0</v>
      </c>
      <c r="AX762" s="1" t="s">
        <v>74</v>
      </c>
      <c r="AY762" s="1" t="s">
        <v>74</v>
      </c>
      <c r="AZ762" s="1" t="s">
        <v>74</v>
      </c>
      <c r="BA762" s="1" t="s">
        <v>74</v>
      </c>
      <c r="BB762" s="1">
        <v>422.0</v>
      </c>
      <c r="BC762" s="1">
        <v>429.0</v>
      </c>
      <c r="BD762" s="1" t="s">
        <v>74</v>
      </c>
      <c r="BE762" s="1" t="s">
        <v>7203</v>
      </c>
      <c r="BF762" s="2" t="str">
        <f>HYPERLINK("http://dx.doi.org/10.1016/j.lwt.2014.12.035","http://dx.doi.org/10.1016/j.lwt.2014.12.035")</f>
        <v>http://dx.doi.org/10.1016/j.lwt.2014.12.035</v>
      </c>
      <c r="BG762" s="1" t="s">
        <v>74</v>
      </c>
      <c r="BH762" s="1" t="s">
        <v>74</v>
      </c>
      <c r="BI762" s="1" t="s">
        <v>74</v>
      </c>
      <c r="BJ762" s="1" t="s">
        <v>74</v>
      </c>
      <c r="BK762" s="1" t="s">
        <v>74</v>
      </c>
      <c r="BL762" s="1" t="s">
        <v>74</v>
      </c>
      <c r="BM762" s="1" t="s">
        <v>74</v>
      </c>
      <c r="BN762" s="1" t="s">
        <v>74</v>
      </c>
      <c r="BO762" s="1" t="s">
        <v>74</v>
      </c>
      <c r="BP762" s="1" t="s">
        <v>74</v>
      </c>
      <c r="BQ762" s="1" t="s">
        <v>74</v>
      </c>
      <c r="BR762" s="1" t="s">
        <v>74</v>
      </c>
      <c r="BS762" s="1" t="s">
        <v>7204</v>
      </c>
      <c r="BT762" s="1" t="str">
        <f>HYPERLINK("https%3A%2F%2Fwww.webofscience.com%2Fwos%2Fwoscc%2Ffull-record%2FWOS:000349269400021","View Full Record in Web of Science")</f>
        <v>View Full Record in Web of Science</v>
      </c>
    </row>
    <row r="763" ht="12.75" customHeight="1">
      <c r="A763" s="1" t="s">
        <v>72</v>
      </c>
      <c r="B763" s="1" t="s">
        <v>7205</v>
      </c>
      <c r="C763" s="1" t="s">
        <v>74</v>
      </c>
      <c r="D763" s="1" t="s">
        <v>74</v>
      </c>
      <c r="E763" s="1" t="s">
        <v>74</v>
      </c>
      <c r="F763" s="1" t="s">
        <v>7206</v>
      </c>
      <c r="G763" s="1" t="s">
        <v>74</v>
      </c>
      <c r="H763" s="1" t="s">
        <v>74</v>
      </c>
      <c r="I763" s="1" t="s">
        <v>7207</v>
      </c>
      <c r="J763" s="1" t="s">
        <v>7208</v>
      </c>
      <c r="K763" s="1" t="s">
        <v>74</v>
      </c>
      <c r="L763" s="1" t="s">
        <v>74</v>
      </c>
      <c r="M763" s="1" t="s">
        <v>74</v>
      </c>
      <c r="N763" s="1" t="s">
        <v>74</v>
      </c>
      <c r="O763" s="1" t="s">
        <v>74</v>
      </c>
      <c r="P763" s="1" t="s">
        <v>74</v>
      </c>
      <c r="Q763" s="1" t="s">
        <v>74</v>
      </c>
      <c r="R763" s="1" t="s">
        <v>74</v>
      </c>
      <c r="S763" s="1" t="s">
        <v>74</v>
      </c>
      <c r="T763" s="1" t="s">
        <v>74</v>
      </c>
      <c r="U763" s="1" t="s">
        <v>74</v>
      </c>
      <c r="V763" s="1" t="s">
        <v>7209</v>
      </c>
      <c r="W763" s="1" t="s">
        <v>74</v>
      </c>
      <c r="X763" s="1" t="s">
        <v>74</v>
      </c>
      <c r="Y763" s="1" t="s">
        <v>74</v>
      </c>
      <c r="Z763" s="1" t="s">
        <v>74</v>
      </c>
      <c r="AA763" s="1" t="s">
        <v>74</v>
      </c>
      <c r="AB763" s="1" t="s">
        <v>74</v>
      </c>
      <c r="AC763" s="1" t="s">
        <v>74</v>
      </c>
      <c r="AD763" s="1" t="s">
        <v>74</v>
      </c>
      <c r="AE763" s="1" t="s">
        <v>74</v>
      </c>
      <c r="AF763" s="1" t="s">
        <v>74</v>
      </c>
      <c r="AG763" s="1" t="s">
        <v>74</v>
      </c>
      <c r="AH763" s="1" t="s">
        <v>74</v>
      </c>
      <c r="AI763" s="1" t="s">
        <v>74</v>
      </c>
      <c r="AJ763" s="1" t="s">
        <v>74</v>
      </c>
      <c r="AK763" s="1" t="s">
        <v>74</v>
      </c>
      <c r="AL763" s="1" t="s">
        <v>74</v>
      </c>
      <c r="AM763" s="1" t="s">
        <v>74</v>
      </c>
      <c r="AN763" s="1" t="s">
        <v>74</v>
      </c>
      <c r="AO763" s="1" t="s">
        <v>7210</v>
      </c>
      <c r="AP763" s="1" t="s">
        <v>74</v>
      </c>
      <c r="AQ763" s="1" t="s">
        <v>74</v>
      </c>
      <c r="AR763" s="1" t="s">
        <v>74</v>
      </c>
      <c r="AS763" s="1" t="s">
        <v>74</v>
      </c>
      <c r="AT763" s="1" t="s">
        <v>74</v>
      </c>
      <c r="AU763" s="1">
        <v>2014.0</v>
      </c>
      <c r="AV763" s="1" t="s">
        <v>74</v>
      </c>
      <c r="AW763" s="1">
        <v>49.0</v>
      </c>
      <c r="AX763" s="1" t="s">
        <v>74</v>
      </c>
      <c r="AY763" s="1" t="s">
        <v>74</v>
      </c>
      <c r="AZ763" s="1" t="s">
        <v>74</v>
      </c>
      <c r="BA763" s="1" t="s">
        <v>74</v>
      </c>
      <c r="BB763" s="1" t="s">
        <v>74</v>
      </c>
      <c r="BC763" s="1" t="s">
        <v>74</v>
      </c>
      <c r="BD763" s="1" t="s">
        <v>74</v>
      </c>
      <c r="BE763" s="1" t="s">
        <v>74</v>
      </c>
      <c r="BF763" s="1" t="s">
        <v>74</v>
      </c>
      <c r="BG763" s="1" t="s">
        <v>74</v>
      </c>
      <c r="BH763" s="1" t="s">
        <v>74</v>
      </c>
      <c r="BI763" s="1" t="s">
        <v>74</v>
      </c>
      <c r="BJ763" s="1" t="s">
        <v>74</v>
      </c>
      <c r="BK763" s="1" t="s">
        <v>74</v>
      </c>
      <c r="BL763" s="1" t="s">
        <v>74</v>
      </c>
      <c r="BM763" s="1" t="s">
        <v>74</v>
      </c>
      <c r="BN763" s="1" t="s">
        <v>74</v>
      </c>
      <c r="BO763" s="1" t="s">
        <v>74</v>
      </c>
      <c r="BP763" s="1" t="s">
        <v>74</v>
      </c>
      <c r="BQ763" s="1" t="s">
        <v>74</v>
      </c>
      <c r="BR763" s="1" t="s">
        <v>74</v>
      </c>
      <c r="BS763" s="1" t="s">
        <v>7211</v>
      </c>
      <c r="BT763" s="1" t="str">
        <f>HYPERLINK("https%3A%2F%2Fwww.webofscience.com%2Fwos%2Fwoscc%2Ffull-record%2FWOS:000347238000009","View Full Record in Web of Science")</f>
        <v>View Full Record in Web of Science</v>
      </c>
    </row>
    <row r="764" ht="12.75" customHeight="1">
      <c r="A764" s="1" t="s">
        <v>72</v>
      </c>
      <c r="B764" s="1" t="s">
        <v>7212</v>
      </c>
      <c r="C764" s="1" t="s">
        <v>74</v>
      </c>
      <c r="D764" s="1" t="s">
        <v>74</v>
      </c>
      <c r="E764" s="1" t="s">
        <v>74</v>
      </c>
      <c r="F764" s="1" t="s">
        <v>7213</v>
      </c>
      <c r="G764" s="1" t="s">
        <v>74</v>
      </c>
      <c r="H764" s="1" t="s">
        <v>74</v>
      </c>
      <c r="I764" s="1" t="s">
        <v>7214</v>
      </c>
      <c r="J764" s="1" t="s">
        <v>4288</v>
      </c>
      <c r="K764" s="1" t="s">
        <v>74</v>
      </c>
      <c r="L764" s="1" t="s">
        <v>74</v>
      </c>
      <c r="M764" s="1" t="s">
        <v>74</v>
      </c>
      <c r="N764" s="1" t="s">
        <v>74</v>
      </c>
      <c r="O764" s="1" t="s">
        <v>74</v>
      </c>
      <c r="P764" s="1" t="s">
        <v>74</v>
      </c>
      <c r="Q764" s="1" t="s">
        <v>74</v>
      </c>
      <c r="R764" s="1" t="s">
        <v>74</v>
      </c>
      <c r="S764" s="1" t="s">
        <v>74</v>
      </c>
      <c r="T764" s="1" t="s">
        <v>74</v>
      </c>
      <c r="U764" s="1" t="s">
        <v>74</v>
      </c>
      <c r="V764" s="1" t="s">
        <v>7215</v>
      </c>
      <c r="W764" s="1" t="s">
        <v>74</v>
      </c>
      <c r="X764" s="1" t="s">
        <v>74</v>
      </c>
      <c r="Y764" s="1" t="s">
        <v>74</v>
      </c>
      <c r="Z764" s="1" t="s">
        <v>74</v>
      </c>
      <c r="AA764" s="1" t="s">
        <v>7216</v>
      </c>
      <c r="AB764" s="1" t="s">
        <v>7217</v>
      </c>
      <c r="AC764" s="1" t="s">
        <v>74</v>
      </c>
      <c r="AD764" s="1" t="s">
        <v>74</v>
      </c>
      <c r="AE764" s="1" t="s">
        <v>74</v>
      </c>
      <c r="AF764" s="1" t="s">
        <v>74</v>
      </c>
      <c r="AG764" s="1" t="s">
        <v>74</v>
      </c>
      <c r="AH764" s="1" t="s">
        <v>74</v>
      </c>
      <c r="AI764" s="1" t="s">
        <v>74</v>
      </c>
      <c r="AJ764" s="1" t="s">
        <v>74</v>
      </c>
      <c r="AK764" s="1" t="s">
        <v>74</v>
      </c>
      <c r="AL764" s="1" t="s">
        <v>74</v>
      </c>
      <c r="AM764" s="1" t="s">
        <v>74</v>
      </c>
      <c r="AN764" s="1" t="s">
        <v>74</v>
      </c>
      <c r="AO764" s="1" t="s">
        <v>4292</v>
      </c>
      <c r="AP764" s="1" t="s">
        <v>4293</v>
      </c>
      <c r="AQ764" s="1" t="s">
        <v>74</v>
      </c>
      <c r="AR764" s="1" t="s">
        <v>74</v>
      </c>
      <c r="AS764" s="1" t="s">
        <v>74</v>
      </c>
      <c r="AT764" s="1" t="s">
        <v>122</v>
      </c>
      <c r="AU764" s="1">
        <v>2013.0</v>
      </c>
      <c r="AV764" s="1">
        <v>100.0</v>
      </c>
      <c r="AW764" s="1">
        <v>2.0</v>
      </c>
      <c r="AX764" s="1" t="s">
        <v>74</v>
      </c>
      <c r="AY764" s="1" t="s">
        <v>74</v>
      </c>
      <c r="AZ764" s="1" t="s">
        <v>74</v>
      </c>
      <c r="BA764" s="1" t="s">
        <v>74</v>
      </c>
      <c r="BB764" s="1">
        <v>550.0</v>
      </c>
      <c r="BC764" s="1" t="s">
        <v>265</v>
      </c>
      <c r="BD764" s="1" t="s">
        <v>74</v>
      </c>
      <c r="BE764" s="1" t="s">
        <v>7218</v>
      </c>
      <c r="BF764" s="2" t="str">
        <f>HYPERLINK("http://dx.doi.org/10.1016/j.fertnstert.2013.04.013","http://dx.doi.org/10.1016/j.fertnstert.2013.04.013")</f>
        <v>http://dx.doi.org/10.1016/j.fertnstert.2013.04.013</v>
      </c>
      <c r="BG764" s="1" t="s">
        <v>74</v>
      </c>
      <c r="BH764" s="1" t="s">
        <v>74</v>
      </c>
      <c r="BI764" s="1" t="s">
        <v>74</v>
      </c>
      <c r="BJ764" s="1" t="s">
        <v>74</v>
      </c>
      <c r="BK764" s="1" t="s">
        <v>74</v>
      </c>
      <c r="BL764" s="1" t="s">
        <v>74</v>
      </c>
      <c r="BM764" s="1" t="s">
        <v>74</v>
      </c>
      <c r="BN764" s="1">
        <v>2.3706333E7</v>
      </c>
      <c r="BO764" s="1" t="s">
        <v>74</v>
      </c>
      <c r="BP764" s="1" t="s">
        <v>74</v>
      </c>
      <c r="BQ764" s="1" t="s">
        <v>74</v>
      </c>
      <c r="BR764" s="1" t="s">
        <v>74</v>
      </c>
      <c r="BS764" s="1" t="s">
        <v>7219</v>
      </c>
      <c r="BT764" s="1" t="str">
        <f>HYPERLINK("https%3A%2F%2Fwww.webofscience.com%2Fwos%2Fwoscc%2Ffull-record%2FWOS:000322633200048","View Full Record in Web of Science")</f>
        <v>View Full Record in Web of Science</v>
      </c>
    </row>
    <row r="765" ht="12.75" customHeight="1">
      <c r="A765" s="1" t="s">
        <v>72</v>
      </c>
      <c r="B765" s="1" t="s">
        <v>7220</v>
      </c>
      <c r="C765" s="1" t="s">
        <v>74</v>
      </c>
      <c r="D765" s="1" t="s">
        <v>74</v>
      </c>
      <c r="E765" s="1" t="s">
        <v>74</v>
      </c>
      <c r="F765" s="1" t="s">
        <v>7221</v>
      </c>
      <c r="G765" s="1" t="s">
        <v>74</v>
      </c>
      <c r="H765" s="1" t="s">
        <v>74</v>
      </c>
      <c r="I765" s="1" t="s">
        <v>7222</v>
      </c>
      <c r="J765" s="1" t="s">
        <v>7223</v>
      </c>
      <c r="K765" s="1" t="s">
        <v>74</v>
      </c>
      <c r="L765" s="1" t="s">
        <v>74</v>
      </c>
      <c r="M765" s="1" t="s">
        <v>74</v>
      </c>
      <c r="N765" s="1" t="s">
        <v>74</v>
      </c>
      <c r="O765" s="1" t="s">
        <v>74</v>
      </c>
      <c r="P765" s="1" t="s">
        <v>74</v>
      </c>
      <c r="Q765" s="1" t="s">
        <v>74</v>
      </c>
      <c r="R765" s="1" t="s">
        <v>74</v>
      </c>
      <c r="S765" s="1" t="s">
        <v>74</v>
      </c>
      <c r="T765" s="1" t="s">
        <v>74</v>
      </c>
      <c r="U765" s="1" t="s">
        <v>74</v>
      </c>
      <c r="V765" s="1" t="s">
        <v>7224</v>
      </c>
      <c r="W765" s="1" t="s">
        <v>74</v>
      </c>
      <c r="X765" s="1" t="s">
        <v>74</v>
      </c>
      <c r="Y765" s="1" t="s">
        <v>74</v>
      </c>
      <c r="Z765" s="1" t="s">
        <v>74</v>
      </c>
      <c r="AA765" s="1" t="s">
        <v>7225</v>
      </c>
      <c r="AB765" s="1" t="s">
        <v>7226</v>
      </c>
      <c r="AC765" s="1" t="s">
        <v>74</v>
      </c>
      <c r="AD765" s="1" t="s">
        <v>74</v>
      </c>
      <c r="AE765" s="1" t="s">
        <v>74</v>
      </c>
      <c r="AF765" s="1" t="s">
        <v>74</v>
      </c>
      <c r="AG765" s="1" t="s">
        <v>74</v>
      </c>
      <c r="AH765" s="1" t="s">
        <v>74</v>
      </c>
      <c r="AI765" s="1" t="s">
        <v>74</v>
      </c>
      <c r="AJ765" s="1" t="s">
        <v>74</v>
      </c>
      <c r="AK765" s="1" t="s">
        <v>74</v>
      </c>
      <c r="AL765" s="1" t="s">
        <v>74</v>
      </c>
      <c r="AM765" s="1" t="s">
        <v>74</v>
      </c>
      <c r="AN765" s="1" t="s">
        <v>74</v>
      </c>
      <c r="AO765" s="1" t="s">
        <v>7227</v>
      </c>
      <c r="AP765" s="1" t="s">
        <v>74</v>
      </c>
      <c r="AQ765" s="1" t="s">
        <v>74</v>
      </c>
      <c r="AR765" s="1" t="s">
        <v>74</v>
      </c>
      <c r="AS765" s="1" t="s">
        <v>74</v>
      </c>
      <c r="AT765" s="1" t="s">
        <v>421</v>
      </c>
      <c r="AU765" s="1">
        <v>2010.0</v>
      </c>
      <c r="AV765" s="1">
        <v>15.0</v>
      </c>
      <c r="AW765" s="1">
        <v>3.0</v>
      </c>
      <c r="AX765" s="1" t="s">
        <v>74</v>
      </c>
      <c r="AY765" s="1" t="s">
        <v>74</v>
      </c>
      <c r="AZ765" s="1" t="s">
        <v>74</v>
      </c>
      <c r="BA765" s="1" t="s">
        <v>74</v>
      </c>
      <c r="BB765" s="1" t="s">
        <v>7228</v>
      </c>
      <c r="BC765" s="1" t="s">
        <v>7229</v>
      </c>
      <c r="BD765" s="1">
        <v>2758.0</v>
      </c>
      <c r="BE765" s="1" t="s">
        <v>7230</v>
      </c>
      <c r="BF765" s="2" t="str">
        <f>HYPERLINK("http://dx.doi.org/10.4317/medoral.15.e467","http://dx.doi.org/10.4317/medoral.15.e467")</f>
        <v>http://dx.doi.org/10.4317/medoral.15.e467</v>
      </c>
      <c r="BG765" s="1" t="s">
        <v>74</v>
      </c>
      <c r="BH765" s="1" t="s">
        <v>74</v>
      </c>
      <c r="BI765" s="1" t="s">
        <v>74</v>
      </c>
      <c r="BJ765" s="1" t="s">
        <v>74</v>
      </c>
      <c r="BK765" s="1" t="s">
        <v>74</v>
      </c>
      <c r="BL765" s="1" t="s">
        <v>74</v>
      </c>
      <c r="BM765" s="1" t="s">
        <v>74</v>
      </c>
      <c r="BN765" s="1">
        <v>2.0038907E7</v>
      </c>
      <c r="BO765" s="1" t="s">
        <v>74</v>
      </c>
      <c r="BP765" s="1" t="s">
        <v>74</v>
      </c>
      <c r="BQ765" s="1" t="s">
        <v>74</v>
      </c>
      <c r="BR765" s="1" t="s">
        <v>74</v>
      </c>
      <c r="BS765" s="1" t="s">
        <v>7231</v>
      </c>
      <c r="BT765" s="1" t="str">
        <f>HYPERLINK("https%3A%2F%2Fwww.webofscience.com%2Fwos%2Fwoscc%2Ffull-record%2FWOS:000278232100011","View Full Record in Web of Science")</f>
        <v>View Full Record in Web of Science</v>
      </c>
    </row>
    <row r="766" ht="12.75" customHeight="1">
      <c r="A766" s="1" t="s">
        <v>72</v>
      </c>
      <c r="B766" s="1" t="s">
        <v>7232</v>
      </c>
      <c r="C766" s="1" t="s">
        <v>74</v>
      </c>
      <c r="D766" s="1" t="s">
        <v>74</v>
      </c>
      <c r="E766" s="1" t="s">
        <v>74</v>
      </c>
      <c r="F766" s="1" t="s">
        <v>7233</v>
      </c>
      <c r="G766" s="1" t="s">
        <v>74</v>
      </c>
      <c r="H766" s="1" t="s">
        <v>74</v>
      </c>
      <c r="I766" s="1" t="s">
        <v>7234</v>
      </c>
      <c r="J766" s="1" t="s">
        <v>741</v>
      </c>
      <c r="K766" s="1" t="s">
        <v>74</v>
      </c>
      <c r="L766" s="1" t="s">
        <v>74</v>
      </c>
      <c r="M766" s="1" t="s">
        <v>74</v>
      </c>
      <c r="N766" s="1" t="s">
        <v>74</v>
      </c>
      <c r="O766" s="1" t="s">
        <v>74</v>
      </c>
      <c r="P766" s="1" t="s">
        <v>74</v>
      </c>
      <c r="Q766" s="1" t="s">
        <v>74</v>
      </c>
      <c r="R766" s="1" t="s">
        <v>74</v>
      </c>
      <c r="S766" s="1" t="s">
        <v>74</v>
      </c>
      <c r="T766" s="1" t="s">
        <v>74</v>
      </c>
      <c r="U766" s="1" t="s">
        <v>74</v>
      </c>
      <c r="V766" s="1" t="s">
        <v>7235</v>
      </c>
      <c r="W766" s="1" t="s">
        <v>74</v>
      </c>
      <c r="X766" s="1" t="s">
        <v>74</v>
      </c>
      <c r="Y766" s="1" t="s">
        <v>74</v>
      </c>
      <c r="Z766" s="1" t="s">
        <v>74</v>
      </c>
      <c r="AA766" s="1" t="s">
        <v>130</v>
      </c>
      <c r="AB766" s="1" t="s">
        <v>7236</v>
      </c>
      <c r="AC766" s="1" t="s">
        <v>74</v>
      </c>
      <c r="AD766" s="1" t="s">
        <v>74</v>
      </c>
      <c r="AE766" s="1" t="s">
        <v>74</v>
      </c>
      <c r="AF766" s="1" t="s">
        <v>74</v>
      </c>
      <c r="AG766" s="1" t="s">
        <v>74</v>
      </c>
      <c r="AH766" s="1" t="s">
        <v>74</v>
      </c>
      <c r="AI766" s="1" t="s">
        <v>74</v>
      </c>
      <c r="AJ766" s="1" t="s">
        <v>74</v>
      </c>
      <c r="AK766" s="1" t="s">
        <v>74</v>
      </c>
      <c r="AL766" s="1" t="s">
        <v>74</v>
      </c>
      <c r="AM766" s="1" t="s">
        <v>74</v>
      </c>
      <c r="AN766" s="1" t="s">
        <v>74</v>
      </c>
      <c r="AO766" s="1" t="s">
        <v>744</v>
      </c>
      <c r="AP766" s="1" t="s">
        <v>745</v>
      </c>
      <c r="AQ766" s="1" t="s">
        <v>74</v>
      </c>
      <c r="AR766" s="1" t="s">
        <v>74</v>
      </c>
      <c r="AS766" s="1" t="s">
        <v>74</v>
      </c>
      <c r="AT766" s="1" t="s">
        <v>7155</v>
      </c>
      <c r="AU766" s="1">
        <v>2009.0</v>
      </c>
      <c r="AV766" s="1">
        <v>24.0</v>
      </c>
      <c r="AW766" s="1">
        <v>16.0</v>
      </c>
      <c r="AX766" s="1" t="s">
        <v>74</v>
      </c>
      <c r="AY766" s="1" t="s">
        <v>74</v>
      </c>
      <c r="AZ766" s="1" t="s">
        <v>74</v>
      </c>
      <c r="BA766" s="1" t="s">
        <v>74</v>
      </c>
      <c r="BB766" s="1">
        <v>1289.0</v>
      </c>
      <c r="BC766" s="1">
        <v>1299.0</v>
      </c>
      <c r="BD766" s="1" t="s">
        <v>74</v>
      </c>
      <c r="BE766" s="1" t="s">
        <v>7237</v>
      </c>
      <c r="BF766" s="2" t="str">
        <f>HYPERLINK("http://dx.doi.org/10.1142/S0217732309028898","http://dx.doi.org/10.1142/S0217732309028898")</f>
        <v>http://dx.doi.org/10.1142/S0217732309028898</v>
      </c>
      <c r="BG766" s="1" t="s">
        <v>74</v>
      </c>
      <c r="BH766" s="1" t="s">
        <v>74</v>
      </c>
      <c r="BI766" s="1" t="s">
        <v>74</v>
      </c>
      <c r="BJ766" s="1" t="s">
        <v>74</v>
      </c>
      <c r="BK766" s="1" t="s">
        <v>74</v>
      </c>
      <c r="BL766" s="1" t="s">
        <v>74</v>
      </c>
      <c r="BM766" s="1" t="s">
        <v>74</v>
      </c>
      <c r="BN766" s="1" t="s">
        <v>74</v>
      </c>
      <c r="BO766" s="1" t="s">
        <v>74</v>
      </c>
      <c r="BP766" s="1" t="s">
        <v>74</v>
      </c>
      <c r="BQ766" s="1" t="s">
        <v>74</v>
      </c>
      <c r="BR766" s="1" t="s">
        <v>74</v>
      </c>
      <c r="BS766" s="1" t="s">
        <v>7238</v>
      </c>
      <c r="BT766" s="1" t="str">
        <f>HYPERLINK("https%3A%2F%2Fwww.webofscience.com%2Fwos%2Fwoscc%2Ffull-record%2FWOS:000266771300005","View Full Record in Web of Science")</f>
        <v>View Full Record in Web of Science</v>
      </c>
    </row>
    <row r="767" ht="12.75" customHeight="1">
      <c r="A767" s="1" t="s">
        <v>72</v>
      </c>
      <c r="B767" s="1" t="s">
        <v>7239</v>
      </c>
      <c r="C767" s="1" t="s">
        <v>74</v>
      </c>
      <c r="D767" s="1" t="s">
        <v>74</v>
      </c>
      <c r="E767" s="1" t="s">
        <v>74</v>
      </c>
      <c r="F767" s="1" t="s">
        <v>7240</v>
      </c>
      <c r="G767" s="1" t="s">
        <v>74</v>
      </c>
      <c r="H767" s="1" t="s">
        <v>74</v>
      </c>
      <c r="I767" s="1" t="s">
        <v>7241</v>
      </c>
      <c r="J767" s="1" t="s">
        <v>987</v>
      </c>
      <c r="K767" s="1" t="s">
        <v>74</v>
      </c>
      <c r="L767" s="1" t="s">
        <v>74</v>
      </c>
      <c r="M767" s="1" t="s">
        <v>74</v>
      </c>
      <c r="N767" s="1" t="s">
        <v>74</v>
      </c>
      <c r="O767" s="1" t="s">
        <v>74</v>
      </c>
      <c r="P767" s="1" t="s">
        <v>74</v>
      </c>
      <c r="Q767" s="1" t="s">
        <v>74</v>
      </c>
      <c r="R767" s="1" t="s">
        <v>74</v>
      </c>
      <c r="S767" s="1" t="s">
        <v>74</v>
      </c>
      <c r="T767" s="1" t="s">
        <v>74</v>
      </c>
      <c r="U767" s="1" t="s">
        <v>74</v>
      </c>
      <c r="V767" s="1" t="s">
        <v>7242</v>
      </c>
      <c r="W767" s="1" t="s">
        <v>74</v>
      </c>
      <c r="X767" s="1" t="s">
        <v>74</v>
      </c>
      <c r="Y767" s="1" t="s">
        <v>74</v>
      </c>
      <c r="Z767" s="1" t="s">
        <v>74</v>
      </c>
      <c r="AA767" s="1" t="s">
        <v>7243</v>
      </c>
      <c r="AB767" s="1" t="s">
        <v>7244</v>
      </c>
      <c r="AC767" s="1" t="s">
        <v>74</v>
      </c>
      <c r="AD767" s="1" t="s">
        <v>74</v>
      </c>
      <c r="AE767" s="1" t="s">
        <v>74</v>
      </c>
      <c r="AF767" s="1" t="s">
        <v>74</v>
      </c>
      <c r="AG767" s="1" t="s">
        <v>74</v>
      </c>
      <c r="AH767" s="1" t="s">
        <v>74</v>
      </c>
      <c r="AI767" s="1" t="s">
        <v>74</v>
      </c>
      <c r="AJ767" s="1" t="s">
        <v>74</v>
      </c>
      <c r="AK767" s="1" t="s">
        <v>74</v>
      </c>
      <c r="AL767" s="1" t="s">
        <v>74</v>
      </c>
      <c r="AM767" s="1" t="s">
        <v>74</v>
      </c>
      <c r="AN767" s="1" t="s">
        <v>74</v>
      </c>
      <c r="AO767" s="1" t="s">
        <v>991</v>
      </c>
      <c r="AP767" s="1" t="s">
        <v>74</v>
      </c>
      <c r="AQ767" s="1" t="s">
        <v>74</v>
      </c>
      <c r="AR767" s="1" t="s">
        <v>74</v>
      </c>
      <c r="AS767" s="1" t="s">
        <v>74</v>
      </c>
      <c r="AT767" s="1" t="s">
        <v>144</v>
      </c>
      <c r="AU767" s="1">
        <v>2009.0</v>
      </c>
      <c r="AV767" s="1">
        <v>54.0</v>
      </c>
      <c r="AW767" s="1">
        <v>1.0</v>
      </c>
      <c r="AX767" s="1" t="s">
        <v>74</v>
      </c>
      <c r="AY767" s="1" t="s">
        <v>74</v>
      </c>
      <c r="AZ767" s="1" t="s">
        <v>74</v>
      </c>
      <c r="BA767" s="1" t="s">
        <v>74</v>
      </c>
      <c r="BB767" s="1">
        <v>12.0</v>
      </c>
      <c r="BC767" s="1">
        <v>13.0</v>
      </c>
      <c r="BD767" s="1" t="s">
        <v>74</v>
      </c>
      <c r="BE767" s="1" t="s">
        <v>74</v>
      </c>
      <c r="BF767" s="1" t="s">
        <v>74</v>
      </c>
      <c r="BG767" s="1" t="s">
        <v>74</v>
      </c>
      <c r="BH767" s="1" t="s">
        <v>74</v>
      </c>
      <c r="BI767" s="1" t="s">
        <v>74</v>
      </c>
      <c r="BJ767" s="1" t="s">
        <v>74</v>
      </c>
      <c r="BK767" s="1" t="s">
        <v>74</v>
      </c>
      <c r="BL767" s="1" t="s">
        <v>74</v>
      </c>
      <c r="BM767" s="1" t="s">
        <v>74</v>
      </c>
      <c r="BN767" s="1" t="s">
        <v>74</v>
      </c>
      <c r="BO767" s="1" t="s">
        <v>74</v>
      </c>
      <c r="BP767" s="1" t="s">
        <v>74</v>
      </c>
      <c r="BQ767" s="1" t="s">
        <v>74</v>
      </c>
      <c r="BR767" s="1" t="s">
        <v>74</v>
      </c>
      <c r="BS767" s="1" t="s">
        <v>7245</v>
      </c>
      <c r="BT767" s="1" t="str">
        <f>HYPERLINK("https%3A%2F%2Fwww.webofscience.com%2Fwos%2Fwoscc%2Ffull-record%2FWOS:000264937100003","View Full Record in Web of Science")</f>
        <v>View Full Record in Web of Science</v>
      </c>
    </row>
    <row r="768" ht="12.75" customHeight="1">
      <c r="A768" s="1" t="s">
        <v>72</v>
      </c>
      <c r="B768" s="1" t="s">
        <v>7246</v>
      </c>
      <c r="C768" s="1" t="s">
        <v>74</v>
      </c>
      <c r="D768" s="1" t="s">
        <v>74</v>
      </c>
      <c r="E768" s="1" t="s">
        <v>74</v>
      </c>
      <c r="F768" s="1" t="s">
        <v>7247</v>
      </c>
      <c r="G768" s="1" t="s">
        <v>74</v>
      </c>
      <c r="H768" s="1" t="s">
        <v>74</v>
      </c>
      <c r="I768" s="1" t="s">
        <v>7248</v>
      </c>
      <c r="J768" s="1" t="s">
        <v>7249</v>
      </c>
      <c r="K768" s="1" t="s">
        <v>74</v>
      </c>
      <c r="L768" s="1" t="s">
        <v>74</v>
      </c>
      <c r="M768" s="1" t="s">
        <v>74</v>
      </c>
      <c r="N768" s="1" t="s">
        <v>74</v>
      </c>
      <c r="O768" s="1" t="s">
        <v>74</v>
      </c>
      <c r="P768" s="1" t="s">
        <v>74</v>
      </c>
      <c r="Q768" s="1" t="s">
        <v>74</v>
      </c>
      <c r="R768" s="1" t="s">
        <v>74</v>
      </c>
      <c r="S768" s="1" t="s">
        <v>74</v>
      </c>
      <c r="T768" s="1" t="s">
        <v>74</v>
      </c>
      <c r="U768" s="1" t="s">
        <v>74</v>
      </c>
      <c r="V768" s="1" t="s">
        <v>7250</v>
      </c>
      <c r="W768" s="1" t="s">
        <v>74</v>
      </c>
      <c r="X768" s="1" t="s">
        <v>74</v>
      </c>
      <c r="Y768" s="1" t="s">
        <v>74</v>
      </c>
      <c r="Z768" s="1" t="s">
        <v>74</v>
      </c>
      <c r="AA768" s="1" t="s">
        <v>74</v>
      </c>
      <c r="AB768" s="1" t="s">
        <v>7251</v>
      </c>
      <c r="AC768" s="1" t="s">
        <v>74</v>
      </c>
      <c r="AD768" s="1" t="s">
        <v>74</v>
      </c>
      <c r="AE768" s="1" t="s">
        <v>74</v>
      </c>
      <c r="AF768" s="1" t="s">
        <v>74</v>
      </c>
      <c r="AG768" s="1" t="s">
        <v>74</v>
      </c>
      <c r="AH768" s="1" t="s">
        <v>74</v>
      </c>
      <c r="AI768" s="1" t="s">
        <v>74</v>
      </c>
      <c r="AJ768" s="1" t="s">
        <v>74</v>
      </c>
      <c r="AK768" s="1" t="s">
        <v>74</v>
      </c>
      <c r="AL768" s="1" t="s">
        <v>74</v>
      </c>
      <c r="AM768" s="1" t="s">
        <v>74</v>
      </c>
      <c r="AN768" s="1" t="s">
        <v>74</v>
      </c>
      <c r="AO768" s="1" t="s">
        <v>7252</v>
      </c>
      <c r="AP768" s="1" t="s">
        <v>74</v>
      </c>
      <c r="AQ768" s="1" t="s">
        <v>74</v>
      </c>
      <c r="AR768" s="1" t="s">
        <v>74</v>
      </c>
      <c r="AS768" s="1" t="s">
        <v>74</v>
      </c>
      <c r="AT768" s="1" t="s">
        <v>415</v>
      </c>
      <c r="AU768" s="1">
        <v>2008.0</v>
      </c>
      <c r="AV768" s="1">
        <v>40.0</v>
      </c>
      <c r="AW768" s="1">
        <v>4.0</v>
      </c>
      <c r="AX768" s="1" t="s">
        <v>74</v>
      </c>
      <c r="AY768" s="1" t="s">
        <v>74</v>
      </c>
      <c r="AZ768" s="1" t="s">
        <v>74</v>
      </c>
      <c r="BA768" s="1" t="s">
        <v>74</v>
      </c>
      <c r="BB768" s="1">
        <v>622.0</v>
      </c>
      <c r="BC768" s="1">
        <v>640.0</v>
      </c>
      <c r="BD768" s="1" t="s">
        <v>74</v>
      </c>
      <c r="BE768" s="1" t="s">
        <v>7253</v>
      </c>
      <c r="BF768" s="2" t="str">
        <f>HYPERLINK("http://dx.doi.org/10.1007/s00454-008-9108-4","http://dx.doi.org/10.1007/s00454-008-9108-4")</f>
        <v>http://dx.doi.org/10.1007/s00454-008-9108-4</v>
      </c>
      <c r="BG768" s="1" t="s">
        <v>74</v>
      </c>
      <c r="BH768" s="1" t="s">
        <v>74</v>
      </c>
      <c r="BI768" s="1" t="s">
        <v>74</v>
      </c>
      <c r="BJ768" s="1" t="s">
        <v>74</v>
      </c>
      <c r="BK768" s="1" t="s">
        <v>74</v>
      </c>
      <c r="BL768" s="1" t="s">
        <v>74</v>
      </c>
      <c r="BM768" s="1" t="s">
        <v>74</v>
      </c>
      <c r="BN768" s="1" t="s">
        <v>74</v>
      </c>
      <c r="BO768" s="1" t="s">
        <v>74</v>
      </c>
      <c r="BP768" s="1" t="s">
        <v>74</v>
      </c>
      <c r="BQ768" s="1" t="s">
        <v>74</v>
      </c>
      <c r="BR768" s="1" t="s">
        <v>74</v>
      </c>
      <c r="BS768" s="1" t="s">
        <v>7254</v>
      </c>
      <c r="BT768" s="1" t="str">
        <f>HYPERLINK("https%3A%2F%2Fwww.webofscience.com%2Fwos%2Fwoscc%2Ffull-record%2FWOS:000260524600008","View Full Record in Web of Science")</f>
        <v>View Full Record in Web of Science</v>
      </c>
    </row>
    <row r="769" ht="12.75" customHeight="1">
      <c r="A769" s="1" t="s">
        <v>72</v>
      </c>
      <c r="B769" s="1" t="s">
        <v>7255</v>
      </c>
      <c r="C769" s="1" t="s">
        <v>74</v>
      </c>
      <c r="D769" s="1" t="s">
        <v>74</v>
      </c>
      <c r="E769" s="1" t="s">
        <v>74</v>
      </c>
      <c r="F769" s="1" t="s">
        <v>7255</v>
      </c>
      <c r="G769" s="1" t="s">
        <v>74</v>
      </c>
      <c r="H769" s="1" t="s">
        <v>74</v>
      </c>
      <c r="I769" s="1" t="s">
        <v>7256</v>
      </c>
      <c r="J769" s="1" t="s">
        <v>7257</v>
      </c>
      <c r="K769" s="1" t="s">
        <v>74</v>
      </c>
      <c r="L769" s="1" t="s">
        <v>74</v>
      </c>
      <c r="M769" s="1" t="s">
        <v>74</v>
      </c>
      <c r="N769" s="1" t="s">
        <v>74</v>
      </c>
      <c r="O769" s="1" t="s">
        <v>74</v>
      </c>
      <c r="P769" s="1" t="s">
        <v>74</v>
      </c>
      <c r="Q769" s="1" t="s">
        <v>74</v>
      </c>
      <c r="R769" s="1" t="s">
        <v>74</v>
      </c>
      <c r="S769" s="1" t="s">
        <v>74</v>
      </c>
      <c r="T769" s="1" t="s">
        <v>74</v>
      </c>
      <c r="U769" s="1" t="s">
        <v>74</v>
      </c>
      <c r="V769" s="1" t="s">
        <v>7258</v>
      </c>
      <c r="W769" s="1" t="s">
        <v>74</v>
      </c>
      <c r="X769" s="1" t="s">
        <v>74</v>
      </c>
      <c r="Y769" s="1" t="s">
        <v>74</v>
      </c>
      <c r="Z769" s="1" t="s">
        <v>74</v>
      </c>
      <c r="AA769" s="1" t="s">
        <v>74</v>
      </c>
      <c r="AB769" s="1" t="s">
        <v>7259</v>
      </c>
      <c r="AC769" s="1" t="s">
        <v>74</v>
      </c>
      <c r="AD769" s="1" t="s">
        <v>74</v>
      </c>
      <c r="AE769" s="1" t="s">
        <v>74</v>
      </c>
      <c r="AF769" s="1" t="s">
        <v>74</v>
      </c>
      <c r="AG769" s="1" t="s">
        <v>74</v>
      </c>
      <c r="AH769" s="1" t="s">
        <v>74</v>
      </c>
      <c r="AI769" s="1" t="s">
        <v>74</v>
      </c>
      <c r="AJ769" s="1" t="s">
        <v>74</v>
      </c>
      <c r="AK769" s="1" t="s">
        <v>74</v>
      </c>
      <c r="AL769" s="1" t="s">
        <v>74</v>
      </c>
      <c r="AM769" s="1" t="s">
        <v>74</v>
      </c>
      <c r="AN769" s="1" t="s">
        <v>74</v>
      </c>
      <c r="AO769" s="1" t="s">
        <v>7260</v>
      </c>
      <c r="AP769" s="1" t="s">
        <v>74</v>
      </c>
      <c r="AQ769" s="1" t="s">
        <v>74</v>
      </c>
      <c r="AR769" s="1" t="s">
        <v>74</v>
      </c>
      <c r="AS769" s="1" t="s">
        <v>74</v>
      </c>
      <c r="AT769" s="1" t="s">
        <v>74</v>
      </c>
      <c r="AU769" s="1">
        <v>2006.0</v>
      </c>
      <c r="AV769" s="1">
        <v>44.0</v>
      </c>
      <c r="AW769" s="1">
        <v>1.0</v>
      </c>
      <c r="AX769" s="1" t="s">
        <v>74</v>
      </c>
      <c r="AY769" s="1" t="s">
        <v>74</v>
      </c>
      <c r="AZ769" s="1" t="s">
        <v>74</v>
      </c>
      <c r="BA769" s="1" t="s">
        <v>74</v>
      </c>
      <c r="BB769" s="1">
        <v>57.0</v>
      </c>
      <c r="BC769" s="1">
        <v>61.0</v>
      </c>
      <c r="BD769" s="1" t="s">
        <v>74</v>
      </c>
      <c r="BE769" s="1" t="s">
        <v>7261</v>
      </c>
      <c r="BF769" s="2" t="str">
        <f>HYPERLINK("http://dx.doi.org/10.1071/SR05038","http://dx.doi.org/10.1071/SR05038")</f>
        <v>http://dx.doi.org/10.1071/SR05038</v>
      </c>
      <c r="BG769" s="1" t="s">
        <v>74</v>
      </c>
      <c r="BH769" s="1" t="s">
        <v>74</v>
      </c>
      <c r="BI769" s="1" t="s">
        <v>74</v>
      </c>
      <c r="BJ769" s="1" t="s">
        <v>74</v>
      </c>
      <c r="BK769" s="1" t="s">
        <v>74</v>
      </c>
      <c r="BL769" s="1" t="s">
        <v>74</v>
      </c>
      <c r="BM769" s="1" t="s">
        <v>74</v>
      </c>
      <c r="BN769" s="1" t="s">
        <v>74</v>
      </c>
      <c r="BO769" s="1" t="s">
        <v>74</v>
      </c>
      <c r="BP769" s="1" t="s">
        <v>74</v>
      </c>
      <c r="BQ769" s="1" t="s">
        <v>74</v>
      </c>
      <c r="BR769" s="1" t="s">
        <v>74</v>
      </c>
      <c r="BS769" s="1" t="s">
        <v>7262</v>
      </c>
      <c r="BT769" s="1" t="str">
        <f>HYPERLINK("https%3A%2F%2Fwww.webofscience.com%2Fwos%2Fwoscc%2Ffull-record%2FWOS:000235253900007","View Full Record in Web of Science")</f>
        <v>View Full Record in Web of Science</v>
      </c>
    </row>
    <row r="770" ht="12.75" customHeight="1">
      <c r="A770" s="1" t="s">
        <v>72</v>
      </c>
      <c r="B770" s="1" t="s">
        <v>7263</v>
      </c>
      <c r="C770" s="1" t="s">
        <v>74</v>
      </c>
      <c r="D770" s="1" t="s">
        <v>74</v>
      </c>
      <c r="E770" s="1" t="s">
        <v>74</v>
      </c>
      <c r="F770" s="1" t="s">
        <v>7264</v>
      </c>
      <c r="G770" s="1" t="s">
        <v>74</v>
      </c>
      <c r="H770" s="1" t="s">
        <v>74</v>
      </c>
      <c r="I770" s="1" t="s">
        <v>7265</v>
      </c>
      <c r="J770" s="1" t="s">
        <v>3083</v>
      </c>
      <c r="K770" s="1" t="s">
        <v>74</v>
      </c>
      <c r="L770" s="1" t="s">
        <v>74</v>
      </c>
      <c r="M770" s="1" t="s">
        <v>74</v>
      </c>
      <c r="N770" s="1" t="s">
        <v>74</v>
      </c>
      <c r="O770" s="1" t="s">
        <v>74</v>
      </c>
      <c r="P770" s="1" t="s">
        <v>74</v>
      </c>
      <c r="Q770" s="1" t="s">
        <v>74</v>
      </c>
      <c r="R770" s="1" t="s">
        <v>74</v>
      </c>
      <c r="S770" s="1" t="s">
        <v>74</v>
      </c>
      <c r="T770" s="1" t="s">
        <v>74</v>
      </c>
      <c r="U770" s="1" t="s">
        <v>74</v>
      </c>
      <c r="V770" s="1" t="s">
        <v>7266</v>
      </c>
      <c r="W770" s="1" t="s">
        <v>74</v>
      </c>
      <c r="X770" s="1" t="s">
        <v>74</v>
      </c>
      <c r="Y770" s="1" t="s">
        <v>74</v>
      </c>
      <c r="Z770" s="1" t="s">
        <v>74</v>
      </c>
      <c r="AA770" s="1" t="s">
        <v>6890</v>
      </c>
      <c r="AB770" s="1" t="s">
        <v>6891</v>
      </c>
      <c r="AC770" s="1" t="s">
        <v>74</v>
      </c>
      <c r="AD770" s="1" t="s">
        <v>74</v>
      </c>
      <c r="AE770" s="1" t="s">
        <v>74</v>
      </c>
      <c r="AF770" s="1" t="s">
        <v>74</v>
      </c>
      <c r="AG770" s="1" t="s">
        <v>74</v>
      </c>
      <c r="AH770" s="1" t="s">
        <v>74</v>
      </c>
      <c r="AI770" s="1" t="s">
        <v>74</v>
      </c>
      <c r="AJ770" s="1" t="s">
        <v>74</v>
      </c>
      <c r="AK770" s="1" t="s">
        <v>74</v>
      </c>
      <c r="AL770" s="1" t="s">
        <v>74</v>
      </c>
      <c r="AM770" s="1" t="s">
        <v>74</v>
      </c>
      <c r="AN770" s="1" t="s">
        <v>74</v>
      </c>
      <c r="AO770" s="1" t="s">
        <v>3087</v>
      </c>
      <c r="AP770" s="1" t="s">
        <v>3088</v>
      </c>
      <c r="AQ770" s="1" t="s">
        <v>74</v>
      </c>
      <c r="AR770" s="1" t="s">
        <v>74</v>
      </c>
      <c r="AS770" s="1" t="s">
        <v>74</v>
      </c>
      <c r="AT770" s="1" t="s">
        <v>74</v>
      </c>
      <c r="AU770" s="1">
        <v>2006.0</v>
      </c>
      <c r="AV770" s="1">
        <v>39.0</v>
      </c>
      <c r="AW770" s="1">
        <v>4.0</v>
      </c>
      <c r="AX770" s="1" t="s">
        <v>74</v>
      </c>
      <c r="AY770" s="1" t="s">
        <v>74</v>
      </c>
      <c r="AZ770" s="1" t="s">
        <v>74</v>
      </c>
      <c r="BA770" s="1" t="s">
        <v>74</v>
      </c>
      <c r="BB770" s="1">
        <v>661.0</v>
      </c>
      <c r="BC770" s="1">
        <v>668.0</v>
      </c>
      <c r="BD770" s="1" t="s">
        <v>74</v>
      </c>
      <c r="BE770" s="1" t="s">
        <v>74</v>
      </c>
      <c r="BF770" s="1" t="s">
        <v>74</v>
      </c>
      <c r="BG770" s="1" t="s">
        <v>74</v>
      </c>
      <c r="BH770" s="1" t="s">
        <v>74</v>
      </c>
      <c r="BI770" s="1" t="s">
        <v>74</v>
      </c>
      <c r="BJ770" s="1" t="s">
        <v>74</v>
      </c>
      <c r="BK770" s="1" t="s">
        <v>74</v>
      </c>
      <c r="BL770" s="1" t="s">
        <v>74</v>
      </c>
      <c r="BM770" s="1" t="s">
        <v>74</v>
      </c>
      <c r="BN770" s="1">
        <v>1.7657347E7</v>
      </c>
      <c r="BO770" s="1" t="s">
        <v>74</v>
      </c>
      <c r="BP770" s="1" t="s">
        <v>74</v>
      </c>
      <c r="BQ770" s="1" t="s">
        <v>74</v>
      </c>
      <c r="BR770" s="1" t="s">
        <v>74</v>
      </c>
      <c r="BS770" s="1" t="s">
        <v>7267</v>
      </c>
      <c r="BT770" s="1" t="str">
        <f>HYPERLINK("https%3A%2F%2Fwww.webofscience.com%2Fwos%2Fwoscc%2Ffull-record%2FWOS:000248288400009","View Full Record in Web of Science")</f>
        <v>View Full Record in Web of Science</v>
      </c>
    </row>
    <row r="771" ht="12.75" customHeight="1">
      <c r="A771" s="1" t="s">
        <v>72</v>
      </c>
      <c r="B771" s="1" t="s">
        <v>7268</v>
      </c>
      <c r="C771" s="1" t="s">
        <v>74</v>
      </c>
      <c r="D771" s="1" t="s">
        <v>74</v>
      </c>
      <c r="E771" s="1" t="s">
        <v>74</v>
      </c>
      <c r="F771" s="1" t="s">
        <v>7268</v>
      </c>
      <c r="G771" s="1" t="s">
        <v>74</v>
      </c>
      <c r="H771" s="1" t="s">
        <v>74</v>
      </c>
      <c r="I771" s="1" t="s">
        <v>7269</v>
      </c>
      <c r="J771" s="1" t="s">
        <v>7270</v>
      </c>
      <c r="K771" s="1" t="s">
        <v>74</v>
      </c>
      <c r="L771" s="1" t="s">
        <v>74</v>
      </c>
      <c r="M771" s="1" t="s">
        <v>74</v>
      </c>
      <c r="N771" s="1" t="s">
        <v>74</v>
      </c>
      <c r="O771" s="1" t="s">
        <v>74</v>
      </c>
      <c r="P771" s="1" t="s">
        <v>74</v>
      </c>
      <c r="Q771" s="1" t="s">
        <v>74</v>
      </c>
      <c r="R771" s="1" t="s">
        <v>74</v>
      </c>
      <c r="S771" s="1" t="s">
        <v>74</v>
      </c>
      <c r="T771" s="1" t="s">
        <v>74</v>
      </c>
      <c r="U771" s="1" t="s">
        <v>74</v>
      </c>
      <c r="V771" s="1" t="s">
        <v>7271</v>
      </c>
      <c r="W771" s="1" t="s">
        <v>74</v>
      </c>
      <c r="X771" s="1" t="s">
        <v>74</v>
      </c>
      <c r="Y771" s="1" t="s">
        <v>74</v>
      </c>
      <c r="Z771" s="1" t="s">
        <v>74</v>
      </c>
      <c r="AA771" s="1" t="s">
        <v>2543</v>
      </c>
      <c r="AB771" s="1" t="s">
        <v>1770</v>
      </c>
      <c r="AC771" s="1" t="s">
        <v>74</v>
      </c>
      <c r="AD771" s="1" t="s">
        <v>74</v>
      </c>
      <c r="AE771" s="1" t="s">
        <v>74</v>
      </c>
      <c r="AF771" s="1" t="s">
        <v>74</v>
      </c>
      <c r="AG771" s="1" t="s">
        <v>74</v>
      </c>
      <c r="AH771" s="1" t="s">
        <v>74</v>
      </c>
      <c r="AI771" s="1" t="s">
        <v>74</v>
      </c>
      <c r="AJ771" s="1" t="s">
        <v>74</v>
      </c>
      <c r="AK771" s="1" t="s">
        <v>74</v>
      </c>
      <c r="AL771" s="1" t="s">
        <v>74</v>
      </c>
      <c r="AM771" s="1" t="s">
        <v>74</v>
      </c>
      <c r="AN771" s="1" t="s">
        <v>74</v>
      </c>
      <c r="AO771" s="1" t="s">
        <v>7272</v>
      </c>
      <c r="AP771" s="1" t="s">
        <v>7273</v>
      </c>
      <c r="AQ771" s="1" t="s">
        <v>74</v>
      </c>
      <c r="AR771" s="1" t="s">
        <v>74</v>
      </c>
      <c r="AS771" s="1" t="s">
        <v>74</v>
      </c>
      <c r="AT771" s="1" t="s">
        <v>144</v>
      </c>
      <c r="AU771" s="1">
        <v>2005.0</v>
      </c>
      <c r="AV771" s="1">
        <v>37.0</v>
      </c>
      <c r="AW771" s="1">
        <v>3.0</v>
      </c>
      <c r="AX771" s="1" t="s">
        <v>74</v>
      </c>
      <c r="AY771" s="1" t="s">
        <v>74</v>
      </c>
      <c r="AZ771" s="1" t="s">
        <v>74</v>
      </c>
      <c r="BA771" s="1" t="s">
        <v>74</v>
      </c>
      <c r="BB771" s="1">
        <v>437.0</v>
      </c>
      <c r="BC771" s="1">
        <v>459.0</v>
      </c>
      <c r="BD771" s="1" t="s">
        <v>74</v>
      </c>
      <c r="BE771" s="1" t="s">
        <v>7274</v>
      </c>
      <c r="BF771" s="2" t="str">
        <f>HYPERLINK("http://dx.doi.org/10.1007/s10714-005-0034-y","http://dx.doi.org/10.1007/s10714-005-0034-y")</f>
        <v>http://dx.doi.org/10.1007/s10714-005-0034-y</v>
      </c>
      <c r="BG771" s="1" t="s">
        <v>74</v>
      </c>
      <c r="BH771" s="1" t="s">
        <v>74</v>
      </c>
      <c r="BI771" s="1" t="s">
        <v>74</v>
      </c>
      <c r="BJ771" s="1" t="s">
        <v>74</v>
      </c>
      <c r="BK771" s="1" t="s">
        <v>74</v>
      </c>
      <c r="BL771" s="1" t="s">
        <v>74</v>
      </c>
      <c r="BM771" s="1" t="s">
        <v>74</v>
      </c>
      <c r="BN771" s="1" t="s">
        <v>74</v>
      </c>
      <c r="BO771" s="1" t="s">
        <v>74</v>
      </c>
      <c r="BP771" s="1" t="s">
        <v>74</v>
      </c>
      <c r="BQ771" s="1" t="s">
        <v>74</v>
      </c>
      <c r="BR771" s="1" t="s">
        <v>74</v>
      </c>
      <c r="BS771" s="1" t="s">
        <v>7275</v>
      </c>
      <c r="BT771" s="1" t="str">
        <f>HYPERLINK("https%3A%2F%2Fwww.webofscience.com%2Fwos%2Fwoscc%2Ffull-record%2FWOS:000228203800001","View Full Record in Web of Science")</f>
        <v>View Full Record in Web of Science</v>
      </c>
    </row>
    <row r="772" ht="12.75" customHeight="1">
      <c r="A772" s="1" t="s">
        <v>72</v>
      </c>
      <c r="B772" s="1" t="s">
        <v>7276</v>
      </c>
      <c r="C772" s="1" t="s">
        <v>74</v>
      </c>
      <c r="D772" s="1" t="s">
        <v>74</v>
      </c>
      <c r="E772" s="1" t="s">
        <v>74</v>
      </c>
      <c r="F772" s="1" t="s">
        <v>7276</v>
      </c>
      <c r="G772" s="1" t="s">
        <v>74</v>
      </c>
      <c r="H772" s="1" t="s">
        <v>74</v>
      </c>
      <c r="I772" s="1" t="s">
        <v>7277</v>
      </c>
      <c r="J772" s="1" t="s">
        <v>7278</v>
      </c>
      <c r="K772" s="1" t="s">
        <v>74</v>
      </c>
      <c r="L772" s="1" t="s">
        <v>74</v>
      </c>
      <c r="M772" s="1" t="s">
        <v>74</v>
      </c>
      <c r="N772" s="1" t="s">
        <v>74</v>
      </c>
      <c r="O772" s="1" t="s">
        <v>74</v>
      </c>
      <c r="P772" s="1" t="s">
        <v>74</v>
      </c>
      <c r="Q772" s="1" t="s">
        <v>74</v>
      </c>
      <c r="R772" s="1" t="s">
        <v>74</v>
      </c>
      <c r="S772" s="1" t="s">
        <v>74</v>
      </c>
      <c r="T772" s="1" t="s">
        <v>74</v>
      </c>
      <c r="U772" s="1" t="s">
        <v>74</v>
      </c>
      <c r="V772" s="1" t="s">
        <v>7279</v>
      </c>
      <c r="W772" s="1" t="s">
        <v>74</v>
      </c>
      <c r="X772" s="1" t="s">
        <v>74</v>
      </c>
      <c r="Y772" s="1" t="s">
        <v>74</v>
      </c>
      <c r="Z772" s="1" t="s">
        <v>74</v>
      </c>
      <c r="AA772" s="1" t="s">
        <v>498</v>
      </c>
      <c r="AB772" s="1" t="s">
        <v>197</v>
      </c>
      <c r="AC772" s="1" t="s">
        <v>74</v>
      </c>
      <c r="AD772" s="1" t="s">
        <v>74</v>
      </c>
      <c r="AE772" s="1" t="s">
        <v>74</v>
      </c>
      <c r="AF772" s="1" t="s">
        <v>74</v>
      </c>
      <c r="AG772" s="1" t="s">
        <v>74</v>
      </c>
      <c r="AH772" s="1" t="s">
        <v>74</v>
      </c>
      <c r="AI772" s="1" t="s">
        <v>74</v>
      </c>
      <c r="AJ772" s="1" t="s">
        <v>74</v>
      </c>
      <c r="AK772" s="1" t="s">
        <v>74</v>
      </c>
      <c r="AL772" s="1" t="s">
        <v>74</v>
      </c>
      <c r="AM772" s="1" t="s">
        <v>74</v>
      </c>
      <c r="AN772" s="1" t="s">
        <v>74</v>
      </c>
      <c r="AO772" s="1" t="s">
        <v>7280</v>
      </c>
      <c r="AP772" s="1" t="s">
        <v>7281</v>
      </c>
      <c r="AQ772" s="1" t="s">
        <v>74</v>
      </c>
      <c r="AR772" s="1" t="s">
        <v>74</v>
      </c>
      <c r="AS772" s="1" t="s">
        <v>74</v>
      </c>
      <c r="AT772" s="1" t="s">
        <v>74</v>
      </c>
      <c r="AU772" s="1">
        <v>2005.0</v>
      </c>
      <c r="AV772" s="1">
        <v>168.0</v>
      </c>
      <c r="AW772" s="1">
        <v>1.0</v>
      </c>
      <c r="AX772" s="1" t="s">
        <v>74</v>
      </c>
      <c r="AY772" s="1" t="s">
        <v>74</v>
      </c>
      <c r="AZ772" s="1" t="s">
        <v>74</v>
      </c>
      <c r="BA772" s="1" t="s">
        <v>74</v>
      </c>
      <c r="BB772" s="1">
        <v>25.0</v>
      </c>
      <c r="BC772" s="1">
        <v>50.0</v>
      </c>
      <c r="BD772" s="1" t="s">
        <v>74</v>
      </c>
      <c r="BE772" s="1" t="s">
        <v>7282</v>
      </c>
      <c r="BF772" s="2" t="str">
        <f>HYPERLINK("http://dx.doi.org/10.4064/sm168-1-3","http://dx.doi.org/10.4064/sm168-1-3")</f>
        <v>http://dx.doi.org/10.4064/sm168-1-3</v>
      </c>
      <c r="BG772" s="1" t="s">
        <v>74</v>
      </c>
      <c r="BH772" s="1" t="s">
        <v>74</v>
      </c>
      <c r="BI772" s="1" t="s">
        <v>74</v>
      </c>
      <c r="BJ772" s="1" t="s">
        <v>74</v>
      </c>
      <c r="BK772" s="1" t="s">
        <v>74</v>
      </c>
      <c r="BL772" s="1" t="s">
        <v>74</v>
      </c>
      <c r="BM772" s="1" t="s">
        <v>74</v>
      </c>
      <c r="BN772" s="1" t="s">
        <v>74</v>
      </c>
      <c r="BO772" s="1" t="s">
        <v>74</v>
      </c>
      <c r="BP772" s="1" t="s">
        <v>74</v>
      </c>
      <c r="BQ772" s="1" t="s">
        <v>74</v>
      </c>
      <c r="BR772" s="1" t="s">
        <v>74</v>
      </c>
      <c r="BS772" s="1" t="s">
        <v>7283</v>
      </c>
      <c r="BT772" s="1" t="str">
        <f>HYPERLINK("https%3A%2F%2Fwww.webofscience.com%2Fwos%2Fwoscc%2Ffull-record%2FWOS:000229330200003","View Full Record in Web of Science")</f>
        <v>View Full Record in Web of Science</v>
      </c>
    </row>
    <row r="773" ht="12.75" customHeight="1">
      <c r="A773" s="1" t="s">
        <v>72</v>
      </c>
      <c r="B773" s="1" t="s">
        <v>7284</v>
      </c>
      <c r="C773" s="1" t="s">
        <v>74</v>
      </c>
      <c r="D773" s="1" t="s">
        <v>74</v>
      </c>
      <c r="E773" s="1" t="s">
        <v>74</v>
      </c>
      <c r="F773" s="1" t="s">
        <v>7284</v>
      </c>
      <c r="G773" s="1" t="s">
        <v>74</v>
      </c>
      <c r="H773" s="1" t="s">
        <v>74</v>
      </c>
      <c r="I773" s="1" t="s">
        <v>7285</v>
      </c>
      <c r="J773" s="1" t="s">
        <v>7286</v>
      </c>
      <c r="K773" s="1" t="s">
        <v>74</v>
      </c>
      <c r="L773" s="1" t="s">
        <v>74</v>
      </c>
      <c r="M773" s="1" t="s">
        <v>74</v>
      </c>
      <c r="N773" s="1" t="s">
        <v>74</v>
      </c>
      <c r="O773" s="1" t="s">
        <v>7287</v>
      </c>
      <c r="P773" s="1" t="s">
        <v>7288</v>
      </c>
      <c r="Q773" s="1" t="s">
        <v>7289</v>
      </c>
      <c r="R773" s="1" t="s">
        <v>74</v>
      </c>
      <c r="S773" s="1" t="s">
        <v>7290</v>
      </c>
      <c r="T773" s="1" t="s">
        <v>74</v>
      </c>
      <c r="U773" s="1" t="s">
        <v>74</v>
      </c>
      <c r="V773" s="1" t="s">
        <v>7291</v>
      </c>
      <c r="W773" s="1" t="s">
        <v>74</v>
      </c>
      <c r="X773" s="1" t="s">
        <v>74</v>
      </c>
      <c r="Y773" s="1" t="s">
        <v>74</v>
      </c>
      <c r="Z773" s="1" t="s">
        <v>74</v>
      </c>
      <c r="AA773" s="1" t="s">
        <v>7292</v>
      </c>
      <c r="AB773" s="1" t="s">
        <v>74</v>
      </c>
      <c r="AC773" s="1" t="s">
        <v>74</v>
      </c>
      <c r="AD773" s="1" t="s">
        <v>74</v>
      </c>
      <c r="AE773" s="1" t="s">
        <v>74</v>
      </c>
      <c r="AF773" s="1" t="s">
        <v>74</v>
      </c>
      <c r="AG773" s="1" t="s">
        <v>74</v>
      </c>
      <c r="AH773" s="1" t="s">
        <v>74</v>
      </c>
      <c r="AI773" s="1" t="s">
        <v>74</v>
      </c>
      <c r="AJ773" s="1" t="s">
        <v>74</v>
      </c>
      <c r="AK773" s="1" t="s">
        <v>74</v>
      </c>
      <c r="AL773" s="1" t="s">
        <v>74</v>
      </c>
      <c r="AM773" s="1" t="s">
        <v>74</v>
      </c>
      <c r="AN773" s="1" t="s">
        <v>74</v>
      </c>
      <c r="AO773" s="1" t="s">
        <v>7293</v>
      </c>
      <c r="AP773" s="1" t="s">
        <v>74</v>
      </c>
      <c r="AQ773" s="1" t="s">
        <v>74</v>
      </c>
      <c r="AR773" s="1" t="s">
        <v>74</v>
      </c>
      <c r="AS773" s="1" t="s">
        <v>74</v>
      </c>
      <c r="AT773" s="1" t="s">
        <v>415</v>
      </c>
      <c r="AU773" s="1">
        <v>2004.0</v>
      </c>
      <c r="AV773" s="1">
        <v>47.0</v>
      </c>
      <c r="AW773" s="1" t="s">
        <v>3395</v>
      </c>
      <c r="AX773" s="1" t="s">
        <v>74</v>
      </c>
      <c r="AY773" s="1" t="s">
        <v>74</v>
      </c>
      <c r="AZ773" s="1" t="s">
        <v>74</v>
      </c>
      <c r="BA773" s="1" t="s">
        <v>74</v>
      </c>
      <c r="BB773" s="1">
        <v>161.0</v>
      </c>
      <c r="BC773" s="1">
        <v>173.0</v>
      </c>
      <c r="BD773" s="1" t="s">
        <v>74</v>
      </c>
      <c r="BE773" s="1" t="s">
        <v>7294</v>
      </c>
      <c r="BF773" s="2" t="str">
        <f>HYPERLINK("http://dx.doi.org/10.1016/j.brainresrev.2004.07.010","http://dx.doi.org/10.1016/j.brainresrev.2004.07.010")</f>
        <v>http://dx.doi.org/10.1016/j.brainresrev.2004.07.010</v>
      </c>
      <c r="BG773" s="1" t="s">
        <v>74</v>
      </c>
      <c r="BH773" s="1" t="s">
        <v>74</v>
      </c>
      <c r="BI773" s="1" t="s">
        <v>74</v>
      </c>
      <c r="BJ773" s="1" t="s">
        <v>74</v>
      </c>
      <c r="BK773" s="1" t="s">
        <v>74</v>
      </c>
      <c r="BL773" s="1" t="s">
        <v>74</v>
      </c>
      <c r="BM773" s="1" t="s">
        <v>74</v>
      </c>
      <c r="BN773" s="1">
        <v>1.557217E7</v>
      </c>
      <c r="BO773" s="1" t="s">
        <v>74</v>
      </c>
      <c r="BP773" s="1" t="s">
        <v>74</v>
      </c>
      <c r="BQ773" s="1" t="s">
        <v>74</v>
      </c>
      <c r="BR773" s="1" t="s">
        <v>74</v>
      </c>
      <c r="BS773" s="1" t="s">
        <v>7295</v>
      </c>
      <c r="BT773" s="1" t="str">
        <f>HYPERLINK("https%3A%2F%2Fwww.webofscience.com%2Fwos%2Fwoscc%2Ffull-record%2FWOS:000229308600013","View Full Record in Web of Science")</f>
        <v>View Full Record in Web of Science</v>
      </c>
    </row>
    <row r="774" ht="12.75" customHeight="1">
      <c r="A774" s="1" t="s">
        <v>72</v>
      </c>
      <c r="B774" s="1" t="s">
        <v>7296</v>
      </c>
      <c r="C774" s="1" t="s">
        <v>74</v>
      </c>
      <c r="D774" s="1" t="s">
        <v>74</v>
      </c>
      <c r="E774" s="1" t="s">
        <v>74</v>
      </c>
      <c r="F774" s="1" t="s">
        <v>7296</v>
      </c>
      <c r="G774" s="1" t="s">
        <v>74</v>
      </c>
      <c r="H774" s="1" t="s">
        <v>74</v>
      </c>
      <c r="I774" s="1" t="s">
        <v>7297</v>
      </c>
      <c r="J774" s="1" t="s">
        <v>7298</v>
      </c>
      <c r="K774" s="1" t="s">
        <v>74</v>
      </c>
      <c r="L774" s="1" t="s">
        <v>74</v>
      </c>
      <c r="M774" s="1" t="s">
        <v>74</v>
      </c>
      <c r="N774" s="1" t="s">
        <v>74</v>
      </c>
      <c r="O774" s="1" t="s">
        <v>74</v>
      </c>
      <c r="P774" s="1" t="s">
        <v>74</v>
      </c>
      <c r="Q774" s="1" t="s">
        <v>74</v>
      </c>
      <c r="R774" s="1" t="s">
        <v>74</v>
      </c>
      <c r="S774" s="1" t="s">
        <v>74</v>
      </c>
      <c r="T774" s="1" t="s">
        <v>74</v>
      </c>
      <c r="U774" s="1" t="s">
        <v>74</v>
      </c>
      <c r="V774" s="1" t="s">
        <v>7299</v>
      </c>
      <c r="W774" s="1" t="s">
        <v>74</v>
      </c>
      <c r="X774" s="1" t="s">
        <v>74</v>
      </c>
      <c r="Y774" s="1" t="s">
        <v>74</v>
      </c>
      <c r="Z774" s="1" t="s">
        <v>74</v>
      </c>
      <c r="AA774" s="1" t="s">
        <v>74</v>
      </c>
      <c r="AB774" s="1" t="s">
        <v>6853</v>
      </c>
      <c r="AC774" s="1" t="s">
        <v>74</v>
      </c>
      <c r="AD774" s="1" t="s">
        <v>74</v>
      </c>
      <c r="AE774" s="1" t="s">
        <v>74</v>
      </c>
      <c r="AF774" s="1" t="s">
        <v>74</v>
      </c>
      <c r="AG774" s="1" t="s">
        <v>74</v>
      </c>
      <c r="AH774" s="1" t="s">
        <v>74</v>
      </c>
      <c r="AI774" s="1" t="s">
        <v>74</v>
      </c>
      <c r="AJ774" s="1" t="s">
        <v>74</v>
      </c>
      <c r="AK774" s="1" t="s">
        <v>74</v>
      </c>
      <c r="AL774" s="1" t="s">
        <v>74</v>
      </c>
      <c r="AM774" s="1" t="s">
        <v>74</v>
      </c>
      <c r="AN774" s="1" t="s">
        <v>74</v>
      </c>
      <c r="AO774" s="1" t="s">
        <v>7300</v>
      </c>
      <c r="AP774" s="1" t="s">
        <v>7301</v>
      </c>
      <c r="AQ774" s="1" t="s">
        <v>74</v>
      </c>
      <c r="AR774" s="1" t="s">
        <v>74</v>
      </c>
      <c r="AS774" s="1" t="s">
        <v>74</v>
      </c>
      <c r="AT774" s="1" t="s">
        <v>363</v>
      </c>
      <c r="AU774" s="1">
        <v>2004.0</v>
      </c>
      <c r="AV774" s="1">
        <v>287.0</v>
      </c>
      <c r="AW774" s="1">
        <v>4.0</v>
      </c>
      <c r="AX774" s="1" t="s">
        <v>74</v>
      </c>
      <c r="AY774" s="1" t="s">
        <v>74</v>
      </c>
      <c r="AZ774" s="1" t="s">
        <v>74</v>
      </c>
      <c r="BA774" s="1" t="s">
        <v>74</v>
      </c>
      <c r="BB774" s="1" t="s">
        <v>7302</v>
      </c>
      <c r="BC774" s="1" t="s">
        <v>7303</v>
      </c>
      <c r="BD774" s="1" t="s">
        <v>74</v>
      </c>
      <c r="BE774" s="1" t="s">
        <v>7304</v>
      </c>
      <c r="BF774" s="2" t="str">
        <f>HYPERLINK("http://dx.doi.org/10.1152/ajpcell.00343.2003","http://dx.doi.org/10.1152/ajpcell.00343.2003")</f>
        <v>http://dx.doi.org/10.1152/ajpcell.00343.2003</v>
      </c>
      <c r="BG774" s="1" t="s">
        <v>74</v>
      </c>
      <c r="BH774" s="1" t="s">
        <v>74</v>
      </c>
      <c r="BI774" s="1" t="s">
        <v>74</v>
      </c>
      <c r="BJ774" s="1" t="s">
        <v>74</v>
      </c>
      <c r="BK774" s="1" t="s">
        <v>74</v>
      </c>
      <c r="BL774" s="1" t="s">
        <v>74</v>
      </c>
      <c r="BM774" s="1" t="s">
        <v>74</v>
      </c>
      <c r="BN774" s="1">
        <v>1.5175223E7</v>
      </c>
      <c r="BO774" s="1" t="s">
        <v>74</v>
      </c>
      <c r="BP774" s="1" t="s">
        <v>74</v>
      </c>
      <c r="BQ774" s="1" t="s">
        <v>74</v>
      </c>
      <c r="BR774" s="1" t="s">
        <v>74</v>
      </c>
      <c r="BS774" s="1" t="s">
        <v>7305</v>
      </c>
      <c r="BT774" s="1" t="str">
        <f>HYPERLINK("https%3A%2F%2Fwww.webofscience.com%2Fwos%2Fwoscc%2Ffull-record%2FWOS:000223762000032","View Full Record in Web of Science")</f>
        <v>View Full Record in Web of Science</v>
      </c>
    </row>
    <row r="775" ht="12.75" customHeight="1">
      <c r="A775" s="1" t="s">
        <v>72</v>
      </c>
      <c r="B775" s="1" t="s">
        <v>6616</v>
      </c>
      <c r="C775" s="1" t="s">
        <v>74</v>
      </c>
      <c r="D775" s="1" t="s">
        <v>74</v>
      </c>
      <c r="E775" s="1" t="s">
        <v>74</v>
      </c>
      <c r="F775" s="1" t="s">
        <v>6616</v>
      </c>
      <c r="G775" s="1" t="s">
        <v>74</v>
      </c>
      <c r="H775" s="1" t="s">
        <v>74</v>
      </c>
      <c r="I775" s="1" t="s">
        <v>7306</v>
      </c>
      <c r="J775" s="1" t="s">
        <v>7307</v>
      </c>
      <c r="K775" s="1" t="s">
        <v>74</v>
      </c>
      <c r="L775" s="1" t="s">
        <v>74</v>
      </c>
      <c r="M775" s="1" t="s">
        <v>74</v>
      </c>
      <c r="N775" s="1" t="s">
        <v>74</v>
      </c>
      <c r="O775" s="1" t="s">
        <v>74</v>
      </c>
      <c r="P775" s="1" t="s">
        <v>74</v>
      </c>
      <c r="Q775" s="1" t="s">
        <v>74</v>
      </c>
      <c r="R775" s="1" t="s">
        <v>74</v>
      </c>
      <c r="S775" s="1" t="s">
        <v>74</v>
      </c>
      <c r="T775" s="1" t="s">
        <v>74</v>
      </c>
      <c r="U775" s="1" t="s">
        <v>74</v>
      </c>
      <c r="V775" s="1" t="s">
        <v>7308</v>
      </c>
      <c r="W775" s="1" t="s">
        <v>74</v>
      </c>
      <c r="X775" s="1" t="s">
        <v>74</v>
      </c>
      <c r="Y775" s="1" t="s">
        <v>74</v>
      </c>
      <c r="Z775" s="1" t="s">
        <v>74</v>
      </c>
      <c r="AA775" s="1" t="s">
        <v>498</v>
      </c>
      <c r="AB775" s="1" t="s">
        <v>197</v>
      </c>
      <c r="AC775" s="1" t="s">
        <v>74</v>
      </c>
      <c r="AD775" s="1" t="s">
        <v>74</v>
      </c>
      <c r="AE775" s="1" t="s">
        <v>74</v>
      </c>
      <c r="AF775" s="1" t="s">
        <v>74</v>
      </c>
      <c r="AG775" s="1" t="s">
        <v>74</v>
      </c>
      <c r="AH775" s="1" t="s">
        <v>74</v>
      </c>
      <c r="AI775" s="1" t="s">
        <v>74</v>
      </c>
      <c r="AJ775" s="1" t="s">
        <v>74</v>
      </c>
      <c r="AK775" s="1" t="s">
        <v>74</v>
      </c>
      <c r="AL775" s="1" t="s">
        <v>74</v>
      </c>
      <c r="AM775" s="1" t="s">
        <v>74</v>
      </c>
      <c r="AN775" s="1" t="s">
        <v>74</v>
      </c>
      <c r="AO775" s="1" t="s">
        <v>7309</v>
      </c>
      <c r="AP775" s="1" t="s">
        <v>74</v>
      </c>
      <c r="AQ775" s="1" t="s">
        <v>74</v>
      </c>
      <c r="AR775" s="1" t="s">
        <v>74</v>
      </c>
      <c r="AS775" s="1" t="s">
        <v>74</v>
      </c>
      <c r="AT775" s="1" t="s">
        <v>122</v>
      </c>
      <c r="AU775" s="1">
        <v>2003.0</v>
      </c>
      <c r="AV775" s="1">
        <v>81.0</v>
      </c>
      <c r="AW775" s="1">
        <v>2.0</v>
      </c>
      <c r="AX775" s="1" t="s">
        <v>74</v>
      </c>
      <c r="AY775" s="1" t="s">
        <v>74</v>
      </c>
      <c r="AZ775" s="1" t="s">
        <v>74</v>
      </c>
      <c r="BA775" s="1" t="s">
        <v>74</v>
      </c>
      <c r="BB775" s="1">
        <v>182.0</v>
      </c>
      <c r="BC775" s="1">
        <v>192.0</v>
      </c>
      <c r="BD775" s="1" t="s">
        <v>74</v>
      </c>
      <c r="BE775" s="1" t="s">
        <v>7310</v>
      </c>
      <c r="BF775" s="2" t="str">
        <f>HYPERLINK("http://dx.doi.org/10.1007/s00013-003-0536-3","http://dx.doi.org/10.1007/s00013-003-0536-3")</f>
        <v>http://dx.doi.org/10.1007/s00013-003-0536-3</v>
      </c>
      <c r="BG775" s="1" t="s">
        <v>74</v>
      </c>
      <c r="BH775" s="1" t="s">
        <v>74</v>
      </c>
      <c r="BI775" s="1" t="s">
        <v>74</v>
      </c>
      <c r="BJ775" s="1" t="s">
        <v>74</v>
      </c>
      <c r="BK775" s="1" t="s">
        <v>74</v>
      </c>
      <c r="BL775" s="1" t="s">
        <v>74</v>
      </c>
      <c r="BM775" s="1" t="s">
        <v>74</v>
      </c>
      <c r="BN775" s="1" t="s">
        <v>74</v>
      </c>
      <c r="BO775" s="1" t="s">
        <v>74</v>
      </c>
      <c r="BP775" s="1" t="s">
        <v>74</v>
      </c>
      <c r="BQ775" s="1" t="s">
        <v>74</v>
      </c>
      <c r="BR775" s="1" t="s">
        <v>74</v>
      </c>
      <c r="BS775" s="1" t="s">
        <v>7311</v>
      </c>
      <c r="BT775" s="1" t="str">
        <f>HYPERLINK("https%3A%2F%2Fwww.webofscience.com%2Fwos%2Fwoscc%2Ffull-record%2FWOS:000186030000009","View Full Record in Web of Science")</f>
        <v>View Full Record in Web of Science</v>
      </c>
    </row>
    <row r="776" ht="12.75" customHeight="1">
      <c r="A776" s="1" t="s">
        <v>72</v>
      </c>
      <c r="B776" s="1" t="s">
        <v>7312</v>
      </c>
      <c r="C776" s="1" t="s">
        <v>74</v>
      </c>
      <c r="D776" s="1" t="s">
        <v>74</v>
      </c>
      <c r="E776" s="1" t="s">
        <v>74</v>
      </c>
      <c r="F776" s="1" t="s">
        <v>7312</v>
      </c>
      <c r="G776" s="1" t="s">
        <v>74</v>
      </c>
      <c r="H776" s="1" t="s">
        <v>74</v>
      </c>
      <c r="I776" s="1" t="s">
        <v>7313</v>
      </c>
      <c r="J776" s="1" t="s">
        <v>2811</v>
      </c>
      <c r="K776" s="1" t="s">
        <v>74</v>
      </c>
      <c r="L776" s="1" t="s">
        <v>74</v>
      </c>
      <c r="M776" s="1" t="s">
        <v>74</v>
      </c>
      <c r="N776" s="1" t="s">
        <v>74</v>
      </c>
      <c r="O776" s="1" t="s">
        <v>74</v>
      </c>
      <c r="P776" s="1" t="s">
        <v>74</v>
      </c>
      <c r="Q776" s="1" t="s">
        <v>74</v>
      </c>
      <c r="R776" s="1" t="s">
        <v>74</v>
      </c>
      <c r="S776" s="1" t="s">
        <v>74</v>
      </c>
      <c r="T776" s="1" t="s">
        <v>74</v>
      </c>
      <c r="U776" s="1" t="s">
        <v>74</v>
      </c>
      <c r="V776" s="1" t="s">
        <v>7314</v>
      </c>
      <c r="W776" s="1" t="s">
        <v>74</v>
      </c>
      <c r="X776" s="1" t="s">
        <v>74</v>
      </c>
      <c r="Y776" s="1" t="s">
        <v>74</v>
      </c>
      <c r="Z776" s="1" t="s">
        <v>74</v>
      </c>
      <c r="AA776" s="1" t="s">
        <v>74</v>
      </c>
      <c r="AB776" s="1" t="s">
        <v>74</v>
      </c>
      <c r="AC776" s="1" t="s">
        <v>74</v>
      </c>
      <c r="AD776" s="1" t="s">
        <v>74</v>
      </c>
      <c r="AE776" s="1" t="s">
        <v>74</v>
      </c>
      <c r="AF776" s="1" t="s">
        <v>74</v>
      </c>
      <c r="AG776" s="1" t="s">
        <v>74</v>
      </c>
      <c r="AH776" s="1" t="s">
        <v>74</v>
      </c>
      <c r="AI776" s="1" t="s">
        <v>74</v>
      </c>
      <c r="AJ776" s="1" t="s">
        <v>74</v>
      </c>
      <c r="AK776" s="1" t="s">
        <v>74</v>
      </c>
      <c r="AL776" s="1" t="s">
        <v>74</v>
      </c>
      <c r="AM776" s="1" t="s">
        <v>74</v>
      </c>
      <c r="AN776" s="1" t="s">
        <v>74</v>
      </c>
      <c r="AO776" s="1" t="s">
        <v>2813</v>
      </c>
      <c r="AP776" s="1" t="s">
        <v>74</v>
      </c>
      <c r="AQ776" s="1" t="s">
        <v>74</v>
      </c>
      <c r="AR776" s="1" t="s">
        <v>74</v>
      </c>
      <c r="AS776" s="1" t="s">
        <v>74</v>
      </c>
      <c r="AT776" s="1" t="s">
        <v>7315</v>
      </c>
      <c r="AU776" s="1">
        <v>2002.0</v>
      </c>
      <c r="AV776" s="1">
        <v>628.0</v>
      </c>
      <c r="AW776" s="1" t="s">
        <v>308</v>
      </c>
      <c r="AX776" s="1" t="s">
        <v>74</v>
      </c>
      <c r="AY776" s="1" t="s">
        <v>74</v>
      </c>
      <c r="AZ776" s="1" t="s">
        <v>74</v>
      </c>
      <c r="BA776" s="1" t="s">
        <v>74</v>
      </c>
      <c r="BB776" s="1">
        <v>217.0</v>
      </c>
      <c r="BC776" s="1">
        <v>233.0</v>
      </c>
      <c r="BD776" s="1" t="s">
        <v>7316</v>
      </c>
      <c r="BE776" s="1" t="s">
        <v>7317</v>
      </c>
      <c r="BF776" s="2" t="str">
        <f>HYPERLINK("http://dx.doi.org/10.1016/S0550-3213(02)00071-8","http://dx.doi.org/10.1016/S0550-3213(02)00071-8")</f>
        <v>http://dx.doi.org/10.1016/S0550-3213(02)00071-8</v>
      </c>
      <c r="BG776" s="1" t="s">
        <v>74</v>
      </c>
      <c r="BH776" s="1" t="s">
        <v>74</v>
      </c>
      <c r="BI776" s="1" t="s">
        <v>74</v>
      </c>
      <c r="BJ776" s="1" t="s">
        <v>74</v>
      </c>
      <c r="BK776" s="1" t="s">
        <v>74</v>
      </c>
      <c r="BL776" s="1" t="s">
        <v>74</v>
      </c>
      <c r="BM776" s="1" t="s">
        <v>74</v>
      </c>
      <c r="BN776" s="1" t="s">
        <v>74</v>
      </c>
      <c r="BO776" s="1" t="s">
        <v>74</v>
      </c>
      <c r="BP776" s="1" t="s">
        <v>74</v>
      </c>
      <c r="BQ776" s="1" t="s">
        <v>74</v>
      </c>
      <c r="BR776" s="1" t="s">
        <v>74</v>
      </c>
      <c r="BS776" s="1" t="s">
        <v>7318</v>
      </c>
      <c r="BT776" s="1" t="str">
        <f>HYPERLINK("https%3A%2F%2Fwww.webofscience.com%2Fwos%2Fwoscc%2Ffull-record%2FWOS:000175111900007","View Full Record in Web of Science")</f>
        <v>View Full Record in Web of Science</v>
      </c>
    </row>
    <row r="777" ht="12.75" customHeight="1">
      <c r="A777" s="1" t="s">
        <v>72</v>
      </c>
      <c r="B777" s="1" t="s">
        <v>7319</v>
      </c>
      <c r="C777" s="1" t="s">
        <v>74</v>
      </c>
      <c r="D777" s="1" t="s">
        <v>74</v>
      </c>
      <c r="E777" s="1" t="s">
        <v>74</v>
      </c>
      <c r="F777" s="1" t="s">
        <v>7319</v>
      </c>
      <c r="G777" s="1" t="s">
        <v>74</v>
      </c>
      <c r="H777" s="1" t="s">
        <v>74</v>
      </c>
      <c r="I777" s="1" t="s">
        <v>7320</v>
      </c>
      <c r="J777" s="1" t="s">
        <v>2065</v>
      </c>
      <c r="K777" s="1" t="s">
        <v>74</v>
      </c>
      <c r="L777" s="1" t="s">
        <v>74</v>
      </c>
      <c r="M777" s="1" t="s">
        <v>74</v>
      </c>
      <c r="N777" s="1" t="s">
        <v>74</v>
      </c>
      <c r="O777" s="1" t="s">
        <v>74</v>
      </c>
      <c r="P777" s="1" t="s">
        <v>74</v>
      </c>
      <c r="Q777" s="1" t="s">
        <v>74</v>
      </c>
      <c r="R777" s="1" t="s">
        <v>74</v>
      </c>
      <c r="S777" s="1" t="s">
        <v>74</v>
      </c>
      <c r="T777" s="1" t="s">
        <v>74</v>
      </c>
      <c r="U777" s="1" t="s">
        <v>74</v>
      </c>
      <c r="V777" s="1" t="s">
        <v>7321</v>
      </c>
      <c r="W777" s="1" t="s">
        <v>74</v>
      </c>
      <c r="X777" s="1" t="s">
        <v>74</v>
      </c>
      <c r="Y777" s="1" t="s">
        <v>74</v>
      </c>
      <c r="Z777" s="1" t="s">
        <v>74</v>
      </c>
      <c r="AA777" s="1" t="s">
        <v>7322</v>
      </c>
      <c r="AB777" s="1" t="s">
        <v>7323</v>
      </c>
      <c r="AC777" s="1" t="s">
        <v>74</v>
      </c>
      <c r="AD777" s="1" t="s">
        <v>74</v>
      </c>
      <c r="AE777" s="1" t="s">
        <v>74</v>
      </c>
      <c r="AF777" s="1" t="s">
        <v>74</v>
      </c>
      <c r="AG777" s="1" t="s">
        <v>74</v>
      </c>
      <c r="AH777" s="1" t="s">
        <v>74</v>
      </c>
      <c r="AI777" s="1" t="s">
        <v>74</v>
      </c>
      <c r="AJ777" s="1" t="s">
        <v>74</v>
      </c>
      <c r="AK777" s="1" t="s">
        <v>74</v>
      </c>
      <c r="AL777" s="1" t="s">
        <v>74</v>
      </c>
      <c r="AM777" s="1" t="s">
        <v>74</v>
      </c>
      <c r="AN777" s="1" t="s">
        <v>74</v>
      </c>
      <c r="AO777" s="1" t="s">
        <v>6512</v>
      </c>
      <c r="AP777" s="1" t="s">
        <v>6513</v>
      </c>
      <c r="AQ777" s="1" t="s">
        <v>74</v>
      </c>
      <c r="AR777" s="1" t="s">
        <v>74</v>
      </c>
      <c r="AS777" s="1" t="s">
        <v>74</v>
      </c>
      <c r="AT777" s="1" t="s">
        <v>609</v>
      </c>
      <c r="AU777" s="1">
        <v>2001.0</v>
      </c>
      <c r="AV777" s="1">
        <v>63.0</v>
      </c>
      <c r="AW777" s="1">
        <v>23.0</v>
      </c>
      <c r="AX777" s="1" t="s">
        <v>74</v>
      </c>
      <c r="AY777" s="1" t="s">
        <v>74</v>
      </c>
      <c r="AZ777" s="1" t="s">
        <v>74</v>
      </c>
      <c r="BA777" s="1" t="s">
        <v>74</v>
      </c>
      <c r="BB777" s="1" t="s">
        <v>74</v>
      </c>
      <c r="BC777" s="1" t="s">
        <v>74</v>
      </c>
      <c r="BD777" s="1">
        <v>235412.0</v>
      </c>
      <c r="BE777" s="1" t="s">
        <v>7324</v>
      </c>
      <c r="BF777" s="2" t="str">
        <f>HYPERLINK("http://dx.doi.org/10.1103/PhysRevB.63.235412","http://dx.doi.org/10.1103/PhysRevB.63.235412")</f>
        <v>http://dx.doi.org/10.1103/PhysRevB.63.235412</v>
      </c>
      <c r="BG777" s="1" t="s">
        <v>74</v>
      </c>
      <c r="BH777" s="1" t="s">
        <v>74</v>
      </c>
      <c r="BI777" s="1" t="s">
        <v>74</v>
      </c>
      <c r="BJ777" s="1" t="s">
        <v>74</v>
      </c>
      <c r="BK777" s="1" t="s">
        <v>74</v>
      </c>
      <c r="BL777" s="1" t="s">
        <v>74</v>
      </c>
      <c r="BM777" s="1" t="s">
        <v>74</v>
      </c>
      <c r="BN777" s="1" t="s">
        <v>74</v>
      </c>
      <c r="BO777" s="1" t="s">
        <v>74</v>
      </c>
      <c r="BP777" s="1" t="s">
        <v>74</v>
      </c>
      <c r="BQ777" s="1" t="s">
        <v>74</v>
      </c>
      <c r="BR777" s="1" t="s">
        <v>74</v>
      </c>
      <c r="BS777" s="1" t="s">
        <v>7325</v>
      </c>
      <c r="BT777" s="1" t="str">
        <f>HYPERLINK("https%3A%2F%2Fwww.webofscience.com%2Fwos%2Fwoscc%2Ffull-record%2FWOS:000169459300091","View Full Record in Web of Science")</f>
        <v>View Full Record in Web of Science</v>
      </c>
    </row>
    <row r="778" ht="12.75" customHeight="1">
      <c r="A778" s="1" t="s">
        <v>72</v>
      </c>
      <c r="B778" s="1" t="s">
        <v>7326</v>
      </c>
      <c r="C778" s="1" t="s">
        <v>74</v>
      </c>
      <c r="D778" s="1" t="s">
        <v>74</v>
      </c>
      <c r="E778" s="1" t="s">
        <v>74</v>
      </c>
      <c r="F778" s="1" t="s">
        <v>7326</v>
      </c>
      <c r="G778" s="1" t="s">
        <v>74</v>
      </c>
      <c r="H778" s="1" t="s">
        <v>74</v>
      </c>
      <c r="I778" s="1" t="s">
        <v>7327</v>
      </c>
      <c r="J778" s="1" t="s">
        <v>413</v>
      </c>
      <c r="K778" s="1" t="s">
        <v>74</v>
      </c>
      <c r="L778" s="1" t="s">
        <v>74</v>
      </c>
      <c r="M778" s="1" t="s">
        <v>74</v>
      </c>
      <c r="N778" s="1" t="s">
        <v>74</v>
      </c>
      <c r="O778" s="1" t="s">
        <v>74</v>
      </c>
      <c r="P778" s="1" t="s">
        <v>74</v>
      </c>
      <c r="Q778" s="1" t="s">
        <v>74</v>
      </c>
      <c r="R778" s="1" t="s">
        <v>74</v>
      </c>
      <c r="S778" s="1" t="s">
        <v>74</v>
      </c>
      <c r="T778" s="1" t="s">
        <v>74</v>
      </c>
      <c r="U778" s="1" t="s">
        <v>74</v>
      </c>
      <c r="V778" s="1" t="s">
        <v>7328</v>
      </c>
      <c r="W778" s="1" t="s">
        <v>74</v>
      </c>
      <c r="X778" s="1" t="s">
        <v>74</v>
      </c>
      <c r="Y778" s="1" t="s">
        <v>74</v>
      </c>
      <c r="Z778" s="1" t="s">
        <v>74</v>
      </c>
      <c r="AA778" s="1" t="s">
        <v>74</v>
      </c>
      <c r="AB778" s="1" t="s">
        <v>74</v>
      </c>
      <c r="AC778" s="1" t="s">
        <v>74</v>
      </c>
      <c r="AD778" s="1" t="s">
        <v>74</v>
      </c>
      <c r="AE778" s="1" t="s">
        <v>74</v>
      </c>
      <c r="AF778" s="1" t="s">
        <v>74</v>
      </c>
      <c r="AG778" s="1" t="s">
        <v>74</v>
      </c>
      <c r="AH778" s="1" t="s">
        <v>74</v>
      </c>
      <c r="AI778" s="1" t="s">
        <v>74</v>
      </c>
      <c r="AJ778" s="1" t="s">
        <v>74</v>
      </c>
      <c r="AK778" s="1" t="s">
        <v>74</v>
      </c>
      <c r="AL778" s="1" t="s">
        <v>74</v>
      </c>
      <c r="AM778" s="1" t="s">
        <v>74</v>
      </c>
      <c r="AN778" s="1" t="s">
        <v>74</v>
      </c>
      <c r="AO778" s="1" t="s">
        <v>414</v>
      </c>
      <c r="AP778" s="1" t="s">
        <v>74</v>
      </c>
      <c r="AQ778" s="1" t="s">
        <v>74</v>
      </c>
      <c r="AR778" s="1" t="s">
        <v>74</v>
      </c>
      <c r="AS778" s="1" t="s">
        <v>74</v>
      </c>
      <c r="AT778" s="1" t="s">
        <v>289</v>
      </c>
      <c r="AU778" s="1">
        <v>2001.0</v>
      </c>
      <c r="AV778" s="1">
        <v>46.0</v>
      </c>
      <c r="AW778" s="1">
        <v>2.0</v>
      </c>
      <c r="AX778" s="1" t="s">
        <v>74</v>
      </c>
      <c r="AY778" s="1" t="s">
        <v>74</v>
      </c>
      <c r="AZ778" s="1" t="s">
        <v>74</v>
      </c>
      <c r="BA778" s="1" t="s">
        <v>74</v>
      </c>
      <c r="BB778" s="1">
        <v>121.0</v>
      </c>
      <c r="BC778" s="1">
        <v>129.0</v>
      </c>
      <c r="BD778" s="1" t="s">
        <v>74</v>
      </c>
      <c r="BE778" s="1" t="s">
        <v>74</v>
      </c>
      <c r="BF778" s="1" t="s">
        <v>74</v>
      </c>
      <c r="BG778" s="1" t="s">
        <v>74</v>
      </c>
      <c r="BH778" s="1" t="s">
        <v>74</v>
      </c>
      <c r="BI778" s="1" t="s">
        <v>74</v>
      </c>
      <c r="BJ778" s="1" t="s">
        <v>74</v>
      </c>
      <c r="BK778" s="1" t="s">
        <v>74</v>
      </c>
      <c r="BL778" s="1" t="s">
        <v>74</v>
      </c>
      <c r="BM778" s="1" t="s">
        <v>74</v>
      </c>
      <c r="BN778" s="1" t="s">
        <v>74</v>
      </c>
      <c r="BO778" s="1" t="s">
        <v>74</v>
      </c>
      <c r="BP778" s="1" t="s">
        <v>74</v>
      </c>
      <c r="BQ778" s="1" t="s">
        <v>74</v>
      </c>
      <c r="BR778" s="1" t="s">
        <v>74</v>
      </c>
      <c r="BS778" s="1" t="s">
        <v>7329</v>
      </c>
      <c r="BT778" s="1" t="str">
        <f>HYPERLINK("https%3A%2F%2Fwww.webofscience.com%2Fwos%2Fwoscc%2Ffull-record%2FWOS:000170137700004","View Full Record in Web of Science")</f>
        <v>View Full Record in Web of Science</v>
      </c>
    </row>
    <row r="779" ht="12.75" customHeight="1">
      <c r="A779" s="1" t="s">
        <v>72</v>
      </c>
      <c r="B779" s="1" t="s">
        <v>7330</v>
      </c>
      <c r="C779" s="1" t="s">
        <v>74</v>
      </c>
      <c r="D779" s="1" t="s">
        <v>74</v>
      </c>
      <c r="E779" s="1" t="s">
        <v>74</v>
      </c>
      <c r="F779" s="1" t="s">
        <v>7330</v>
      </c>
      <c r="G779" s="1" t="s">
        <v>74</v>
      </c>
      <c r="H779" s="1" t="s">
        <v>74</v>
      </c>
      <c r="I779" s="1" t="s">
        <v>7331</v>
      </c>
      <c r="J779" s="1" t="s">
        <v>2042</v>
      </c>
      <c r="K779" s="1" t="s">
        <v>74</v>
      </c>
      <c r="L779" s="1" t="s">
        <v>74</v>
      </c>
      <c r="M779" s="1" t="s">
        <v>74</v>
      </c>
      <c r="N779" s="1" t="s">
        <v>74</v>
      </c>
      <c r="O779" s="1" t="s">
        <v>74</v>
      </c>
      <c r="P779" s="1" t="s">
        <v>74</v>
      </c>
      <c r="Q779" s="1" t="s">
        <v>74</v>
      </c>
      <c r="R779" s="1" t="s">
        <v>74</v>
      </c>
      <c r="S779" s="1" t="s">
        <v>74</v>
      </c>
      <c r="T779" s="1" t="s">
        <v>74</v>
      </c>
      <c r="U779" s="1" t="s">
        <v>74</v>
      </c>
      <c r="V779" s="1" t="s">
        <v>7332</v>
      </c>
      <c r="W779" s="1" t="s">
        <v>74</v>
      </c>
      <c r="X779" s="1" t="s">
        <v>74</v>
      </c>
      <c r="Y779" s="1" t="s">
        <v>74</v>
      </c>
      <c r="Z779" s="1" t="s">
        <v>74</v>
      </c>
      <c r="AA779" s="1" t="s">
        <v>7333</v>
      </c>
      <c r="AB779" s="1" t="s">
        <v>74</v>
      </c>
      <c r="AC779" s="1" t="s">
        <v>74</v>
      </c>
      <c r="AD779" s="1" t="s">
        <v>74</v>
      </c>
      <c r="AE779" s="1" t="s">
        <v>74</v>
      </c>
      <c r="AF779" s="1" t="s">
        <v>74</v>
      </c>
      <c r="AG779" s="1" t="s">
        <v>74</v>
      </c>
      <c r="AH779" s="1" t="s">
        <v>74</v>
      </c>
      <c r="AI779" s="1" t="s">
        <v>74</v>
      </c>
      <c r="AJ779" s="1" t="s">
        <v>74</v>
      </c>
      <c r="AK779" s="1" t="s">
        <v>74</v>
      </c>
      <c r="AL779" s="1" t="s">
        <v>74</v>
      </c>
      <c r="AM779" s="1" t="s">
        <v>74</v>
      </c>
      <c r="AN779" s="1" t="s">
        <v>74</v>
      </c>
      <c r="AO779" s="1" t="s">
        <v>2044</v>
      </c>
      <c r="AP779" s="1" t="s">
        <v>74</v>
      </c>
      <c r="AQ779" s="1" t="s">
        <v>74</v>
      </c>
      <c r="AR779" s="1" t="s">
        <v>74</v>
      </c>
      <c r="AS779" s="1" t="s">
        <v>74</v>
      </c>
      <c r="AT779" s="1" t="s">
        <v>2168</v>
      </c>
      <c r="AU779" s="1">
        <v>2000.0</v>
      </c>
      <c r="AV779" s="1">
        <v>381.0</v>
      </c>
      <c r="AW779" s="1">
        <v>2.0</v>
      </c>
      <c r="AX779" s="1" t="s">
        <v>74</v>
      </c>
      <c r="AY779" s="1" t="s">
        <v>74</v>
      </c>
      <c r="AZ779" s="1" t="s">
        <v>74</v>
      </c>
      <c r="BA779" s="1" t="s">
        <v>74</v>
      </c>
      <c r="BB779" s="1">
        <v>247.0</v>
      </c>
      <c r="BC779" s="1">
        <v>252.0</v>
      </c>
      <c r="BD779" s="1" t="s">
        <v>74</v>
      </c>
      <c r="BE779" s="1" t="s">
        <v>7334</v>
      </c>
      <c r="BF779" s="2" t="str">
        <f>HYPERLINK("http://dx.doi.org/10.1006/abbi.2000.1963","http://dx.doi.org/10.1006/abbi.2000.1963")</f>
        <v>http://dx.doi.org/10.1006/abbi.2000.1963</v>
      </c>
      <c r="BG779" s="1" t="s">
        <v>74</v>
      </c>
      <c r="BH779" s="1" t="s">
        <v>74</v>
      </c>
      <c r="BI779" s="1" t="s">
        <v>74</v>
      </c>
      <c r="BJ779" s="1" t="s">
        <v>74</v>
      </c>
      <c r="BK779" s="1" t="s">
        <v>74</v>
      </c>
      <c r="BL779" s="1" t="s">
        <v>74</v>
      </c>
      <c r="BM779" s="1" t="s">
        <v>74</v>
      </c>
      <c r="BN779" s="1">
        <v>1.1032412E7</v>
      </c>
      <c r="BO779" s="1" t="s">
        <v>74</v>
      </c>
      <c r="BP779" s="1" t="s">
        <v>74</v>
      </c>
      <c r="BQ779" s="1" t="s">
        <v>74</v>
      </c>
      <c r="BR779" s="1" t="s">
        <v>74</v>
      </c>
      <c r="BS779" s="1" t="s">
        <v>7335</v>
      </c>
      <c r="BT779" s="1" t="str">
        <f>HYPERLINK("https%3A%2F%2Fwww.webofscience.com%2Fwos%2Fwoscc%2Ffull-record%2FWOS:000089557300009","View Full Record in Web of Science")</f>
        <v>View Full Record in Web of Science</v>
      </c>
    </row>
    <row r="780" ht="12.75" customHeight="1">
      <c r="A780" s="1" t="s">
        <v>72</v>
      </c>
      <c r="B780" s="1" t="s">
        <v>7336</v>
      </c>
      <c r="C780" s="1" t="s">
        <v>74</v>
      </c>
      <c r="D780" s="1" t="s">
        <v>74</v>
      </c>
      <c r="E780" s="1" t="s">
        <v>74</v>
      </c>
      <c r="F780" s="1" t="s">
        <v>7336</v>
      </c>
      <c r="G780" s="1" t="s">
        <v>74</v>
      </c>
      <c r="H780" s="1" t="s">
        <v>74</v>
      </c>
      <c r="I780" s="1" t="s">
        <v>7337</v>
      </c>
      <c r="J780" s="1" t="s">
        <v>2065</v>
      </c>
      <c r="K780" s="1" t="s">
        <v>74</v>
      </c>
      <c r="L780" s="1" t="s">
        <v>74</v>
      </c>
      <c r="M780" s="1" t="s">
        <v>74</v>
      </c>
      <c r="N780" s="1" t="s">
        <v>74</v>
      </c>
      <c r="O780" s="1" t="s">
        <v>74</v>
      </c>
      <c r="P780" s="1" t="s">
        <v>74</v>
      </c>
      <c r="Q780" s="1" t="s">
        <v>74</v>
      </c>
      <c r="R780" s="1" t="s">
        <v>74</v>
      </c>
      <c r="S780" s="1" t="s">
        <v>74</v>
      </c>
      <c r="T780" s="1" t="s">
        <v>74</v>
      </c>
      <c r="U780" s="1" t="s">
        <v>74</v>
      </c>
      <c r="V780" s="1" t="s">
        <v>7338</v>
      </c>
      <c r="W780" s="1" t="s">
        <v>74</v>
      </c>
      <c r="X780" s="1" t="s">
        <v>74</v>
      </c>
      <c r="Y780" s="1" t="s">
        <v>74</v>
      </c>
      <c r="Z780" s="1" t="s">
        <v>74</v>
      </c>
      <c r="AA780" s="1" t="s">
        <v>7339</v>
      </c>
      <c r="AB780" s="1" t="s">
        <v>7340</v>
      </c>
      <c r="AC780" s="1" t="s">
        <v>74</v>
      </c>
      <c r="AD780" s="1" t="s">
        <v>74</v>
      </c>
      <c r="AE780" s="1" t="s">
        <v>74</v>
      </c>
      <c r="AF780" s="1" t="s">
        <v>74</v>
      </c>
      <c r="AG780" s="1" t="s">
        <v>74</v>
      </c>
      <c r="AH780" s="1" t="s">
        <v>74</v>
      </c>
      <c r="AI780" s="1" t="s">
        <v>74</v>
      </c>
      <c r="AJ780" s="1" t="s">
        <v>74</v>
      </c>
      <c r="AK780" s="1" t="s">
        <v>74</v>
      </c>
      <c r="AL780" s="1" t="s">
        <v>74</v>
      </c>
      <c r="AM780" s="1" t="s">
        <v>74</v>
      </c>
      <c r="AN780" s="1" t="s">
        <v>74</v>
      </c>
      <c r="AO780" s="1" t="s">
        <v>2780</v>
      </c>
      <c r="AP780" s="1" t="s">
        <v>7341</v>
      </c>
      <c r="AQ780" s="1" t="s">
        <v>74</v>
      </c>
      <c r="AR780" s="1" t="s">
        <v>74</v>
      </c>
      <c r="AS780" s="1" t="s">
        <v>74</v>
      </c>
      <c r="AT780" s="1" t="s">
        <v>7342</v>
      </c>
      <c r="AU780" s="1">
        <v>1999.0</v>
      </c>
      <c r="AV780" s="1">
        <v>60.0</v>
      </c>
      <c r="AW780" s="1">
        <v>9.0</v>
      </c>
      <c r="AX780" s="1" t="s">
        <v>74</v>
      </c>
      <c r="AY780" s="1" t="s">
        <v>74</v>
      </c>
      <c r="AZ780" s="1" t="s">
        <v>74</v>
      </c>
      <c r="BA780" s="1" t="s">
        <v>74</v>
      </c>
      <c r="BB780" s="1">
        <v>6541.0</v>
      </c>
      <c r="BC780" s="1">
        <v>6544.0</v>
      </c>
      <c r="BD780" s="1" t="s">
        <v>74</v>
      </c>
      <c r="BE780" s="1" t="s">
        <v>7343</v>
      </c>
      <c r="BF780" s="2" t="str">
        <f>HYPERLINK("http://dx.doi.org/10.1103/PhysRevB.60.6541","http://dx.doi.org/10.1103/PhysRevB.60.6541")</f>
        <v>http://dx.doi.org/10.1103/PhysRevB.60.6541</v>
      </c>
      <c r="BG780" s="1" t="s">
        <v>74</v>
      </c>
      <c r="BH780" s="1" t="s">
        <v>74</v>
      </c>
      <c r="BI780" s="1" t="s">
        <v>74</v>
      </c>
      <c r="BJ780" s="1" t="s">
        <v>74</v>
      </c>
      <c r="BK780" s="1" t="s">
        <v>74</v>
      </c>
      <c r="BL780" s="1" t="s">
        <v>74</v>
      </c>
      <c r="BM780" s="1" t="s">
        <v>74</v>
      </c>
      <c r="BN780" s="1" t="s">
        <v>74</v>
      </c>
      <c r="BO780" s="1" t="s">
        <v>74</v>
      </c>
      <c r="BP780" s="1" t="s">
        <v>74</v>
      </c>
      <c r="BQ780" s="1" t="s">
        <v>74</v>
      </c>
      <c r="BR780" s="1" t="s">
        <v>74</v>
      </c>
      <c r="BS780" s="1" t="s">
        <v>7344</v>
      </c>
      <c r="BT780" s="1" t="str">
        <f>HYPERLINK("https%3A%2F%2Fwww.webofscience.com%2Fwos%2Fwoscc%2Ffull-record%2FWOS:000082570400069","View Full Record in Web of Science")</f>
        <v>View Full Record in Web of Science</v>
      </c>
    </row>
    <row r="781" ht="12.75" customHeight="1">
      <c r="A781" s="1" t="s">
        <v>72</v>
      </c>
      <c r="B781" s="1" t="s">
        <v>7345</v>
      </c>
      <c r="C781" s="1" t="s">
        <v>74</v>
      </c>
      <c r="D781" s="1" t="s">
        <v>74</v>
      </c>
      <c r="E781" s="1" t="s">
        <v>74</v>
      </c>
      <c r="F781" s="1" t="s">
        <v>7345</v>
      </c>
      <c r="G781" s="1" t="s">
        <v>74</v>
      </c>
      <c r="H781" s="1" t="s">
        <v>74</v>
      </c>
      <c r="I781" s="1" t="s">
        <v>7346</v>
      </c>
      <c r="J781" s="1" t="s">
        <v>7001</v>
      </c>
      <c r="K781" s="1" t="s">
        <v>74</v>
      </c>
      <c r="L781" s="1" t="s">
        <v>74</v>
      </c>
      <c r="M781" s="1" t="s">
        <v>74</v>
      </c>
      <c r="N781" s="1" t="s">
        <v>74</v>
      </c>
      <c r="O781" s="1" t="s">
        <v>74</v>
      </c>
      <c r="P781" s="1" t="s">
        <v>74</v>
      </c>
      <c r="Q781" s="1" t="s">
        <v>74</v>
      </c>
      <c r="R781" s="1" t="s">
        <v>74</v>
      </c>
      <c r="S781" s="1" t="s">
        <v>74</v>
      </c>
      <c r="T781" s="1" t="s">
        <v>74</v>
      </c>
      <c r="U781" s="1" t="s">
        <v>74</v>
      </c>
      <c r="V781" s="1" t="s">
        <v>7347</v>
      </c>
      <c r="W781" s="1" t="s">
        <v>74</v>
      </c>
      <c r="X781" s="1" t="s">
        <v>74</v>
      </c>
      <c r="Y781" s="1" t="s">
        <v>74</v>
      </c>
      <c r="Z781" s="1" t="s">
        <v>74</v>
      </c>
      <c r="AA781" s="1" t="s">
        <v>7348</v>
      </c>
      <c r="AB781" s="1" t="s">
        <v>74</v>
      </c>
      <c r="AC781" s="1" t="s">
        <v>74</v>
      </c>
      <c r="AD781" s="1" t="s">
        <v>74</v>
      </c>
      <c r="AE781" s="1" t="s">
        <v>74</v>
      </c>
      <c r="AF781" s="1" t="s">
        <v>74</v>
      </c>
      <c r="AG781" s="1" t="s">
        <v>74</v>
      </c>
      <c r="AH781" s="1" t="s">
        <v>74</v>
      </c>
      <c r="AI781" s="1" t="s">
        <v>74</v>
      </c>
      <c r="AJ781" s="1" t="s">
        <v>74</v>
      </c>
      <c r="AK781" s="1" t="s">
        <v>74</v>
      </c>
      <c r="AL781" s="1" t="s">
        <v>74</v>
      </c>
      <c r="AM781" s="1" t="s">
        <v>74</v>
      </c>
      <c r="AN781" s="1" t="s">
        <v>74</v>
      </c>
      <c r="AO781" s="1" t="s">
        <v>7002</v>
      </c>
      <c r="AP781" s="1" t="s">
        <v>74</v>
      </c>
      <c r="AQ781" s="1" t="s">
        <v>74</v>
      </c>
      <c r="AR781" s="1" t="s">
        <v>74</v>
      </c>
      <c r="AS781" s="1" t="s">
        <v>74</v>
      </c>
      <c r="AT781" s="1" t="s">
        <v>415</v>
      </c>
      <c r="AU781" s="1">
        <v>1990.0</v>
      </c>
      <c r="AV781" s="1">
        <v>23.0</v>
      </c>
      <c r="AW781" s="1">
        <v>4.0</v>
      </c>
      <c r="AX781" s="1" t="s">
        <v>74</v>
      </c>
      <c r="AY781" s="1" t="s">
        <v>74</v>
      </c>
      <c r="AZ781" s="1" t="s">
        <v>74</v>
      </c>
      <c r="BA781" s="1" t="s">
        <v>74</v>
      </c>
      <c r="BB781" s="1">
        <v>307.0</v>
      </c>
      <c r="BC781" s="1">
        <v>314.0</v>
      </c>
      <c r="BD781" s="1" t="s">
        <v>74</v>
      </c>
      <c r="BE781" s="1" t="s">
        <v>74</v>
      </c>
      <c r="BF781" s="1" t="s">
        <v>74</v>
      </c>
      <c r="BG781" s="1" t="s">
        <v>74</v>
      </c>
      <c r="BH781" s="1" t="s">
        <v>74</v>
      </c>
      <c r="BI781" s="1" t="s">
        <v>74</v>
      </c>
      <c r="BJ781" s="1" t="s">
        <v>74</v>
      </c>
      <c r="BK781" s="1" t="s">
        <v>74</v>
      </c>
      <c r="BL781" s="1" t="s">
        <v>74</v>
      </c>
      <c r="BM781" s="1" t="s">
        <v>74</v>
      </c>
      <c r="BN781" s="1">
        <v>2134310.0</v>
      </c>
      <c r="BO781" s="1" t="s">
        <v>74</v>
      </c>
      <c r="BP781" s="1" t="s">
        <v>74</v>
      </c>
      <c r="BQ781" s="1" t="s">
        <v>74</v>
      </c>
      <c r="BR781" s="1" t="s">
        <v>74</v>
      </c>
      <c r="BS781" s="1" t="s">
        <v>7349</v>
      </c>
      <c r="BT781" s="1" t="str">
        <f>HYPERLINK("https%3A%2F%2Fwww.webofscience.com%2Fwos%2Fwoscc%2Ffull-record%2FWOS:A1990GN77100005","View Full Record in Web of Science")</f>
        <v>View Full Record in Web of Science</v>
      </c>
    </row>
    <row r="782" ht="12.75" customHeight="1">
      <c r="A782" s="1" t="s">
        <v>72</v>
      </c>
      <c r="B782" s="1" t="s">
        <v>7350</v>
      </c>
      <c r="C782" s="1" t="s">
        <v>74</v>
      </c>
      <c r="D782" s="1" t="s">
        <v>74</v>
      </c>
      <c r="E782" s="1" t="s">
        <v>74</v>
      </c>
      <c r="F782" s="1" t="s">
        <v>7351</v>
      </c>
      <c r="G782" s="1" t="s">
        <v>74</v>
      </c>
      <c r="H782" s="1" t="s">
        <v>74</v>
      </c>
      <c r="I782" s="1" t="s">
        <v>7352</v>
      </c>
      <c r="J782" s="1" t="s">
        <v>7353</v>
      </c>
      <c r="K782" s="1" t="s">
        <v>74</v>
      </c>
      <c r="L782" s="1" t="s">
        <v>74</v>
      </c>
      <c r="M782" s="1" t="s">
        <v>74</v>
      </c>
      <c r="N782" s="1" t="s">
        <v>74</v>
      </c>
      <c r="O782" s="1" t="s">
        <v>74</v>
      </c>
      <c r="P782" s="1" t="s">
        <v>74</v>
      </c>
      <c r="Q782" s="1" t="s">
        <v>74</v>
      </c>
      <c r="R782" s="1" t="s">
        <v>74</v>
      </c>
      <c r="S782" s="1" t="s">
        <v>74</v>
      </c>
      <c r="T782" s="1" t="s">
        <v>74</v>
      </c>
      <c r="U782" s="1" t="s">
        <v>74</v>
      </c>
      <c r="V782" s="1" t="s">
        <v>7354</v>
      </c>
      <c r="W782" s="1" t="s">
        <v>74</v>
      </c>
      <c r="X782" s="1" t="s">
        <v>74</v>
      </c>
      <c r="Y782" s="1" t="s">
        <v>74</v>
      </c>
      <c r="Z782" s="1" t="s">
        <v>74</v>
      </c>
      <c r="AA782" s="1" t="s">
        <v>7355</v>
      </c>
      <c r="AB782" s="1" t="s">
        <v>7356</v>
      </c>
      <c r="AC782" s="1" t="s">
        <v>74</v>
      </c>
      <c r="AD782" s="1" t="s">
        <v>74</v>
      </c>
      <c r="AE782" s="1" t="s">
        <v>74</v>
      </c>
      <c r="AF782" s="1" t="s">
        <v>74</v>
      </c>
      <c r="AG782" s="1" t="s">
        <v>74</v>
      </c>
      <c r="AH782" s="1" t="s">
        <v>74</v>
      </c>
      <c r="AI782" s="1" t="s">
        <v>74</v>
      </c>
      <c r="AJ782" s="1" t="s">
        <v>74</v>
      </c>
      <c r="AK782" s="1" t="s">
        <v>74</v>
      </c>
      <c r="AL782" s="1" t="s">
        <v>74</v>
      </c>
      <c r="AM782" s="1" t="s">
        <v>74</v>
      </c>
      <c r="AN782" s="1" t="s">
        <v>74</v>
      </c>
      <c r="AO782" s="1" t="s">
        <v>7357</v>
      </c>
      <c r="AP782" s="1" t="s">
        <v>7358</v>
      </c>
      <c r="AQ782" s="1" t="s">
        <v>74</v>
      </c>
      <c r="AR782" s="1" t="s">
        <v>74</v>
      </c>
      <c r="AS782" s="1" t="s">
        <v>74</v>
      </c>
      <c r="AT782" s="1" t="s">
        <v>7359</v>
      </c>
      <c r="AU782" s="1">
        <v>2024.0</v>
      </c>
      <c r="AV782" s="1">
        <v>24.0</v>
      </c>
      <c r="AW782" s="1">
        <v>26.0</v>
      </c>
      <c r="AX782" s="1" t="s">
        <v>74</v>
      </c>
      <c r="AY782" s="1" t="s">
        <v>74</v>
      </c>
      <c r="AZ782" s="1" t="s">
        <v>74</v>
      </c>
      <c r="BA782" s="1" t="s">
        <v>74</v>
      </c>
      <c r="BB782" s="1">
        <v>7911.0</v>
      </c>
      <c r="BC782" s="1">
        <v>7918.0</v>
      </c>
      <c r="BD782" s="1" t="s">
        <v>74</v>
      </c>
      <c r="BE782" s="1" t="s">
        <v>7360</v>
      </c>
      <c r="BF782" s="2" t="str">
        <f>HYPERLINK("http://dx.doi.org/10.1021/acs.nanolett.4c01146","http://dx.doi.org/10.1021/acs.nanolett.4c01146")</f>
        <v>http://dx.doi.org/10.1021/acs.nanolett.4c01146</v>
      </c>
      <c r="BG782" s="1" t="s">
        <v>74</v>
      </c>
      <c r="BH782" s="1" t="s">
        <v>5094</v>
      </c>
      <c r="BI782" s="1" t="s">
        <v>74</v>
      </c>
      <c r="BJ782" s="1" t="s">
        <v>74</v>
      </c>
      <c r="BK782" s="1" t="s">
        <v>74</v>
      </c>
      <c r="BL782" s="1" t="s">
        <v>74</v>
      </c>
      <c r="BM782" s="1" t="s">
        <v>74</v>
      </c>
      <c r="BN782" s="1">
        <v>3.8889449E7</v>
      </c>
      <c r="BO782" s="1" t="s">
        <v>74</v>
      </c>
      <c r="BP782" s="1" t="s">
        <v>74</v>
      </c>
      <c r="BQ782" s="1" t="s">
        <v>74</v>
      </c>
      <c r="BR782" s="1" t="s">
        <v>74</v>
      </c>
      <c r="BS782" s="1" t="s">
        <v>7361</v>
      </c>
      <c r="BT782" s="1" t="str">
        <f>HYPERLINK("https%3A%2F%2Fwww.webofscience.com%2Fwos%2Fwoscc%2Ffull-record%2FWOS:001251179700001","View Full Record in Web of Science")</f>
        <v>View Full Record in Web of Science</v>
      </c>
    </row>
    <row r="783" ht="12.75" customHeight="1">
      <c r="A783" s="1" t="s">
        <v>72</v>
      </c>
      <c r="B783" s="1" t="s">
        <v>7362</v>
      </c>
      <c r="C783" s="1" t="s">
        <v>74</v>
      </c>
      <c r="D783" s="1" t="s">
        <v>74</v>
      </c>
      <c r="E783" s="1" t="s">
        <v>74</v>
      </c>
      <c r="F783" s="1" t="s">
        <v>7363</v>
      </c>
      <c r="G783" s="1" t="s">
        <v>74</v>
      </c>
      <c r="H783" s="1" t="s">
        <v>74</v>
      </c>
      <c r="I783" s="1" t="s">
        <v>7364</v>
      </c>
      <c r="J783" s="1" t="s">
        <v>7365</v>
      </c>
      <c r="K783" s="1" t="s">
        <v>74</v>
      </c>
      <c r="L783" s="1" t="s">
        <v>74</v>
      </c>
      <c r="M783" s="1" t="s">
        <v>74</v>
      </c>
      <c r="N783" s="1" t="s">
        <v>74</v>
      </c>
      <c r="O783" s="1" t="s">
        <v>74</v>
      </c>
      <c r="P783" s="1" t="s">
        <v>74</v>
      </c>
      <c r="Q783" s="1" t="s">
        <v>74</v>
      </c>
      <c r="R783" s="1" t="s">
        <v>74</v>
      </c>
      <c r="S783" s="1" t="s">
        <v>74</v>
      </c>
      <c r="T783" s="1" t="s">
        <v>74</v>
      </c>
      <c r="U783" s="1" t="s">
        <v>74</v>
      </c>
      <c r="V783" s="1" t="s">
        <v>7366</v>
      </c>
      <c r="W783" s="1" t="s">
        <v>74</v>
      </c>
      <c r="X783" s="1" t="s">
        <v>74</v>
      </c>
      <c r="Y783" s="1" t="s">
        <v>74</v>
      </c>
      <c r="Z783" s="1" t="s">
        <v>74</v>
      </c>
      <c r="AA783" s="1" t="s">
        <v>7367</v>
      </c>
      <c r="AB783" s="1" t="s">
        <v>7368</v>
      </c>
      <c r="AC783" s="1" t="s">
        <v>74</v>
      </c>
      <c r="AD783" s="1" t="s">
        <v>74</v>
      </c>
      <c r="AE783" s="1" t="s">
        <v>74</v>
      </c>
      <c r="AF783" s="1" t="s">
        <v>74</v>
      </c>
      <c r="AG783" s="1" t="s">
        <v>74</v>
      </c>
      <c r="AH783" s="1" t="s">
        <v>74</v>
      </c>
      <c r="AI783" s="1" t="s">
        <v>74</v>
      </c>
      <c r="AJ783" s="1" t="s">
        <v>74</v>
      </c>
      <c r="AK783" s="1" t="s">
        <v>74</v>
      </c>
      <c r="AL783" s="1" t="s">
        <v>74</v>
      </c>
      <c r="AM783" s="1" t="s">
        <v>74</v>
      </c>
      <c r="AN783" s="1" t="s">
        <v>74</v>
      </c>
      <c r="AO783" s="1" t="s">
        <v>7369</v>
      </c>
      <c r="AP783" s="1" t="s">
        <v>7370</v>
      </c>
      <c r="AQ783" s="1" t="s">
        <v>74</v>
      </c>
      <c r="AR783" s="1" t="s">
        <v>74</v>
      </c>
      <c r="AS783" s="1" t="s">
        <v>74</v>
      </c>
      <c r="AT783" s="1" t="s">
        <v>421</v>
      </c>
      <c r="AU783" s="1">
        <v>2022.0</v>
      </c>
      <c r="AV783" s="1">
        <v>37.0</v>
      </c>
      <c r="AW783" s="1">
        <v>104.0</v>
      </c>
      <c r="AX783" s="1" t="s">
        <v>74</v>
      </c>
      <c r="AY783" s="1" t="s">
        <v>74</v>
      </c>
      <c r="AZ783" s="1" t="s">
        <v>74</v>
      </c>
      <c r="BA783" s="1" t="s">
        <v>74</v>
      </c>
      <c r="BB783" s="1">
        <v>253.0</v>
      </c>
      <c r="BC783" s="1">
        <v>275.0</v>
      </c>
      <c r="BD783" s="1" t="s">
        <v>74</v>
      </c>
      <c r="BE783" s="1" t="s">
        <v>7371</v>
      </c>
      <c r="BF783" s="2" t="str">
        <f>HYPERLINK("http://dx.doi.org/10.5354/0718-8358.2022.63446","http://dx.doi.org/10.5354/0718-8358.2022.63446")</f>
        <v>http://dx.doi.org/10.5354/0718-8358.2022.63446</v>
      </c>
      <c r="BG783" s="1" t="s">
        <v>74</v>
      </c>
      <c r="BH783" s="1" t="s">
        <v>74</v>
      </c>
      <c r="BI783" s="1" t="s">
        <v>74</v>
      </c>
      <c r="BJ783" s="1" t="s">
        <v>74</v>
      </c>
      <c r="BK783" s="1" t="s">
        <v>74</v>
      </c>
      <c r="BL783" s="1" t="s">
        <v>74</v>
      </c>
      <c r="BM783" s="1" t="s">
        <v>74</v>
      </c>
      <c r="BN783" s="1" t="s">
        <v>74</v>
      </c>
      <c r="BO783" s="1" t="s">
        <v>74</v>
      </c>
      <c r="BP783" s="1" t="s">
        <v>74</v>
      </c>
      <c r="BQ783" s="1" t="s">
        <v>74</v>
      </c>
      <c r="BR783" s="1" t="s">
        <v>74</v>
      </c>
      <c r="BS783" s="1" t="s">
        <v>7372</v>
      </c>
      <c r="BT783" s="1" t="str">
        <f>HYPERLINK("https%3A%2F%2Fwww.webofscience.com%2Fwos%2Fwoscc%2Ffull-record%2FWOS:000812366600011","View Full Record in Web of Science")</f>
        <v>View Full Record in Web of Science</v>
      </c>
    </row>
    <row r="784" ht="12.75" customHeight="1">
      <c r="A784" s="1" t="s">
        <v>147</v>
      </c>
      <c r="B784" s="1" t="s">
        <v>7373</v>
      </c>
      <c r="C784" s="1" t="s">
        <v>74</v>
      </c>
      <c r="D784" s="1" t="s">
        <v>74</v>
      </c>
      <c r="E784" s="1" t="s">
        <v>74</v>
      </c>
      <c r="F784" s="1" t="s">
        <v>7374</v>
      </c>
      <c r="G784" s="1" t="s">
        <v>74</v>
      </c>
      <c r="H784" s="1" t="s">
        <v>74</v>
      </c>
      <c r="I784" s="1" t="s">
        <v>7375</v>
      </c>
      <c r="J784" s="1" t="s">
        <v>7376</v>
      </c>
      <c r="K784" s="1" t="s">
        <v>74</v>
      </c>
      <c r="L784" s="1" t="s">
        <v>74</v>
      </c>
      <c r="M784" s="1" t="s">
        <v>74</v>
      </c>
      <c r="N784" s="1" t="s">
        <v>74</v>
      </c>
      <c r="O784" s="1" t="s">
        <v>7377</v>
      </c>
      <c r="P784" s="1" t="s">
        <v>7378</v>
      </c>
      <c r="Q784" s="1" t="s">
        <v>7379</v>
      </c>
      <c r="R784" s="1" t="s">
        <v>7380</v>
      </c>
      <c r="S784" s="1" t="s">
        <v>74</v>
      </c>
      <c r="T784" s="1" t="s">
        <v>74</v>
      </c>
      <c r="U784" s="1" t="s">
        <v>74</v>
      </c>
      <c r="V784" s="1" t="s">
        <v>7381</v>
      </c>
      <c r="W784" s="1" t="s">
        <v>74</v>
      </c>
      <c r="X784" s="1" t="s">
        <v>74</v>
      </c>
      <c r="Y784" s="1" t="s">
        <v>74</v>
      </c>
      <c r="Z784" s="1" t="s">
        <v>74</v>
      </c>
      <c r="AA784" s="1" t="s">
        <v>7382</v>
      </c>
      <c r="AB784" s="1" t="s">
        <v>7383</v>
      </c>
      <c r="AC784" s="1" t="s">
        <v>74</v>
      </c>
      <c r="AD784" s="1" t="s">
        <v>74</v>
      </c>
      <c r="AE784" s="1" t="s">
        <v>74</v>
      </c>
      <c r="AF784" s="1" t="s">
        <v>74</v>
      </c>
      <c r="AG784" s="1" t="s">
        <v>74</v>
      </c>
      <c r="AH784" s="1" t="s">
        <v>74</v>
      </c>
      <c r="AI784" s="1" t="s">
        <v>74</v>
      </c>
      <c r="AJ784" s="1" t="s">
        <v>74</v>
      </c>
      <c r="AK784" s="1" t="s">
        <v>74</v>
      </c>
      <c r="AL784" s="1" t="s">
        <v>74</v>
      </c>
      <c r="AM784" s="1" t="s">
        <v>74</v>
      </c>
      <c r="AN784" s="1" t="s">
        <v>74</v>
      </c>
      <c r="AO784" s="1" t="s">
        <v>7384</v>
      </c>
      <c r="AP784" s="1" t="s">
        <v>74</v>
      </c>
      <c r="AQ784" s="1" t="s">
        <v>74</v>
      </c>
      <c r="AR784" s="1" t="s">
        <v>74</v>
      </c>
      <c r="AS784" s="1" t="s">
        <v>74</v>
      </c>
      <c r="AT784" s="1" t="s">
        <v>74</v>
      </c>
      <c r="AU784" s="1">
        <v>2022.0</v>
      </c>
      <c r="AV784" s="1">
        <v>55.0</v>
      </c>
      <c r="AW784" s="1">
        <v>34.0</v>
      </c>
      <c r="AX784" s="1" t="s">
        <v>74</v>
      </c>
      <c r="AY784" s="1" t="s">
        <v>74</v>
      </c>
      <c r="AZ784" s="1" t="s">
        <v>74</v>
      </c>
      <c r="BA784" s="1" t="s">
        <v>74</v>
      </c>
      <c r="BB784" s="1">
        <v>150.0</v>
      </c>
      <c r="BC784" s="1">
        <v>155.0</v>
      </c>
      <c r="BD784" s="1" t="s">
        <v>74</v>
      </c>
      <c r="BE784" s="1" t="s">
        <v>7385</v>
      </c>
      <c r="BF784" s="2" t="str">
        <f>HYPERLINK("http://dx.doi.org/10.1016/j.ifacol.2022.11.323","http://dx.doi.org/10.1016/j.ifacol.2022.11.323")</f>
        <v>http://dx.doi.org/10.1016/j.ifacol.2022.11.323</v>
      </c>
      <c r="BG784" s="1" t="s">
        <v>74</v>
      </c>
      <c r="BH784" s="1" t="s">
        <v>74</v>
      </c>
      <c r="BI784" s="1" t="s">
        <v>74</v>
      </c>
      <c r="BJ784" s="1" t="s">
        <v>74</v>
      </c>
      <c r="BK784" s="1" t="s">
        <v>74</v>
      </c>
      <c r="BL784" s="1" t="s">
        <v>74</v>
      </c>
      <c r="BM784" s="1" t="s">
        <v>74</v>
      </c>
      <c r="BN784" s="1" t="s">
        <v>74</v>
      </c>
      <c r="BO784" s="1" t="s">
        <v>74</v>
      </c>
      <c r="BP784" s="1" t="s">
        <v>74</v>
      </c>
      <c r="BQ784" s="1" t="s">
        <v>74</v>
      </c>
      <c r="BR784" s="1" t="s">
        <v>74</v>
      </c>
      <c r="BS784" s="1" t="s">
        <v>7386</v>
      </c>
      <c r="BT784" s="1" t="str">
        <f>HYPERLINK("https%3A%2F%2Fwww.webofscience.com%2Fwos%2Fwoscc%2Ffull-record%2FWOS:000903687800025","View Full Record in Web of Science")</f>
        <v>View Full Record in Web of Science</v>
      </c>
    </row>
    <row r="785" ht="12.75" customHeight="1">
      <c r="A785" s="1" t="s">
        <v>72</v>
      </c>
      <c r="B785" s="1" t="s">
        <v>7387</v>
      </c>
      <c r="C785" s="1" t="s">
        <v>74</v>
      </c>
      <c r="D785" s="1" t="s">
        <v>74</v>
      </c>
      <c r="E785" s="1" t="s">
        <v>74</v>
      </c>
      <c r="F785" s="1" t="s">
        <v>7388</v>
      </c>
      <c r="G785" s="1" t="s">
        <v>74</v>
      </c>
      <c r="H785" s="1" t="s">
        <v>74</v>
      </c>
      <c r="I785" s="1" t="s">
        <v>7389</v>
      </c>
      <c r="J785" s="1" t="s">
        <v>7390</v>
      </c>
      <c r="K785" s="1" t="s">
        <v>74</v>
      </c>
      <c r="L785" s="1" t="s">
        <v>74</v>
      </c>
      <c r="M785" s="1" t="s">
        <v>74</v>
      </c>
      <c r="N785" s="1" t="s">
        <v>74</v>
      </c>
      <c r="O785" s="1" t="s">
        <v>74</v>
      </c>
      <c r="P785" s="1" t="s">
        <v>74</v>
      </c>
      <c r="Q785" s="1" t="s">
        <v>74</v>
      </c>
      <c r="R785" s="1" t="s">
        <v>74</v>
      </c>
      <c r="S785" s="1" t="s">
        <v>74</v>
      </c>
      <c r="T785" s="1" t="s">
        <v>74</v>
      </c>
      <c r="U785" s="1" t="s">
        <v>74</v>
      </c>
      <c r="V785" s="1" t="s">
        <v>7391</v>
      </c>
      <c r="W785" s="1" t="s">
        <v>74</v>
      </c>
      <c r="X785" s="1" t="s">
        <v>74</v>
      </c>
      <c r="Y785" s="1" t="s">
        <v>74</v>
      </c>
      <c r="Z785" s="1" t="s">
        <v>74</v>
      </c>
      <c r="AA785" s="1" t="s">
        <v>3960</v>
      </c>
      <c r="AB785" s="1" t="s">
        <v>7392</v>
      </c>
      <c r="AC785" s="1" t="s">
        <v>74</v>
      </c>
      <c r="AD785" s="1" t="s">
        <v>74</v>
      </c>
      <c r="AE785" s="1" t="s">
        <v>74</v>
      </c>
      <c r="AF785" s="1" t="s">
        <v>74</v>
      </c>
      <c r="AG785" s="1" t="s">
        <v>74</v>
      </c>
      <c r="AH785" s="1" t="s">
        <v>74</v>
      </c>
      <c r="AI785" s="1" t="s">
        <v>74</v>
      </c>
      <c r="AJ785" s="1" t="s">
        <v>74</v>
      </c>
      <c r="AK785" s="1" t="s">
        <v>74</v>
      </c>
      <c r="AL785" s="1" t="s">
        <v>74</v>
      </c>
      <c r="AM785" s="1" t="s">
        <v>74</v>
      </c>
      <c r="AN785" s="1" t="s">
        <v>74</v>
      </c>
      <c r="AO785" s="1" t="s">
        <v>74</v>
      </c>
      <c r="AP785" s="1" t="s">
        <v>7393</v>
      </c>
      <c r="AQ785" s="1" t="s">
        <v>74</v>
      </c>
      <c r="AR785" s="1" t="s">
        <v>74</v>
      </c>
      <c r="AS785" s="1" t="s">
        <v>74</v>
      </c>
      <c r="AT785" s="1" t="s">
        <v>144</v>
      </c>
      <c r="AU785" s="1">
        <v>2021.0</v>
      </c>
      <c r="AV785" s="1">
        <v>9.0</v>
      </c>
      <c r="AW785" s="1">
        <v>3.0</v>
      </c>
      <c r="AX785" s="1" t="s">
        <v>74</v>
      </c>
      <c r="AY785" s="1" t="s">
        <v>74</v>
      </c>
      <c r="AZ785" s="1" t="s">
        <v>74</v>
      </c>
      <c r="BA785" s="1" t="s">
        <v>74</v>
      </c>
      <c r="BB785" s="1" t="s">
        <v>74</v>
      </c>
      <c r="BC785" s="1" t="s">
        <v>74</v>
      </c>
      <c r="BD785" s="1">
        <v>525.0</v>
      </c>
      <c r="BE785" s="1" t="s">
        <v>7394</v>
      </c>
      <c r="BF785" s="2" t="str">
        <f>HYPERLINK("http://dx.doi.org/10.3390/pr9030525","http://dx.doi.org/10.3390/pr9030525")</f>
        <v>http://dx.doi.org/10.3390/pr9030525</v>
      </c>
      <c r="BG785" s="1" t="s">
        <v>74</v>
      </c>
      <c r="BH785" s="1" t="s">
        <v>74</v>
      </c>
      <c r="BI785" s="1" t="s">
        <v>74</v>
      </c>
      <c r="BJ785" s="1" t="s">
        <v>74</v>
      </c>
      <c r="BK785" s="1" t="s">
        <v>74</v>
      </c>
      <c r="BL785" s="1" t="s">
        <v>74</v>
      </c>
      <c r="BM785" s="1" t="s">
        <v>74</v>
      </c>
      <c r="BN785" s="1" t="s">
        <v>74</v>
      </c>
      <c r="BO785" s="1" t="s">
        <v>74</v>
      </c>
      <c r="BP785" s="1" t="s">
        <v>74</v>
      </c>
      <c r="BQ785" s="1" t="s">
        <v>74</v>
      </c>
      <c r="BR785" s="1" t="s">
        <v>74</v>
      </c>
      <c r="BS785" s="1" t="s">
        <v>7395</v>
      </c>
      <c r="BT785" s="1" t="str">
        <f>HYPERLINK("https%3A%2F%2Fwww.webofscience.com%2Fwos%2Fwoscc%2Ffull-record%2FWOS:000634201700001","View Full Record in Web of Science")</f>
        <v>View Full Record in Web of Science</v>
      </c>
    </row>
    <row r="786" ht="12.75" customHeight="1">
      <c r="A786" s="1" t="s">
        <v>147</v>
      </c>
      <c r="B786" s="1" t="s">
        <v>7396</v>
      </c>
      <c r="C786" s="1" t="s">
        <v>74</v>
      </c>
      <c r="D786" s="1" t="s">
        <v>74</v>
      </c>
      <c r="E786" s="1" t="s">
        <v>793</v>
      </c>
      <c r="F786" s="1" t="s">
        <v>7397</v>
      </c>
      <c r="G786" s="1" t="s">
        <v>74</v>
      </c>
      <c r="H786" s="1" t="s">
        <v>74</v>
      </c>
      <c r="I786" s="1" t="s">
        <v>7398</v>
      </c>
      <c r="J786" s="1" t="s">
        <v>3769</v>
      </c>
      <c r="K786" s="1" t="s">
        <v>74</v>
      </c>
      <c r="L786" s="1" t="s">
        <v>74</v>
      </c>
      <c r="M786" s="1" t="s">
        <v>74</v>
      </c>
      <c r="N786" s="1" t="s">
        <v>74</v>
      </c>
      <c r="O786" s="1" t="s">
        <v>3770</v>
      </c>
      <c r="P786" s="1" t="s">
        <v>3771</v>
      </c>
      <c r="Q786" s="1" t="s">
        <v>1499</v>
      </c>
      <c r="R786" s="1" t="s">
        <v>3772</v>
      </c>
      <c r="S786" s="1" t="s">
        <v>74</v>
      </c>
      <c r="T786" s="1" t="s">
        <v>74</v>
      </c>
      <c r="U786" s="1" t="s">
        <v>74</v>
      </c>
      <c r="V786" s="1" t="s">
        <v>7399</v>
      </c>
      <c r="W786" s="1" t="s">
        <v>74</v>
      </c>
      <c r="X786" s="1" t="s">
        <v>74</v>
      </c>
      <c r="Y786" s="1" t="s">
        <v>74</v>
      </c>
      <c r="Z786" s="1" t="s">
        <v>74</v>
      </c>
      <c r="AA786" s="1" t="s">
        <v>7400</v>
      </c>
      <c r="AB786" s="1" t="s">
        <v>230</v>
      </c>
      <c r="AC786" s="1" t="s">
        <v>74</v>
      </c>
      <c r="AD786" s="1" t="s">
        <v>74</v>
      </c>
      <c r="AE786" s="1" t="s">
        <v>74</v>
      </c>
      <c r="AF786" s="1" t="s">
        <v>74</v>
      </c>
      <c r="AG786" s="1" t="s">
        <v>74</v>
      </c>
      <c r="AH786" s="1" t="s">
        <v>74</v>
      </c>
      <c r="AI786" s="1" t="s">
        <v>74</v>
      </c>
      <c r="AJ786" s="1" t="s">
        <v>74</v>
      </c>
      <c r="AK786" s="1" t="s">
        <v>74</v>
      </c>
      <c r="AL786" s="1" t="s">
        <v>74</v>
      </c>
      <c r="AM786" s="1" t="s">
        <v>74</v>
      </c>
      <c r="AN786" s="1" t="s">
        <v>74</v>
      </c>
      <c r="AO786" s="1" t="s">
        <v>74</v>
      </c>
      <c r="AP786" s="1" t="s">
        <v>74</v>
      </c>
      <c r="AQ786" s="1" t="s">
        <v>3776</v>
      </c>
      <c r="AR786" s="1" t="s">
        <v>74</v>
      </c>
      <c r="AS786" s="1" t="s">
        <v>74</v>
      </c>
      <c r="AT786" s="1" t="s">
        <v>74</v>
      </c>
      <c r="AU786" s="1">
        <v>2021.0</v>
      </c>
      <c r="AV786" s="1" t="s">
        <v>74</v>
      </c>
      <c r="AW786" s="1" t="s">
        <v>74</v>
      </c>
      <c r="AX786" s="1" t="s">
        <v>74</v>
      </c>
      <c r="AY786" s="1" t="s">
        <v>74</v>
      </c>
      <c r="AZ786" s="1" t="s">
        <v>74</v>
      </c>
      <c r="BA786" s="1" t="s">
        <v>74</v>
      </c>
      <c r="BB786" s="1" t="s">
        <v>74</v>
      </c>
      <c r="BC786" s="1" t="s">
        <v>74</v>
      </c>
      <c r="BD786" s="1" t="s">
        <v>74</v>
      </c>
      <c r="BE786" s="1" t="s">
        <v>7401</v>
      </c>
      <c r="BF786" s="2" t="str">
        <f>HYPERLINK("http://dx.doi.org/10.1109/ICAACCA51523.2021.9465127","http://dx.doi.org/10.1109/ICAACCA51523.2021.9465127")</f>
        <v>http://dx.doi.org/10.1109/ICAACCA51523.2021.9465127</v>
      </c>
      <c r="BG786" s="1" t="s">
        <v>74</v>
      </c>
      <c r="BH786" s="1" t="s">
        <v>74</v>
      </c>
      <c r="BI786" s="1" t="s">
        <v>74</v>
      </c>
      <c r="BJ786" s="1" t="s">
        <v>74</v>
      </c>
      <c r="BK786" s="1" t="s">
        <v>74</v>
      </c>
      <c r="BL786" s="1" t="s">
        <v>74</v>
      </c>
      <c r="BM786" s="1" t="s">
        <v>74</v>
      </c>
      <c r="BN786" s="1" t="s">
        <v>74</v>
      </c>
      <c r="BO786" s="1" t="s">
        <v>74</v>
      </c>
      <c r="BP786" s="1" t="s">
        <v>74</v>
      </c>
      <c r="BQ786" s="1" t="s">
        <v>74</v>
      </c>
      <c r="BR786" s="1" t="s">
        <v>74</v>
      </c>
      <c r="BS786" s="1" t="s">
        <v>7402</v>
      </c>
      <c r="BT786" s="1" t="str">
        <f>HYPERLINK("https%3A%2F%2Fwww.webofscience.com%2Fwos%2Fwoscc%2Ffull-record%2FWOS:000855764500019","View Full Record in Web of Science")</f>
        <v>View Full Record in Web of Science</v>
      </c>
    </row>
    <row r="787" ht="12.75" customHeight="1">
      <c r="A787" s="1" t="s">
        <v>72</v>
      </c>
      <c r="B787" s="1" t="s">
        <v>7403</v>
      </c>
      <c r="C787" s="1" t="s">
        <v>74</v>
      </c>
      <c r="D787" s="1" t="s">
        <v>74</v>
      </c>
      <c r="E787" s="1" t="s">
        <v>74</v>
      </c>
      <c r="F787" s="1" t="s">
        <v>7404</v>
      </c>
      <c r="G787" s="1" t="s">
        <v>74</v>
      </c>
      <c r="H787" s="1" t="s">
        <v>74</v>
      </c>
      <c r="I787" s="1" t="s">
        <v>7405</v>
      </c>
      <c r="J787" s="1" t="s">
        <v>4671</v>
      </c>
      <c r="K787" s="1" t="s">
        <v>74</v>
      </c>
      <c r="L787" s="1" t="s">
        <v>74</v>
      </c>
      <c r="M787" s="1" t="s">
        <v>74</v>
      </c>
      <c r="N787" s="1" t="s">
        <v>74</v>
      </c>
      <c r="O787" s="1" t="s">
        <v>74</v>
      </c>
      <c r="P787" s="1" t="s">
        <v>74</v>
      </c>
      <c r="Q787" s="1" t="s">
        <v>74</v>
      </c>
      <c r="R787" s="1" t="s">
        <v>74</v>
      </c>
      <c r="S787" s="1" t="s">
        <v>74</v>
      </c>
      <c r="T787" s="1" t="s">
        <v>74</v>
      </c>
      <c r="U787" s="1" t="s">
        <v>74</v>
      </c>
      <c r="V787" s="1" t="s">
        <v>7406</v>
      </c>
      <c r="W787" s="1" t="s">
        <v>74</v>
      </c>
      <c r="X787" s="1" t="s">
        <v>74</v>
      </c>
      <c r="Y787" s="1" t="s">
        <v>74</v>
      </c>
      <c r="Z787" s="1" t="s">
        <v>74</v>
      </c>
      <c r="AA787" s="1" t="s">
        <v>7407</v>
      </c>
      <c r="AB787" s="1" t="s">
        <v>74</v>
      </c>
      <c r="AC787" s="1" t="s">
        <v>74</v>
      </c>
      <c r="AD787" s="1" t="s">
        <v>74</v>
      </c>
      <c r="AE787" s="1" t="s">
        <v>74</v>
      </c>
      <c r="AF787" s="1" t="s">
        <v>74</v>
      </c>
      <c r="AG787" s="1" t="s">
        <v>74</v>
      </c>
      <c r="AH787" s="1" t="s">
        <v>74</v>
      </c>
      <c r="AI787" s="1" t="s">
        <v>74</v>
      </c>
      <c r="AJ787" s="1" t="s">
        <v>74</v>
      </c>
      <c r="AK787" s="1" t="s">
        <v>74</v>
      </c>
      <c r="AL787" s="1" t="s">
        <v>74</v>
      </c>
      <c r="AM787" s="1" t="s">
        <v>74</v>
      </c>
      <c r="AN787" s="1" t="s">
        <v>74</v>
      </c>
      <c r="AO787" s="1" t="s">
        <v>4675</v>
      </c>
      <c r="AP787" s="1" t="s">
        <v>4676</v>
      </c>
      <c r="AQ787" s="1" t="s">
        <v>74</v>
      </c>
      <c r="AR787" s="1" t="s">
        <v>74</v>
      </c>
      <c r="AS787" s="1" t="s">
        <v>74</v>
      </c>
      <c r="AT787" s="1" t="s">
        <v>363</v>
      </c>
      <c r="AU787" s="1">
        <v>2020.0</v>
      </c>
      <c r="AV787" s="1">
        <v>20.0</v>
      </c>
      <c r="AW787" s="1">
        <v>10.0</v>
      </c>
      <c r="AX787" s="1" t="s">
        <v>74</v>
      </c>
      <c r="AY787" s="1" t="s">
        <v>74</v>
      </c>
      <c r="AZ787" s="1" t="s">
        <v>74</v>
      </c>
      <c r="BA787" s="1" t="s">
        <v>74</v>
      </c>
      <c r="BB787" s="1">
        <v>2117.0</v>
      </c>
      <c r="BC787" s="1">
        <v>2127.0</v>
      </c>
      <c r="BD787" s="1" t="s">
        <v>74</v>
      </c>
      <c r="BE787" s="1" t="s">
        <v>7408</v>
      </c>
      <c r="BF787" s="2" t="str">
        <f>HYPERLINK("http://dx.doi.org/10.4209/aaqr.2018.08.0318","http://dx.doi.org/10.4209/aaqr.2018.08.0318")</f>
        <v>http://dx.doi.org/10.4209/aaqr.2018.08.0318</v>
      </c>
      <c r="BG787" s="1" t="s">
        <v>74</v>
      </c>
      <c r="BH787" s="1" t="s">
        <v>74</v>
      </c>
      <c r="BI787" s="1" t="s">
        <v>74</v>
      </c>
      <c r="BJ787" s="1" t="s">
        <v>74</v>
      </c>
      <c r="BK787" s="1" t="s">
        <v>74</v>
      </c>
      <c r="BL787" s="1" t="s">
        <v>74</v>
      </c>
      <c r="BM787" s="1" t="s">
        <v>74</v>
      </c>
      <c r="BN787" s="1" t="s">
        <v>74</v>
      </c>
      <c r="BO787" s="1" t="s">
        <v>74</v>
      </c>
      <c r="BP787" s="1" t="s">
        <v>74</v>
      </c>
      <c r="BQ787" s="1" t="s">
        <v>74</v>
      </c>
      <c r="BR787" s="1" t="s">
        <v>74</v>
      </c>
      <c r="BS787" s="1" t="s">
        <v>7409</v>
      </c>
      <c r="BT787" s="1" t="str">
        <f>HYPERLINK("https%3A%2F%2Fwww.webofscience.com%2Fwos%2Fwoscc%2Ffull-record%2FWOS:000580033700009","View Full Record in Web of Science")</f>
        <v>View Full Record in Web of Science</v>
      </c>
    </row>
    <row r="788" ht="12.75" customHeight="1">
      <c r="A788" s="1" t="s">
        <v>72</v>
      </c>
      <c r="B788" s="1" t="s">
        <v>7410</v>
      </c>
      <c r="C788" s="1" t="s">
        <v>74</v>
      </c>
      <c r="D788" s="1" t="s">
        <v>74</v>
      </c>
      <c r="E788" s="1" t="s">
        <v>74</v>
      </c>
      <c r="F788" s="1" t="s">
        <v>7411</v>
      </c>
      <c r="G788" s="1" t="s">
        <v>74</v>
      </c>
      <c r="H788" s="1" t="s">
        <v>74</v>
      </c>
      <c r="I788" s="1" t="s">
        <v>7412</v>
      </c>
      <c r="J788" s="1" t="s">
        <v>5181</v>
      </c>
      <c r="K788" s="1" t="s">
        <v>74</v>
      </c>
      <c r="L788" s="1" t="s">
        <v>74</v>
      </c>
      <c r="M788" s="1" t="s">
        <v>74</v>
      </c>
      <c r="N788" s="1" t="s">
        <v>74</v>
      </c>
      <c r="O788" s="1" t="s">
        <v>74</v>
      </c>
      <c r="P788" s="1" t="s">
        <v>74</v>
      </c>
      <c r="Q788" s="1" t="s">
        <v>74</v>
      </c>
      <c r="R788" s="1" t="s">
        <v>74</v>
      </c>
      <c r="S788" s="1" t="s">
        <v>74</v>
      </c>
      <c r="T788" s="1" t="s">
        <v>74</v>
      </c>
      <c r="U788" s="1" t="s">
        <v>74</v>
      </c>
      <c r="V788" s="1" t="s">
        <v>7413</v>
      </c>
      <c r="W788" s="1" t="s">
        <v>74</v>
      </c>
      <c r="X788" s="1" t="s">
        <v>74</v>
      </c>
      <c r="Y788" s="1" t="s">
        <v>74</v>
      </c>
      <c r="Z788" s="1" t="s">
        <v>74</v>
      </c>
      <c r="AA788" s="1" t="s">
        <v>7414</v>
      </c>
      <c r="AB788" s="1" t="s">
        <v>7415</v>
      </c>
      <c r="AC788" s="1" t="s">
        <v>74</v>
      </c>
      <c r="AD788" s="1" t="s">
        <v>74</v>
      </c>
      <c r="AE788" s="1" t="s">
        <v>74</v>
      </c>
      <c r="AF788" s="1" t="s">
        <v>74</v>
      </c>
      <c r="AG788" s="1" t="s">
        <v>74</v>
      </c>
      <c r="AH788" s="1" t="s">
        <v>74</v>
      </c>
      <c r="AI788" s="1" t="s">
        <v>74</v>
      </c>
      <c r="AJ788" s="1" t="s">
        <v>74</v>
      </c>
      <c r="AK788" s="1" t="s">
        <v>74</v>
      </c>
      <c r="AL788" s="1" t="s">
        <v>74</v>
      </c>
      <c r="AM788" s="1" t="s">
        <v>74</v>
      </c>
      <c r="AN788" s="1" t="s">
        <v>74</v>
      </c>
      <c r="AO788" s="1" t="s">
        <v>5185</v>
      </c>
      <c r="AP788" s="1" t="s">
        <v>74</v>
      </c>
      <c r="AQ788" s="1" t="s">
        <v>74</v>
      </c>
      <c r="AR788" s="1" t="s">
        <v>74</v>
      </c>
      <c r="AS788" s="1" t="s">
        <v>74</v>
      </c>
      <c r="AT788" s="1" t="s">
        <v>699</v>
      </c>
      <c r="AU788" s="1">
        <v>2020.0</v>
      </c>
      <c r="AV788" s="1">
        <v>17.0</v>
      </c>
      <c r="AW788" s="1">
        <v>2.0</v>
      </c>
      <c r="AX788" s="1" t="s">
        <v>74</v>
      </c>
      <c r="AY788" s="1" t="s">
        <v>74</v>
      </c>
      <c r="AZ788" s="1" t="s">
        <v>74</v>
      </c>
      <c r="BA788" s="1" t="s">
        <v>74</v>
      </c>
      <c r="BB788" s="1" t="s">
        <v>74</v>
      </c>
      <c r="BC788" s="1" t="s">
        <v>74</v>
      </c>
      <c r="BD788" s="1" t="s">
        <v>74</v>
      </c>
      <c r="BE788" s="1" t="s">
        <v>7416</v>
      </c>
      <c r="BF788" s="2" t="str">
        <f>HYPERLINK("http://dx.doi.org/10.15359/mhs.17-2.6","http://dx.doi.org/10.15359/mhs.17-2.6")</f>
        <v>http://dx.doi.org/10.15359/mhs.17-2.6</v>
      </c>
      <c r="BG788" s="1" t="s">
        <v>74</v>
      </c>
      <c r="BH788" s="1" t="s">
        <v>74</v>
      </c>
      <c r="BI788" s="1" t="s">
        <v>74</v>
      </c>
      <c r="BJ788" s="1" t="s">
        <v>74</v>
      </c>
      <c r="BK788" s="1" t="s">
        <v>74</v>
      </c>
      <c r="BL788" s="1" t="s">
        <v>74</v>
      </c>
      <c r="BM788" s="1" t="s">
        <v>74</v>
      </c>
      <c r="BN788" s="1" t="s">
        <v>74</v>
      </c>
      <c r="BO788" s="1" t="s">
        <v>74</v>
      </c>
      <c r="BP788" s="1" t="s">
        <v>74</v>
      </c>
      <c r="BQ788" s="1" t="s">
        <v>74</v>
      </c>
      <c r="BR788" s="1" t="s">
        <v>74</v>
      </c>
      <c r="BS788" s="1" t="s">
        <v>7417</v>
      </c>
      <c r="BT788" s="1" t="str">
        <f>HYPERLINK("https%3A%2F%2Fwww.webofscience.com%2Fwos%2Fwoscc%2Ffull-record%2FWOS:000545011600005","View Full Record in Web of Science")</f>
        <v>View Full Record in Web of Science</v>
      </c>
    </row>
    <row r="789" ht="12.75" customHeight="1">
      <c r="A789" s="1" t="s">
        <v>72</v>
      </c>
      <c r="B789" s="1" t="s">
        <v>7418</v>
      </c>
      <c r="C789" s="1" t="s">
        <v>74</v>
      </c>
      <c r="D789" s="1" t="s">
        <v>74</v>
      </c>
      <c r="E789" s="1" t="s">
        <v>74</v>
      </c>
      <c r="F789" s="1" t="s">
        <v>7419</v>
      </c>
      <c r="G789" s="1" t="s">
        <v>74</v>
      </c>
      <c r="H789" s="1" t="s">
        <v>74</v>
      </c>
      <c r="I789" s="1" t="s">
        <v>7420</v>
      </c>
      <c r="J789" s="1" t="s">
        <v>77</v>
      </c>
      <c r="K789" s="1" t="s">
        <v>74</v>
      </c>
      <c r="L789" s="1" t="s">
        <v>74</v>
      </c>
      <c r="M789" s="1" t="s">
        <v>74</v>
      </c>
      <c r="N789" s="1" t="s">
        <v>74</v>
      </c>
      <c r="O789" s="1" t="s">
        <v>74</v>
      </c>
      <c r="P789" s="1" t="s">
        <v>74</v>
      </c>
      <c r="Q789" s="1" t="s">
        <v>74</v>
      </c>
      <c r="R789" s="1" t="s">
        <v>74</v>
      </c>
      <c r="S789" s="1" t="s">
        <v>74</v>
      </c>
      <c r="T789" s="1" t="s">
        <v>74</v>
      </c>
      <c r="U789" s="1" t="s">
        <v>74</v>
      </c>
      <c r="V789" s="1" t="s">
        <v>7421</v>
      </c>
      <c r="W789" s="1" t="s">
        <v>74</v>
      </c>
      <c r="X789" s="1" t="s">
        <v>74</v>
      </c>
      <c r="Y789" s="1" t="s">
        <v>74</v>
      </c>
      <c r="Z789" s="1" t="s">
        <v>74</v>
      </c>
      <c r="AA789" s="1" t="s">
        <v>7422</v>
      </c>
      <c r="AB789" s="1" t="s">
        <v>7423</v>
      </c>
      <c r="AC789" s="1" t="s">
        <v>74</v>
      </c>
      <c r="AD789" s="1" t="s">
        <v>74</v>
      </c>
      <c r="AE789" s="1" t="s">
        <v>74</v>
      </c>
      <c r="AF789" s="1" t="s">
        <v>74</v>
      </c>
      <c r="AG789" s="1" t="s">
        <v>74</v>
      </c>
      <c r="AH789" s="1" t="s">
        <v>74</v>
      </c>
      <c r="AI789" s="1" t="s">
        <v>74</v>
      </c>
      <c r="AJ789" s="1" t="s">
        <v>74</v>
      </c>
      <c r="AK789" s="1" t="s">
        <v>74</v>
      </c>
      <c r="AL789" s="1" t="s">
        <v>74</v>
      </c>
      <c r="AM789" s="1" t="s">
        <v>74</v>
      </c>
      <c r="AN789" s="1" t="s">
        <v>74</v>
      </c>
      <c r="AO789" s="1" t="s">
        <v>81</v>
      </c>
      <c r="AP789" s="1" t="s">
        <v>82</v>
      </c>
      <c r="AQ789" s="1" t="s">
        <v>74</v>
      </c>
      <c r="AR789" s="1" t="s">
        <v>74</v>
      </c>
      <c r="AS789" s="1" t="s">
        <v>74</v>
      </c>
      <c r="AT789" s="1" t="s">
        <v>7424</v>
      </c>
      <c r="AU789" s="1">
        <v>2019.0</v>
      </c>
      <c r="AV789" s="1">
        <v>42.0</v>
      </c>
      <c r="AW789" s="1">
        <v>14.0</v>
      </c>
      <c r="AX789" s="1" t="s">
        <v>74</v>
      </c>
      <c r="AY789" s="1" t="s">
        <v>74</v>
      </c>
      <c r="AZ789" s="1" t="s">
        <v>74</v>
      </c>
      <c r="BA789" s="1" t="s">
        <v>74</v>
      </c>
      <c r="BB789" s="1">
        <v>4688.0</v>
      </c>
      <c r="BC789" s="1">
        <v>4711.0</v>
      </c>
      <c r="BD789" s="1" t="s">
        <v>74</v>
      </c>
      <c r="BE789" s="1" t="s">
        <v>7425</v>
      </c>
      <c r="BF789" s="2" t="str">
        <f>HYPERLINK("http://dx.doi.org/10.1002/mma.5685","http://dx.doi.org/10.1002/mma.5685")</f>
        <v>http://dx.doi.org/10.1002/mma.5685</v>
      </c>
      <c r="BG789" s="1" t="s">
        <v>74</v>
      </c>
      <c r="BH789" s="1" t="s">
        <v>74</v>
      </c>
      <c r="BI789" s="1" t="s">
        <v>74</v>
      </c>
      <c r="BJ789" s="1" t="s">
        <v>74</v>
      </c>
      <c r="BK789" s="1" t="s">
        <v>74</v>
      </c>
      <c r="BL789" s="1" t="s">
        <v>74</v>
      </c>
      <c r="BM789" s="1" t="s">
        <v>74</v>
      </c>
      <c r="BN789" s="1" t="s">
        <v>74</v>
      </c>
      <c r="BO789" s="1" t="s">
        <v>74</v>
      </c>
      <c r="BP789" s="1" t="s">
        <v>74</v>
      </c>
      <c r="BQ789" s="1" t="s">
        <v>74</v>
      </c>
      <c r="BR789" s="1" t="s">
        <v>74</v>
      </c>
      <c r="BS789" s="1" t="s">
        <v>7426</v>
      </c>
      <c r="BT789" s="1" t="str">
        <f>HYPERLINK("https%3A%2F%2Fwww.webofscience.com%2Fwos%2Fwoscc%2Ffull-record%2FWOS:000478748800004","View Full Record in Web of Science")</f>
        <v>View Full Record in Web of Science</v>
      </c>
    </row>
    <row r="790" ht="12.75" customHeight="1">
      <c r="A790" s="1" t="s">
        <v>72</v>
      </c>
      <c r="B790" s="1" t="s">
        <v>7427</v>
      </c>
      <c r="C790" s="1" t="s">
        <v>74</v>
      </c>
      <c r="D790" s="1" t="s">
        <v>74</v>
      </c>
      <c r="E790" s="1" t="s">
        <v>74</v>
      </c>
      <c r="F790" s="1" t="s">
        <v>7428</v>
      </c>
      <c r="G790" s="1" t="s">
        <v>74</v>
      </c>
      <c r="H790" s="1" t="s">
        <v>74</v>
      </c>
      <c r="I790" s="1" t="s">
        <v>7429</v>
      </c>
      <c r="J790" s="1" t="s">
        <v>682</v>
      </c>
      <c r="K790" s="1" t="s">
        <v>74</v>
      </c>
      <c r="L790" s="1" t="s">
        <v>74</v>
      </c>
      <c r="M790" s="1" t="s">
        <v>74</v>
      </c>
      <c r="N790" s="1" t="s">
        <v>74</v>
      </c>
      <c r="O790" s="1" t="s">
        <v>74</v>
      </c>
      <c r="P790" s="1" t="s">
        <v>74</v>
      </c>
      <c r="Q790" s="1" t="s">
        <v>74</v>
      </c>
      <c r="R790" s="1" t="s">
        <v>74</v>
      </c>
      <c r="S790" s="1" t="s">
        <v>74</v>
      </c>
      <c r="T790" s="1" t="s">
        <v>74</v>
      </c>
      <c r="U790" s="1" t="s">
        <v>74</v>
      </c>
      <c r="V790" s="1" t="s">
        <v>7430</v>
      </c>
      <c r="W790" s="1" t="s">
        <v>74</v>
      </c>
      <c r="X790" s="1" t="s">
        <v>74</v>
      </c>
      <c r="Y790" s="1" t="s">
        <v>74</v>
      </c>
      <c r="Z790" s="1" t="s">
        <v>74</v>
      </c>
      <c r="AA790" s="1" t="s">
        <v>7431</v>
      </c>
      <c r="AB790" s="1" t="s">
        <v>7432</v>
      </c>
      <c r="AC790" s="1" t="s">
        <v>74</v>
      </c>
      <c r="AD790" s="1" t="s">
        <v>74</v>
      </c>
      <c r="AE790" s="1" t="s">
        <v>74</v>
      </c>
      <c r="AF790" s="1" t="s">
        <v>74</v>
      </c>
      <c r="AG790" s="1" t="s">
        <v>74</v>
      </c>
      <c r="AH790" s="1" t="s">
        <v>74</v>
      </c>
      <c r="AI790" s="1" t="s">
        <v>74</v>
      </c>
      <c r="AJ790" s="1" t="s">
        <v>74</v>
      </c>
      <c r="AK790" s="1" t="s">
        <v>74</v>
      </c>
      <c r="AL790" s="1" t="s">
        <v>74</v>
      </c>
      <c r="AM790" s="1" t="s">
        <v>74</v>
      </c>
      <c r="AN790" s="1" t="s">
        <v>74</v>
      </c>
      <c r="AO790" s="1" t="s">
        <v>686</v>
      </c>
      <c r="AP790" s="1" t="s">
        <v>687</v>
      </c>
      <c r="AQ790" s="1" t="s">
        <v>74</v>
      </c>
      <c r="AR790" s="1" t="s">
        <v>74</v>
      </c>
      <c r="AS790" s="1" t="s">
        <v>74</v>
      </c>
      <c r="AT790" s="1" t="s">
        <v>7433</v>
      </c>
      <c r="AU790" s="1">
        <v>2018.0</v>
      </c>
      <c r="AV790" s="1">
        <v>42.0</v>
      </c>
      <c r="AW790" s="1">
        <v>12.0</v>
      </c>
      <c r="AX790" s="1" t="s">
        <v>74</v>
      </c>
      <c r="AY790" s="1" t="s">
        <v>74</v>
      </c>
      <c r="AZ790" s="1" t="s">
        <v>74</v>
      </c>
      <c r="BA790" s="1" t="s">
        <v>74</v>
      </c>
      <c r="BB790" s="1">
        <v>9764.0</v>
      </c>
      <c r="BC790" s="1">
        <v>9770.0</v>
      </c>
      <c r="BD790" s="1" t="s">
        <v>74</v>
      </c>
      <c r="BE790" s="1" t="s">
        <v>7434</v>
      </c>
      <c r="BF790" s="2" t="str">
        <f>HYPERLINK("http://dx.doi.org/10.1039/c7nj04714b","http://dx.doi.org/10.1039/c7nj04714b")</f>
        <v>http://dx.doi.org/10.1039/c7nj04714b</v>
      </c>
      <c r="BG790" s="1" t="s">
        <v>74</v>
      </c>
      <c r="BH790" s="1" t="s">
        <v>74</v>
      </c>
      <c r="BI790" s="1" t="s">
        <v>74</v>
      </c>
      <c r="BJ790" s="1" t="s">
        <v>74</v>
      </c>
      <c r="BK790" s="1" t="s">
        <v>74</v>
      </c>
      <c r="BL790" s="1" t="s">
        <v>74</v>
      </c>
      <c r="BM790" s="1" t="s">
        <v>74</v>
      </c>
      <c r="BN790" s="1" t="s">
        <v>74</v>
      </c>
      <c r="BO790" s="1" t="s">
        <v>74</v>
      </c>
      <c r="BP790" s="1" t="s">
        <v>74</v>
      </c>
      <c r="BQ790" s="1" t="s">
        <v>74</v>
      </c>
      <c r="BR790" s="1" t="s">
        <v>74</v>
      </c>
      <c r="BS790" s="1" t="s">
        <v>7435</v>
      </c>
      <c r="BT790" s="1" t="str">
        <f>HYPERLINK("https%3A%2F%2Fwww.webofscience.com%2Fwos%2Fwoscc%2Ffull-record%2FWOS:000435298100047","View Full Record in Web of Science")</f>
        <v>View Full Record in Web of Science</v>
      </c>
    </row>
    <row r="791" ht="12.75" customHeight="1">
      <c r="A791" s="1" t="s">
        <v>72</v>
      </c>
      <c r="B791" s="1" t="s">
        <v>7436</v>
      </c>
      <c r="C791" s="1" t="s">
        <v>74</v>
      </c>
      <c r="D791" s="1" t="s">
        <v>74</v>
      </c>
      <c r="E791" s="1" t="s">
        <v>74</v>
      </c>
      <c r="F791" s="1" t="s">
        <v>7437</v>
      </c>
      <c r="G791" s="1" t="s">
        <v>74</v>
      </c>
      <c r="H791" s="1" t="s">
        <v>74</v>
      </c>
      <c r="I791" s="1" t="s">
        <v>7438</v>
      </c>
      <c r="J791" s="1" t="s">
        <v>6360</v>
      </c>
      <c r="K791" s="1" t="s">
        <v>74</v>
      </c>
      <c r="L791" s="1" t="s">
        <v>74</v>
      </c>
      <c r="M791" s="1" t="s">
        <v>74</v>
      </c>
      <c r="N791" s="1" t="s">
        <v>74</v>
      </c>
      <c r="O791" s="1" t="s">
        <v>74</v>
      </c>
      <c r="P791" s="1" t="s">
        <v>74</v>
      </c>
      <c r="Q791" s="1" t="s">
        <v>74</v>
      </c>
      <c r="R791" s="1" t="s">
        <v>74</v>
      </c>
      <c r="S791" s="1" t="s">
        <v>74</v>
      </c>
      <c r="T791" s="1" t="s">
        <v>74</v>
      </c>
      <c r="U791" s="1" t="s">
        <v>74</v>
      </c>
      <c r="V791" s="1" t="s">
        <v>7439</v>
      </c>
      <c r="W791" s="1" t="s">
        <v>74</v>
      </c>
      <c r="X791" s="1" t="s">
        <v>74</v>
      </c>
      <c r="Y791" s="1" t="s">
        <v>74</v>
      </c>
      <c r="Z791" s="1" t="s">
        <v>74</v>
      </c>
      <c r="AA791" s="1" t="s">
        <v>7440</v>
      </c>
      <c r="AB791" s="1" t="s">
        <v>2651</v>
      </c>
      <c r="AC791" s="1" t="s">
        <v>74</v>
      </c>
      <c r="AD791" s="1" t="s">
        <v>74</v>
      </c>
      <c r="AE791" s="1" t="s">
        <v>74</v>
      </c>
      <c r="AF791" s="1" t="s">
        <v>74</v>
      </c>
      <c r="AG791" s="1" t="s">
        <v>74</v>
      </c>
      <c r="AH791" s="1" t="s">
        <v>74</v>
      </c>
      <c r="AI791" s="1" t="s">
        <v>74</v>
      </c>
      <c r="AJ791" s="1" t="s">
        <v>74</v>
      </c>
      <c r="AK791" s="1" t="s">
        <v>74</v>
      </c>
      <c r="AL791" s="1" t="s">
        <v>74</v>
      </c>
      <c r="AM791" s="1" t="s">
        <v>74</v>
      </c>
      <c r="AN791" s="1" t="s">
        <v>74</v>
      </c>
      <c r="AO791" s="1" t="s">
        <v>7441</v>
      </c>
      <c r="AP791" s="1" t="s">
        <v>7442</v>
      </c>
      <c r="AQ791" s="1" t="s">
        <v>74</v>
      </c>
      <c r="AR791" s="1" t="s">
        <v>74</v>
      </c>
      <c r="AS791" s="1" t="s">
        <v>74</v>
      </c>
      <c r="AT791" s="1" t="s">
        <v>7443</v>
      </c>
      <c r="AU791" s="1">
        <v>2018.0</v>
      </c>
      <c r="AV791" s="1">
        <v>97.0</v>
      </c>
      <c r="AW791" s="1">
        <v>4.0</v>
      </c>
      <c r="AX791" s="1" t="s">
        <v>74</v>
      </c>
      <c r="AY791" s="1" t="s">
        <v>74</v>
      </c>
      <c r="AZ791" s="1" t="s">
        <v>74</v>
      </c>
      <c r="BA791" s="1" t="s">
        <v>74</v>
      </c>
      <c r="BB791" s="1" t="s">
        <v>74</v>
      </c>
      <c r="BC791" s="1" t="s">
        <v>74</v>
      </c>
      <c r="BD791" s="1">
        <v>42123.0</v>
      </c>
      <c r="BE791" s="1" t="s">
        <v>7444</v>
      </c>
      <c r="BF791" s="2" t="str">
        <f>HYPERLINK("http://dx.doi.org/10.1103/PhysRevA.97.042123","http://dx.doi.org/10.1103/PhysRevA.97.042123")</f>
        <v>http://dx.doi.org/10.1103/PhysRevA.97.042123</v>
      </c>
      <c r="BG791" s="1" t="s">
        <v>74</v>
      </c>
      <c r="BH791" s="1" t="s">
        <v>74</v>
      </c>
      <c r="BI791" s="1" t="s">
        <v>74</v>
      </c>
      <c r="BJ791" s="1" t="s">
        <v>74</v>
      </c>
      <c r="BK791" s="1" t="s">
        <v>74</v>
      </c>
      <c r="BL791" s="1" t="s">
        <v>74</v>
      </c>
      <c r="BM791" s="1" t="s">
        <v>74</v>
      </c>
      <c r="BN791" s="1" t="s">
        <v>74</v>
      </c>
      <c r="BO791" s="1" t="s">
        <v>74</v>
      </c>
      <c r="BP791" s="1" t="s">
        <v>74</v>
      </c>
      <c r="BQ791" s="1" t="s">
        <v>74</v>
      </c>
      <c r="BR791" s="1" t="s">
        <v>74</v>
      </c>
      <c r="BS791" s="1" t="s">
        <v>7445</v>
      </c>
      <c r="BT791" s="1" t="str">
        <f>HYPERLINK("https%3A%2F%2Fwww.webofscience.com%2Fwos%2Fwoscc%2Ffull-record%2FWOS:000430663100004","View Full Record in Web of Science")</f>
        <v>View Full Record in Web of Science</v>
      </c>
    </row>
    <row r="792" ht="12.75" customHeight="1">
      <c r="A792" s="1" t="s">
        <v>72</v>
      </c>
      <c r="B792" s="1" t="s">
        <v>7446</v>
      </c>
      <c r="C792" s="1" t="s">
        <v>74</v>
      </c>
      <c r="D792" s="1" t="s">
        <v>74</v>
      </c>
      <c r="E792" s="1" t="s">
        <v>74</v>
      </c>
      <c r="F792" s="1" t="s">
        <v>7447</v>
      </c>
      <c r="G792" s="1" t="s">
        <v>74</v>
      </c>
      <c r="H792" s="1" t="s">
        <v>74</v>
      </c>
      <c r="I792" s="1" t="s">
        <v>7448</v>
      </c>
      <c r="J792" s="1" t="s">
        <v>7449</v>
      </c>
      <c r="K792" s="1" t="s">
        <v>74</v>
      </c>
      <c r="L792" s="1" t="s">
        <v>74</v>
      </c>
      <c r="M792" s="1" t="s">
        <v>74</v>
      </c>
      <c r="N792" s="1" t="s">
        <v>74</v>
      </c>
      <c r="O792" s="1" t="s">
        <v>74</v>
      </c>
      <c r="P792" s="1" t="s">
        <v>74</v>
      </c>
      <c r="Q792" s="1" t="s">
        <v>74</v>
      </c>
      <c r="R792" s="1" t="s">
        <v>74</v>
      </c>
      <c r="S792" s="1" t="s">
        <v>74</v>
      </c>
      <c r="T792" s="1" t="s">
        <v>74</v>
      </c>
      <c r="U792" s="1" t="s">
        <v>74</v>
      </c>
      <c r="V792" s="1" t="s">
        <v>7450</v>
      </c>
      <c r="W792" s="1" t="s">
        <v>74</v>
      </c>
      <c r="X792" s="1" t="s">
        <v>74</v>
      </c>
      <c r="Y792" s="1" t="s">
        <v>74</v>
      </c>
      <c r="Z792" s="1" t="s">
        <v>74</v>
      </c>
      <c r="AA792" s="1" t="s">
        <v>7451</v>
      </c>
      <c r="AB792" s="1" t="s">
        <v>7452</v>
      </c>
      <c r="AC792" s="1" t="s">
        <v>74</v>
      </c>
      <c r="AD792" s="1" t="s">
        <v>74</v>
      </c>
      <c r="AE792" s="1" t="s">
        <v>74</v>
      </c>
      <c r="AF792" s="1" t="s">
        <v>74</v>
      </c>
      <c r="AG792" s="1" t="s">
        <v>74</v>
      </c>
      <c r="AH792" s="1" t="s">
        <v>74</v>
      </c>
      <c r="AI792" s="1" t="s">
        <v>74</v>
      </c>
      <c r="AJ792" s="1" t="s">
        <v>74</v>
      </c>
      <c r="AK792" s="1" t="s">
        <v>74</v>
      </c>
      <c r="AL792" s="1" t="s">
        <v>74</v>
      </c>
      <c r="AM792" s="1" t="s">
        <v>74</v>
      </c>
      <c r="AN792" s="1" t="s">
        <v>74</v>
      </c>
      <c r="AO792" s="1" t="s">
        <v>7453</v>
      </c>
      <c r="AP792" s="1" t="s">
        <v>7454</v>
      </c>
      <c r="AQ792" s="1" t="s">
        <v>74</v>
      </c>
      <c r="AR792" s="1" t="s">
        <v>74</v>
      </c>
      <c r="AS792" s="1" t="s">
        <v>74</v>
      </c>
      <c r="AT792" s="1" t="s">
        <v>3738</v>
      </c>
      <c r="AU792" s="1">
        <v>2018.0</v>
      </c>
      <c r="AV792" s="1">
        <v>451.0</v>
      </c>
      <c r="AW792" s="1" t="s">
        <v>74</v>
      </c>
      <c r="AX792" s="1" t="s">
        <v>74</v>
      </c>
      <c r="AY792" s="1" t="s">
        <v>74</v>
      </c>
      <c r="AZ792" s="1" t="s">
        <v>74</v>
      </c>
      <c r="BA792" s="1" t="s">
        <v>74</v>
      </c>
      <c r="BB792" s="1">
        <v>676.0</v>
      </c>
      <c r="BC792" s="1">
        <v>680.0</v>
      </c>
      <c r="BD792" s="1" t="s">
        <v>74</v>
      </c>
      <c r="BE792" s="1" t="s">
        <v>7455</v>
      </c>
      <c r="BF792" s="2" t="str">
        <f>HYPERLINK("http://dx.doi.org/10.1016/j.jmmm.2017.11.116","http://dx.doi.org/10.1016/j.jmmm.2017.11.116")</f>
        <v>http://dx.doi.org/10.1016/j.jmmm.2017.11.116</v>
      </c>
      <c r="BG792" s="1" t="s">
        <v>74</v>
      </c>
      <c r="BH792" s="1" t="s">
        <v>74</v>
      </c>
      <c r="BI792" s="1" t="s">
        <v>74</v>
      </c>
      <c r="BJ792" s="1" t="s">
        <v>74</v>
      </c>
      <c r="BK792" s="1" t="s">
        <v>74</v>
      </c>
      <c r="BL792" s="1" t="s">
        <v>74</v>
      </c>
      <c r="BM792" s="1" t="s">
        <v>74</v>
      </c>
      <c r="BN792" s="1" t="s">
        <v>74</v>
      </c>
      <c r="BO792" s="1" t="s">
        <v>74</v>
      </c>
      <c r="BP792" s="1" t="s">
        <v>74</v>
      </c>
      <c r="BQ792" s="1" t="s">
        <v>74</v>
      </c>
      <c r="BR792" s="1" t="s">
        <v>74</v>
      </c>
      <c r="BS792" s="1" t="s">
        <v>7456</v>
      </c>
      <c r="BT792" s="1" t="str">
        <f>HYPERLINK("https%3A%2F%2Fwww.webofscience.com%2Fwos%2Fwoscc%2Ffull-record%2FWOS:000428259800095","View Full Record in Web of Science")</f>
        <v>View Full Record in Web of Science</v>
      </c>
    </row>
    <row r="793" ht="12.75" customHeight="1">
      <c r="A793" s="1" t="s">
        <v>72</v>
      </c>
      <c r="B793" s="1" t="s">
        <v>7457</v>
      </c>
      <c r="C793" s="1" t="s">
        <v>74</v>
      </c>
      <c r="D793" s="1" t="s">
        <v>74</v>
      </c>
      <c r="E793" s="1" t="s">
        <v>74</v>
      </c>
      <c r="F793" s="1" t="s">
        <v>7458</v>
      </c>
      <c r="G793" s="1" t="s">
        <v>74</v>
      </c>
      <c r="H793" s="1" t="s">
        <v>74</v>
      </c>
      <c r="I793" s="1" t="s">
        <v>7459</v>
      </c>
      <c r="J793" s="1" t="s">
        <v>7460</v>
      </c>
      <c r="K793" s="1" t="s">
        <v>74</v>
      </c>
      <c r="L793" s="1" t="s">
        <v>74</v>
      </c>
      <c r="M793" s="1" t="s">
        <v>74</v>
      </c>
      <c r="N793" s="1" t="s">
        <v>74</v>
      </c>
      <c r="O793" s="1" t="s">
        <v>74</v>
      </c>
      <c r="P793" s="1" t="s">
        <v>74</v>
      </c>
      <c r="Q793" s="1" t="s">
        <v>74</v>
      </c>
      <c r="R793" s="1" t="s">
        <v>74</v>
      </c>
      <c r="S793" s="1" t="s">
        <v>74</v>
      </c>
      <c r="T793" s="1" t="s">
        <v>74</v>
      </c>
      <c r="U793" s="1" t="s">
        <v>74</v>
      </c>
      <c r="V793" s="1" t="s">
        <v>7461</v>
      </c>
      <c r="W793" s="1" t="s">
        <v>74</v>
      </c>
      <c r="X793" s="1" t="s">
        <v>74</v>
      </c>
      <c r="Y793" s="1" t="s">
        <v>74</v>
      </c>
      <c r="Z793" s="1" t="s">
        <v>74</v>
      </c>
      <c r="AA793" s="1" t="s">
        <v>74</v>
      </c>
      <c r="AB793" s="1" t="s">
        <v>7462</v>
      </c>
      <c r="AC793" s="1" t="s">
        <v>74</v>
      </c>
      <c r="AD793" s="1" t="s">
        <v>74</v>
      </c>
      <c r="AE793" s="1" t="s">
        <v>74</v>
      </c>
      <c r="AF793" s="1" t="s">
        <v>74</v>
      </c>
      <c r="AG793" s="1" t="s">
        <v>74</v>
      </c>
      <c r="AH793" s="1" t="s">
        <v>74</v>
      </c>
      <c r="AI793" s="1" t="s">
        <v>74</v>
      </c>
      <c r="AJ793" s="1" t="s">
        <v>74</v>
      </c>
      <c r="AK793" s="1" t="s">
        <v>74</v>
      </c>
      <c r="AL793" s="1" t="s">
        <v>74</v>
      </c>
      <c r="AM793" s="1" t="s">
        <v>74</v>
      </c>
      <c r="AN793" s="1" t="s">
        <v>74</v>
      </c>
      <c r="AO793" s="1" t="s">
        <v>7463</v>
      </c>
      <c r="AP793" s="1" t="s">
        <v>7464</v>
      </c>
      <c r="AQ793" s="1" t="s">
        <v>74</v>
      </c>
      <c r="AR793" s="1" t="s">
        <v>74</v>
      </c>
      <c r="AS793" s="1" t="s">
        <v>74</v>
      </c>
      <c r="AT793" s="1" t="s">
        <v>74</v>
      </c>
      <c r="AU793" s="1">
        <v>2018.0</v>
      </c>
      <c r="AV793" s="1">
        <v>68.0</v>
      </c>
      <c r="AW793" s="1">
        <v>4.0</v>
      </c>
      <c r="AX793" s="1" t="s">
        <v>74</v>
      </c>
      <c r="AY793" s="1" t="s">
        <v>74</v>
      </c>
      <c r="AZ793" s="1" t="s">
        <v>74</v>
      </c>
      <c r="BA793" s="1" t="s">
        <v>74</v>
      </c>
      <c r="BB793" s="1">
        <v>1399.0</v>
      </c>
      <c r="BC793" s="1">
        <v>1445.0</v>
      </c>
      <c r="BD793" s="1" t="s">
        <v>74</v>
      </c>
      <c r="BE793" s="1" t="s">
        <v>7465</v>
      </c>
      <c r="BF793" s="2" t="str">
        <f>HYPERLINK("http://dx.doi.org/10.5802/aif.3191","http://dx.doi.org/10.5802/aif.3191")</f>
        <v>http://dx.doi.org/10.5802/aif.3191</v>
      </c>
      <c r="BG793" s="1" t="s">
        <v>74</v>
      </c>
      <c r="BH793" s="1" t="s">
        <v>74</v>
      </c>
      <c r="BI793" s="1" t="s">
        <v>74</v>
      </c>
      <c r="BJ793" s="1" t="s">
        <v>74</v>
      </c>
      <c r="BK793" s="1" t="s">
        <v>74</v>
      </c>
      <c r="BL793" s="1" t="s">
        <v>74</v>
      </c>
      <c r="BM793" s="1" t="s">
        <v>74</v>
      </c>
      <c r="BN793" s="1" t="s">
        <v>74</v>
      </c>
      <c r="BO793" s="1" t="s">
        <v>74</v>
      </c>
      <c r="BP793" s="1" t="s">
        <v>74</v>
      </c>
      <c r="BQ793" s="1" t="s">
        <v>74</v>
      </c>
      <c r="BR793" s="1" t="s">
        <v>74</v>
      </c>
      <c r="BS793" s="1" t="s">
        <v>7466</v>
      </c>
      <c r="BT793" s="1" t="str">
        <f>HYPERLINK("https%3A%2F%2Fwww.webofscience.com%2Fwos%2Fwoscc%2Ffull-record%2FWOS:000451849500002","View Full Record in Web of Science")</f>
        <v>View Full Record in Web of Science</v>
      </c>
    </row>
    <row r="794" ht="12.75" customHeight="1">
      <c r="A794" s="1" t="s">
        <v>72</v>
      </c>
      <c r="B794" s="1" t="s">
        <v>7467</v>
      </c>
      <c r="C794" s="1" t="s">
        <v>74</v>
      </c>
      <c r="D794" s="1" t="s">
        <v>74</v>
      </c>
      <c r="E794" s="1" t="s">
        <v>74</v>
      </c>
      <c r="F794" s="1" t="s">
        <v>7468</v>
      </c>
      <c r="G794" s="1" t="s">
        <v>74</v>
      </c>
      <c r="H794" s="1" t="s">
        <v>74</v>
      </c>
      <c r="I794" s="1" t="s">
        <v>7469</v>
      </c>
      <c r="J794" s="1" t="s">
        <v>2065</v>
      </c>
      <c r="K794" s="1" t="s">
        <v>74</v>
      </c>
      <c r="L794" s="1" t="s">
        <v>74</v>
      </c>
      <c r="M794" s="1" t="s">
        <v>74</v>
      </c>
      <c r="N794" s="1" t="s">
        <v>74</v>
      </c>
      <c r="O794" s="1" t="s">
        <v>74</v>
      </c>
      <c r="P794" s="1" t="s">
        <v>74</v>
      </c>
      <c r="Q794" s="1" t="s">
        <v>74</v>
      </c>
      <c r="R794" s="1" t="s">
        <v>74</v>
      </c>
      <c r="S794" s="1" t="s">
        <v>74</v>
      </c>
      <c r="T794" s="1" t="s">
        <v>74</v>
      </c>
      <c r="U794" s="1" t="s">
        <v>74</v>
      </c>
      <c r="V794" s="1" t="s">
        <v>7470</v>
      </c>
      <c r="W794" s="1" t="s">
        <v>74</v>
      </c>
      <c r="X794" s="1" t="s">
        <v>74</v>
      </c>
      <c r="Y794" s="1" t="s">
        <v>74</v>
      </c>
      <c r="Z794" s="1" t="s">
        <v>74</v>
      </c>
      <c r="AA794" s="1" t="s">
        <v>7471</v>
      </c>
      <c r="AB794" s="1" t="s">
        <v>7472</v>
      </c>
      <c r="AC794" s="1" t="s">
        <v>74</v>
      </c>
      <c r="AD794" s="1" t="s">
        <v>74</v>
      </c>
      <c r="AE794" s="1" t="s">
        <v>74</v>
      </c>
      <c r="AF794" s="1" t="s">
        <v>74</v>
      </c>
      <c r="AG794" s="1" t="s">
        <v>74</v>
      </c>
      <c r="AH794" s="1" t="s">
        <v>74</v>
      </c>
      <c r="AI794" s="1" t="s">
        <v>74</v>
      </c>
      <c r="AJ794" s="1" t="s">
        <v>74</v>
      </c>
      <c r="AK794" s="1" t="s">
        <v>74</v>
      </c>
      <c r="AL794" s="1" t="s">
        <v>74</v>
      </c>
      <c r="AM794" s="1" t="s">
        <v>74</v>
      </c>
      <c r="AN794" s="1" t="s">
        <v>74</v>
      </c>
      <c r="AO794" s="1" t="s">
        <v>6512</v>
      </c>
      <c r="AP794" s="1" t="s">
        <v>6513</v>
      </c>
      <c r="AQ794" s="1" t="s">
        <v>74</v>
      </c>
      <c r="AR794" s="1" t="s">
        <v>74</v>
      </c>
      <c r="AS794" s="1" t="s">
        <v>74</v>
      </c>
      <c r="AT794" s="1" t="s">
        <v>7473</v>
      </c>
      <c r="AU794" s="1">
        <v>2017.0</v>
      </c>
      <c r="AV794" s="1">
        <v>96.0</v>
      </c>
      <c r="AW794" s="1">
        <v>2.0</v>
      </c>
      <c r="AX794" s="1" t="s">
        <v>74</v>
      </c>
      <c r="AY794" s="1" t="s">
        <v>74</v>
      </c>
      <c r="AZ794" s="1" t="s">
        <v>74</v>
      </c>
      <c r="BA794" s="1" t="s">
        <v>74</v>
      </c>
      <c r="BB794" s="1" t="s">
        <v>74</v>
      </c>
      <c r="BC794" s="1" t="s">
        <v>74</v>
      </c>
      <c r="BD794" s="1">
        <v>24426.0</v>
      </c>
      <c r="BE794" s="1" t="s">
        <v>7474</v>
      </c>
      <c r="BF794" s="2" t="str">
        <f>HYPERLINK("http://dx.doi.org/10.1103/PhysRevB.96.024426","http://dx.doi.org/10.1103/PhysRevB.96.024426")</f>
        <v>http://dx.doi.org/10.1103/PhysRevB.96.024426</v>
      </c>
      <c r="BG794" s="1" t="s">
        <v>74</v>
      </c>
      <c r="BH794" s="1" t="s">
        <v>74</v>
      </c>
      <c r="BI794" s="1" t="s">
        <v>74</v>
      </c>
      <c r="BJ794" s="1" t="s">
        <v>74</v>
      </c>
      <c r="BK794" s="1" t="s">
        <v>74</v>
      </c>
      <c r="BL794" s="1" t="s">
        <v>74</v>
      </c>
      <c r="BM794" s="1" t="s">
        <v>74</v>
      </c>
      <c r="BN794" s="1" t="s">
        <v>74</v>
      </c>
      <c r="BO794" s="1" t="s">
        <v>74</v>
      </c>
      <c r="BP794" s="1" t="s">
        <v>74</v>
      </c>
      <c r="BQ794" s="1" t="s">
        <v>74</v>
      </c>
      <c r="BR794" s="1" t="s">
        <v>74</v>
      </c>
      <c r="BS794" s="1" t="s">
        <v>7475</v>
      </c>
      <c r="BT794" s="1" t="str">
        <f>HYPERLINK("https%3A%2F%2Fwww.webofscience.com%2Fwos%2Fwoscc%2Ffull-record%2FWOS:000405876300004","View Full Record in Web of Science")</f>
        <v>View Full Record in Web of Science</v>
      </c>
    </row>
    <row r="795" ht="12.75" customHeight="1">
      <c r="A795" s="1" t="s">
        <v>72</v>
      </c>
      <c r="B795" s="1" t="s">
        <v>7476</v>
      </c>
      <c r="C795" s="1" t="s">
        <v>74</v>
      </c>
      <c r="D795" s="1" t="s">
        <v>74</v>
      </c>
      <c r="E795" s="1" t="s">
        <v>74</v>
      </c>
      <c r="F795" s="1" t="s">
        <v>7477</v>
      </c>
      <c r="G795" s="1" t="s">
        <v>74</v>
      </c>
      <c r="H795" s="1" t="s">
        <v>74</v>
      </c>
      <c r="I795" s="1" t="s">
        <v>7478</v>
      </c>
      <c r="J795" s="1" t="s">
        <v>7479</v>
      </c>
      <c r="K795" s="1" t="s">
        <v>74</v>
      </c>
      <c r="L795" s="1" t="s">
        <v>74</v>
      </c>
      <c r="M795" s="1" t="s">
        <v>74</v>
      </c>
      <c r="N795" s="1" t="s">
        <v>74</v>
      </c>
      <c r="O795" s="1" t="s">
        <v>74</v>
      </c>
      <c r="P795" s="1" t="s">
        <v>74</v>
      </c>
      <c r="Q795" s="1" t="s">
        <v>74</v>
      </c>
      <c r="R795" s="1" t="s">
        <v>74</v>
      </c>
      <c r="S795" s="1" t="s">
        <v>74</v>
      </c>
      <c r="T795" s="1" t="s">
        <v>74</v>
      </c>
      <c r="U795" s="1" t="s">
        <v>74</v>
      </c>
      <c r="V795" s="1" t="s">
        <v>74</v>
      </c>
      <c r="W795" s="1" t="s">
        <v>74</v>
      </c>
      <c r="X795" s="1" t="s">
        <v>74</v>
      </c>
      <c r="Y795" s="1" t="s">
        <v>74</v>
      </c>
      <c r="Z795" s="1" t="s">
        <v>74</v>
      </c>
      <c r="AA795" s="1" t="s">
        <v>7480</v>
      </c>
      <c r="AB795" s="1" t="s">
        <v>7481</v>
      </c>
      <c r="AC795" s="1" t="s">
        <v>74</v>
      </c>
      <c r="AD795" s="1" t="s">
        <v>74</v>
      </c>
      <c r="AE795" s="1" t="s">
        <v>74</v>
      </c>
      <c r="AF795" s="1" t="s">
        <v>74</v>
      </c>
      <c r="AG795" s="1" t="s">
        <v>74</v>
      </c>
      <c r="AH795" s="1" t="s">
        <v>74</v>
      </c>
      <c r="AI795" s="1" t="s">
        <v>74</v>
      </c>
      <c r="AJ795" s="1" t="s">
        <v>74</v>
      </c>
      <c r="AK795" s="1" t="s">
        <v>74</v>
      </c>
      <c r="AL795" s="1" t="s">
        <v>74</v>
      </c>
      <c r="AM795" s="1" t="s">
        <v>74</v>
      </c>
      <c r="AN795" s="1" t="s">
        <v>74</v>
      </c>
      <c r="AO795" s="1" t="s">
        <v>7482</v>
      </c>
      <c r="AP795" s="1" t="s">
        <v>7483</v>
      </c>
      <c r="AQ795" s="1" t="s">
        <v>74</v>
      </c>
      <c r="AR795" s="1" t="s">
        <v>74</v>
      </c>
      <c r="AS795" s="1" t="s">
        <v>74</v>
      </c>
      <c r="AT795" s="1" t="s">
        <v>7484</v>
      </c>
      <c r="AU795" s="1">
        <v>2016.0</v>
      </c>
      <c r="AV795" s="1">
        <v>33.0</v>
      </c>
      <c r="AW795" s="1" t="s">
        <v>74</v>
      </c>
      <c r="AX795" s="1" t="s">
        <v>74</v>
      </c>
      <c r="AY795" s="1" t="s">
        <v>341</v>
      </c>
      <c r="AZ795" s="1" t="s">
        <v>74</v>
      </c>
      <c r="BA795" s="1" t="s">
        <v>7485</v>
      </c>
      <c r="BB795" s="1" t="s">
        <v>7486</v>
      </c>
      <c r="BC795" s="1" t="s">
        <v>7487</v>
      </c>
      <c r="BD795" s="1" t="s">
        <v>74</v>
      </c>
      <c r="BE795" s="1" t="s">
        <v>7488</v>
      </c>
      <c r="BF795" s="2" t="str">
        <f>HYPERLINK("http://dx.doi.org/10.1016/j.nbt.2016.06.1100","http://dx.doi.org/10.1016/j.nbt.2016.06.1100")</f>
        <v>http://dx.doi.org/10.1016/j.nbt.2016.06.1100</v>
      </c>
      <c r="BG795" s="1" t="s">
        <v>74</v>
      </c>
      <c r="BH795" s="1" t="s">
        <v>74</v>
      </c>
      <c r="BI795" s="1" t="s">
        <v>74</v>
      </c>
      <c r="BJ795" s="1" t="s">
        <v>74</v>
      </c>
      <c r="BK795" s="1" t="s">
        <v>74</v>
      </c>
      <c r="BL795" s="1" t="s">
        <v>74</v>
      </c>
      <c r="BM795" s="1" t="s">
        <v>74</v>
      </c>
      <c r="BN795" s="1" t="s">
        <v>74</v>
      </c>
      <c r="BO795" s="1" t="s">
        <v>74</v>
      </c>
      <c r="BP795" s="1" t="s">
        <v>74</v>
      </c>
      <c r="BQ795" s="1" t="s">
        <v>74</v>
      </c>
      <c r="BR795" s="1" t="s">
        <v>74</v>
      </c>
      <c r="BS795" s="1" t="s">
        <v>7489</v>
      </c>
      <c r="BT795" s="1" t="str">
        <f>HYPERLINK("https%3A%2F%2Fwww.webofscience.com%2Fwos%2Fwoscc%2Ffull-record%2FWOS:000393400600349","View Full Record in Web of Science")</f>
        <v>View Full Record in Web of Science</v>
      </c>
    </row>
    <row r="796" ht="12.75" customHeight="1">
      <c r="A796" s="1" t="s">
        <v>147</v>
      </c>
      <c r="B796" s="1" t="s">
        <v>7490</v>
      </c>
      <c r="C796" s="1" t="s">
        <v>74</v>
      </c>
      <c r="D796" s="1" t="s">
        <v>74</v>
      </c>
      <c r="E796" s="1" t="s">
        <v>793</v>
      </c>
      <c r="F796" s="1" t="s">
        <v>7491</v>
      </c>
      <c r="G796" s="1" t="s">
        <v>74</v>
      </c>
      <c r="H796" s="1" t="s">
        <v>74</v>
      </c>
      <c r="I796" s="1" t="s">
        <v>7492</v>
      </c>
      <c r="J796" s="1" t="s">
        <v>7493</v>
      </c>
      <c r="K796" s="1" t="s">
        <v>7494</v>
      </c>
      <c r="L796" s="1" t="s">
        <v>74</v>
      </c>
      <c r="M796" s="1" t="s">
        <v>74</v>
      </c>
      <c r="N796" s="1" t="s">
        <v>74</v>
      </c>
      <c r="O796" s="1" t="s">
        <v>7495</v>
      </c>
      <c r="P796" s="1" t="s">
        <v>7496</v>
      </c>
      <c r="Q796" s="1" t="s">
        <v>7497</v>
      </c>
      <c r="R796" s="1" t="s">
        <v>7498</v>
      </c>
      <c r="S796" s="1" t="s">
        <v>74</v>
      </c>
      <c r="T796" s="1" t="s">
        <v>74</v>
      </c>
      <c r="U796" s="1" t="s">
        <v>74</v>
      </c>
      <c r="V796" s="1" t="s">
        <v>74</v>
      </c>
      <c r="W796" s="1" t="s">
        <v>74</v>
      </c>
      <c r="X796" s="1" t="s">
        <v>74</v>
      </c>
      <c r="Y796" s="1" t="s">
        <v>74</v>
      </c>
      <c r="Z796" s="1" t="s">
        <v>74</v>
      </c>
      <c r="AA796" s="1" t="s">
        <v>74</v>
      </c>
      <c r="AB796" s="1" t="s">
        <v>74</v>
      </c>
      <c r="AC796" s="1" t="s">
        <v>74</v>
      </c>
      <c r="AD796" s="1" t="s">
        <v>74</v>
      </c>
      <c r="AE796" s="1" t="s">
        <v>74</v>
      </c>
      <c r="AF796" s="1" t="s">
        <v>74</v>
      </c>
      <c r="AG796" s="1" t="s">
        <v>74</v>
      </c>
      <c r="AH796" s="1" t="s">
        <v>74</v>
      </c>
      <c r="AI796" s="1" t="s">
        <v>74</v>
      </c>
      <c r="AJ796" s="1" t="s">
        <v>74</v>
      </c>
      <c r="AK796" s="1" t="s">
        <v>74</v>
      </c>
      <c r="AL796" s="1" t="s">
        <v>74</v>
      </c>
      <c r="AM796" s="1" t="s">
        <v>74</v>
      </c>
      <c r="AN796" s="1" t="s">
        <v>74</v>
      </c>
      <c r="AO796" s="1" t="s">
        <v>7499</v>
      </c>
      <c r="AP796" s="1" t="s">
        <v>74</v>
      </c>
      <c r="AQ796" s="1" t="s">
        <v>7500</v>
      </c>
      <c r="AR796" s="1" t="s">
        <v>74</v>
      </c>
      <c r="AS796" s="1" t="s">
        <v>74</v>
      </c>
      <c r="AT796" s="1" t="s">
        <v>74</v>
      </c>
      <c r="AU796" s="1">
        <v>2016.0</v>
      </c>
      <c r="AV796" s="1" t="s">
        <v>74</v>
      </c>
      <c r="AW796" s="1" t="s">
        <v>74</v>
      </c>
      <c r="AX796" s="1" t="s">
        <v>74</v>
      </c>
      <c r="AY796" s="1" t="s">
        <v>74</v>
      </c>
      <c r="AZ796" s="1" t="s">
        <v>74</v>
      </c>
      <c r="BA796" s="1" t="s">
        <v>74</v>
      </c>
      <c r="BB796" s="1" t="s">
        <v>74</v>
      </c>
      <c r="BC796" s="1" t="s">
        <v>74</v>
      </c>
      <c r="BD796" s="1" t="s">
        <v>74</v>
      </c>
      <c r="BE796" s="1" t="s">
        <v>74</v>
      </c>
      <c r="BF796" s="1" t="s">
        <v>74</v>
      </c>
      <c r="BG796" s="1" t="s">
        <v>74</v>
      </c>
      <c r="BH796" s="1" t="s">
        <v>74</v>
      </c>
      <c r="BI796" s="1" t="s">
        <v>74</v>
      </c>
      <c r="BJ796" s="1" t="s">
        <v>74</v>
      </c>
      <c r="BK796" s="1" t="s">
        <v>74</v>
      </c>
      <c r="BL796" s="1" t="s">
        <v>74</v>
      </c>
      <c r="BM796" s="1" t="s">
        <v>74</v>
      </c>
      <c r="BN796" s="1" t="s">
        <v>74</v>
      </c>
      <c r="BO796" s="1" t="s">
        <v>74</v>
      </c>
      <c r="BP796" s="1" t="s">
        <v>74</v>
      </c>
      <c r="BQ796" s="1" t="s">
        <v>74</v>
      </c>
      <c r="BR796" s="1" t="s">
        <v>74</v>
      </c>
      <c r="BS796" s="1" t="s">
        <v>7501</v>
      </c>
      <c r="BT796" s="1" t="str">
        <f>HYPERLINK("https%3A%2F%2Fwww.webofscience.com%2Fwos%2Fwoscc%2Ffull-record%2FWOS:000399937900090","View Full Record in Web of Science")</f>
        <v>View Full Record in Web of Science</v>
      </c>
    </row>
    <row r="797" ht="12.75" customHeight="1">
      <c r="A797" s="1" t="s">
        <v>147</v>
      </c>
      <c r="B797" s="1" t="s">
        <v>7502</v>
      </c>
      <c r="C797" s="1" t="s">
        <v>74</v>
      </c>
      <c r="D797" s="1" t="s">
        <v>74</v>
      </c>
      <c r="E797" s="1" t="s">
        <v>793</v>
      </c>
      <c r="F797" s="1" t="s">
        <v>7503</v>
      </c>
      <c r="G797" s="1" t="s">
        <v>74</v>
      </c>
      <c r="H797" s="1" t="s">
        <v>74</v>
      </c>
      <c r="I797" s="1" t="s">
        <v>7504</v>
      </c>
      <c r="J797" s="1" t="s">
        <v>7505</v>
      </c>
      <c r="K797" s="1" t="s">
        <v>74</v>
      </c>
      <c r="L797" s="1" t="s">
        <v>74</v>
      </c>
      <c r="M797" s="1" t="s">
        <v>74</v>
      </c>
      <c r="N797" s="1" t="s">
        <v>74</v>
      </c>
      <c r="O797" s="1" t="s">
        <v>7506</v>
      </c>
      <c r="P797" s="1" t="s">
        <v>7507</v>
      </c>
      <c r="Q797" s="1" t="s">
        <v>7508</v>
      </c>
      <c r="R797" s="1" t="s">
        <v>793</v>
      </c>
      <c r="S797" s="1" t="s">
        <v>7509</v>
      </c>
      <c r="T797" s="1" t="s">
        <v>74</v>
      </c>
      <c r="U797" s="1" t="s">
        <v>74</v>
      </c>
      <c r="V797" s="1" t="s">
        <v>7510</v>
      </c>
      <c r="W797" s="1" t="s">
        <v>74</v>
      </c>
      <c r="X797" s="1" t="s">
        <v>74</v>
      </c>
      <c r="Y797" s="1" t="s">
        <v>74</v>
      </c>
      <c r="Z797" s="1" t="s">
        <v>74</v>
      </c>
      <c r="AA797" s="1" t="s">
        <v>74</v>
      </c>
      <c r="AB797" s="1" t="s">
        <v>74</v>
      </c>
      <c r="AC797" s="1" t="s">
        <v>74</v>
      </c>
      <c r="AD797" s="1" t="s">
        <v>74</v>
      </c>
      <c r="AE797" s="1" t="s">
        <v>74</v>
      </c>
      <c r="AF797" s="1" t="s">
        <v>74</v>
      </c>
      <c r="AG797" s="1" t="s">
        <v>74</v>
      </c>
      <c r="AH797" s="1" t="s">
        <v>74</v>
      </c>
      <c r="AI797" s="1" t="s">
        <v>74</v>
      </c>
      <c r="AJ797" s="1" t="s">
        <v>74</v>
      </c>
      <c r="AK797" s="1" t="s">
        <v>74</v>
      </c>
      <c r="AL797" s="1" t="s">
        <v>74</v>
      </c>
      <c r="AM797" s="1" t="s">
        <v>74</v>
      </c>
      <c r="AN797" s="1" t="s">
        <v>74</v>
      </c>
      <c r="AO797" s="1" t="s">
        <v>74</v>
      </c>
      <c r="AP797" s="1" t="s">
        <v>74</v>
      </c>
      <c r="AQ797" s="1" t="s">
        <v>7511</v>
      </c>
      <c r="AR797" s="1" t="s">
        <v>74</v>
      </c>
      <c r="AS797" s="1" t="s">
        <v>74</v>
      </c>
      <c r="AT797" s="1" t="s">
        <v>74</v>
      </c>
      <c r="AU797" s="1">
        <v>2016.0</v>
      </c>
      <c r="AV797" s="1" t="s">
        <v>74</v>
      </c>
      <c r="AW797" s="1" t="s">
        <v>74</v>
      </c>
      <c r="AX797" s="1" t="s">
        <v>74</v>
      </c>
      <c r="AY797" s="1" t="s">
        <v>74</v>
      </c>
      <c r="AZ797" s="1" t="s">
        <v>74</v>
      </c>
      <c r="BA797" s="1" t="s">
        <v>74</v>
      </c>
      <c r="BB797" s="1" t="s">
        <v>74</v>
      </c>
      <c r="BC797" s="1" t="s">
        <v>74</v>
      </c>
      <c r="BD797" s="1" t="s">
        <v>74</v>
      </c>
      <c r="BE797" s="1" t="s">
        <v>74</v>
      </c>
      <c r="BF797" s="1" t="s">
        <v>74</v>
      </c>
      <c r="BG797" s="1" t="s">
        <v>74</v>
      </c>
      <c r="BH797" s="1" t="s">
        <v>74</v>
      </c>
      <c r="BI797" s="1" t="s">
        <v>74</v>
      </c>
      <c r="BJ797" s="1" t="s">
        <v>74</v>
      </c>
      <c r="BK797" s="1" t="s">
        <v>74</v>
      </c>
      <c r="BL797" s="1" t="s">
        <v>74</v>
      </c>
      <c r="BM797" s="1" t="s">
        <v>74</v>
      </c>
      <c r="BN797" s="1" t="s">
        <v>74</v>
      </c>
      <c r="BO797" s="1" t="s">
        <v>74</v>
      </c>
      <c r="BP797" s="1" t="s">
        <v>74</v>
      </c>
      <c r="BQ797" s="1" t="s">
        <v>74</v>
      </c>
      <c r="BR797" s="1" t="s">
        <v>74</v>
      </c>
      <c r="BS797" s="1" t="s">
        <v>7512</v>
      </c>
      <c r="BT797" s="1" t="str">
        <f>HYPERLINK("https%3A%2F%2Fwww.webofscience.com%2Fwos%2Fwoscc%2Ffull-record%2FWOS:000390556300023","View Full Record in Web of Science")</f>
        <v>View Full Record in Web of Science</v>
      </c>
    </row>
    <row r="798" ht="12.75" customHeight="1">
      <c r="A798" s="1" t="s">
        <v>72</v>
      </c>
      <c r="B798" s="1" t="s">
        <v>7513</v>
      </c>
      <c r="C798" s="1" t="s">
        <v>74</v>
      </c>
      <c r="D798" s="1" t="s">
        <v>74</v>
      </c>
      <c r="E798" s="1" t="s">
        <v>74</v>
      </c>
      <c r="F798" s="1" t="s">
        <v>7514</v>
      </c>
      <c r="G798" s="1" t="s">
        <v>74</v>
      </c>
      <c r="H798" s="1" t="s">
        <v>74</v>
      </c>
      <c r="I798" s="1" t="s">
        <v>7515</v>
      </c>
      <c r="J798" s="1" t="s">
        <v>7516</v>
      </c>
      <c r="K798" s="1" t="s">
        <v>74</v>
      </c>
      <c r="L798" s="1" t="s">
        <v>74</v>
      </c>
      <c r="M798" s="1" t="s">
        <v>74</v>
      </c>
      <c r="N798" s="1" t="s">
        <v>74</v>
      </c>
      <c r="O798" s="1" t="s">
        <v>74</v>
      </c>
      <c r="P798" s="1" t="s">
        <v>74</v>
      </c>
      <c r="Q798" s="1" t="s">
        <v>74</v>
      </c>
      <c r="R798" s="1" t="s">
        <v>74</v>
      </c>
      <c r="S798" s="1" t="s">
        <v>74</v>
      </c>
      <c r="T798" s="1" t="s">
        <v>74</v>
      </c>
      <c r="U798" s="1" t="s">
        <v>74</v>
      </c>
      <c r="V798" s="1" t="s">
        <v>7517</v>
      </c>
      <c r="W798" s="1" t="s">
        <v>74</v>
      </c>
      <c r="X798" s="1" t="s">
        <v>74</v>
      </c>
      <c r="Y798" s="1" t="s">
        <v>74</v>
      </c>
      <c r="Z798" s="1" t="s">
        <v>74</v>
      </c>
      <c r="AA798" s="1" t="s">
        <v>7518</v>
      </c>
      <c r="AB798" s="1" t="s">
        <v>7519</v>
      </c>
      <c r="AC798" s="1" t="s">
        <v>74</v>
      </c>
      <c r="AD798" s="1" t="s">
        <v>74</v>
      </c>
      <c r="AE798" s="1" t="s">
        <v>74</v>
      </c>
      <c r="AF798" s="1" t="s">
        <v>74</v>
      </c>
      <c r="AG798" s="1" t="s">
        <v>74</v>
      </c>
      <c r="AH798" s="1" t="s">
        <v>74</v>
      </c>
      <c r="AI798" s="1" t="s">
        <v>74</v>
      </c>
      <c r="AJ798" s="1" t="s">
        <v>74</v>
      </c>
      <c r="AK798" s="1" t="s">
        <v>74</v>
      </c>
      <c r="AL798" s="1" t="s">
        <v>74</v>
      </c>
      <c r="AM798" s="1" t="s">
        <v>74</v>
      </c>
      <c r="AN798" s="1" t="s">
        <v>74</v>
      </c>
      <c r="AO798" s="1" t="s">
        <v>7520</v>
      </c>
      <c r="AP798" s="1" t="s">
        <v>74</v>
      </c>
      <c r="AQ798" s="1" t="s">
        <v>74</v>
      </c>
      <c r="AR798" s="1" t="s">
        <v>74</v>
      </c>
      <c r="AS798" s="1" t="s">
        <v>74</v>
      </c>
      <c r="AT798" s="1" t="s">
        <v>3629</v>
      </c>
      <c r="AU798" s="1">
        <v>2015.0</v>
      </c>
      <c r="AV798" s="1">
        <v>20.0</v>
      </c>
      <c r="AW798" s="1">
        <v>3.0</v>
      </c>
      <c r="AX798" s="1" t="s">
        <v>74</v>
      </c>
      <c r="AY798" s="1" t="s">
        <v>74</v>
      </c>
      <c r="AZ798" s="1" t="s">
        <v>74</v>
      </c>
      <c r="BA798" s="1" t="s">
        <v>74</v>
      </c>
      <c r="BB798" s="1">
        <v>659.0</v>
      </c>
      <c r="BC798" s="1">
        <v>667.0</v>
      </c>
      <c r="BD798" s="1" t="s">
        <v>74</v>
      </c>
      <c r="BE798" s="1" t="s">
        <v>7521</v>
      </c>
      <c r="BF798" s="2" t="str">
        <f>HYPERLINK("http://dx.doi.org/10.1590/S1517-707620150003.0068","http://dx.doi.org/10.1590/S1517-707620150003.0068")</f>
        <v>http://dx.doi.org/10.1590/S1517-707620150003.0068</v>
      </c>
      <c r="BG798" s="1" t="s">
        <v>74</v>
      </c>
      <c r="BH798" s="1" t="s">
        <v>74</v>
      </c>
      <c r="BI798" s="1" t="s">
        <v>74</v>
      </c>
      <c r="BJ798" s="1" t="s">
        <v>74</v>
      </c>
      <c r="BK798" s="1" t="s">
        <v>74</v>
      </c>
      <c r="BL798" s="1" t="s">
        <v>74</v>
      </c>
      <c r="BM798" s="1" t="s">
        <v>74</v>
      </c>
      <c r="BN798" s="1" t="s">
        <v>74</v>
      </c>
      <c r="BO798" s="1" t="s">
        <v>74</v>
      </c>
      <c r="BP798" s="1" t="s">
        <v>74</v>
      </c>
      <c r="BQ798" s="1" t="s">
        <v>74</v>
      </c>
      <c r="BR798" s="1" t="s">
        <v>74</v>
      </c>
      <c r="BS798" s="1" t="s">
        <v>7522</v>
      </c>
      <c r="BT798" s="1" t="str">
        <f>HYPERLINK("https%3A%2F%2Fwww.webofscience.com%2Fwos%2Fwoscc%2Ffull-record%2FWOS:000362323600013","View Full Record in Web of Science")</f>
        <v>View Full Record in Web of Science</v>
      </c>
    </row>
    <row r="799" ht="12.75" customHeight="1">
      <c r="A799" s="1" t="s">
        <v>72</v>
      </c>
      <c r="B799" s="1" t="s">
        <v>7523</v>
      </c>
      <c r="C799" s="1" t="s">
        <v>74</v>
      </c>
      <c r="D799" s="1" t="s">
        <v>74</v>
      </c>
      <c r="E799" s="1" t="s">
        <v>74</v>
      </c>
      <c r="F799" s="1" t="s">
        <v>7524</v>
      </c>
      <c r="G799" s="1" t="s">
        <v>74</v>
      </c>
      <c r="H799" s="1" t="s">
        <v>74</v>
      </c>
      <c r="I799" s="1" t="s">
        <v>7525</v>
      </c>
      <c r="J799" s="1" t="s">
        <v>1943</v>
      </c>
      <c r="K799" s="1" t="s">
        <v>74</v>
      </c>
      <c r="L799" s="1" t="s">
        <v>74</v>
      </c>
      <c r="M799" s="1" t="s">
        <v>74</v>
      </c>
      <c r="N799" s="1" t="s">
        <v>74</v>
      </c>
      <c r="O799" s="1" t="s">
        <v>74</v>
      </c>
      <c r="P799" s="1" t="s">
        <v>74</v>
      </c>
      <c r="Q799" s="1" t="s">
        <v>74</v>
      </c>
      <c r="R799" s="1" t="s">
        <v>74</v>
      </c>
      <c r="S799" s="1" t="s">
        <v>74</v>
      </c>
      <c r="T799" s="1" t="s">
        <v>74</v>
      </c>
      <c r="U799" s="1" t="s">
        <v>74</v>
      </c>
      <c r="V799" s="1" t="s">
        <v>7526</v>
      </c>
      <c r="W799" s="1" t="s">
        <v>74</v>
      </c>
      <c r="X799" s="1" t="s">
        <v>74</v>
      </c>
      <c r="Y799" s="1" t="s">
        <v>74</v>
      </c>
      <c r="Z799" s="1" t="s">
        <v>74</v>
      </c>
      <c r="AA799" s="1" t="s">
        <v>1780</v>
      </c>
      <c r="AB799" s="1" t="s">
        <v>7527</v>
      </c>
      <c r="AC799" s="1" t="s">
        <v>74</v>
      </c>
      <c r="AD799" s="1" t="s">
        <v>74</v>
      </c>
      <c r="AE799" s="1" t="s">
        <v>74</v>
      </c>
      <c r="AF799" s="1" t="s">
        <v>74</v>
      </c>
      <c r="AG799" s="1" t="s">
        <v>74</v>
      </c>
      <c r="AH799" s="1" t="s">
        <v>74</v>
      </c>
      <c r="AI799" s="1" t="s">
        <v>74</v>
      </c>
      <c r="AJ799" s="1" t="s">
        <v>74</v>
      </c>
      <c r="AK799" s="1" t="s">
        <v>74</v>
      </c>
      <c r="AL799" s="1" t="s">
        <v>74</v>
      </c>
      <c r="AM799" s="1" t="s">
        <v>74</v>
      </c>
      <c r="AN799" s="1" t="s">
        <v>74</v>
      </c>
      <c r="AO799" s="1" t="s">
        <v>1946</v>
      </c>
      <c r="AP799" s="1" t="s">
        <v>1947</v>
      </c>
      <c r="AQ799" s="1" t="s">
        <v>74</v>
      </c>
      <c r="AR799" s="1" t="s">
        <v>74</v>
      </c>
      <c r="AS799" s="1" t="s">
        <v>74</v>
      </c>
      <c r="AT799" s="1" t="s">
        <v>1989</v>
      </c>
      <c r="AU799" s="1">
        <v>2015.0</v>
      </c>
      <c r="AV799" s="1">
        <v>259.0</v>
      </c>
      <c r="AW799" s="1" t="s">
        <v>74</v>
      </c>
      <c r="AX799" s="1" t="s">
        <v>74</v>
      </c>
      <c r="AY799" s="1" t="s">
        <v>74</v>
      </c>
      <c r="AZ799" s="1" t="s">
        <v>74</v>
      </c>
      <c r="BA799" s="1" t="s">
        <v>74</v>
      </c>
      <c r="BB799" s="1">
        <v>164.0</v>
      </c>
      <c r="BC799" s="1">
        <v>172.0</v>
      </c>
      <c r="BD799" s="1" t="s">
        <v>74</v>
      </c>
      <c r="BE799" s="1" t="s">
        <v>7528</v>
      </c>
      <c r="BF799" s="2" t="str">
        <f>HYPERLINK("http://dx.doi.org/10.1016/j.amc.2015.02.047","http://dx.doi.org/10.1016/j.amc.2015.02.047")</f>
        <v>http://dx.doi.org/10.1016/j.amc.2015.02.047</v>
      </c>
      <c r="BG799" s="1" t="s">
        <v>74</v>
      </c>
      <c r="BH799" s="1" t="s">
        <v>74</v>
      </c>
      <c r="BI799" s="1" t="s">
        <v>74</v>
      </c>
      <c r="BJ799" s="1" t="s">
        <v>74</v>
      </c>
      <c r="BK799" s="1" t="s">
        <v>74</v>
      </c>
      <c r="BL799" s="1" t="s">
        <v>74</v>
      </c>
      <c r="BM799" s="1" t="s">
        <v>74</v>
      </c>
      <c r="BN799" s="1" t="s">
        <v>74</v>
      </c>
      <c r="BO799" s="1" t="s">
        <v>74</v>
      </c>
      <c r="BP799" s="1" t="s">
        <v>74</v>
      </c>
      <c r="BQ799" s="1" t="s">
        <v>74</v>
      </c>
      <c r="BR799" s="1" t="s">
        <v>74</v>
      </c>
      <c r="BS799" s="1" t="s">
        <v>7529</v>
      </c>
      <c r="BT799" s="1" t="str">
        <f>HYPERLINK("https%3A%2F%2Fwww.webofscience.com%2Fwos%2Fwoscc%2Ffull-record%2FWOS:000353393700015","View Full Record in Web of Science")</f>
        <v>View Full Record in Web of Science</v>
      </c>
    </row>
    <row r="800" ht="12.75" customHeight="1">
      <c r="A800" s="1" t="s">
        <v>147</v>
      </c>
      <c r="B800" s="1" t="s">
        <v>7530</v>
      </c>
      <c r="C800" s="1" t="s">
        <v>74</v>
      </c>
      <c r="D800" s="1" t="s">
        <v>7531</v>
      </c>
      <c r="E800" s="1" t="s">
        <v>74</v>
      </c>
      <c r="F800" s="1" t="s">
        <v>7532</v>
      </c>
      <c r="G800" s="1" t="s">
        <v>74</v>
      </c>
      <c r="H800" s="1" t="s">
        <v>74</v>
      </c>
      <c r="I800" s="1" t="s">
        <v>7533</v>
      </c>
      <c r="J800" s="1" t="s">
        <v>7534</v>
      </c>
      <c r="K800" s="1" t="s">
        <v>7535</v>
      </c>
      <c r="L800" s="1" t="s">
        <v>74</v>
      </c>
      <c r="M800" s="1" t="s">
        <v>74</v>
      </c>
      <c r="N800" s="1" t="s">
        <v>74</v>
      </c>
      <c r="O800" s="1" t="s">
        <v>7536</v>
      </c>
      <c r="P800" s="1" t="s">
        <v>7537</v>
      </c>
      <c r="Q800" s="1" t="s">
        <v>7538</v>
      </c>
      <c r="R800" s="1" t="s">
        <v>74</v>
      </c>
      <c r="S800" s="1" t="s">
        <v>74</v>
      </c>
      <c r="T800" s="1" t="s">
        <v>74</v>
      </c>
      <c r="U800" s="1" t="s">
        <v>74</v>
      </c>
      <c r="V800" s="1" t="s">
        <v>7539</v>
      </c>
      <c r="W800" s="1" t="s">
        <v>74</v>
      </c>
      <c r="X800" s="1" t="s">
        <v>74</v>
      </c>
      <c r="Y800" s="1" t="s">
        <v>74</v>
      </c>
      <c r="Z800" s="1" t="s">
        <v>74</v>
      </c>
      <c r="AA800" s="1" t="s">
        <v>7540</v>
      </c>
      <c r="AB800" s="1" t="s">
        <v>74</v>
      </c>
      <c r="AC800" s="1" t="s">
        <v>74</v>
      </c>
      <c r="AD800" s="1" t="s">
        <v>74</v>
      </c>
      <c r="AE800" s="1" t="s">
        <v>74</v>
      </c>
      <c r="AF800" s="1" t="s">
        <v>74</v>
      </c>
      <c r="AG800" s="1" t="s">
        <v>74</v>
      </c>
      <c r="AH800" s="1" t="s">
        <v>74</v>
      </c>
      <c r="AI800" s="1" t="s">
        <v>74</v>
      </c>
      <c r="AJ800" s="1" t="s">
        <v>74</v>
      </c>
      <c r="AK800" s="1" t="s">
        <v>74</v>
      </c>
      <c r="AL800" s="1" t="s">
        <v>74</v>
      </c>
      <c r="AM800" s="1" t="s">
        <v>74</v>
      </c>
      <c r="AN800" s="1" t="s">
        <v>74</v>
      </c>
      <c r="AO800" s="1" t="s">
        <v>7541</v>
      </c>
      <c r="AP800" s="1" t="s">
        <v>74</v>
      </c>
      <c r="AQ800" s="1" t="s">
        <v>7542</v>
      </c>
      <c r="AR800" s="1" t="s">
        <v>74</v>
      </c>
      <c r="AS800" s="1" t="s">
        <v>74</v>
      </c>
      <c r="AT800" s="1" t="s">
        <v>74</v>
      </c>
      <c r="AU800" s="1">
        <v>2015.0</v>
      </c>
      <c r="AV800" s="1" t="s">
        <v>74</v>
      </c>
      <c r="AW800" s="1" t="s">
        <v>74</v>
      </c>
      <c r="AX800" s="1" t="s">
        <v>74</v>
      </c>
      <c r="AY800" s="1" t="s">
        <v>74</v>
      </c>
      <c r="AZ800" s="1" t="s">
        <v>74</v>
      </c>
      <c r="BA800" s="1" t="s">
        <v>74</v>
      </c>
      <c r="BB800" s="1">
        <v>2513.0</v>
      </c>
      <c r="BC800" s="1">
        <v>2520.0</v>
      </c>
      <c r="BD800" s="1" t="s">
        <v>74</v>
      </c>
      <c r="BE800" s="1" t="s">
        <v>74</v>
      </c>
      <c r="BF800" s="1" t="s">
        <v>74</v>
      </c>
      <c r="BG800" s="1" t="s">
        <v>74</v>
      </c>
      <c r="BH800" s="1" t="s">
        <v>74</v>
      </c>
      <c r="BI800" s="1" t="s">
        <v>74</v>
      </c>
      <c r="BJ800" s="1" t="s">
        <v>74</v>
      </c>
      <c r="BK800" s="1" t="s">
        <v>74</v>
      </c>
      <c r="BL800" s="1" t="s">
        <v>74</v>
      </c>
      <c r="BM800" s="1" t="s">
        <v>74</v>
      </c>
      <c r="BN800" s="1" t="s">
        <v>74</v>
      </c>
      <c r="BO800" s="1" t="s">
        <v>74</v>
      </c>
      <c r="BP800" s="1" t="s">
        <v>74</v>
      </c>
      <c r="BQ800" s="1" t="s">
        <v>74</v>
      </c>
      <c r="BR800" s="1" t="s">
        <v>74</v>
      </c>
      <c r="BS800" s="1" t="s">
        <v>7543</v>
      </c>
      <c r="BT800" s="1" t="str">
        <f>HYPERLINK("https%3A%2F%2Fwww.webofscience.com%2Fwos%2Fwoscc%2Ffull-record%2FWOS:000398586302080","View Full Record in Web of Science")</f>
        <v>View Full Record in Web of Science</v>
      </c>
    </row>
    <row r="801" ht="12.75" customHeight="1">
      <c r="A801" s="1" t="s">
        <v>72</v>
      </c>
      <c r="B801" s="1" t="s">
        <v>7544</v>
      </c>
      <c r="C801" s="1" t="s">
        <v>74</v>
      </c>
      <c r="D801" s="1" t="s">
        <v>74</v>
      </c>
      <c r="E801" s="1" t="s">
        <v>74</v>
      </c>
      <c r="F801" s="1" t="s">
        <v>7545</v>
      </c>
      <c r="G801" s="1" t="s">
        <v>74</v>
      </c>
      <c r="H801" s="1" t="s">
        <v>74</v>
      </c>
      <c r="I801" s="1" t="s">
        <v>7546</v>
      </c>
      <c r="J801" s="1" t="s">
        <v>7547</v>
      </c>
      <c r="K801" s="1" t="s">
        <v>74</v>
      </c>
      <c r="L801" s="1" t="s">
        <v>74</v>
      </c>
      <c r="M801" s="1" t="s">
        <v>74</v>
      </c>
      <c r="N801" s="1" t="s">
        <v>74</v>
      </c>
      <c r="O801" s="1" t="s">
        <v>74</v>
      </c>
      <c r="P801" s="1" t="s">
        <v>74</v>
      </c>
      <c r="Q801" s="1" t="s">
        <v>74</v>
      </c>
      <c r="R801" s="1" t="s">
        <v>74</v>
      </c>
      <c r="S801" s="1" t="s">
        <v>74</v>
      </c>
      <c r="T801" s="1" t="s">
        <v>74</v>
      </c>
      <c r="U801" s="1" t="s">
        <v>74</v>
      </c>
      <c r="V801" s="1" t="s">
        <v>7548</v>
      </c>
      <c r="W801" s="1" t="s">
        <v>74</v>
      </c>
      <c r="X801" s="1" t="s">
        <v>74</v>
      </c>
      <c r="Y801" s="1" t="s">
        <v>74</v>
      </c>
      <c r="Z801" s="1" t="s">
        <v>74</v>
      </c>
      <c r="AA801" s="1" t="s">
        <v>7549</v>
      </c>
      <c r="AB801" s="1" t="s">
        <v>7550</v>
      </c>
      <c r="AC801" s="1" t="s">
        <v>74</v>
      </c>
      <c r="AD801" s="1" t="s">
        <v>74</v>
      </c>
      <c r="AE801" s="1" t="s">
        <v>74</v>
      </c>
      <c r="AF801" s="1" t="s">
        <v>74</v>
      </c>
      <c r="AG801" s="1" t="s">
        <v>74</v>
      </c>
      <c r="AH801" s="1" t="s">
        <v>74</v>
      </c>
      <c r="AI801" s="1" t="s">
        <v>74</v>
      </c>
      <c r="AJ801" s="1" t="s">
        <v>74</v>
      </c>
      <c r="AK801" s="1" t="s">
        <v>74</v>
      </c>
      <c r="AL801" s="1" t="s">
        <v>74</v>
      </c>
      <c r="AM801" s="1" t="s">
        <v>74</v>
      </c>
      <c r="AN801" s="1" t="s">
        <v>74</v>
      </c>
      <c r="AO801" s="1" t="s">
        <v>7551</v>
      </c>
      <c r="AP801" s="1" t="s">
        <v>7552</v>
      </c>
      <c r="AQ801" s="1" t="s">
        <v>74</v>
      </c>
      <c r="AR801" s="1" t="s">
        <v>74</v>
      </c>
      <c r="AS801" s="1" t="s">
        <v>74</v>
      </c>
      <c r="AT801" s="1" t="s">
        <v>74</v>
      </c>
      <c r="AU801" s="1">
        <v>2015.0</v>
      </c>
      <c r="AV801" s="1">
        <v>67.0</v>
      </c>
      <c r="AW801" s="1">
        <v>6.0</v>
      </c>
      <c r="AX801" s="1" t="s">
        <v>74</v>
      </c>
      <c r="AY801" s="1" t="s">
        <v>74</v>
      </c>
      <c r="AZ801" s="1" t="s">
        <v>74</v>
      </c>
      <c r="BA801" s="1" t="s">
        <v>74</v>
      </c>
      <c r="BB801" s="1">
        <v>636.0</v>
      </c>
      <c r="BC801" s="1">
        <v>662.0</v>
      </c>
      <c r="BD801" s="1" t="s">
        <v>74</v>
      </c>
      <c r="BE801" s="1" t="s">
        <v>7553</v>
      </c>
      <c r="BF801" s="2" t="str">
        <f>HYPERLINK("http://dx.doi.org/10.1108/AJIM-05-2015-0082","http://dx.doi.org/10.1108/AJIM-05-2015-0082")</f>
        <v>http://dx.doi.org/10.1108/AJIM-05-2015-0082</v>
      </c>
      <c r="BG801" s="1" t="s">
        <v>74</v>
      </c>
      <c r="BH801" s="1" t="s">
        <v>74</v>
      </c>
      <c r="BI801" s="1" t="s">
        <v>74</v>
      </c>
      <c r="BJ801" s="1" t="s">
        <v>74</v>
      </c>
      <c r="BK801" s="1" t="s">
        <v>74</v>
      </c>
      <c r="BL801" s="1" t="s">
        <v>74</v>
      </c>
      <c r="BM801" s="1" t="s">
        <v>74</v>
      </c>
      <c r="BN801" s="1" t="s">
        <v>74</v>
      </c>
      <c r="BO801" s="1" t="s">
        <v>74</v>
      </c>
      <c r="BP801" s="1" t="s">
        <v>74</v>
      </c>
      <c r="BQ801" s="1" t="s">
        <v>74</v>
      </c>
      <c r="BR801" s="1" t="s">
        <v>74</v>
      </c>
      <c r="BS801" s="1" t="s">
        <v>7554</v>
      </c>
      <c r="BT801" s="1" t="str">
        <f>HYPERLINK("https%3A%2F%2Fwww.webofscience.com%2Fwos%2Fwoscc%2Ffull-record%2FWOS:000366468500002","View Full Record in Web of Science")</f>
        <v>View Full Record in Web of Science</v>
      </c>
    </row>
    <row r="802" ht="12.75" customHeight="1">
      <c r="A802" s="1" t="s">
        <v>72</v>
      </c>
      <c r="B802" s="1" t="s">
        <v>7555</v>
      </c>
      <c r="C802" s="1" t="s">
        <v>74</v>
      </c>
      <c r="D802" s="1" t="s">
        <v>74</v>
      </c>
      <c r="E802" s="1" t="s">
        <v>74</v>
      </c>
      <c r="F802" s="1" t="s">
        <v>7556</v>
      </c>
      <c r="G802" s="1" t="s">
        <v>74</v>
      </c>
      <c r="H802" s="1" t="s">
        <v>74</v>
      </c>
      <c r="I802" s="1" t="s">
        <v>7557</v>
      </c>
      <c r="J802" s="1" t="s">
        <v>987</v>
      </c>
      <c r="K802" s="1" t="s">
        <v>74</v>
      </c>
      <c r="L802" s="1" t="s">
        <v>74</v>
      </c>
      <c r="M802" s="1" t="s">
        <v>74</v>
      </c>
      <c r="N802" s="1" t="s">
        <v>74</v>
      </c>
      <c r="O802" s="1" t="s">
        <v>74</v>
      </c>
      <c r="P802" s="1" t="s">
        <v>74</v>
      </c>
      <c r="Q802" s="1" t="s">
        <v>74</v>
      </c>
      <c r="R802" s="1" t="s">
        <v>74</v>
      </c>
      <c r="S802" s="1" t="s">
        <v>74</v>
      </c>
      <c r="T802" s="1" t="s">
        <v>74</v>
      </c>
      <c r="U802" s="1" t="s">
        <v>74</v>
      </c>
      <c r="V802" s="1" t="s">
        <v>7558</v>
      </c>
      <c r="W802" s="1" t="s">
        <v>74</v>
      </c>
      <c r="X802" s="1" t="s">
        <v>74</v>
      </c>
      <c r="Y802" s="1" t="s">
        <v>74</v>
      </c>
      <c r="Z802" s="1" t="s">
        <v>74</v>
      </c>
      <c r="AA802" s="1" t="s">
        <v>7559</v>
      </c>
      <c r="AB802" s="1" t="s">
        <v>7560</v>
      </c>
      <c r="AC802" s="1" t="s">
        <v>74</v>
      </c>
      <c r="AD802" s="1" t="s">
        <v>74</v>
      </c>
      <c r="AE802" s="1" t="s">
        <v>74</v>
      </c>
      <c r="AF802" s="1" t="s">
        <v>74</v>
      </c>
      <c r="AG802" s="1" t="s">
        <v>74</v>
      </c>
      <c r="AH802" s="1" t="s">
        <v>74</v>
      </c>
      <c r="AI802" s="1" t="s">
        <v>74</v>
      </c>
      <c r="AJ802" s="1" t="s">
        <v>74</v>
      </c>
      <c r="AK802" s="1" t="s">
        <v>74</v>
      </c>
      <c r="AL802" s="1" t="s">
        <v>74</v>
      </c>
      <c r="AM802" s="1" t="s">
        <v>74</v>
      </c>
      <c r="AN802" s="1" t="s">
        <v>74</v>
      </c>
      <c r="AO802" s="1" t="s">
        <v>991</v>
      </c>
      <c r="AP802" s="1" t="s">
        <v>74</v>
      </c>
      <c r="AQ802" s="1" t="s">
        <v>74</v>
      </c>
      <c r="AR802" s="1" t="s">
        <v>74</v>
      </c>
      <c r="AS802" s="1" t="s">
        <v>74</v>
      </c>
      <c r="AT802" s="1" t="s">
        <v>621</v>
      </c>
      <c r="AU802" s="1">
        <v>2014.0</v>
      </c>
      <c r="AV802" s="1">
        <v>59.0</v>
      </c>
      <c r="AW802" s="1">
        <v>2.0</v>
      </c>
      <c r="AX802" s="1" t="s">
        <v>74</v>
      </c>
      <c r="AY802" s="1" t="s">
        <v>74</v>
      </c>
      <c r="AZ802" s="1" t="s">
        <v>74</v>
      </c>
      <c r="BA802" s="1" t="s">
        <v>74</v>
      </c>
      <c r="BB802" s="1">
        <v>2409.0</v>
      </c>
      <c r="BC802" s="1">
        <v>2414.0</v>
      </c>
      <c r="BD802" s="1" t="s">
        <v>74</v>
      </c>
      <c r="BE802" s="1" t="s">
        <v>7561</v>
      </c>
      <c r="BF802" s="2" t="str">
        <f>HYPERLINK("http://dx.doi.org/10.4067/S0717-97072014000200003","http://dx.doi.org/10.4067/S0717-97072014000200003")</f>
        <v>http://dx.doi.org/10.4067/S0717-97072014000200003</v>
      </c>
      <c r="BG802" s="1" t="s">
        <v>74</v>
      </c>
      <c r="BH802" s="1" t="s">
        <v>74</v>
      </c>
      <c r="BI802" s="1" t="s">
        <v>74</v>
      </c>
      <c r="BJ802" s="1" t="s">
        <v>74</v>
      </c>
      <c r="BK802" s="1" t="s">
        <v>74</v>
      </c>
      <c r="BL802" s="1" t="s">
        <v>74</v>
      </c>
      <c r="BM802" s="1" t="s">
        <v>74</v>
      </c>
      <c r="BN802" s="1" t="s">
        <v>74</v>
      </c>
      <c r="BO802" s="1" t="s">
        <v>74</v>
      </c>
      <c r="BP802" s="1" t="s">
        <v>74</v>
      </c>
      <c r="BQ802" s="1" t="s">
        <v>74</v>
      </c>
      <c r="BR802" s="1" t="s">
        <v>74</v>
      </c>
      <c r="BS802" s="1" t="s">
        <v>7562</v>
      </c>
      <c r="BT802" s="1" t="str">
        <f>HYPERLINK("https%3A%2F%2Fwww.webofscience.com%2Fwos%2Fwoscc%2Ffull-record%2FWOS:000342613100003","View Full Record in Web of Science")</f>
        <v>View Full Record in Web of Science</v>
      </c>
    </row>
    <row r="803" ht="12.75" customHeight="1">
      <c r="A803" s="1" t="s">
        <v>72</v>
      </c>
      <c r="B803" s="1" t="s">
        <v>7563</v>
      </c>
      <c r="C803" s="1" t="s">
        <v>74</v>
      </c>
      <c r="D803" s="1" t="s">
        <v>74</v>
      </c>
      <c r="E803" s="1" t="s">
        <v>74</v>
      </c>
      <c r="F803" s="1" t="s">
        <v>7564</v>
      </c>
      <c r="G803" s="1" t="s">
        <v>74</v>
      </c>
      <c r="H803" s="1" t="s">
        <v>74</v>
      </c>
      <c r="I803" s="1" t="s">
        <v>7565</v>
      </c>
      <c r="J803" s="1" t="s">
        <v>7566</v>
      </c>
      <c r="K803" s="1" t="s">
        <v>74</v>
      </c>
      <c r="L803" s="1" t="s">
        <v>74</v>
      </c>
      <c r="M803" s="1" t="s">
        <v>74</v>
      </c>
      <c r="N803" s="1" t="s">
        <v>74</v>
      </c>
      <c r="O803" s="1" t="s">
        <v>74</v>
      </c>
      <c r="P803" s="1" t="s">
        <v>74</v>
      </c>
      <c r="Q803" s="1" t="s">
        <v>74</v>
      </c>
      <c r="R803" s="1" t="s">
        <v>74</v>
      </c>
      <c r="S803" s="1" t="s">
        <v>74</v>
      </c>
      <c r="T803" s="1" t="s">
        <v>74</v>
      </c>
      <c r="U803" s="1" t="s">
        <v>74</v>
      </c>
      <c r="V803" s="1" t="s">
        <v>7567</v>
      </c>
      <c r="W803" s="1" t="s">
        <v>74</v>
      </c>
      <c r="X803" s="1" t="s">
        <v>74</v>
      </c>
      <c r="Y803" s="1" t="s">
        <v>74</v>
      </c>
      <c r="Z803" s="1" t="s">
        <v>74</v>
      </c>
      <c r="AA803" s="1" t="s">
        <v>7568</v>
      </c>
      <c r="AB803" s="1" t="s">
        <v>7569</v>
      </c>
      <c r="AC803" s="1" t="s">
        <v>74</v>
      </c>
      <c r="AD803" s="1" t="s">
        <v>74</v>
      </c>
      <c r="AE803" s="1" t="s">
        <v>74</v>
      </c>
      <c r="AF803" s="1" t="s">
        <v>74</v>
      </c>
      <c r="AG803" s="1" t="s">
        <v>74</v>
      </c>
      <c r="AH803" s="1" t="s">
        <v>74</v>
      </c>
      <c r="AI803" s="1" t="s">
        <v>74</v>
      </c>
      <c r="AJ803" s="1" t="s">
        <v>74</v>
      </c>
      <c r="AK803" s="1" t="s">
        <v>74</v>
      </c>
      <c r="AL803" s="1" t="s">
        <v>74</v>
      </c>
      <c r="AM803" s="1" t="s">
        <v>74</v>
      </c>
      <c r="AN803" s="1" t="s">
        <v>74</v>
      </c>
      <c r="AO803" s="1" t="s">
        <v>7570</v>
      </c>
      <c r="AP803" s="1" t="s">
        <v>7571</v>
      </c>
      <c r="AQ803" s="1" t="s">
        <v>74</v>
      </c>
      <c r="AR803" s="1" t="s">
        <v>74</v>
      </c>
      <c r="AS803" s="1" t="s">
        <v>74</v>
      </c>
      <c r="AT803" s="1" t="s">
        <v>389</v>
      </c>
      <c r="AU803" s="1">
        <v>2014.0</v>
      </c>
      <c r="AV803" s="1">
        <v>88.0</v>
      </c>
      <c r="AW803" s="1">
        <v>1.0</v>
      </c>
      <c r="AX803" s="1" t="s">
        <v>74</v>
      </c>
      <c r="AY803" s="1" t="s">
        <v>74</v>
      </c>
      <c r="AZ803" s="1" t="s">
        <v>74</v>
      </c>
      <c r="BA803" s="1" t="s">
        <v>74</v>
      </c>
      <c r="BB803" s="1">
        <v>129.0</v>
      </c>
      <c r="BC803" s="1">
        <v>144.0</v>
      </c>
      <c r="BD803" s="1" t="s">
        <v>74</v>
      </c>
      <c r="BE803" s="1" t="s">
        <v>7572</v>
      </c>
      <c r="BF803" s="2" t="str">
        <f>HYPERLINK("http://dx.doi.org/10.1007/s00233-013-9506-7","http://dx.doi.org/10.1007/s00233-013-9506-7")</f>
        <v>http://dx.doi.org/10.1007/s00233-013-9506-7</v>
      </c>
      <c r="BG803" s="1" t="s">
        <v>74</v>
      </c>
      <c r="BH803" s="1" t="s">
        <v>74</v>
      </c>
      <c r="BI803" s="1" t="s">
        <v>74</v>
      </c>
      <c r="BJ803" s="1" t="s">
        <v>74</v>
      </c>
      <c r="BK803" s="1" t="s">
        <v>74</v>
      </c>
      <c r="BL803" s="1" t="s">
        <v>74</v>
      </c>
      <c r="BM803" s="1" t="s">
        <v>74</v>
      </c>
      <c r="BN803" s="1" t="s">
        <v>74</v>
      </c>
      <c r="BO803" s="1" t="s">
        <v>74</v>
      </c>
      <c r="BP803" s="1" t="s">
        <v>74</v>
      </c>
      <c r="BQ803" s="1" t="s">
        <v>74</v>
      </c>
      <c r="BR803" s="1" t="s">
        <v>74</v>
      </c>
      <c r="BS803" s="1" t="s">
        <v>7573</v>
      </c>
      <c r="BT803" s="1" t="str">
        <f>HYPERLINK("https%3A%2F%2Fwww.webofscience.com%2Fwos%2Fwoscc%2Ffull-record%2FWOS:000330987500009","View Full Record in Web of Science")</f>
        <v>View Full Record in Web of Science</v>
      </c>
    </row>
    <row r="804" ht="12.75" customHeight="1">
      <c r="A804" s="1" t="s">
        <v>72</v>
      </c>
      <c r="B804" s="1" t="s">
        <v>7574</v>
      </c>
      <c r="C804" s="1" t="s">
        <v>74</v>
      </c>
      <c r="D804" s="1" t="s">
        <v>74</v>
      </c>
      <c r="E804" s="1" t="s">
        <v>74</v>
      </c>
      <c r="F804" s="1" t="s">
        <v>7575</v>
      </c>
      <c r="G804" s="1" t="s">
        <v>74</v>
      </c>
      <c r="H804" s="1" t="s">
        <v>74</v>
      </c>
      <c r="I804" s="1" t="s">
        <v>7576</v>
      </c>
      <c r="J804" s="1" t="s">
        <v>7577</v>
      </c>
      <c r="K804" s="1" t="s">
        <v>74</v>
      </c>
      <c r="L804" s="1" t="s">
        <v>74</v>
      </c>
      <c r="M804" s="1" t="s">
        <v>74</v>
      </c>
      <c r="N804" s="1" t="s">
        <v>74</v>
      </c>
      <c r="O804" s="1" t="s">
        <v>74</v>
      </c>
      <c r="P804" s="1" t="s">
        <v>74</v>
      </c>
      <c r="Q804" s="1" t="s">
        <v>74</v>
      </c>
      <c r="R804" s="1" t="s">
        <v>74</v>
      </c>
      <c r="S804" s="1" t="s">
        <v>74</v>
      </c>
      <c r="T804" s="1" t="s">
        <v>74</v>
      </c>
      <c r="U804" s="1" t="s">
        <v>74</v>
      </c>
      <c r="V804" s="1" t="s">
        <v>7578</v>
      </c>
      <c r="W804" s="1" t="s">
        <v>74</v>
      </c>
      <c r="X804" s="1" t="s">
        <v>74</v>
      </c>
      <c r="Y804" s="1" t="s">
        <v>74</v>
      </c>
      <c r="Z804" s="1" t="s">
        <v>74</v>
      </c>
      <c r="AA804" s="1" t="s">
        <v>6470</v>
      </c>
      <c r="AB804" s="1" t="s">
        <v>7579</v>
      </c>
      <c r="AC804" s="1" t="s">
        <v>74</v>
      </c>
      <c r="AD804" s="1" t="s">
        <v>74</v>
      </c>
      <c r="AE804" s="1" t="s">
        <v>74</v>
      </c>
      <c r="AF804" s="1" t="s">
        <v>74</v>
      </c>
      <c r="AG804" s="1" t="s">
        <v>74</v>
      </c>
      <c r="AH804" s="1" t="s">
        <v>74</v>
      </c>
      <c r="AI804" s="1" t="s">
        <v>74</v>
      </c>
      <c r="AJ804" s="1" t="s">
        <v>74</v>
      </c>
      <c r="AK804" s="1" t="s">
        <v>74</v>
      </c>
      <c r="AL804" s="1" t="s">
        <v>74</v>
      </c>
      <c r="AM804" s="1" t="s">
        <v>74</v>
      </c>
      <c r="AN804" s="1" t="s">
        <v>74</v>
      </c>
      <c r="AO804" s="1" t="s">
        <v>7580</v>
      </c>
      <c r="AP804" s="1" t="s">
        <v>7581</v>
      </c>
      <c r="AQ804" s="1" t="s">
        <v>74</v>
      </c>
      <c r="AR804" s="1" t="s">
        <v>74</v>
      </c>
      <c r="AS804" s="1" t="s">
        <v>74</v>
      </c>
      <c r="AT804" s="1" t="s">
        <v>621</v>
      </c>
      <c r="AU804" s="1">
        <v>2012.0</v>
      </c>
      <c r="AV804" s="1">
        <v>60.0</v>
      </c>
      <c r="AW804" s="1">
        <v>7.0</v>
      </c>
      <c r="AX804" s="1" t="s">
        <v>74</v>
      </c>
      <c r="AY804" s="1" t="s">
        <v>74</v>
      </c>
      <c r="AZ804" s="1" t="s">
        <v>74</v>
      </c>
      <c r="BA804" s="1" t="s">
        <v>74</v>
      </c>
      <c r="BB804" s="1">
        <v>1296.0</v>
      </c>
      <c r="BC804" s="1">
        <v>1309.0</v>
      </c>
      <c r="BD804" s="1" t="s">
        <v>74</v>
      </c>
      <c r="BE804" s="1" t="s">
        <v>7582</v>
      </c>
      <c r="BF804" s="2" t="str">
        <f>HYPERLINK("http://dx.doi.org/10.1016/j.jmps.2012.03.007","http://dx.doi.org/10.1016/j.jmps.2012.03.007")</f>
        <v>http://dx.doi.org/10.1016/j.jmps.2012.03.007</v>
      </c>
      <c r="BG804" s="1" t="s">
        <v>74</v>
      </c>
      <c r="BH804" s="1" t="s">
        <v>74</v>
      </c>
      <c r="BI804" s="1" t="s">
        <v>74</v>
      </c>
      <c r="BJ804" s="1" t="s">
        <v>74</v>
      </c>
      <c r="BK804" s="1" t="s">
        <v>74</v>
      </c>
      <c r="BL804" s="1" t="s">
        <v>74</v>
      </c>
      <c r="BM804" s="1" t="s">
        <v>74</v>
      </c>
      <c r="BN804" s="1" t="s">
        <v>74</v>
      </c>
      <c r="BO804" s="1" t="s">
        <v>74</v>
      </c>
      <c r="BP804" s="1" t="s">
        <v>74</v>
      </c>
      <c r="BQ804" s="1" t="s">
        <v>74</v>
      </c>
      <c r="BR804" s="1" t="s">
        <v>74</v>
      </c>
      <c r="BS804" s="1" t="s">
        <v>7583</v>
      </c>
      <c r="BT804" s="1" t="str">
        <f>HYPERLINK("https%3A%2F%2Fwww.webofscience.com%2Fwos%2Fwoscc%2Ffull-record%2FWOS:000304687700005","View Full Record in Web of Science")</f>
        <v>View Full Record in Web of Science</v>
      </c>
    </row>
    <row r="805" ht="12.75" customHeight="1">
      <c r="A805" s="1" t="s">
        <v>72</v>
      </c>
      <c r="B805" s="1" t="s">
        <v>7584</v>
      </c>
      <c r="C805" s="1" t="s">
        <v>74</v>
      </c>
      <c r="D805" s="1" t="s">
        <v>74</v>
      </c>
      <c r="E805" s="1" t="s">
        <v>74</v>
      </c>
      <c r="F805" s="1" t="s">
        <v>7585</v>
      </c>
      <c r="G805" s="1" t="s">
        <v>74</v>
      </c>
      <c r="H805" s="1" t="s">
        <v>74</v>
      </c>
      <c r="I805" s="1" t="s">
        <v>7586</v>
      </c>
      <c r="J805" s="1" t="s">
        <v>128</v>
      </c>
      <c r="K805" s="1" t="s">
        <v>74</v>
      </c>
      <c r="L805" s="1" t="s">
        <v>74</v>
      </c>
      <c r="M805" s="1" t="s">
        <v>74</v>
      </c>
      <c r="N805" s="1" t="s">
        <v>74</v>
      </c>
      <c r="O805" s="1" t="s">
        <v>74</v>
      </c>
      <c r="P805" s="1" t="s">
        <v>74</v>
      </c>
      <c r="Q805" s="1" t="s">
        <v>74</v>
      </c>
      <c r="R805" s="1" t="s">
        <v>74</v>
      </c>
      <c r="S805" s="1" t="s">
        <v>74</v>
      </c>
      <c r="T805" s="1" t="s">
        <v>74</v>
      </c>
      <c r="U805" s="1" t="s">
        <v>74</v>
      </c>
      <c r="V805" s="1" t="s">
        <v>7587</v>
      </c>
      <c r="W805" s="1" t="s">
        <v>74</v>
      </c>
      <c r="X805" s="1" t="s">
        <v>74</v>
      </c>
      <c r="Y805" s="1" t="s">
        <v>74</v>
      </c>
      <c r="Z805" s="1" t="s">
        <v>74</v>
      </c>
      <c r="AA805" s="1" t="s">
        <v>74</v>
      </c>
      <c r="AB805" s="1" t="s">
        <v>7588</v>
      </c>
      <c r="AC805" s="1" t="s">
        <v>74</v>
      </c>
      <c r="AD805" s="1" t="s">
        <v>74</v>
      </c>
      <c r="AE805" s="1" t="s">
        <v>74</v>
      </c>
      <c r="AF805" s="1" t="s">
        <v>74</v>
      </c>
      <c r="AG805" s="1" t="s">
        <v>74</v>
      </c>
      <c r="AH805" s="1" t="s">
        <v>74</v>
      </c>
      <c r="AI805" s="1" t="s">
        <v>74</v>
      </c>
      <c r="AJ805" s="1" t="s">
        <v>74</v>
      </c>
      <c r="AK805" s="1" t="s">
        <v>74</v>
      </c>
      <c r="AL805" s="1" t="s">
        <v>74</v>
      </c>
      <c r="AM805" s="1" t="s">
        <v>74</v>
      </c>
      <c r="AN805" s="1" t="s">
        <v>74</v>
      </c>
      <c r="AO805" s="1" t="s">
        <v>132</v>
      </c>
      <c r="AP805" s="1" t="s">
        <v>133</v>
      </c>
      <c r="AQ805" s="1" t="s">
        <v>74</v>
      </c>
      <c r="AR805" s="1" t="s">
        <v>74</v>
      </c>
      <c r="AS805" s="1" t="s">
        <v>74</v>
      </c>
      <c r="AT805" s="1" t="s">
        <v>6114</v>
      </c>
      <c r="AU805" s="1">
        <v>2009.0</v>
      </c>
      <c r="AV805" s="1">
        <v>679.0</v>
      </c>
      <c r="AW805" s="1">
        <v>4.0</v>
      </c>
      <c r="AX805" s="1" t="s">
        <v>74</v>
      </c>
      <c r="AY805" s="1" t="s">
        <v>74</v>
      </c>
      <c r="AZ805" s="1" t="s">
        <v>74</v>
      </c>
      <c r="BA805" s="1" t="s">
        <v>74</v>
      </c>
      <c r="BB805" s="1">
        <v>293.0</v>
      </c>
      <c r="BC805" s="1">
        <v>297.0</v>
      </c>
      <c r="BD805" s="1" t="s">
        <v>74</v>
      </c>
      <c r="BE805" s="1" t="s">
        <v>7589</v>
      </c>
      <c r="BF805" s="2" t="str">
        <f>HYPERLINK("http://dx.doi.org/10.1016/j.physletb.2009.07.028","http://dx.doi.org/10.1016/j.physletb.2009.07.028")</f>
        <v>http://dx.doi.org/10.1016/j.physletb.2009.07.028</v>
      </c>
      <c r="BG805" s="1" t="s">
        <v>74</v>
      </c>
      <c r="BH805" s="1" t="s">
        <v>74</v>
      </c>
      <c r="BI805" s="1" t="s">
        <v>74</v>
      </c>
      <c r="BJ805" s="1" t="s">
        <v>74</v>
      </c>
      <c r="BK805" s="1" t="s">
        <v>74</v>
      </c>
      <c r="BL805" s="1" t="s">
        <v>74</v>
      </c>
      <c r="BM805" s="1" t="s">
        <v>74</v>
      </c>
      <c r="BN805" s="1" t="s">
        <v>74</v>
      </c>
      <c r="BO805" s="1" t="s">
        <v>74</v>
      </c>
      <c r="BP805" s="1" t="s">
        <v>74</v>
      </c>
      <c r="BQ805" s="1" t="s">
        <v>74</v>
      </c>
      <c r="BR805" s="1" t="s">
        <v>74</v>
      </c>
      <c r="BS805" s="1" t="s">
        <v>7590</v>
      </c>
      <c r="BT805" s="1" t="str">
        <f>HYPERLINK("https%3A%2F%2Fwww.webofscience.com%2Fwos%2Fwoscc%2Ffull-record%2FWOS:000269989800001","View Full Record in Web of Science")</f>
        <v>View Full Record in Web of Science</v>
      </c>
    </row>
    <row r="806" ht="12.75" customHeight="1">
      <c r="A806" s="1" t="s">
        <v>72</v>
      </c>
      <c r="B806" s="1" t="s">
        <v>7591</v>
      </c>
      <c r="C806" s="1" t="s">
        <v>74</v>
      </c>
      <c r="D806" s="1" t="s">
        <v>74</v>
      </c>
      <c r="E806" s="1" t="s">
        <v>74</v>
      </c>
      <c r="F806" s="1" t="s">
        <v>7592</v>
      </c>
      <c r="G806" s="1" t="s">
        <v>74</v>
      </c>
      <c r="H806" s="1" t="s">
        <v>7593</v>
      </c>
      <c r="I806" s="1" t="s">
        <v>7594</v>
      </c>
      <c r="J806" s="1" t="s">
        <v>360</v>
      </c>
      <c r="K806" s="1" t="s">
        <v>74</v>
      </c>
      <c r="L806" s="1" t="s">
        <v>74</v>
      </c>
      <c r="M806" s="1" t="s">
        <v>74</v>
      </c>
      <c r="N806" s="1" t="s">
        <v>74</v>
      </c>
      <c r="O806" s="1" t="s">
        <v>74</v>
      </c>
      <c r="P806" s="1" t="s">
        <v>74</v>
      </c>
      <c r="Q806" s="1" t="s">
        <v>74</v>
      </c>
      <c r="R806" s="1" t="s">
        <v>74</v>
      </c>
      <c r="S806" s="1" t="s">
        <v>74</v>
      </c>
      <c r="T806" s="1" t="s">
        <v>74</v>
      </c>
      <c r="U806" s="1" t="s">
        <v>74</v>
      </c>
      <c r="V806" s="1" t="s">
        <v>7595</v>
      </c>
      <c r="W806" s="1" t="s">
        <v>74</v>
      </c>
      <c r="X806" s="1" t="s">
        <v>74</v>
      </c>
      <c r="Y806" s="1" t="s">
        <v>74</v>
      </c>
      <c r="Z806" s="1" t="s">
        <v>74</v>
      </c>
      <c r="AA806" s="1" t="s">
        <v>74</v>
      </c>
      <c r="AB806" s="1" t="s">
        <v>7596</v>
      </c>
      <c r="AC806" s="1" t="s">
        <v>74</v>
      </c>
      <c r="AD806" s="1" t="s">
        <v>74</v>
      </c>
      <c r="AE806" s="1" t="s">
        <v>74</v>
      </c>
      <c r="AF806" s="1" t="s">
        <v>74</v>
      </c>
      <c r="AG806" s="1" t="s">
        <v>74</v>
      </c>
      <c r="AH806" s="1" t="s">
        <v>74</v>
      </c>
      <c r="AI806" s="1" t="s">
        <v>74</v>
      </c>
      <c r="AJ806" s="1" t="s">
        <v>74</v>
      </c>
      <c r="AK806" s="1" t="s">
        <v>74</v>
      </c>
      <c r="AL806" s="1" t="s">
        <v>74</v>
      </c>
      <c r="AM806" s="1" t="s">
        <v>74</v>
      </c>
      <c r="AN806" s="1" t="s">
        <v>74</v>
      </c>
      <c r="AO806" s="1" t="s">
        <v>362</v>
      </c>
      <c r="AP806" s="1" t="s">
        <v>833</v>
      </c>
      <c r="AQ806" s="1" t="s">
        <v>74</v>
      </c>
      <c r="AR806" s="1" t="s">
        <v>74</v>
      </c>
      <c r="AS806" s="1" t="s">
        <v>74</v>
      </c>
      <c r="AT806" s="1" t="s">
        <v>415</v>
      </c>
      <c r="AU806" s="1">
        <v>2008.0</v>
      </c>
      <c r="AV806" s="1">
        <v>136.0</v>
      </c>
      <c r="AW806" s="1">
        <v>12.0</v>
      </c>
      <c r="AX806" s="1" t="s">
        <v>74</v>
      </c>
      <c r="AY806" s="1" t="s">
        <v>74</v>
      </c>
      <c r="AZ806" s="1" t="s">
        <v>74</v>
      </c>
      <c r="BA806" s="1" t="s">
        <v>74</v>
      </c>
      <c r="BB806" s="1">
        <v>1503.0</v>
      </c>
      <c r="BC806" s="1">
        <v>1510.0</v>
      </c>
      <c r="BD806" s="1" t="s">
        <v>74</v>
      </c>
      <c r="BE806" s="1" t="s">
        <v>74</v>
      </c>
      <c r="BF806" s="1" t="s">
        <v>74</v>
      </c>
      <c r="BG806" s="1" t="s">
        <v>74</v>
      </c>
      <c r="BH806" s="1" t="s">
        <v>74</v>
      </c>
      <c r="BI806" s="1" t="s">
        <v>74</v>
      </c>
      <c r="BJ806" s="1" t="s">
        <v>74</v>
      </c>
      <c r="BK806" s="1" t="s">
        <v>74</v>
      </c>
      <c r="BL806" s="1" t="s">
        <v>74</v>
      </c>
      <c r="BM806" s="1" t="s">
        <v>74</v>
      </c>
      <c r="BN806" s="1">
        <v>1.9350166E7</v>
      </c>
      <c r="BO806" s="1" t="s">
        <v>74</v>
      </c>
      <c r="BP806" s="1" t="s">
        <v>74</v>
      </c>
      <c r="BQ806" s="1" t="s">
        <v>74</v>
      </c>
      <c r="BR806" s="1" t="s">
        <v>74</v>
      </c>
      <c r="BS806" s="1" t="s">
        <v>7597</v>
      </c>
      <c r="BT806" s="1" t="str">
        <f>HYPERLINK("https%3A%2F%2Fwww.webofscience.com%2Fwos%2Fwoscc%2Ffull-record%2FWOS:000262886000001","View Full Record in Web of Science")</f>
        <v>View Full Record in Web of Science</v>
      </c>
    </row>
    <row r="807" ht="12.75" customHeight="1">
      <c r="A807" s="1" t="s">
        <v>72</v>
      </c>
      <c r="B807" s="1" t="s">
        <v>2942</v>
      </c>
      <c r="C807" s="1" t="s">
        <v>74</v>
      </c>
      <c r="D807" s="1" t="s">
        <v>74</v>
      </c>
      <c r="E807" s="1" t="s">
        <v>74</v>
      </c>
      <c r="F807" s="1" t="s">
        <v>2943</v>
      </c>
      <c r="G807" s="1" t="s">
        <v>74</v>
      </c>
      <c r="H807" s="1" t="s">
        <v>74</v>
      </c>
      <c r="I807" s="1" t="s">
        <v>7598</v>
      </c>
      <c r="J807" s="1" t="s">
        <v>6581</v>
      </c>
      <c r="K807" s="1" t="s">
        <v>74</v>
      </c>
      <c r="L807" s="1" t="s">
        <v>74</v>
      </c>
      <c r="M807" s="1" t="s">
        <v>74</v>
      </c>
      <c r="N807" s="1" t="s">
        <v>74</v>
      </c>
      <c r="O807" s="1" t="s">
        <v>74</v>
      </c>
      <c r="P807" s="1" t="s">
        <v>74</v>
      </c>
      <c r="Q807" s="1" t="s">
        <v>74</v>
      </c>
      <c r="R807" s="1" t="s">
        <v>74</v>
      </c>
      <c r="S807" s="1" t="s">
        <v>74</v>
      </c>
      <c r="T807" s="1" t="s">
        <v>74</v>
      </c>
      <c r="U807" s="1" t="s">
        <v>74</v>
      </c>
      <c r="V807" s="1" t="s">
        <v>7599</v>
      </c>
      <c r="W807" s="1" t="s">
        <v>74</v>
      </c>
      <c r="X807" s="1" t="s">
        <v>74</v>
      </c>
      <c r="Y807" s="1" t="s">
        <v>74</v>
      </c>
      <c r="Z807" s="1" t="s">
        <v>74</v>
      </c>
      <c r="AA807" s="1" t="s">
        <v>2947</v>
      </c>
      <c r="AB807" s="1" t="s">
        <v>2948</v>
      </c>
      <c r="AC807" s="1" t="s">
        <v>74</v>
      </c>
      <c r="AD807" s="1" t="s">
        <v>74</v>
      </c>
      <c r="AE807" s="1" t="s">
        <v>74</v>
      </c>
      <c r="AF807" s="1" t="s">
        <v>74</v>
      </c>
      <c r="AG807" s="1" t="s">
        <v>74</v>
      </c>
      <c r="AH807" s="1" t="s">
        <v>74</v>
      </c>
      <c r="AI807" s="1" t="s">
        <v>74</v>
      </c>
      <c r="AJ807" s="1" t="s">
        <v>74</v>
      </c>
      <c r="AK807" s="1" t="s">
        <v>74</v>
      </c>
      <c r="AL807" s="1" t="s">
        <v>74</v>
      </c>
      <c r="AM807" s="1" t="s">
        <v>74</v>
      </c>
      <c r="AN807" s="1" t="s">
        <v>74</v>
      </c>
      <c r="AO807" s="1" t="s">
        <v>6584</v>
      </c>
      <c r="AP807" s="1" t="s">
        <v>6585</v>
      </c>
      <c r="AQ807" s="1" t="s">
        <v>74</v>
      </c>
      <c r="AR807" s="1" t="s">
        <v>74</v>
      </c>
      <c r="AS807" s="1" t="s">
        <v>74</v>
      </c>
      <c r="AT807" s="1" t="s">
        <v>144</v>
      </c>
      <c r="AU807" s="1">
        <v>2008.0</v>
      </c>
      <c r="AV807" s="1">
        <v>81.0</v>
      </c>
      <c r="AW807" s="1">
        <v>1.0</v>
      </c>
      <c r="AX807" s="1" t="s">
        <v>74</v>
      </c>
      <c r="AY807" s="1" t="s">
        <v>74</v>
      </c>
      <c r="AZ807" s="1" t="s">
        <v>74</v>
      </c>
      <c r="BA807" s="1" t="s">
        <v>74</v>
      </c>
      <c r="BB807" s="1">
        <v>111.0</v>
      </c>
      <c r="BC807" s="1">
        <v>121.0</v>
      </c>
      <c r="BD807" s="1" t="s">
        <v>74</v>
      </c>
      <c r="BE807" s="1" t="s">
        <v>74</v>
      </c>
      <c r="BF807" s="1" t="s">
        <v>74</v>
      </c>
      <c r="BG807" s="1" t="s">
        <v>74</v>
      </c>
      <c r="BH807" s="1" t="s">
        <v>74</v>
      </c>
      <c r="BI807" s="1" t="s">
        <v>74</v>
      </c>
      <c r="BJ807" s="1" t="s">
        <v>74</v>
      </c>
      <c r="BK807" s="1" t="s">
        <v>74</v>
      </c>
      <c r="BL807" s="1" t="s">
        <v>74</v>
      </c>
      <c r="BM807" s="1" t="s">
        <v>74</v>
      </c>
      <c r="BN807" s="1" t="s">
        <v>74</v>
      </c>
      <c r="BO807" s="1" t="s">
        <v>74</v>
      </c>
      <c r="BP807" s="1" t="s">
        <v>74</v>
      </c>
      <c r="BQ807" s="1" t="s">
        <v>74</v>
      </c>
      <c r="BR807" s="1" t="s">
        <v>74</v>
      </c>
      <c r="BS807" s="1" t="s">
        <v>7600</v>
      </c>
      <c r="BT807" s="1" t="str">
        <f>HYPERLINK("https%3A%2F%2Fwww.webofscience.com%2Fwos%2Fwoscc%2Ffull-record%2FWOS:000254704700009","View Full Record in Web of Science")</f>
        <v>View Full Record in Web of Science</v>
      </c>
    </row>
    <row r="808" ht="12.75" customHeight="1">
      <c r="A808" s="1" t="s">
        <v>72</v>
      </c>
      <c r="B808" s="1" t="s">
        <v>7601</v>
      </c>
      <c r="C808" s="1" t="s">
        <v>74</v>
      </c>
      <c r="D808" s="1" t="s">
        <v>74</v>
      </c>
      <c r="E808" s="1" t="s">
        <v>74</v>
      </c>
      <c r="F808" s="1" t="s">
        <v>7601</v>
      </c>
      <c r="G808" s="1" t="s">
        <v>74</v>
      </c>
      <c r="H808" s="1" t="s">
        <v>74</v>
      </c>
      <c r="I808" s="1" t="s">
        <v>7602</v>
      </c>
      <c r="J808" s="1" t="s">
        <v>1660</v>
      </c>
      <c r="K808" s="1" t="s">
        <v>74</v>
      </c>
      <c r="L808" s="1" t="s">
        <v>74</v>
      </c>
      <c r="M808" s="1" t="s">
        <v>74</v>
      </c>
      <c r="N808" s="1" t="s">
        <v>74</v>
      </c>
      <c r="O808" s="1" t="s">
        <v>74</v>
      </c>
      <c r="P808" s="1" t="s">
        <v>74</v>
      </c>
      <c r="Q808" s="1" t="s">
        <v>74</v>
      </c>
      <c r="R808" s="1" t="s">
        <v>74</v>
      </c>
      <c r="S808" s="1" t="s">
        <v>74</v>
      </c>
      <c r="T808" s="1" t="s">
        <v>74</v>
      </c>
      <c r="U808" s="1" t="s">
        <v>74</v>
      </c>
      <c r="V808" s="1" t="s">
        <v>7603</v>
      </c>
      <c r="W808" s="1" t="s">
        <v>74</v>
      </c>
      <c r="X808" s="1" t="s">
        <v>74</v>
      </c>
      <c r="Y808" s="1" t="s">
        <v>74</v>
      </c>
      <c r="Z808" s="1" t="s">
        <v>74</v>
      </c>
      <c r="AA808" s="1" t="s">
        <v>7604</v>
      </c>
      <c r="AB808" s="1" t="s">
        <v>74</v>
      </c>
      <c r="AC808" s="1" t="s">
        <v>74</v>
      </c>
      <c r="AD808" s="1" t="s">
        <v>74</v>
      </c>
      <c r="AE808" s="1" t="s">
        <v>74</v>
      </c>
      <c r="AF808" s="1" t="s">
        <v>74</v>
      </c>
      <c r="AG808" s="1" t="s">
        <v>74</v>
      </c>
      <c r="AH808" s="1" t="s">
        <v>74</v>
      </c>
      <c r="AI808" s="1" t="s">
        <v>74</v>
      </c>
      <c r="AJ808" s="1" t="s">
        <v>74</v>
      </c>
      <c r="AK808" s="1" t="s">
        <v>74</v>
      </c>
      <c r="AL808" s="1" t="s">
        <v>74</v>
      </c>
      <c r="AM808" s="1" t="s">
        <v>74</v>
      </c>
      <c r="AN808" s="1" t="s">
        <v>74</v>
      </c>
      <c r="AO808" s="1" t="s">
        <v>1664</v>
      </c>
      <c r="AP808" s="1" t="s">
        <v>1665</v>
      </c>
      <c r="AQ808" s="1" t="s">
        <v>74</v>
      </c>
      <c r="AR808" s="1" t="s">
        <v>74</v>
      </c>
      <c r="AS808" s="1" t="s">
        <v>74</v>
      </c>
      <c r="AT808" s="1" t="s">
        <v>1458</v>
      </c>
      <c r="AU808" s="1">
        <v>2004.0</v>
      </c>
      <c r="AV808" s="1">
        <v>569.0</v>
      </c>
      <c r="AW808" s="1">
        <v>2.0</v>
      </c>
      <c r="AX808" s="1" t="s">
        <v>74</v>
      </c>
      <c r="AY808" s="1" t="s">
        <v>74</v>
      </c>
      <c r="AZ808" s="1" t="s">
        <v>74</v>
      </c>
      <c r="BA808" s="1" t="s">
        <v>74</v>
      </c>
      <c r="BB808" s="1">
        <v>275.0</v>
      </c>
      <c r="BC808" s="1">
        <v>286.0</v>
      </c>
      <c r="BD808" s="1" t="s">
        <v>74</v>
      </c>
      <c r="BE808" s="1" t="s">
        <v>7605</v>
      </c>
      <c r="BF808" s="2" t="str">
        <f>HYPERLINK("http://dx.doi.org/10.1016/j.jelechem.2004.03.011","http://dx.doi.org/10.1016/j.jelechem.2004.03.011")</f>
        <v>http://dx.doi.org/10.1016/j.jelechem.2004.03.011</v>
      </c>
      <c r="BG808" s="1" t="s">
        <v>74</v>
      </c>
      <c r="BH808" s="1" t="s">
        <v>74</v>
      </c>
      <c r="BI808" s="1" t="s">
        <v>74</v>
      </c>
      <c r="BJ808" s="1" t="s">
        <v>74</v>
      </c>
      <c r="BK808" s="1" t="s">
        <v>74</v>
      </c>
      <c r="BL808" s="1" t="s">
        <v>74</v>
      </c>
      <c r="BM808" s="1" t="s">
        <v>74</v>
      </c>
      <c r="BN808" s="1" t="s">
        <v>74</v>
      </c>
      <c r="BO808" s="1" t="s">
        <v>74</v>
      </c>
      <c r="BP808" s="1" t="s">
        <v>74</v>
      </c>
      <c r="BQ808" s="1" t="s">
        <v>74</v>
      </c>
      <c r="BR808" s="1" t="s">
        <v>74</v>
      </c>
      <c r="BS808" s="1" t="s">
        <v>7606</v>
      </c>
      <c r="BT808" s="1" t="str">
        <f>HYPERLINK("https%3A%2F%2Fwww.webofscience.com%2Fwos%2Fwoscc%2Ffull-record%2FWOS:000222650800014","View Full Record in Web of Science")</f>
        <v>View Full Record in Web of Science</v>
      </c>
    </row>
    <row r="809" ht="12.75" customHeight="1">
      <c r="A809" s="1" t="s">
        <v>72</v>
      </c>
      <c r="B809" s="1" t="s">
        <v>7607</v>
      </c>
      <c r="C809" s="1" t="s">
        <v>74</v>
      </c>
      <c r="D809" s="1" t="s">
        <v>74</v>
      </c>
      <c r="E809" s="1" t="s">
        <v>74</v>
      </c>
      <c r="F809" s="1" t="s">
        <v>7607</v>
      </c>
      <c r="G809" s="1" t="s">
        <v>74</v>
      </c>
      <c r="H809" s="1" t="s">
        <v>74</v>
      </c>
      <c r="I809" s="1" t="s">
        <v>7608</v>
      </c>
      <c r="J809" s="1" t="s">
        <v>661</v>
      </c>
      <c r="K809" s="1" t="s">
        <v>74</v>
      </c>
      <c r="L809" s="1" t="s">
        <v>74</v>
      </c>
      <c r="M809" s="1" t="s">
        <v>74</v>
      </c>
      <c r="N809" s="1" t="s">
        <v>74</v>
      </c>
      <c r="O809" s="1" t="s">
        <v>74</v>
      </c>
      <c r="P809" s="1" t="s">
        <v>74</v>
      </c>
      <c r="Q809" s="1" t="s">
        <v>74</v>
      </c>
      <c r="R809" s="1" t="s">
        <v>74</v>
      </c>
      <c r="S809" s="1" t="s">
        <v>74</v>
      </c>
      <c r="T809" s="1" t="s">
        <v>74</v>
      </c>
      <c r="U809" s="1" t="s">
        <v>74</v>
      </c>
      <c r="V809" s="1" t="s">
        <v>7609</v>
      </c>
      <c r="W809" s="1" t="s">
        <v>74</v>
      </c>
      <c r="X809" s="1" t="s">
        <v>74</v>
      </c>
      <c r="Y809" s="1" t="s">
        <v>74</v>
      </c>
      <c r="Z809" s="1" t="s">
        <v>74</v>
      </c>
      <c r="AA809" s="1" t="s">
        <v>74</v>
      </c>
      <c r="AB809" s="1" t="s">
        <v>74</v>
      </c>
      <c r="AC809" s="1" t="s">
        <v>74</v>
      </c>
      <c r="AD809" s="1" t="s">
        <v>74</v>
      </c>
      <c r="AE809" s="1" t="s">
        <v>74</v>
      </c>
      <c r="AF809" s="1" t="s">
        <v>74</v>
      </c>
      <c r="AG809" s="1" t="s">
        <v>74</v>
      </c>
      <c r="AH809" s="1" t="s">
        <v>74</v>
      </c>
      <c r="AI809" s="1" t="s">
        <v>74</v>
      </c>
      <c r="AJ809" s="1" t="s">
        <v>74</v>
      </c>
      <c r="AK809" s="1" t="s">
        <v>74</v>
      </c>
      <c r="AL809" s="1" t="s">
        <v>74</v>
      </c>
      <c r="AM809" s="1" t="s">
        <v>74</v>
      </c>
      <c r="AN809" s="1" t="s">
        <v>74</v>
      </c>
      <c r="AO809" s="1" t="s">
        <v>665</v>
      </c>
      <c r="AP809" s="1" t="s">
        <v>74</v>
      </c>
      <c r="AQ809" s="1" t="s">
        <v>74</v>
      </c>
      <c r="AR809" s="1" t="s">
        <v>74</v>
      </c>
      <c r="AS809" s="1" t="s">
        <v>74</v>
      </c>
      <c r="AT809" s="1" t="s">
        <v>289</v>
      </c>
      <c r="AU809" s="1">
        <v>2002.0</v>
      </c>
      <c r="AV809" s="1">
        <v>130.0</v>
      </c>
      <c r="AW809" s="1">
        <v>3.0</v>
      </c>
      <c r="AX809" s="1" t="s">
        <v>74</v>
      </c>
      <c r="AY809" s="1" t="s">
        <v>74</v>
      </c>
      <c r="AZ809" s="1" t="s">
        <v>74</v>
      </c>
      <c r="BA809" s="1" t="s">
        <v>74</v>
      </c>
      <c r="BB809" s="1">
        <v>327.0</v>
      </c>
      <c r="BC809" s="1">
        <v>331.0</v>
      </c>
      <c r="BD809" s="1" t="s">
        <v>7610</v>
      </c>
      <c r="BE809" s="1" t="s">
        <v>7611</v>
      </c>
      <c r="BF809" s="2" t="str">
        <f>HYPERLINK("http://dx.doi.org/10.1016/S0034-5687(02)00009-9","http://dx.doi.org/10.1016/S0034-5687(02)00009-9")</f>
        <v>http://dx.doi.org/10.1016/S0034-5687(02)00009-9</v>
      </c>
      <c r="BG809" s="1" t="s">
        <v>74</v>
      </c>
      <c r="BH809" s="1" t="s">
        <v>74</v>
      </c>
      <c r="BI809" s="1" t="s">
        <v>74</v>
      </c>
      <c r="BJ809" s="1" t="s">
        <v>74</v>
      </c>
      <c r="BK809" s="1" t="s">
        <v>74</v>
      </c>
      <c r="BL809" s="1" t="s">
        <v>74</v>
      </c>
      <c r="BM809" s="1" t="s">
        <v>74</v>
      </c>
      <c r="BN809" s="1">
        <v>1.2093629E7</v>
      </c>
      <c r="BO809" s="1" t="s">
        <v>74</v>
      </c>
      <c r="BP809" s="1" t="s">
        <v>74</v>
      </c>
      <c r="BQ809" s="1" t="s">
        <v>74</v>
      </c>
      <c r="BR809" s="1" t="s">
        <v>74</v>
      </c>
      <c r="BS809" s="1" t="s">
        <v>7612</v>
      </c>
      <c r="BT809" s="1" t="str">
        <f>HYPERLINK("https%3A%2F%2Fwww.webofscience.com%2Fwos%2Fwoscc%2Ffull-record%2FWOS:000176825600010","View Full Record in Web of Science")</f>
        <v>View Full Record in Web of Science</v>
      </c>
    </row>
    <row r="810" ht="12.75" customHeight="1">
      <c r="A810" s="1" t="s">
        <v>72</v>
      </c>
      <c r="B810" s="1" t="s">
        <v>7613</v>
      </c>
      <c r="C810" s="1" t="s">
        <v>74</v>
      </c>
      <c r="D810" s="1" t="s">
        <v>74</v>
      </c>
      <c r="E810" s="1" t="s">
        <v>74</v>
      </c>
      <c r="F810" s="1" t="s">
        <v>7613</v>
      </c>
      <c r="G810" s="1" t="s">
        <v>74</v>
      </c>
      <c r="H810" s="1" t="s">
        <v>74</v>
      </c>
      <c r="I810" s="1" t="s">
        <v>7614</v>
      </c>
      <c r="J810" s="1" t="s">
        <v>360</v>
      </c>
      <c r="K810" s="1" t="s">
        <v>74</v>
      </c>
      <c r="L810" s="1" t="s">
        <v>74</v>
      </c>
      <c r="M810" s="1" t="s">
        <v>74</v>
      </c>
      <c r="N810" s="1" t="s">
        <v>74</v>
      </c>
      <c r="O810" s="1" t="s">
        <v>74</v>
      </c>
      <c r="P810" s="1" t="s">
        <v>74</v>
      </c>
      <c r="Q810" s="1" t="s">
        <v>74</v>
      </c>
      <c r="R810" s="1" t="s">
        <v>74</v>
      </c>
      <c r="S810" s="1" t="s">
        <v>74</v>
      </c>
      <c r="T810" s="1" t="s">
        <v>74</v>
      </c>
      <c r="U810" s="1" t="s">
        <v>74</v>
      </c>
      <c r="V810" s="1" t="s">
        <v>7615</v>
      </c>
      <c r="W810" s="1" t="s">
        <v>74</v>
      </c>
      <c r="X810" s="1" t="s">
        <v>74</v>
      </c>
      <c r="Y810" s="1" t="s">
        <v>74</v>
      </c>
      <c r="Z810" s="1" t="s">
        <v>74</v>
      </c>
      <c r="AA810" s="1" t="s">
        <v>74</v>
      </c>
      <c r="AB810" s="1" t="s">
        <v>74</v>
      </c>
      <c r="AC810" s="1" t="s">
        <v>74</v>
      </c>
      <c r="AD810" s="1" t="s">
        <v>74</v>
      </c>
      <c r="AE810" s="1" t="s">
        <v>74</v>
      </c>
      <c r="AF810" s="1" t="s">
        <v>74</v>
      </c>
      <c r="AG810" s="1" t="s">
        <v>74</v>
      </c>
      <c r="AH810" s="1" t="s">
        <v>74</v>
      </c>
      <c r="AI810" s="1" t="s">
        <v>74</v>
      </c>
      <c r="AJ810" s="1" t="s">
        <v>74</v>
      </c>
      <c r="AK810" s="1" t="s">
        <v>74</v>
      </c>
      <c r="AL810" s="1" t="s">
        <v>74</v>
      </c>
      <c r="AM810" s="1" t="s">
        <v>74</v>
      </c>
      <c r="AN810" s="1" t="s">
        <v>74</v>
      </c>
      <c r="AO810" s="1" t="s">
        <v>362</v>
      </c>
      <c r="AP810" s="1" t="s">
        <v>74</v>
      </c>
      <c r="AQ810" s="1" t="s">
        <v>74</v>
      </c>
      <c r="AR810" s="1" t="s">
        <v>74</v>
      </c>
      <c r="AS810" s="1" t="s">
        <v>74</v>
      </c>
      <c r="AT810" s="1" t="s">
        <v>389</v>
      </c>
      <c r="AU810" s="1">
        <v>2002.0</v>
      </c>
      <c r="AV810" s="1">
        <v>130.0</v>
      </c>
      <c r="AW810" s="1">
        <v>2.0</v>
      </c>
      <c r="AX810" s="1" t="s">
        <v>74</v>
      </c>
      <c r="AY810" s="1" t="s">
        <v>74</v>
      </c>
      <c r="AZ810" s="1" t="s">
        <v>74</v>
      </c>
      <c r="BA810" s="1" t="s">
        <v>74</v>
      </c>
      <c r="BB810" s="1">
        <v>215.0</v>
      </c>
      <c r="BC810" s="1">
        <v>218.0</v>
      </c>
      <c r="BD810" s="1" t="s">
        <v>74</v>
      </c>
      <c r="BE810" s="1" t="s">
        <v>74</v>
      </c>
      <c r="BF810" s="1" t="s">
        <v>74</v>
      </c>
      <c r="BG810" s="1" t="s">
        <v>74</v>
      </c>
      <c r="BH810" s="1" t="s">
        <v>74</v>
      </c>
      <c r="BI810" s="1" t="s">
        <v>74</v>
      </c>
      <c r="BJ810" s="1" t="s">
        <v>74</v>
      </c>
      <c r="BK810" s="1" t="s">
        <v>74</v>
      </c>
      <c r="BL810" s="1" t="s">
        <v>74</v>
      </c>
      <c r="BM810" s="1" t="s">
        <v>74</v>
      </c>
      <c r="BN810" s="1">
        <v>1.1974535E7</v>
      </c>
      <c r="BO810" s="1" t="s">
        <v>74</v>
      </c>
      <c r="BP810" s="1" t="s">
        <v>74</v>
      </c>
      <c r="BQ810" s="1" t="s">
        <v>74</v>
      </c>
      <c r="BR810" s="1" t="s">
        <v>74</v>
      </c>
      <c r="BS810" s="1" t="s">
        <v>7616</v>
      </c>
      <c r="BT810" s="1" t="str">
        <f>HYPERLINK("https%3A%2F%2Fwww.webofscience.com%2Fwos%2Fwoscc%2Ffull-record%2FWOS:000174730500012","View Full Record in Web of Science")</f>
        <v>View Full Record in Web of Science</v>
      </c>
    </row>
    <row r="811" ht="12.75" customHeight="1">
      <c r="A811" s="1" t="s">
        <v>72</v>
      </c>
      <c r="B811" s="1" t="s">
        <v>7617</v>
      </c>
      <c r="C811" s="1" t="s">
        <v>74</v>
      </c>
      <c r="D811" s="1" t="s">
        <v>74</v>
      </c>
      <c r="E811" s="1" t="s">
        <v>74</v>
      </c>
      <c r="F811" s="1" t="s">
        <v>7617</v>
      </c>
      <c r="G811" s="1" t="s">
        <v>74</v>
      </c>
      <c r="H811" s="1" t="s">
        <v>74</v>
      </c>
      <c r="I811" s="1" t="s">
        <v>7618</v>
      </c>
      <c r="J811" s="1" t="s">
        <v>997</v>
      </c>
      <c r="K811" s="1" t="s">
        <v>74</v>
      </c>
      <c r="L811" s="1" t="s">
        <v>74</v>
      </c>
      <c r="M811" s="1" t="s">
        <v>74</v>
      </c>
      <c r="N811" s="1" t="s">
        <v>74</v>
      </c>
      <c r="O811" s="1" t="s">
        <v>74</v>
      </c>
      <c r="P811" s="1" t="s">
        <v>74</v>
      </c>
      <c r="Q811" s="1" t="s">
        <v>74</v>
      </c>
      <c r="R811" s="1" t="s">
        <v>74</v>
      </c>
      <c r="S811" s="1" t="s">
        <v>74</v>
      </c>
      <c r="T811" s="1" t="s">
        <v>74</v>
      </c>
      <c r="U811" s="1" t="s">
        <v>74</v>
      </c>
      <c r="V811" s="1" t="s">
        <v>7619</v>
      </c>
      <c r="W811" s="1" t="s">
        <v>74</v>
      </c>
      <c r="X811" s="1" t="s">
        <v>74</v>
      </c>
      <c r="Y811" s="1" t="s">
        <v>74</v>
      </c>
      <c r="Z811" s="1" t="s">
        <v>74</v>
      </c>
      <c r="AA811" s="1" t="s">
        <v>7620</v>
      </c>
      <c r="AB811" s="1" t="s">
        <v>7621</v>
      </c>
      <c r="AC811" s="1" t="s">
        <v>74</v>
      </c>
      <c r="AD811" s="1" t="s">
        <v>74</v>
      </c>
      <c r="AE811" s="1" t="s">
        <v>74</v>
      </c>
      <c r="AF811" s="1" t="s">
        <v>74</v>
      </c>
      <c r="AG811" s="1" t="s">
        <v>74</v>
      </c>
      <c r="AH811" s="1" t="s">
        <v>74</v>
      </c>
      <c r="AI811" s="1" t="s">
        <v>74</v>
      </c>
      <c r="AJ811" s="1" t="s">
        <v>74</v>
      </c>
      <c r="AK811" s="1" t="s">
        <v>74</v>
      </c>
      <c r="AL811" s="1" t="s">
        <v>74</v>
      </c>
      <c r="AM811" s="1" t="s">
        <v>74</v>
      </c>
      <c r="AN811" s="1" t="s">
        <v>74</v>
      </c>
      <c r="AO811" s="1" t="s">
        <v>1000</v>
      </c>
      <c r="AP811" s="1" t="s">
        <v>1001</v>
      </c>
      <c r="AQ811" s="1" t="s">
        <v>74</v>
      </c>
      <c r="AR811" s="1" t="s">
        <v>74</v>
      </c>
      <c r="AS811" s="1" t="s">
        <v>74</v>
      </c>
      <c r="AT811" s="1" t="s">
        <v>3962</v>
      </c>
      <c r="AU811" s="1">
        <v>2001.0</v>
      </c>
      <c r="AV811" s="1">
        <v>63.0</v>
      </c>
      <c r="AW811" s="1">
        <v>8.0</v>
      </c>
      <c r="AX811" s="1" t="s">
        <v>74</v>
      </c>
      <c r="AY811" s="1" t="s">
        <v>74</v>
      </c>
      <c r="AZ811" s="1" t="s">
        <v>74</v>
      </c>
      <c r="BA811" s="1" t="s">
        <v>74</v>
      </c>
      <c r="BB811" s="1" t="s">
        <v>74</v>
      </c>
      <c r="BC811" s="1" t="s">
        <v>74</v>
      </c>
      <c r="BD811" s="1">
        <v>84015.0</v>
      </c>
      <c r="BE811" s="1" t="s">
        <v>7622</v>
      </c>
      <c r="BF811" s="2" t="str">
        <f>HYPERLINK("http://dx.doi.org/10.1103/PhysRevD.63.084015","http://dx.doi.org/10.1103/PhysRevD.63.084015")</f>
        <v>http://dx.doi.org/10.1103/PhysRevD.63.084015</v>
      </c>
      <c r="BG811" s="1" t="s">
        <v>74</v>
      </c>
      <c r="BH811" s="1" t="s">
        <v>74</v>
      </c>
      <c r="BI811" s="1" t="s">
        <v>74</v>
      </c>
      <c r="BJ811" s="1" t="s">
        <v>74</v>
      </c>
      <c r="BK811" s="1" t="s">
        <v>74</v>
      </c>
      <c r="BL811" s="1" t="s">
        <v>74</v>
      </c>
      <c r="BM811" s="1" t="s">
        <v>74</v>
      </c>
      <c r="BN811" s="1" t="s">
        <v>74</v>
      </c>
      <c r="BO811" s="1" t="s">
        <v>74</v>
      </c>
      <c r="BP811" s="1" t="s">
        <v>74</v>
      </c>
      <c r="BQ811" s="1" t="s">
        <v>74</v>
      </c>
      <c r="BR811" s="1" t="s">
        <v>74</v>
      </c>
      <c r="BS811" s="1" t="s">
        <v>7623</v>
      </c>
      <c r="BT811" s="1" t="str">
        <f>HYPERLINK("https%3A%2F%2Fwww.webofscience.com%2Fwos%2Fwoscc%2Ffull-record%2FWOS:000168203400044","View Full Record in Web of Science")</f>
        <v>View Full Record in Web of Science</v>
      </c>
    </row>
    <row r="812" ht="12.75" customHeight="1">
      <c r="A812" s="1" t="s">
        <v>72</v>
      </c>
      <c r="B812" s="1" t="s">
        <v>7624</v>
      </c>
      <c r="C812" s="1" t="s">
        <v>74</v>
      </c>
      <c r="D812" s="1" t="s">
        <v>74</v>
      </c>
      <c r="E812" s="1" t="s">
        <v>74</v>
      </c>
      <c r="F812" s="1" t="s">
        <v>7624</v>
      </c>
      <c r="G812" s="1" t="s">
        <v>74</v>
      </c>
      <c r="H812" s="1" t="s">
        <v>74</v>
      </c>
      <c r="I812" s="1" t="s">
        <v>7625</v>
      </c>
      <c r="J812" s="1" t="s">
        <v>302</v>
      </c>
      <c r="K812" s="1" t="s">
        <v>74</v>
      </c>
      <c r="L812" s="1" t="s">
        <v>74</v>
      </c>
      <c r="M812" s="1" t="s">
        <v>74</v>
      </c>
      <c r="N812" s="1" t="s">
        <v>74</v>
      </c>
      <c r="O812" s="1" t="s">
        <v>74</v>
      </c>
      <c r="P812" s="1" t="s">
        <v>74</v>
      </c>
      <c r="Q812" s="1" t="s">
        <v>74</v>
      </c>
      <c r="R812" s="1" t="s">
        <v>74</v>
      </c>
      <c r="S812" s="1" t="s">
        <v>74</v>
      </c>
      <c r="T812" s="1" t="s">
        <v>74</v>
      </c>
      <c r="U812" s="1" t="s">
        <v>74</v>
      </c>
      <c r="V812" s="1" t="s">
        <v>7626</v>
      </c>
      <c r="W812" s="1" t="s">
        <v>74</v>
      </c>
      <c r="X812" s="1" t="s">
        <v>74</v>
      </c>
      <c r="Y812" s="1" t="s">
        <v>74</v>
      </c>
      <c r="Z812" s="1" t="s">
        <v>74</v>
      </c>
      <c r="AA812" s="1" t="s">
        <v>7627</v>
      </c>
      <c r="AB812" s="1" t="s">
        <v>74</v>
      </c>
      <c r="AC812" s="1" t="s">
        <v>74</v>
      </c>
      <c r="AD812" s="1" t="s">
        <v>74</v>
      </c>
      <c r="AE812" s="1" t="s">
        <v>74</v>
      </c>
      <c r="AF812" s="1" t="s">
        <v>74</v>
      </c>
      <c r="AG812" s="1" t="s">
        <v>74</v>
      </c>
      <c r="AH812" s="1" t="s">
        <v>74</v>
      </c>
      <c r="AI812" s="1" t="s">
        <v>74</v>
      </c>
      <c r="AJ812" s="1" t="s">
        <v>74</v>
      </c>
      <c r="AK812" s="1" t="s">
        <v>74</v>
      </c>
      <c r="AL812" s="1" t="s">
        <v>74</v>
      </c>
      <c r="AM812" s="1" t="s">
        <v>74</v>
      </c>
      <c r="AN812" s="1" t="s">
        <v>74</v>
      </c>
      <c r="AO812" s="1" t="s">
        <v>306</v>
      </c>
      <c r="AP812" s="1" t="s">
        <v>7628</v>
      </c>
      <c r="AQ812" s="1" t="s">
        <v>74</v>
      </c>
      <c r="AR812" s="1" t="s">
        <v>74</v>
      </c>
      <c r="AS812" s="1" t="s">
        <v>74</v>
      </c>
      <c r="AT812" s="1" t="s">
        <v>478</v>
      </c>
      <c r="AU812" s="1">
        <v>2000.0</v>
      </c>
      <c r="AV812" s="1">
        <v>164.0</v>
      </c>
      <c r="AW812" s="1" t="s">
        <v>308</v>
      </c>
      <c r="AX812" s="1" t="s">
        <v>74</v>
      </c>
      <c r="AY812" s="1" t="s">
        <v>74</v>
      </c>
      <c r="AZ812" s="1" t="s">
        <v>74</v>
      </c>
      <c r="BA812" s="1" t="s">
        <v>74</v>
      </c>
      <c r="BB812" s="1">
        <v>225.0</v>
      </c>
      <c r="BC812" s="1">
        <v>234.0</v>
      </c>
      <c r="BD812" s="1" t="s">
        <v>74</v>
      </c>
      <c r="BE812" s="1" t="s">
        <v>7629</v>
      </c>
      <c r="BF812" s="2" t="str">
        <f>HYPERLINK("http://dx.doi.org/10.1016/S1381-1169(00)00264-8","http://dx.doi.org/10.1016/S1381-1169(00)00264-8")</f>
        <v>http://dx.doi.org/10.1016/S1381-1169(00)00264-8</v>
      </c>
      <c r="BG812" s="1" t="s">
        <v>74</v>
      </c>
      <c r="BH812" s="1" t="s">
        <v>74</v>
      </c>
      <c r="BI812" s="1" t="s">
        <v>74</v>
      </c>
      <c r="BJ812" s="1" t="s">
        <v>74</v>
      </c>
      <c r="BK812" s="1" t="s">
        <v>74</v>
      </c>
      <c r="BL812" s="1" t="s">
        <v>74</v>
      </c>
      <c r="BM812" s="1" t="s">
        <v>74</v>
      </c>
      <c r="BN812" s="1" t="s">
        <v>74</v>
      </c>
      <c r="BO812" s="1" t="s">
        <v>74</v>
      </c>
      <c r="BP812" s="1" t="s">
        <v>74</v>
      </c>
      <c r="BQ812" s="1" t="s">
        <v>74</v>
      </c>
      <c r="BR812" s="1" t="s">
        <v>74</v>
      </c>
      <c r="BS812" s="1" t="s">
        <v>7630</v>
      </c>
      <c r="BT812" s="1" t="str">
        <f>HYPERLINK("https%3A%2F%2Fwww.webofscience.com%2Fwos%2Fwoscc%2Ffull-record%2FWOS:000166078400025","View Full Record in Web of Science")</f>
        <v>View Full Record in Web of Science</v>
      </c>
    </row>
    <row r="813" ht="12.75" customHeight="1">
      <c r="A813" s="1" t="s">
        <v>72</v>
      </c>
      <c r="B813" s="1" t="s">
        <v>7631</v>
      </c>
      <c r="C813" s="1" t="s">
        <v>74</v>
      </c>
      <c r="D813" s="1" t="s">
        <v>74</v>
      </c>
      <c r="E813" s="1" t="s">
        <v>74</v>
      </c>
      <c r="F813" s="1" t="s">
        <v>7631</v>
      </c>
      <c r="G813" s="1" t="s">
        <v>74</v>
      </c>
      <c r="H813" s="1" t="s">
        <v>74</v>
      </c>
      <c r="I813" s="1" t="s">
        <v>7632</v>
      </c>
      <c r="J813" s="1" t="s">
        <v>649</v>
      </c>
      <c r="K813" s="1" t="s">
        <v>74</v>
      </c>
      <c r="L813" s="1" t="s">
        <v>74</v>
      </c>
      <c r="M813" s="1" t="s">
        <v>74</v>
      </c>
      <c r="N813" s="1" t="s">
        <v>74</v>
      </c>
      <c r="O813" s="1" t="s">
        <v>74</v>
      </c>
      <c r="P813" s="1" t="s">
        <v>74</v>
      </c>
      <c r="Q813" s="1" t="s">
        <v>74</v>
      </c>
      <c r="R813" s="1" t="s">
        <v>74</v>
      </c>
      <c r="S813" s="1" t="s">
        <v>74</v>
      </c>
      <c r="T813" s="1" t="s">
        <v>74</v>
      </c>
      <c r="U813" s="1" t="s">
        <v>74</v>
      </c>
      <c r="V813" s="1" t="s">
        <v>7633</v>
      </c>
      <c r="W813" s="1" t="s">
        <v>74</v>
      </c>
      <c r="X813" s="1" t="s">
        <v>74</v>
      </c>
      <c r="Y813" s="1" t="s">
        <v>74</v>
      </c>
      <c r="Z813" s="1" t="s">
        <v>74</v>
      </c>
      <c r="AA813" s="1" t="s">
        <v>7634</v>
      </c>
      <c r="AB813" s="1" t="s">
        <v>7635</v>
      </c>
      <c r="AC813" s="1" t="s">
        <v>74</v>
      </c>
      <c r="AD813" s="1" t="s">
        <v>74</v>
      </c>
      <c r="AE813" s="1" t="s">
        <v>74</v>
      </c>
      <c r="AF813" s="1" t="s">
        <v>74</v>
      </c>
      <c r="AG813" s="1" t="s">
        <v>74</v>
      </c>
      <c r="AH813" s="1" t="s">
        <v>74</v>
      </c>
      <c r="AI813" s="1" t="s">
        <v>74</v>
      </c>
      <c r="AJ813" s="1" t="s">
        <v>74</v>
      </c>
      <c r="AK813" s="1" t="s">
        <v>74</v>
      </c>
      <c r="AL813" s="1" t="s">
        <v>74</v>
      </c>
      <c r="AM813" s="1" t="s">
        <v>74</v>
      </c>
      <c r="AN813" s="1" t="s">
        <v>74</v>
      </c>
      <c r="AO813" s="1" t="s">
        <v>653</v>
      </c>
      <c r="AP813" s="1" t="s">
        <v>74</v>
      </c>
      <c r="AQ813" s="1" t="s">
        <v>74</v>
      </c>
      <c r="AR813" s="1" t="s">
        <v>74</v>
      </c>
      <c r="AS813" s="1" t="s">
        <v>74</v>
      </c>
      <c r="AT813" s="1" t="s">
        <v>7636</v>
      </c>
      <c r="AU813" s="1">
        <v>1998.0</v>
      </c>
      <c r="AV813" s="1">
        <v>81.0</v>
      </c>
      <c r="AW813" s="1">
        <v>7.0</v>
      </c>
      <c r="AX813" s="1" t="s">
        <v>74</v>
      </c>
      <c r="AY813" s="1" t="s">
        <v>74</v>
      </c>
      <c r="AZ813" s="1" t="s">
        <v>74</v>
      </c>
      <c r="BA813" s="1" t="s">
        <v>74</v>
      </c>
      <c r="BB813" s="1">
        <v>1413.0</v>
      </c>
      <c r="BC813" s="1">
        <v>1416.0</v>
      </c>
      <c r="BD813" s="1" t="s">
        <v>74</v>
      </c>
      <c r="BE813" s="1" t="s">
        <v>7637</v>
      </c>
      <c r="BF813" s="2" t="str">
        <f>HYPERLINK("http://dx.doi.org/10.1103/PhysRevLett.81.1413","http://dx.doi.org/10.1103/PhysRevLett.81.1413")</f>
        <v>http://dx.doi.org/10.1103/PhysRevLett.81.1413</v>
      </c>
      <c r="BG813" s="1" t="s">
        <v>74</v>
      </c>
      <c r="BH813" s="1" t="s">
        <v>74</v>
      </c>
      <c r="BI813" s="1" t="s">
        <v>74</v>
      </c>
      <c r="BJ813" s="1" t="s">
        <v>74</v>
      </c>
      <c r="BK813" s="1" t="s">
        <v>74</v>
      </c>
      <c r="BL813" s="1" t="s">
        <v>74</v>
      </c>
      <c r="BM813" s="1" t="s">
        <v>74</v>
      </c>
      <c r="BN813" s="1" t="s">
        <v>74</v>
      </c>
      <c r="BO813" s="1" t="s">
        <v>74</v>
      </c>
      <c r="BP813" s="1" t="s">
        <v>74</v>
      </c>
      <c r="BQ813" s="1" t="s">
        <v>74</v>
      </c>
      <c r="BR813" s="1" t="s">
        <v>74</v>
      </c>
      <c r="BS813" s="1" t="s">
        <v>7638</v>
      </c>
      <c r="BT813" s="1" t="str">
        <f>HYPERLINK("https%3A%2F%2Fwww.webofscience.com%2Fwos%2Fwoscc%2Ffull-record%2FWOS:000075398100016","View Full Record in Web of Science")</f>
        <v>View Full Record in Web of Science</v>
      </c>
    </row>
    <row r="814" ht="12.75" customHeight="1">
      <c r="A814" s="1" t="s">
        <v>72</v>
      </c>
      <c r="B814" s="1" t="s">
        <v>7639</v>
      </c>
      <c r="C814" s="1" t="s">
        <v>74</v>
      </c>
      <c r="D814" s="1" t="s">
        <v>74</v>
      </c>
      <c r="E814" s="1" t="s">
        <v>74</v>
      </c>
      <c r="F814" s="1" t="s">
        <v>7640</v>
      </c>
      <c r="G814" s="1" t="s">
        <v>74</v>
      </c>
      <c r="H814" s="1" t="s">
        <v>74</v>
      </c>
      <c r="I814" s="1" t="s">
        <v>7641</v>
      </c>
      <c r="J814" s="1" t="s">
        <v>7642</v>
      </c>
      <c r="K814" s="1" t="s">
        <v>74</v>
      </c>
      <c r="L814" s="1" t="s">
        <v>74</v>
      </c>
      <c r="M814" s="1" t="s">
        <v>74</v>
      </c>
      <c r="N814" s="1" t="s">
        <v>74</v>
      </c>
      <c r="O814" s="1" t="s">
        <v>74</v>
      </c>
      <c r="P814" s="1" t="s">
        <v>74</v>
      </c>
      <c r="Q814" s="1" t="s">
        <v>74</v>
      </c>
      <c r="R814" s="1" t="s">
        <v>74</v>
      </c>
      <c r="S814" s="1" t="s">
        <v>74</v>
      </c>
      <c r="T814" s="1" t="s">
        <v>74</v>
      </c>
      <c r="U814" s="1" t="s">
        <v>74</v>
      </c>
      <c r="V814" s="1" t="s">
        <v>7643</v>
      </c>
      <c r="W814" s="1" t="s">
        <v>74</v>
      </c>
      <c r="X814" s="1" t="s">
        <v>74</v>
      </c>
      <c r="Y814" s="1" t="s">
        <v>74</v>
      </c>
      <c r="Z814" s="1" t="s">
        <v>74</v>
      </c>
      <c r="AA814" s="1" t="s">
        <v>555</v>
      </c>
      <c r="AB814" s="1" t="s">
        <v>7644</v>
      </c>
      <c r="AC814" s="1" t="s">
        <v>74</v>
      </c>
      <c r="AD814" s="1" t="s">
        <v>74</v>
      </c>
      <c r="AE814" s="1" t="s">
        <v>74</v>
      </c>
      <c r="AF814" s="1" t="s">
        <v>74</v>
      </c>
      <c r="AG814" s="1" t="s">
        <v>74</v>
      </c>
      <c r="AH814" s="1" t="s">
        <v>74</v>
      </c>
      <c r="AI814" s="1" t="s">
        <v>74</v>
      </c>
      <c r="AJ814" s="1" t="s">
        <v>74</v>
      </c>
      <c r="AK814" s="1" t="s">
        <v>74</v>
      </c>
      <c r="AL814" s="1" t="s">
        <v>74</v>
      </c>
      <c r="AM814" s="1" t="s">
        <v>74</v>
      </c>
      <c r="AN814" s="1" t="s">
        <v>74</v>
      </c>
      <c r="AO814" s="1" t="s">
        <v>74</v>
      </c>
      <c r="AP814" s="1" t="s">
        <v>7645</v>
      </c>
      <c r="AQ814" s="1" t="s">
        <v>74</v>
      </c>
      <c r="AR814" s="1" t="s">
        <v>74</v>
      </c>
      <c r="AS814" s="1" t="s">
        <v>74</v>
      </c>
      <c r="AT814" s="1" t="s">
        <v>389</v>
      </c>
      <c r="AU814" s="1">
        <v>2025.0</v>
      </c>
      <c r="AV814" s="1">
        <v>14.0</v>
      </c>
      <c r="AW814" s="1">
        <v>3.0</v>
      </c>
      <c r="AX814" s="1" t="s">
        <v>74</v>
      </c>
      <c r="AY814" s="1" t="s">
        <v>74</v>
      </c>
      <c r="AZ814" s="1" t="s">
        <v>74</v>
      </c>
      <c r="BA814" s="1" t="s">
        <v>74</v>
      </c>
      <c r="BB814" s="1" t="s">
        <v>74</v>
      </c>
      <c r="BC814" s="1" t="s">
        <v>74</v>
      </c>
      <c r="BD814" s="1">
        <v>462.0</v>
      </c>
      <c r="BE814" s="1" t="s">
        <v>7646</v>
      </c>
      <c r="BF814" s="2" t="str">
        <f>HYPERLINK("http://dx.doi.org/10.3390/foods14030462","http://dx.doi.org/10.3390/foods14030462")</f>
        <v>http://dx.doi.org/10.3390/foods14030462</v>
      </c>
      <c r="BG814" s="1" t="s">
        <v>74</v>
      </c>
      <c r="BH814" s="1" t="s">
        <v>74</v>
      </c>
      <c r="BI814" s="1" t="s">
        <v>74</v>
      </c>
      <c r="BJ814" s="1" t="s">
        <v>74</v>
      </c>
      <c r="BK814" s="1" t="s">
        <v>74</v>
      </c>
      <c r="BL814" s="1" t="s">
        <v>74</v>
      </c>
      <c r="BM814" s="1" t="s">
        <v>74</v>
      </c>
      <c r="BN814" s="1">
        <v>3.9942055E7</v>
      </c>
      <c r="BO814" s="1" t="s">
        <v>74</v>
      </c>
      <c r="BP814" s="1" t="s">
        <v>74</v>
      </c>
      <c r="BQ814" s="1" t="s">
        <v>74</v>
      </c>
      <c r="BR814" s="1" t="s">
        <v>74</v>
      </c>
      <c r="BS814" s="1" t="s">
        <v>7647</v>
      </c>
      <c r="BT814" s="1" t="str">
        <f>HYPERLINK("https%3A%2F%2Fwww.webofscience.com%2Fwos%2Fwoscc%2Ffull-record%2FWOS:001418544100001","View Full Record in Web of Science")</f>
        <v>View Full Record in Web of Science</v>
      </c>
    </row>
    <row r="815" ht="12.75" customHeight="1">
      <c r="A815" s="1" t="s">
        <v>72</v>
      </c>
      <c r="B815" s="1" t="s">
        <v>7648</v>
      </c>
      <c r="C815" s="1" t="s">
        <v>74</v>
      </c>
      <c r="D815" s="1" t="s">
        <v>74</v>
      </c>
      <c r="E815" s="1" t="s">
        <v>74</v>
      </c>
      <c r="F815" s="1" t="s">
        <v>7649</v>
      </c>
      <c r="G815" s="1" t="s">
        <v>74</v>
      </c>
      <c r="H815" s="1" t="s">
        <v>74</v>
      </c>
      <c r="I815" s="1" t="s">
        <v>7650</v>
      </c>
      <c r="J815" s="1" t="s">
        <v>7651</v>
      </c>
      <c r="K815" s="1" t="s">
        <v>74</v>
      </c>
      <c r="L815" s="1" t="s">
        <v>74</v>
      </c>
      <c r="M815" s="1" t="s">
        <v>74</v>
      </c>
      <c r="N815" s="1" t="s">
        <v>74</v>
      </c>
      <c r="O815" s="1" t="s">
        <v>74</v>
      </c>
      <c r="P815" s="1" t="s">
        <v>74</v>
      </c>
      <c r="Q815" s="1" t="s">
        <v>74</v>
      </c>
      <c r="R815" s="1" t="s">
        <v>74</v>
      </c>
      <c r="S815" s="1" t="s">
        <v>74</v>
      </c>
      <c r="T815" s="1" t="s">
        <v>74</v>
      </c>
      <c r="U815" s="1" t="s">
        <v>74</v>
      </c>
      <c r="V815" s="1" t="s">
        <v>7652</v>
      </c>
      <c r="W815" s="1" t="s">
        <v>74</v>
      </c>
      <c r="X815" s="1" t="s">
        <v>74</v>
      </c>
      <c r="Y815" s="1" t="s">
        <v>74</v>
      </c>
      <c r="Z815" s="1" t="s">
        <v>74</v>
      </c>
      <c r="AA815" s="1" t="s">
        <v>7653</v>
      </c>
      <c r="AB815" s="1" t="s">
        <v>7654</v>
      </c>
      <c r="AC815" s="1" t="s">
        <v>74</v>
      </c>
      <c r="AD815" s="1" t="s">
        <v>74</v>
      </c>
      <c r="AE815" s="1" t="s">
        <v>74</v>
      </c>
      <c r="AF815" s="1" t="s">
        <v>74</v>
      </c>
      <c r="AG815" s="1" t="s">
        <v>74</v>
      </c>
      <c r="AH815" s="1" t="s">
        <v>74</v>
      </c>
      <c r="AI815" s="1" t="s">
        <v>74</v>
      </c>
      <c r="AJ815" s="1" t="s">
        <v>74</v>
      </c>
      <c r="AK815" s="1" t="s">
        <v>74</v>
      </c>
      <c r="AL815" s="1" t="s">
        <v>74</v>
      </c>
      <c r="AM815" s="1" t="s">
        <v>74</v>
      </c>
      <c r="AN815" s="1" t="s">
        <v>74</v>
      </c>
      <c r="AO815" s="1" t="s">
        <v>7655</v>
      </c>
      <c r="AP815" s="1" t="s">
        <v>7656</v>
      </c>
      <c r="AQ815" s="1" t="s">
        <v>74</v>
      </c>
      <c r="AR815" s="1" t="s">
        <v>74</v>
      </c>
      <c r="AS815" s="1" t="s">
        <v>74</v>
      </c>
      <c r="AT815" s="1" t="s">
        <v>1666</v>
      </c>
      <c r="AU815" s="1">
        <v>2025.0</v>
      </c>
      <c r="AV815" s="1">
        <v>26.0</v>
      </c>
      <c r="AW815" s="1">
        <v>2.0</v>
      </c>
      <c r="AX815" s="1" t="s">
        <v>74</v>
      </c>
      <c r="AY815" s="1" t="s">
        <v>74</v>
      </c>
      <c r="AZ815" s="1" t="s">
        <v>74</v>
      </c>
      <c r="BA815" s="1" t="s">
        <v>74</v>
      </c>
      <c r="BB815" s="1">
        <v>198.0</v>
      </c>
      <c r="BC815" s="1">
        <v>220.0</v>
      </c>
      <c r="BD815" s="1" t="s">
        <v>74</v>
      </c>
      <c r="BE815" s="1" t="s">
        <v>7657</v>
      </c>
      <c r="BF815" s="2" t="str">
        <f>HYPERLINK("http://dx.doi.org/10.1080/15248372.2024.2418628","http://dx.doi.org/10.1080/15248372.2024.2418628")</f>
        <v>http://dx.doi.org/10.1080/15248372.2024.2418628</v>
      </c>
      <c r="BG815" s="1" t="s">
        <v>74</v>
      </c>
      <c r="BH815" s="1" t="s">
        <v>467</v>
      </c>
      <c r="BI815" s="1" t="s">
        <v>74</v>
      </c>
      <c r="BJ815" s="1" t="s">
        <v>74</v>
      </c>
      <c r="BK815" s="1" t="s">
        <v>74</v>
      </c>
      <c r="BL815" s="1" t="s">
        <v>74</v>
      </c>
      <c r="BM815" s="1" t="s">
        <v>74</v>
      </c>
      <c r="BN815" s="1" t="s">
        <v>74</v>
      </c>
      <c r="BO815" s="1" t="s">
        <v>74</v>
      </c>
      <c r="BP815" s="1" t="s">
        <v>74</v>
      </c>
      <c r="BQ815" s="1" t="s">
        <v>74</v>
      </c>
      <c r="BR815" s="1" t="s">
        <v>74</v>
      </c>
      <c r="BS815" s="1" t="s">
        <v>7658</v>
      </c>
      <c r="BT815" s="1" t="str">
        <f>HYPERLINK("https%3A%2F%2Fwww.webofscience.com%2Fwos%2Fwoscc%2Ffull-record%2FWOS:001353183100001","View Full Record in Web of Science")</f>
        <v>View Full Record in Web of Science</v>
      </c>
    </row>
    <row r="816" ht="12.75" customHeight="1">
      <c r="A816" s="1" t="s">
        <v>72</v>
      </c>
      <c r="B816" s="1" t="s">
        <v>7659</v>
      </c>
      <c r="C816" s="1" t="s">
        <v>74</v>
      </c>
      <c r="D816" s="1" t="s">
        <v>74</v>
      </c>
      <c r="E816" s="1" t="s">
        <v>74</v>
      </c>
      <c r="F816" s="1" t="s">
        <v>7660</v>
      </c>
      <c r="G816" s="1" t="s">
        <v>74</v>
      </c>
      <c r="H816" s="1" t="s">
        <v>74</v>
      </c>
      <c r="I816" s="1" t="s">
        <v>7661</v>
      </c>
      <c r="J816" s="1" t="s">
        <v>6591</v>
      </c>
      <c r="K816" s="1" t="s">
        <v>74</v>
      </c>
      <c r="L816" s="1" t="s">
        <v>74</v>
      </c>
      <c r="M816" s="1" t="s">
        <v>74</v>
      </c>
      <c r="N816" s="1" t="s">
        <v>74</v>
      </c>
      <c r="O816" s="1" t="s">
        <v>74</v>
      </c>
      <c r="P816" s="1" t="s">
        <v>74</v>
      </c>
      <c r="Q816" s="1" t="s">
        <v>74</v>
      </c>
      <c r="R816" s="1" t="s">
        <v>74</v>
      </c>
      <c r="S816" s="1" t="s">
        <v>74</v>
      </c>
      <c r="T816" s="1" t="s">
        <v>74</v>
      </c>
      <c r="U816" s="1" t="s">
        <v>74</v>
      </c>
      <c r="V816" s="1" t="s">
        <v>7662</v>
      </c>
      <c r="W816" s="1" t="s">
        <v>74</v>
      </c>
      <c r="X816" s="1" t="s">
        <v>74</v>
      </c>
      <c r="Y816" s="1" t="s">
        <v>74</v>
      </c>
      <c r="Z816" s="1" t="s">
        <v>74</v>
      </c>
      <c r="AA816" s="1" t="s">
        <v>74</v>
      </c>
      <c r="AB816" s="1" t="s">
        <v>7663</v>
      </c>
      <c r="AC816" s="1" t="s">
        <v>74</v>
      </c>
      <c r="AD816" s="1" t="s">
        <v>74</v>
      </c>
      <c r="AE816" s="1" t="s">
        <v>74</v>
      </c>
      <c r="AF816" s="1" t="s">
        <v>74</v>
      </c>
      <c r="AG816" s="1" t="s">
        <v>74</v>
      </c>
      <c r="AH816" s="1" t="s">
        <v>74</v>
      </c>
      <c r="AI816" s="1" t="s">
        <v>74</v>
      </c>
      <c r="AJ816" s="1" t="s">
        <v>74</v>
      </c>
      <c r="AK816" s="1" t="s">
        <v>74</v>
      </c>
      <c r="AL816" s="1" t="s">
        <v>74</v>
      </c>
      <c r="AM816" s="1" t="s">
        <v>74</v>
      </c>
      <c r="AN816" s="1" t="s">
        <v>74</v>
      </c>
      <c r="AO816" s="1" t="s">
        <v>6595</v>
      </c>
      <c r="AP816" s="1" t="s">
        <v>6596</v>
      </c>
      <c r="AQ816" s="1" t="s">
        <v>74</v>
      </c>
      <c r="AR816" s="1" t="s">
        <v>74</v>
      </c>
      <c r="AS816" s="1" t="s">
        <v>74</v>
      </c>
      <c r="AT816" s="1" t="s">
        <v>5771</v>
      </c>
      <c r="AU816" s="1">
        <v>2024.0</v>
      </c>
      <c r="AV816" s="1">
        <v>445.0</v>
      </c>
      <c r="AW816" s="1" t="s">
        <v>74</v>
      </c>
      <c r="AX816" s="1" t="s">
        <v>74</v>
      </c>
      <c r="AY816" s="1" t="s">
        <v>74</v>
      </c>
      <c r="AZ816" s="1" t="s">
        <v>74</v>
      </c>
      <c r="BA816" s="1" t="s">
        <v>74</v>
      </c>
      <c r="BB816" s="1" t="s">
        <v>74</v>
      </c>
      <c r="BC816" s="1" t="s">
        <v>74</v>
      </c>
      <c r="BD816" s="1">
        <v>138828.0</v>
      </c>
      <c r="BE816" s="1" t="s">
        <v>7664</v>
      </c>
      <c r="BF816" s="2" t="str">
        <f>HYPERLINK("http://dx.doi.org/10.1016/j.foodchem.2024.138828","http://dx.doi.org/10.1016/j.foodchem.2024.138828")</f>
        <v>http://dx.doi.org/10.1016/j.foodchem.2024.138828</v>
      </c>
      <c r="BG816" s="1" t="s">
        <v>74</v>
      </c>
      <c r="BH816" s="1" t="s">
        <v>7665</v>
      </c>
      <c r="BI816" s="1" t="s">
        <v>74</v>
      </c>
      <c r="BJ816" s="1" t="s">
        <v>74</v>
      </c>
      <c r="BK816" s="1" t="s">
        <v>74</v>
      </c>
      <c r="BL816" s="1" t="s">
        <v>74</v>
      </c>
      <c r="BM816" s="1" t="s">
        <v>74</v>
      </c>
      <c r="BN816" s="1">
        <v>3.8401311E7</v>
      </c>
      <c r="BO816" s="1" t="s">
        <v>74</v>
      </c>
      <c r="BP816" s="1" t="s">
        <v>74</v>
      </c>
      <c r="BQ816" s="1" t="s">
        <v>74</v>
      </c>
      <c r="BR816" s="1" t="s">
        <v>74</v>
      </c>
      <c r="BS816" s="1" t="s">
        <v>7666</v>
      </c>
      <c r="BT816" s="1" t="str">
        <f>HYPERLINK("https%3A%2F%2Fwww.webofscience.com%2Fwos%2Fwoscc%2Ffull-record%2FWOS:001196098100001","View Full Record in Web of Science")</f>
        <v>View Full Record in Web of Science</v>
      </c>
    </row>
    <row r="817" ht="12.75" customHeight="1">
      <c r="A817" s="1" t="s">
        <v>72</v>
      </c>
      <c r="B817" s="1" t="s">
        <v>7667</v>
      </c>
      <c r="C817" s="1" t="s">
        <v>74</v>
      </c>
      <c r="D817" s="1" t="s">
        <v>74</v>
      </c>
      <c r="E817" s="1" t="s">
        <v>74</v>
      </c>
      <c r="F817" s="1" t="s">
        <v>7668</v>
      </c>
      <c r="G817" s="1" t="s">
        <v>74</v>
      </c>
      <c r="H817" s="1" t="s">
        <v>74</v>
      </c>
      <c r="I817" s="1" t="s">
        <v>7669</v>
      </c>
      <c r="J817" s="1" t="s">
        <v>7670</v>
      </c>
      <c r="K817" s="1" t="s">
        <v>74</v>
      </c>
      <c r="L817" s="1" t="s">
        <v>74</v>
      </c>
      <c r="M817" s="1" t="s">
        <v>74</v>
      </c>
      <c r="N817" s="1" t="s">
        <v>74</v>
      </c>
      <c r="O817" s="1" t="s">
        <v>74</v>
      </c>
      <c r="P817" s="1" t="s">
        <v>74</v>
      </c>
      <c r="Q817" s="1" t="s">
        <v>74</v>
      </c>
      <c r="R817" s="1" t="s">
        <v>74</v>
      </c>
      <c r="S817" s="1" t="s">
        <v>74</v>
      </c>
      <c r="T817" s="1" t="s">
        <v>74</v>
      </c>
      <c r="U817" s="1" t="s">
        <v>74</v>
      </c>
      <c r="V817" s="1" t="s">
        <v>7671</v>
      </c>
      <c r="W817" s="1" t="s">
        <v>74</v>
      </c>
      <c r="X817" s="1" t="s">
        <v>74</v>
      </c>
      <c r="Y817" s="1" t="s">
        <v>74</v>
      </c>
      <c r="Z817" s="1" t="s">
        <v>74</v>
      </c>
      <c r="AA817" s="1" t="s">
        <v>74</v>
      </c>
      <c r="AB817" s="1" t="s">
        <v>74</v>
      </c>
      <c r="AC817" s="1" t="s">
        <v>74</v>
      </c>
      <c r="AD817" s="1" t="s">
        <v>74</v>
      </c>
      <c r="AE817" s="1" t="s">
        <v>74</v>
      </c>
      <c r="AF817" s="1" t="s">
        <v>74</v>
      </c>
      <c r="AG817" s="1" t="s">
        <v>74</v>
      </c>
      <c r="AH817" s="1" t="s">
        <v>74</v>
      </c>
      <c r="AI817" s="1" t="s">
        <v>74</v>
      </c>
      <c r="AJ817" s="1" t="s">
        <v>74</v>
      </c>
      <c r="AK817" s="1" t="s">
        <v>74</v>
      </c>
      <c r="AL817" s="1" t="s">
        <v>74</v>
      </c>
      <c r="AM817" s="1" t="s">
        <v>74</v>
      </c>
      <c r="AN817" s="1" t="s">
        <v>74</v>
      </c>
      <c r="AO817" s="1" t="s">
        <v>7672</v>
      </c>
      <c r="AP817" s="1" t="s">
        <v>74</v>
      </c>
      <c r="AQ817" s="1" t="s">
        <v>74</v>
      </c>
      <c r="AR817" s="1" t="s">
        <v>74</v>
      </c>
      <c r="AS817" s="1" t="s">
        <v>74</v>
      </c>
      <c r="AT817" s="1" t="s">
        <v>74</v>
      </c>
      <c r="AU817" s="1">
        <v>2024.0</v>
      </c>
      <c r="AV817" s="1">
        <v>9.0</v>
      </c>
      <c r="AW817" s="1" t="s">
        <v>74</v>
      </c>
      <c r="AX817" s="1" t="s">
        <v>74</v>
      </c>
      <c r="AY817" s="1" t="s">
        <v>74</v>
      </c>
      <c r="AZ817" s="1" t="s">
        <v>74</v>
      </c>
      <c r="BA817" s="1" t="s">
        <v>74</v>
      </c>
      <c r="BB817" s="1" t="s">
        <v>74</v>
      </c>
      <c r="BC817" s="1" t="s">
        <v>74</v>
      </c>
      <c r="BD817" s="1">
        <v>7297.0</v>
      </c>
      <c r="BE817" s="1" t="s">
        <v>7673</v>
      </c>
      <c r="BF817" s="2" t="str">
        <f>HYPERLINK("http://dx.doi.org/10.17645/up.7297","http://dx.doi.org/10.17645/up.7297")</f>
        <v>http://dx.doi.org/10.17645/up.7297</v>
      </c>
      <c r="BG817" s="1" t="s">
        <v>74</v>
      </c>
      <c r="BH817" s="1" t="s">
        <v>74</v>
      </c>
      <c r="BI817" s="1" t="s">
        <v>74</v>
      </c>
      <c r="BJ817" s="1" t="s">
        <v>74</v>
      </c>
      <c r="BK817" s="1" t="s">
        <v>74</v>
      </c>
      <c r="BL817" s="1" t="s">
        <v>74</v>
      </c>
      <c r="BM817" s="1" t="s">
        <v>74</v>
      </c>
      <c r="BN817" s="1" t="s">
        <v>74</v>
      </c>
      <c r="BO817" s="1" t="s">
        <v>74</v>
      </c>
      <c r="BP817" s="1" t="s">
        <v>74</v>
      </c>
      <c r="BQ817" s="1" t="s">
        <v>74</v>
      </c>
      <c r="BR817" s="1" t="s">
        <v>74</v>
      </c>
      <c r="BS817" s="1" t="s">
        <v>7674</v>
      </c>
      <c r="BT817" s="1" t="str">
        <f>HYPERLINK("https%3A%2F%2Fwww.webofscience.com%2Fwos%2Fwoscc%2Ffull-record%2FWOS:001194358600008","View Full Record in Web of Science")</f>
        <v>View Full Record in Web of Science</v>
      </c>
    </row>
    <row r="818" ht="12.75" customHeight="1">
      <c r="A818" s="1" t="s">
        <v>72</v>
      </c>
      <c r="B818" s="1" t="s">
        <v>7675</v>
      </c>
      <c r="C818" s="1" t="s">
        <v>74</v>
      </c>
      <c r="D818" s="1" t="s">
        <v>74</v>
      </c>
      <c r="E818" s="1" t="s">
        <v>74</v>
      </c>
      <c r="F818" s="1" t="s">
        <v>7676</v>
      </c>
      <c r="G818" s="1" t="s">
        <v>74</v>
      </c>
      <c r="H818" s="1" t="s">
        <v>74</v>
      </c>
      <c r="I818" s="1" t="s">
        <v>7677</v>
      </c>
      <c r="J818" s="1" t="s">
        <v>5754</v>
      </c>
      <c r="K818" s="1" t="s">
        <v>74</v>
      </c>
      <c r="L818" s="1" t="s">
        <v>74</v>
      </c>
      <c r="M818" s="1" t="s">
        <v>74</v>
      </c>
      <c r="N818" s="1" t="s">
        <v>74</v>
      </c>
      <c r="O818" s="1" t="s">
        <v>74</v>
      </c>
      <c r="P818" s="1" t="s">
        <v>74</v>
      </c>
      <c r="Q818" s="1" t="s">
        <v>74</v>
      </c>
      <c r="R818" s="1" t="s">
        <v>74</v>
      </c>
      <c r="S818" s="1" t="s">
        <v>74</v>
      </c>
      <c r="T818" s="1" t="s">
        <v>74</v>
      </c>
      <c r="U818" s="1" t="s">
        <v>74</v>
      </c>
      <c r="V818" s="1" t="s">
        <v>7678</v>
      </c>
      <c r="W818" s="1" t="s">
        <v>74</v>
      </c>
      <c r="X818" s="1" t="s">
        <v>74</v>
      </c>
      <c r="Y818" s="1" t="s">
        <v>74</v>
      </c>
      <c r="Z818" s="1" t="s">
        <v>74</v>
      </c>
      <c r="AA818" s="1" t="s">
        <v>7679</v>
      </c>
      <c r="AB818" s="1" t="s">
        <v>7680</v>
      </c>
      <c r="AC818" s="1" t="s">
        <v>74</v>
      </c>
      <c r="AD818" s="1" t="s">
        <v>74</v>
      </c>
      <c r="AE818" s="1" t="s">
        <v>74</v>
      </c>
      <c r="AF818" s="1" t="s">
        <v>74</v>
      </c>
      <c r="AG818" s="1" t="s">
        <v>74</v>
      </c>
      <c r="AH818" s="1" t="s">
        <v>74</v>
      </c>
      <c r="AI818" s="1" t="s">
        <v>74</v>
      </c>
      <c r="AJ818" s="1" t="s">
        <v>74</v>
      </c>
      <c r="AK818" s="1" t="s">
        <v>74</v>
      </c>
      <c r="AL818" s="1" t="s">
        <v>74</v>
      </c>
      <c r="AM818" s="1" t="s">
        <v>74</v>
      </c>
      <c r="AN818" s="1" t="s">
        <v>74</v>
      </c>
      <c r="AO818" s="1" t="s">
        <v>5757</v>
      </c>
      <c r="AP818" s="1" t="s">
        <v>5758</v>
      </c>
      <c r="AQ818" s="1" t="s">
        <v>74</v>
      </c>
      <c r="AR818" s="1" t="s">
        <v>74</v>
      </c>
      <c r="AS818" s="1" t="s">
        <v>74</v>
      </c>
      <c r="AT818" s="1" t="s">
        <v>621</v>
      </c>
      <c r="AU818" s="1">
        <v>2022.0</v>
      </c>
      <c r="AV818" s="1">
        <v>51.0</v>
      </c>
      <c r="AW818" s="1" t="s">
        <v>74</v>
      </c>
      <c r="AX818" s="1" t="s">
        <v>74</v>
      </c>
      <c r="AY818" s="1" t="s">
        <v>74</v>
      </c>
      <c r="AZ818" s="1" t="s">
        <v>74</v>
      </c>
      <c r="BA818" s="1" t="s">
        <v>74</v>
      </c>
      <c r="BB818" s="1" t="s">
        <v>74</v>
      </c>
      <c r="BC818" s="1" t="s">
        <v>74</v>
      </c>
      <c r="BD818" s="1">
        <v>104337.0</v>
      </c>
      <c r="BE818" s="1" t="s">
        <v>7681</v>
      </c>
      <c r="BF818" s="2" t="str">
        <f>HYPERLINK("http://dx.doi.org/10.1016/j.est.2022.104337","http://dx.doi.org/10.1016/j.est.2022.104337")</f>
        <v>http://dx.doi.org/10.1016/j.est.2022.104337</v>
      </c>
      <c r="BG818" s="1" t="s">
        <v>74</v>
      </c>
      <c r="BH818" s="1" t="s">
        <v>6715</v>
      </c>
      <c r="BI818" s="1" t="s">
        <v>74</v>
      </c>
      <c r="BJ818" s="1" t="s">
        <v>74</v>
      </c>
      <c r="BK818" s="1" t="s">
        <v>74</v>
      </c>
      <c r="BL818" s="1" t="s">
        <v>74</v>
      </c>
      <c r="BM818" s="1" t="s">
        <v>74</v>
      </c>
      <c r="BN818" s="1" t="s">
        <v>74</v>
      </c>
      <c r="BO818" s="1" t="s">
        <v>74</v>
      </c>
      <c r="BP818" s="1" t="s">
        <v>74</v>
      </c>
      <c r="BQ818" s="1" t="s">
        <v>74</v>
      </c>
      <c r="BR818" s="1" t="s">
        <v>74</v>
      </c>
      <c r="BS818" s="1" t="s">
        <v>7682</v>
      </c>
      <c r="BT818" s="1" t="str">
        <f>HYPERLINK("https%3A%2F%2Fwww.webofscience.com%2Fwos%2Fwoscc%2Ffull-record%2FWOS:000780337000001","View Full Record in Web of Science")</f>
        <v>View Full Record in Web of Science</v>
      </c>
    </row>
    <row r="819" ht="12.75" customHeight="1">
      <c r="A819" s="1" t="s">
        <v>72</v>
      </c>
      <c r="B819" s="1" t="s">
        <v>7683</v>
      </c>
      <c r="C819" s="1" t="s">
        <v>74</v>
      </c>
      <c r="D819" s="1" t="s">
        <v>74</v>
      </c>
      <c r="E819" s="1" t="s">
        <v>74</v>
      </c>
      <c r="F819" s="1" t="s">
        <v>7684</v>
      </c>
      <c r="G819" s="1" t="s">
        <v>74</v>
      </c>
      <c r="H819" s="1" t="s">
        <v>74</v>
      </c>
      <c r="I819" s="1" t="s">
        <v>7685</v>
      </c>
      <c r="J819" s="1" t="s">
        <v>7686</v>
      </c>
      <c r="K819" s="1" t="s">
        <v>74</v>
      </c>
      <c r="L819" s="1" t="s">
        <v>74</v>
      </c>
      <c r="M819" s="1" t="s">
        <v>74</v>
      </c>
      <c r="N819" s="1" t="s">
        <v>74</v>
      </c>
      <c r="O819" s="1" t="s">
        <v>74</v>
      </c>
      <c r="P819" s="1" t="s">
        <v>74</v>
      </c>
      <c r="Q819" s="1" t="s">
        <v>74</v>
      </c>
      <c r="R819" s="1" t="s">
        <v>74</v>
      </c>
      <c r="S819" s="1" t="s">
        <v>74</v>
      </c>
      <c r="T819" s="1" t="s">
        <v>74</v>
      </c>
      <c r="U819" s="1" t="s">
        <v>74</v>
      </c>
      <c r="V819" s="1" t="s">
        <v>7687</v>
      </c>
      <c r="W819" s="1" t="s">
        <v>74</v>
      </c>
      <c r="X819" s="1" t="s">
        <v>74</v>
      </c>
      <c r="Y819" s="1" t="s">
        <v>74</v>
      </c>
      <c r="Z819" s="1" t="s">
        <v>74</v>
      </c>
      <c r="AA819" s="1" t="s">
        <v>7688</v>
      </c>
      <c r="AB819" s="1" t="s">
        <v>7689</v>
      </c>
      <c r="AC819" s="1" t="s">
        <v>74</v>
      </c>
      <c r="AD819" s="1" t="s">
        <v>74</v>
      </c>
      <c r="AE819" s="1" t="s">
        <v>74</v>
      </c>
      <c r="AF819" s="1" t="s">
        <v>74</v>
      </c>
      <c r="AG819" s="1" t="s">
        <v>74</v>
      </c>
      <c r="AH819" s="1" t="s">
        <v>74</v>
      </c>
      <c r="AI819" s="1" t="s">
        <v>74</v>
      </c>
      <c r="AJ819" s="1" t="s">
        <v>74</v>
      </c>
      <c r="AK819" s="1" t="s">
        <v>74</v>
      </c>
      <c r="AL819" s="1" t="s">
        <v>74</v>
      </c>
      <c r="AM819" s="1" t="s">
        <v>74</v>
      </c>
      <c r="AN819" s="1" t="s">
        <v>74</v>
      </c>
      <c r="AO819" s="1" t="s">
        <v>7690</v>
      </c>
      <c r="AP819" s="1" t="s">
        <v>74</v>
      </c>
      <c r="AQ819" s="1" t="s">
        <v>74</v>
      </c>
      <c r="AR819" s="1" t="s">
        <v>74</v>
      </c>
      <c r="AS819" s="1" t="s">
        <v>74</v>
      </c>
      <c r="AT819" s="1" t="s">
        <v>533</v>
      </c>
      <c r="AU819" s="1">
        <v>2022.0</v>
      </c>
      <c r="AV819" s="1">
        <v>24.0</v>
      </c>
      <c r="AW819" s="1">
        <v>1.0</v>
      </c>
      <c r="AX819" s="1" t="s">
        <v>74</v>
      </c>
      <c r="AY819" s="1" t="s">
        <v>74</v>
      </c>
      <c r="AZ819" s="1" t="s">
        <v>74</v>
      </c>
      <c r="BA819" s="1" t="s">
        <v>74</v>
      </c>
      <c r="BB819" s="1" t="s">
        <v>74</v>
      </c>
      <c r="BC819" s="1" t="s">
        <v>74</v>
      </c>
      <c r="BD819" s="1">
        <v>13026.0</v>
      </c>
      <c r="BE819" s="1" t="s">
        <v>7691</v>
      </c>
      <c r="BF819" s="2" t="str">
        <f>HYPERLINK("http://dx.doi.org/10.1088/1367-2630/ac45cd","http://dx.doi.org/10.1088/1367-2630/ac45cd")</f>
        <v>http://dx.doi.org/10.1088/1367-2630/ac45cd</v>
      </c>
      <c r="BG819" s="1" t="s">
        <v>74</v>
      </c>
      <c r="BH819" s="1" t="s">
        <v>74</v>
      </c>
      <c r="BI819" s="1" t="s">
        <v>74</v>
      </c>
      <c r="BJ819" s="1" t="s">
        <v>74</v>
      </c>
      <c r="BK819" s="1" t="s">
        <v>74</v>
      </c>
      <c r="BL819" s="1" t="s">
        <v>74</v>
      </c>
      <c r="BM819" s="1" t="s">
        <v>74</v>
      </c>
      <c r="BN819" s="1" t="s">
        <v>74</v>
      </c>
      <c r="BO819" s="1" t="s">
        <v>74</v>
      </c>
      <c r="BP819" s="1" t="s">
        <v>74</v>
      </c>
      <c r="BQ819" s="1" t="s">
        <v>74</v>
      </c>
      <c r="BR819" s="1" t="s">
        <v>74</v>
      </c>
      <c r="BS819" s="1" t="s">
        <v>7692</v>
      </c>
      <c r="BT819" s="1" t="str">
        <f>HYPERLINK("https%3A%2F%2Fwww.webofscience.com%2Fwos%2Fwoscc%2Ffull-record%2FWOS:000742190000001","View Full Record in Web of Science")</f>
        <v>View Full Record in Web of Science</v>
      </c>
    </row>
    <row r="820" ht="12.75" customHeight="1">
      <c r="A820" s="1" t="s">
        <v>72</v>
      </c>
      <c r="B820" s="1" t="s">
        <v>7693</v>
      </c>
      <c r="C820" s="1" t="s">
        <v>74</v>
      </c>
      <c r="D820" s="1" t="s">
        <v>74</v>
      </c>
      <c r="E820" s="1" t="s">
        <v>74</v>
      </c>
      <c r="F820" s="1" t="s">
        <v>7694</v>
      </c>
      <c r="G820" s="1" t="s">
        <v>74</v>
      </c>
      <c r="H820" s="1" t="s">
        <v>74</v>
      </c>
      <c r="I820" s="1" t="s">
        <v>7695</v>
      </c>
      <c r="J820" s="1" t="s">
        <v>7696</v>
      </c>
      <c r="K820" s="1" t="s">
        <v>74</v>
      </c>
      <c r="L820" s="1" t="s">
        <v>74</v>
      </c>
      <c r="M820" s="1" t="s">
        <v>74</v>
      </c>
      <c r="N820" s="1" t="s">
        <v>74</v>
      </c>
      <c r="O820" s="1" t="s">
        <v>74</v>
      </c>
      <c r="P820" s="1" t="s">
        <v>74</v>
      </c>
      <c r="Q820" s="1" t="s">
        <v>74</v>
      </c>
      <c r="R820" s="1" t="s">
        <v>74</v>
      </c>
      <c r="S820" s="1" t="s">
        <v>74</v>
      </c>
      <c r="T820" s="1" t="s">
        <v>74</v>
      </c>
      <c r="U820" s="1" t="s">
        <v>74</v>
      </c>
      <c r="V820" s="1" t="s">
        <v>7697</v>
      </c>
      <c r="W820" s="1" t="s">
        <v>74</v>
      </c>
      <c r="X820" s="1" t="s">
        <v>74</v>
      </c>
      <c r="Y820" s="1" t="s">
        <v>74</v>
      </c>
      <c r="Z820" s="1" t="s">
        <v>74</v>
      </c>
      <c r="AA820" s="1" t="s">
        <v>7698</v>
      </c>
      <c r="AB820" s="1" t="s">
        <v>7699</v>
      </c>
      <c r="AC820" s="1" t="s">
        <v>74</v>
      </c>
      <c r="AD820" s="1" t="s">
        <v>74</v>
      </c>
      <c r="AE820" s="1" t="s">
        <v>74</v>
      </c>
      <c r="AF820" s="1" t="s">
        <v>74</v>
      </c>
      <c r="AG820" s="1" t="s">
        <v>74</v>
      </c>
      <c r="AH820" s="1" t="s">
        <v>74</v>
      </c>
      <c r="AI820" s="1" t="s">
        <v>74</v>
      </c>
      <c r="AJ820" s="1" t="s">
        <v>74</v>
      </c>
      <c r="AK820" s="1" t="s">
        <v>74</v>
      </c>
      <c r="AL820" s="1" t="s">
        <v>74</v>
      </c>
      <c r="AM820" s="1" t="s">
        <v>74</v>
      </c>
      <c r="AN820" s="1" t="s">
        <v>74</v>
      </c>
      <c r="AO820" s="1" t="s">
        <v>7700</v>
      </c>
      <c r="AP820" s="1" t="s">
        <v>7701</v>
      </c>
      <c r="AQ820" s="1" t="s">
        <v>74</v>
      </c>
      <c r="AR820" s="1" t="s">
        <v>74</v>
      </c>
      <c r="AS820" s="1" t="s">
        <v>74</v>
      </c>
      <c r="AT820" s="1" t="s">
        <v>7702</v>
      </c>
      <c r="AU820" s="1">
        <v>2023.0</v>
      </c>
      <c r="AV820" s="1">
        <v>45.0</v>
      </c>
      <c r="AW820" s="1">
        <v>9.0</v>
      </c>
      <c r="AX820" s="1" t="s">
        <v>74</v>
      </c>
      <c r="AY820" s="1" t="s">
        <v>74</v>
      </c>
      <c r="AZ820" s="1" t="s">
        <v>74</v>
      </c>
      <c r="BA820" s="1" t="s">
        <v>74</v>
      </c>
      <c r="BB820" s="1">
        <v>1644.0</v>
      </c>
      <c r="BC820" s="1">
        <v>1663.0</v>
      </c>
      <c r="BD820" s="1" t="s">
        <v>74</v>
      </c>
      <c r="BE820" s="1" t="s">
        <v>7703</v>
      </c>
      <c r="BF820" s="2" t="str">
        <f>HYPERLINK("http://dx.doi.org/10.1080/07352166.2021.1974302","http://dx.doi.org/10.1080/07352166.2021.1974302")</f>
        <v>http://dx.doi.org/10.1080/07352166.2021.1974302</v>
      </c>
      <c r="BG820" s="1" t="s">
        <v>74</v>
      </c>
      <c r="BH820" s="1" t="s">
        <v>3698</v>
      </c>
      <c r="BI820" s="1" t="s">
        <v>74</v>
      </c>
      <c r="BJ820" s="1" t="s">
        <v>74</v>
      </c>
      <c r="BK820" s="1" t="s">
        <v>74</v>
      </c>
      <c r="BL820" s="1" t="s">
        <v>74</v>
      </c>
      <c r="BM820" s="1" t="s">
        <v>74</v>
      </c>
      <c r="BN820" s="1" t="s">
        <v>74</v>
      </c>
      <c r="BO820" s="1" t="s">
        <v>74</v>
      </c>
      <c r="BP820" s="1" t="s">
        <v>74</v>
      </c>
      <c r="BQ820" s="1" t="s">
        <v>74</v>
      </c>
      <c r="BR820" s="1" t="s">
        <v>74</v>
      </c>
      <c r="BS820" s="1" t="s">
        <v>7704</v>
      </c>
      <c r="BT820" s="1" t="str">
        <f>HYPERLINK("https%3A%2F%2Fwww.webofscience.com%2Fwos%2Fwoscc%2Ffull-record%2FWOS:000707124500001","View Full Record in Web of Science")</f>
        <v>View Full Record in Web of Science</v>
      </c>
    </row>
    <row r="821" ht="12.75" customHeight="1">
      <c r="A821" s="1" t="s">
        <v>72</v>
      </c>
      <c r="B821" s="1" t="s">
        <v>7705</v>
      </c>
      <c r="C821" s="1" t="s">
        <v>74</v>
      </c>
      <c r="D821" s="1" t="s">
        <v>74</v>
      </c>
      <c r="E821" s="1" t="s">
        <v>74</v>
      </c>
      <c r="F821" s="1" t="s">
        <v>7706</v>
      </c>
      <c r="G821" s="1" t="s">
        <v>74</v>
      </c>
      <c r="H821" s="1" t="s">
        <v>74</v>
      </c>
      <c r="I821" s="1" t="s">
        <v>7707</v>
      </c>
      <c r="J821" s="1" t="s">
        <v>4824</v>
      </c>
      <c r="K821" s="1" t="s">
        <v>74</v>
      </c>
      <c r="L821" s="1" t="s">
        <v>74</v>
      </c>
      <c r="M821" s="1" t="s">
        <v>74</v>
      </c>
      <c r="N821" s="1" t="s">
        <v>74</v>
      </c>
      <c r="O821" s="1" t="s">
        <v>74</v>
      </c>
      <c r="P821" s="1" t="s">
        <v>74</v>
      </c>
      <c r="Q821" s="1" t="s">
        <v>74</v>
      </c>
      <c r="R821" s="1" t="s">
        <v>74</v>
      </c>
      <c r="S821" s="1" t="s">
        <v>74</v>
      </c>
      <c r="T821" s="1" t="s">
        <v>74</v>
      </c>
      <c r="U821" s="1" t="s">
        <v>74</v>
      </c>
      <c r="V821" s="1" t="s">
        <v>7708</v>
      </c>
      <c r="W821" s="1" t="s">
        <v>74</v>
      </c>
      <c r="X821" s="1" t="s">
        <v>74</v>
      </c>
      <c r="Y821" s="1" t="s">
        <v>74</v>
      </c>
      <c r="Z821" s="1" t="s">
        <v>74</v>
      </c>
      <c r="AA821" s="1" t="s">
        <v>74</v>
      </c>
      <c r="AB821" s="1" t="s">
        <v>74</v>
      </c>
      <c r="AC821" s="1" t="s">
        <v>74</v>
      </c>
      <c r="AD821" s="1" t="s">
        <v>74</v>
      </c>
      <c r="AE821" s="1" t="s">
        <v>74</v>
      </c>
      <c r="AF821" s="1" t="s">
        <v>74</v>
      </c>
      <c r="AG821" s="1" t="s">
        <v>74</v>
      </c>
      <c r="AH821" s="1" t="s">
        <v>74</v>
      </c>
      <c r="AI821" s="1" t="s">
        <v>74</v>
      </c>
      <c r="AJ821" s="1" t="s">
        <v>74</v>
      </c>
      <c r="AK821" s="1" t="s">
        <v>74</v>
      </c>
      <c r="AL821" s="1" t="s">
        <v>74</v>
      </c>
      <c r="AM821" s="1" t="s">
        <v>74</v>
      </c>
      <c r="AN821" s="1" t="s">
        <v>74</v>
      </c>
      <c r="AO821" s="1" t="s">
        <v>4826</v>
      </c>
      <c r="AP821" s="1" t="s">
        <v>4827</v>
      </c>
      <c r="AQ821" s="1" t="s">
        <v>74</v>
      </c>
      <c r="AR821" s="1" t="s">
        <v>74</v>
      </c>
      <c r="AS821" s="1" t="s">
        <v>74</v>
      </c>
      <c r="AT821" s="1" t="s">
        <v>74</v>
      </c>
      <c r="AU821" s="1">
        <v>2020.0</v>
      </c>
      <c r="AV821" s="1" t="s">
        <v>74</v>
      </c>
      <c r="AW821" s="1">
        <v>65.0</v>
      </c>
      <c r="AX821" s="1" t="s">
        <v>74</v>
      </c>
      <c r="AY821" s="1" t="s">
        <v>74</v>
      </c>
      <c r="AZ821" s="1" t="s">
        <v>74</v>
      </c>
      <c r="BA821" s="1" t="s">
        <v>74</v>
      </c>
      <c r="BB821" s="1">
        <v>169.0</v>
      </c>
      <c r="BC821" s="1">
        <v>194.0</v>
      </c>
      <c r="BD821" s="1" t="s">
        <v>74</v>
      </c>
      <c r="BE821" s="1" t="s">
        <v>7709</v>
      </c>
      <c r="BF821" s="2" t="str">
        <f>HYPERLINK("http://dx.doi.org/10.4067/s0071-17132020000100169","http://dx.doi.org/10.4067/s0071-17132020000100169")</f>
        <v>http://dx.doi.org/10.4067/s0071-17132020000100169</v>
      </c>
      <c r="BG821" s="1" t="s">
        <v>74</v>
      </c>
      <c r="BH821" s="1" t="s">
        <v>74</v>
      </c>
      <c r="BI821" s="1" t="s">
        <v>74</v>
      </c>
      <c r="BJ821" s="1" t="s">
        <v>74</v>
      </c>
      <c r="BK821" s="1" t="s">
        <v>74</v>
      </c>
      <c r="BL821" s="1" t="s">
        <v>74</v>
      </c>
      <c r="BM821" s="1" t="s">
        <v>74</v>
      </c>
      <c r="BN821" s="1" t="s">
        <v>74</v>
      </c>
      <c r="BO821" s="1" t="s">
        <v>74</v>
      </c>
      <c r="BP821" s="1" t="s">
        <v>74</v>
      </c>
      <c r="BQ821" s="1" t="s">
        <v>74</v>
      </c>
      <c r="BR821" s="1" t="s">
        <v>74</v>
      </c>
      <c r="BS821" s="1" t="s">
        <v>7710</v>
      </c>
      <c r="BT821" s="1" t="str">
        <f>HYPERLINK("https%3A%2F%2Fwww.webofscience.com%2Fwos%2Fwoscc%2Ffull-record%2FWOS:000572536500010","View Full Record in Web of Science")</f>
        <v>View Full Record in Web of Science</v>
      </c>
    </row>
    <row r="822" ht="12.75" customHeight="1">
      <c r="A822" s="1" t="s">
        <v>72</v>
      </c>
      <c r="B822" s="1" t="s">
        <v>7711</v>
      </c>
      <c r="C822" s="1" t="s">
        <v>74</v>
      </c>
      <c r="D822" s="1" t="s">
        <v>74</v>
      </c>
      <c r="E822" s="1" t="s">
        <v>74</v>
      </c>
      <c r="F822" s="1" t="s">
        <v>7712</v>
      </c>
      <c r="G822" s="1" t="s">
        <v>74</v>
      </c>
      <c r="H822" s="1" t="s">
        <v>74</v>
      </c>
      <c r="I822" s="1" t="s">
        <v>7713</v>
      </c>
      <c r="J822" s="1" t="s">
        <v>7714</v>
      </c>
      <c r="K822" s="1" t="s">
        <v>74</v>
      </c>
      <c r="L822" s="1" t="s">
        <v>74</v>
      </c>
      <c r="M822" s="1" t="s">
        <v>74</v>
      </c>
      <c r="N822" s="1" t="s">
        <v>74</v>
      </c>
      <c r="O822" s="1" t="s">
        <v>74</v>
      </c>
      <c r="P822" s="1" t="s">
        <v>74</v>
      </c>
      <c r="Q822" s="1" t="s">
        <v>74</v>
      </c>
      <c r="R822" s="1" t="s">
        <v>74</v>
      </c>
      <c r="S822" s="1" t="s">
        <v>74</v>
      </c>
      <c r="T822" s="1" t="s">
        <v>74</v>
      </c>
      <c r="U822" s="1" t="s">
        <v>74</v>
      </c>
      <c r="V822" s="1" t="s">
        <v>7715</v>
      </c>
      <c r="W822" s="1" t="s">
        <v>74</v>
      </c>
      <c r="X822" s="1" t="s">
        <v>74</v>
      </c>
      <c r="Y822" s="1" t="s">
        <v>74</v>
      </c>
      <c r="Z822" s="1" t="s">
        <v>74</v>
      </c>
      <c r="AA822" s="1" t="s">
        <v>7716</v>
      </c>
      <c r="AB822" s="1" t="s">
        <v>7717</v>
      </c>
      <c r="AC822" s="1" t="s">
        <v>74</v>
      </c>
      <c r="AD822" s="1" t="s">
        <v>74</v>
      </c>
      <c r="AE822" s="1" t="s">
        <v>74</v>
      </c>
      <c r="AF822" s="1" t="s">
        <v>74</v>
      </c>
      <c r="AG822" s="1" t="s">
        <v>74</v>
      </c>
      <c r="AH822" s="1" t="s">
        <v>74</v>
      </c>
      <c r="AI822" s="1" t="s">
        <v>74</v>
      </c>
      <c r="AJ822" s="1" t="s">
        <v>74</v>
      </c>
      <c r="AK822" s="1" t="s">
        <v>74</v>
      </c>
      <c r="AL822" s="1" t="s">
        <v>74</v>
      </c>
      <c r="AM822" s="1" t="s">
        <v>74</v>
      </c>
      <c r="AN822" s="1" t="s">
        <v>74</v>
      </c>
      <c r="AO822" s="1" t="s">
        <v>7718</v>
      </c>
      <c r="AP822" s="1" t="s">
        <v>74</v>
      </c>
      <c r="AQ822" s="1" t="s">
        <v>74</v>
      </c>
      <c r="AR822" s="1" t="s">
        <v>74</v>
      </c>
      <c r="AS822" s="1" t="s">
        <v>74</v>
      </c>
      <c r="AT822" s="1" t="s">
        <v>7719</v>
      </c>
      <c r="AU822" s="1">
        <v>2018.0</v>
      </c>
      <c r="AV822" s="1">
        <v>19.0</v>
      </c>
      <c r="AW822" s="1" t="s">
        <v>74</v>
      </c>
      <c r="AX822" s="1" t="s">
        <v>74</v>
      </c>
      <c r="AY822" s="1" t="s">
        <v>74</v>
      </c>
      <c r="AZ822" s="1" t="s">
        <v>74</v>
      </c>
      <c r="BA822" s="1" t="s">
        <v>74</v>
      </c>
      <c r="BB822" s="1" t="s">
        <v>74</v>
      </c>
      <c r="BC822" s="1" t="s">
        <v>74</v>
      </c>
      <c r="BD822" s="1">
        <v>829.0</v>
      </c>
      <c r="BE822" s="1" t="s">
        <v>7720</v>
      </c>
      <c r="BF822" s="2" t="str">
        <f>HYPERLINK("http://dx.doi.org/10.1186/s12864-018-5226-4","http://dx.doi.org/10.1186/s12864-018-5226-4")</f>
        <v>http://dx.doi.org/10.1186/s12864-018-5226-4</v>
      </c>
      <c r="BG822" s="1" t="s">
        <v>74</v>
      </c>
      <c r="BH822" s="1" t="s">
        <v>74</v>
      </c>
      <c r="BI822" s="1" t="s">
        <v>74</v>
      </c>
      <c r="BJ822" s="1" t="s">
        <v>74</v>
      </c>
      <c r="BK822" s="1" t="s">
        <v>74</v>
      </c>
      <c r="BL822" s="1" t="s">
        <v>74</v>
      </c>
      <c r="BM822" s="1" t="s">
        <v>74</v>
      </c>
      <c r="BN822" s="1">
        <v>3.0458726E7</v>
      </c>
      <c r="BO822" s="1" t="s">
        <v>74</v>
      </c>
      <c r="BP822" s="1" t="s">
        <v>74</v>
      </c>
      <c r="BQ822" s="1" t="s">
        <v>74</v>
      </c>
      <c r="BR822" s="1" t="s">
        <v>74</v>
      </c>
      <c r="BS822" s="1" t="s">
        <v>7721</v>
      </c>
      <c r="BT822" s="1" t="str">
        <f>HYPERLINK("https%3A%2F%2Fwww.webofscience.com%2Fwos%2Fwoscc%2Ffull-record%2FWOS:000450776700004","View Full Record in Web of Science")</f>
        <v>View Full Record in Web of Science</v>
      </c>
    </row>
    <row r="823" ht="12.75" customHeight="1">
      <c r="A823" s="1" t="s">
        <v>72</v>
      </c>
      <c r="B823" s="1" t="s">
        <v>7722</v>
      </c>
      <c r="C823" s="1" t="s">
        <v>74</v>
      </c>
      <c r="D823" s="1" t="s">
        <v>74</v>
      </c>
      <c r="E823" s="1" t="s">
        <v>74</v>
      </c>
      <c r="F823" s="1" t="s">
        <v>7723</v>
      </c>
      <c r="G823" s="1" t="s">
        <v>74</v>
      </c>
      <c r="H823" s="1" t="s">
        <v>74</v>
      </c>
      <c r="I823" s="1" t="s">
        <v>7724</v>
      </c>
      <c r="J823" s="1" t="s">
        <v>1933</v>
      </c>
      <c r="K823" s="1" t="s">
        <v>74</v>
      </c>
      <c r="L823" s="1" t="s">
        <v>74</v>
      </c>
      <c r="M823" s="1" t="s">
        <v>74</v>
      </c>
      <c r="N823" s="1" t="s">
        <v>74</v>
      </c>
      <c r="O823" s="1" t="s">
        <v>74</v>
      </c>
      <c r="P823" s="1" t="s">
        <v>74</v>
      </c>
      <c r="Q823" s="1" t="s">
        <v>74</v>
      </c>
      <c r="R823" s="1" t="s">
        <v>74</v>
      </c>
      <c r="S823" s="1" t="s">
        <v>74</v>
      </c>
      <c r="T823" s="1" t="s">
        <v>74</v>
      </c>
      <c r="U823" s="1" t="s">
        <v>74</v>
      </c>
      <c r="V823" s="1" t="s">
        <v>7725</v>
      </c>
      <c r="W823" s="1" t="s">
        <v>74</v>
      </c>
      <c r="X823" s="1" t="s">
        <v>74</v>
      </c>
      <c r="Y823" s="1" t="s">
        <v>74</v>
      </c>
      <c r="Z823" s="1" t="s">
        <v>74</v>
      </c>
      <c r="AA823" s="1" t="s">
        <v>7726</v>
      </c>
      <c r="AB823" s="1" t="s">
        <v>7727</v>
      </c>
      <c r="AC823" s="1" t="s">
        <v>74</v>
      </c>
      <c r="AD823" s="1" t="s">
        <v>74</v>
      </c>
      <c r="AE823" s="1" t="s">
        <v>74</v>
      </c>
      <c r="AF823" s="1" t="s">
        <v>74</v>
      </c>
      <c r="AG823" s="1" t="s">
        <v>74</v>
      </c>
      <c r="AH823" s="1" t="s">
        <v>74</v>
      </c>
      <c r="AI823" s="1" t="s">
        <v>74</v>
      </c>
      <c r="AJ823" s="1" t="s">
        <v>74</v>
      </c>
      <c r="AK823" s="1" t="s">
        <v>74</v>
      </c>
      <c r="AL823" s="1" t="s">
        <v>74</v>
      </c>
      <c r="AM823" s="1" t="s">
        <v>74</v>
      </c>
      <c r="AN823" s="1" t="s">
        <v>74</v>
      </c>
      <c r="AO823" s="1" t="s">
        <v>1936</v>
      </c>
      <c r="AP823" s="1" t="s">
        <v>1937</v>
      </c>
      <c r="AQ823" s="1" t="s">
        <v>74</v>
      </c>
      <c r="AR823" s="1" t="s">
        <v>74</v>
      </c>
      <c r="AS823" s="1" t="s">
        <v>74</v>
      </c>
      <c r="AT823" s="1" t="s">
        <v>1948</v>
      </c>
      <c r="AU823" s="1">
        <v>2018.0</v>
      </c>
      <c r="AV823" s="1">
        <v>182.0</v>
      </c>
      <c r="AW823" s="1" t="s">
        <v>74</v>
      </c>
      <c r="AX823" s="1" t="s">
        <v>74</v>
      </c>
      <c r="AY823" s="1" t="s">
        <v>74</v>
      </c>
      <c r="AZ823" s="1" t="s">
        <v>74</v>
      </c>
      <c r="BA823" s="1" t="s">
        <v>74</v>
      </c>
      <c r="BB823" s="1">
        <v>81.0</v>
      </c>
      <c r="BC823" s="1">
        <v>91.0</v>
      </c>
      <c r="BD823" s="1" t="s">
        <v>74</v>
      </c>
      <c r="BE823" s="1" t="s">
        <v>7728</v>
      </c>
      <c r="BF823" s="2" t="str">
        <f>HYPERLINK("http://dx.doi.org/10.1016/j.carbpol.2017.11.012","http://dx.doi.org/10.1016/j.carbpol.2017.11.012")</f>
        <v>http://dx.doi.org/10.1016/j.carbpol.2017.11.012</v>
      </c>
      <c r="BG823" s="1" t="s">
        <v>74</v>
      </c>
      <c r="BH823" s="1" t="s">
        <v>74</v>
      </c>
      <c r="BI823" s="1" t="s">
        <v>74</v>
      </c>
      <c r="BJ823" s="1" t="s">
        <v>74</v>
      </c>
      <c r="BK823" s="1" t="s">
        <v>74</v>
      </c>
      <c r="BL823" s="1" t="s">
        <v>74</v>
      </c>
      <c r="BM823" s="1" t="s">
        <v>74</v>
      </c>
      <c r="BN823" s="1">
        <v>2.927913E7</v>
      </c>
      <c r="BO823" s="1" t="s">
        <v>74</v>
      </c>
      <c r="BP823" s="1" t="s">
        <v>74</v>
      </c>
      <c r="BQ823" s="1" t="s">
        <v>74</v>
      </c>
      <c r="BR823" s="1" t="s">
        <v>74</v>
      </c>
      <c r="BS823" s="1" t="s">
        <v>7729</v>
      </c>
      <c r="BT823" s="1" t="str">
        <f>HYPERLINK("https%3A%2F%2Fwww.webofscience.com%2Fwos%2Fwoscc%2Ffull-record%2FWOS:000418661800011","View Full Record in Web of Science")</f>
        <v>View Full Record in Web of Science</v>
      </c>
    </row>
    <row r="824" ht="12.75" customHeight="1">
      <c r="A824" s="1" t="s">
        <v>72</v>
      </c>
      <c r="B824" s="1" t="s">
        <v>7730</v>
      </c>
      <c r="C824" s="1" t="s">
        <v>74</v>
      </c>
      <c r="D824" s="1" t="s">
        <v>74</v>
      </c>
      <c r="E824" s="1" t="s">
        <v>74</v>
      </c>
      <c r="F824" s="1" t="s">
        <v>7731</v>
      </c>
      <c r="G824" s="1" t="s">
        <v>74</v>
      </c>
      <c r="H824" s="1" t="s">
        <v>74</v>
      </c>
      <c r="I824" s="1" t="s">
        <v>7732</v>
      </c>
      <c r="J824" s="1" t="s">
        <v>7733</v>
      </c>
      <c r="K824" s="1" t="s">
        <v>74</v>
      </c>
      <c r="L824" s="1" t="s">
        <v>74</v>
      </c>
      <c r="M824" s="1" t="s">
        <v>74</v>
      </c>
      <c r="N824" s="1" t="s">
        <v>74</v>
      </c>
      <c r="O824" s="1" t="s">
        <v>74</v>
      </c>
      <c r="P824" s="1" t="s">
        <v>74</v>
      </c>
      <c r="Q824" s="1" t="s">
        <v>74</v>
      </c>
      <c r="R824" s="1" t="s">
        <v>74</v>
      </c>
      <c r="S824" s="1" t="s">
        <v>74</v>
      </c>
      <c r="T824" s="1" t="s">
        <v>74</v>
      </c>
      <c r="U824" s="1" t="s">
        <v>74</v>
      </c>
      <c r="V824" s="1" t="s">
        <v>7734</v>
      </c>
      <c r="W824" s="1" t="s">
        <v>74</v>
      </c>
      <c r="X824" s="1" t="s">
        <v>74</v>
      </c>
      <c r="Y824" s="1" t="s">
        <v>74</v>
      </c>
      <c r="Z824" s="1" t="s">
        <v>74</v>
      </c>
      <c r="AA824" s="1" t="s">
        <v>74</v>
      </c>
      <c r="AB824" s="1" t="s">
        <v>7735</v>
      </c>
      <c r="AC824" s="1" t="s">
        <v>74</v>
      </c>
      <c r="AD824" s="1" t="s">
        <v>74</v>
      </c>
      <c r="AE824" s="1" t="s">
        <v>74</v>
      </c>
      <c r="AF824" s="1" t="s">
        <v>74</v>
      </c>
      <c r="AG824" s="1" t="s">
        <v>74</v>
      </c>
      <c r="AH824" s="1" t="s">
        <v>74</v>
      </c>
      <c r="AI824" s="1" t="s">
        <v>74</v>
      </c>
      <c r="AJ824" s="1" t="s">
        <v>74</v>
      </c>
      <c r="AK824" s="1" t="s">
        <v>74</v>
      </c>
      <c r="AL824" s="1" t="s">
        <v>74</v>
      </c>
      <c r="AM824" s="1" t="s">
        <v>74</v>
      </c>
      <c r="AN824" s="1" t="s">
        <v>74</v>
      </c>
      <c r="AO824" s="1" t="s">
        <v>7736</v>
      </c>
      <c r="AP824" s="1" t="s">
        <v>74</v>
      </c>
      <c r="AQ824" s="1" t="s">
        <v>74</v>
      </c>
      <c r="AR824" s="1" t="s">
        <v>74</v>
      </c>
      <c r="AS824" s="1" t="s">
        <v>74</v>
      </c>
      <c r="AT824" s="1" t="s">
        <v>74</v>
      </c>
      <c r="AU824" s="1">
        <v>2018.0</v>
      </c>
      <c r="AV824" s="1">
        <v>18.0</v>
      </c>
      <c r="AW824" s="1">
        <v>2.0</v>
      </c>
      <c r="AX824" s="1" t="s">
        <v>74</v>
      </c>
      <c r="AY824" s="1" t="s">
        <v>74</v>
      </c>
      <c r="AZ824" s="1" t="s">
        <v>74</v>
      </c>
      <c r="BA824" s="1" t="s">
        <v>74</v>
      </c>
      <c r="BB824" s="1">
        <v>1067.0</v>
      </c>
      <c r="BC824" s="1">
        <v>1076.0</v>
      </c>
      <c r="BD824" s="1" t="s">
        <v>74</v>
      </c>
      <c r="BE824" s="1" t="s">
        <v>7737</v>
      </c>
      <c r="BF824" s="2" t="str">
        <f>HYPERLINK("http://dx.doi.org/10.2140/agt.2018.18.1067","http://dx.doi.org/10.2140/agt.2018.18.1067")</f>
        <v>http://dx.doi.org/10.2140/agt.2018.18.1067</v>
      </c>
      <c r="BG824" s="1" t="s">
        <v>74</v>
      </c>
      <c r="BH824" s="1" t="s">
        <v>74</v>
      </c>
      <c r="BI824" s="1" t="s">
        <v>74</v>
      </c>
      <c r="BJ824" s="1" t="s">
        <v>74</v>
      </c>
      <c r="BK824" s="1" t="s">
        <v>74</v>
      </c>
      <c r="BL824" s="1" t="s">
        <v>74</v>
      </c>
      <c r="BM824" s="1" t="s">
        <v>74</v>
      </c>
      <c r="BN824" s="1" t="s">
        <v>74</v>
      </c>
      <c r="BO824" s="1" t="s">
        <v>74</v>
      </c>
      <c r="BP824" s="1" t="s">
        <v>74</v>
      </c>
      <c r="BQ824" s="1" t="s">
        <v>74</v>
      </c>
      <c r="BR824" s="1" t="s">
        <v>74</v>
      </c>
      <c r="BS824" s="1" t="s">
        <v>7738</v>
      </c>
      <c r="BT824" s="1" t="str">
        <f>HYPERLINK("https%3A%2F%2Fwww.webofscience.com%2Fwos%2Fwoscc%2Ffull-record%2FWOS:000432962600014","View Full Record in Web of Science")</f>
        <v>View Full Record in Web of Science</v>
      </c>
    </row>
    <row r="825" ht="12.75" customHeight="1">
      <c r="A825" s="1" t="s">
        <v>86</v>
      </c>
      <c r="B825" s="1" t="s">
        <v>7739</v>
      </c>
      <c r="C825" s="1" t="s">
        <v>7740</v>
      </c>
      <c r="D825" s="1" t="s">
        <v>74</v>
      </c>
      <c r="E825" s="1" t="s">
        <v>74</v>
      </c>
      <c r="F825" s="1" t="s">
        <v>7741</v>
      </c>
      <c r="G825" s="1" t="s">
        <v>7740</v>
      </c>
      <c r="H825" s="1" t="s">
        <v>74</v>
      </c>
      <c r="I825" s="1" t="s">
        <v>7742</v>
      </c>
      <c r="J825" s="1" t="s">
        <v>7743</v>
      </c>
      <c r="K825" s="1" t="s">
        <v>74</v>
      </c>
      <c r="L825" s="1" t="s">
        <v>74</v>
      </c>
      <c r="M825" s="1" t="s">
        <v>74</v>
      </c>
      <c r="N825" s="1" t="s">
        <v>74</v>
      </c>
      <c r="O825" s="1" t="s">
        <v>74</v>
      </c>
      <c r="P825" s="1" t="s">
        <v>74</v>
      </c>
      <c r="Q825" s="1" t="s">
        <v>74</v>
      </c>
      <c r="R825" s="1" t="s">
        <v>74</v>
      </c>
      <c r="S825" s="1" t="s">
        <v>74</v>
      </c>
      <c r="T825" s="1" t="s">
        <v>74</v>
      </c>
      <c r="U825" s="1" t="s">
        <v>74</v>
      </c>
      <c r="V825" s="1" t="s">
        <v>7744</v>
      </c>
      <c r="W825" s="1" t="s">
        <v>74</v>
      </c>
      <c r="X825" s="1" t="s">
        <v>74</v>
      </c>
      <c r="Y825" s="1" t="s">
        <v>74</v>
      </c>
      <c r="Z825" s="1" t="s">
        <v>74</v>
      </c>
      <c r="AA825" s="1" t="s">
        <v>74</v>
      </c>
      <c r="AB825" s="1" t="s">
        <v>74</v>
      </c>
      <c r="AC825" s="1" t="s">
        <v>74</v>
      </c>
      <c r="AD825" s="1" t="s">
        <v>74</v>
      </c>
      <c r="AE825" s="1" t="s">
        <v>74</v>
      </c>
      <c r="AF825" s="1" t="s">
        <v>74</v>
      </c>
      <c r="AG825" s="1" t="s">
        <v>74</v>
      </c>
      <c r="AH825" s="1" t="s">
        <v>74</v>
      </c>
      <c r="AI825" s="1" t="s">
        <v>74</v>
      </c>
      <c r="AJ825" s="1" t="s">
        <v>74</v>
      </c>
      <c r="AK825" s="1" t="s">
        <v>74</v>
      </c>
      <c r="AL825" s="1" t="s">
        <v>74</v>
      </c>
      <c r="AM825" s="1" t="s">
        <v>74</v>
      </c>
      <c r="AN825" s="1" t="s">
        <v>74</v>
      </c>
      <c r="AO825" s="1" t="s">
        <v>74</v>
      </c>
      <c r="AP825" s="1" t="s">
        <v>74</v>
      </c>
      <c r="AQ825" s="1" t="s">
        <v>7745</v>
      </c>
      <c r="AR825" s="1" t="s">
        <v>74</v>
      </c>
      <c r="AS825" s="1" t="s">
        <v>74</v>
      </c>
      <c r="AT825" s="1" t="s">
        <v>74</v>
      </c>
      <c r="AU825" s="1">
        <v>2018.0</v>
      </c>
      <c r="AV825" s="1" t="s">
        <v>74</v>
      </c>
      <c r="AW825" s="1" t="s">
        <v>74</v>
      </c>
      <c r="AX825" s="1" t="s">
        <v>74</v>
      </c>
      <c r="AY825" s="1" t="s">
        <v>74</v>
      </c>
      <c r="AZ825" s="1" t="s">
        <v>74</v>
      </c>
      <c r="BA825" s="1" t="s">
        <v>74</v>
      </c>
      <c r="BB825" s="1">
        <v>42.0</v>
      </c>
      <c r="BC825" s="1">
        <v>55.0</v>
      </c>
      <c r="BD825" s="1" t="s">
        <v>74</v>
      </c>
      <c r="BE825" s="1" t="s">
        <v>74</v>
      </c>
      <c r="BF825" s="1" t="s">
        <v>74</v>
      </c>
      <c r="BG825" s="1" t="s">
        <v>74</v>
      </c>
      <c r="BH825" s="1" t="s">
        <v>74</v>
      </c>
      <c r="BI825" s="1" t="s">
        <v>74</v>
      </c>
      <c r="BJ825" s="1" t="s">
        <v>74</v>
      </c>
      <c r="BK825" s="1" t="s">
        <v>74</v>
      </c>
      <c r="BL825" s="1" t="s">
        <v>74</v>
      </c>
      <c r="BM825" s="1" t="s">
        <v>74</v>
      </c>
      <c r="BN825" s="1" t="s">
        <v>74</v>
      </c>
      <c r="BO825" s="1" t="s">
        <v>74</v>
      </c>
      <c r="BP825" s="1" t="s">
        <v>74</v>
      </c>
      <c r="BQ825" s="1" t="s">
        <v>74</v>
      </c>
      <c r="BR825" s="1" t="s">
        <v>74</v>
      </c>
      <c r="BS825" s="1" t="s">
        <v>7746</v>
      </c>
      <c r="BT825" s="1" t="str">
        <f>HYPERLINK("https%3A%2F%2Fwww.webofscience.com%2Fwos%2Fwoscc%2Ffull-record%2FWOS:000483366800004","View Full Record in Web of Science")</f>
        <v>View Full Record in Web of Science</v>
      </c>
    </row>
    <row r="826" ht="12.75" customHeight="1">
      <c r="A826" s="1" t="s">
        <v>72</v>
      </c>
      <c r="B826" s="1" t="s">
        <v>7747</v>
      </c>
      <c r="C826" s="1" t="s">
        <v>74</v>
      </c>
      <c r="D826" s="1" t="s">
        <v>74</v>
      </c>
      <c r="E826" s="1" t="s">
        <v>74</v>
      </c>
      <c r="F826" s="1" t="s">
        <v>7748</v>
      </c>
      <c r="G826" s="1" t="s">
        <v>74</v>
      </c>
      <c r="H826" s="1" t="s">
        <v>74</v>
      </c>
      <c r="I826" s="1" t="s">
        <v>7749</v>
      </c>
      <c r="J826" s="1" t="s">
        <v>7750</v>
      </c>
      <c r="K826" s="1" t="s">
        <v>74</v>
      </c>
      <c r="L826" s="1" t="s">
        <v>74</v>
      </c>
      <c r="M826" s="1" t="s">
        <v>74</v>
      </c>
      <c r="N826" s="1" t="s">
        <v>74</v>
      </c>
      <c r="O826" s="1" t="s">
        <v>74</v>
      </c>
      <c r="P826" s="1" t="s">
        <v>74</v>
      </c>
      <c r="Q826" s="1" t="s">
        <v>74</v>
      </c>
      <c r="R826" s="1" t="s">
        <v>74</v>
      </c>
      <c r="S826" s="1" t="s">
        <v>74</v>
      </c>
      <c r="T826" s="1" t="s">
        <v>74</v>
      </c>
      <c r="U826" s="1" t="s">
        <v>74</v>
      </c>
      <c r="V826" s="1" t="s">
        <v>7751</v>
      </c>
      <c r="W826" s="1" t="s">
        <v>74</v>
      </c>
      <c r="X826" s="1" t="s">
        <v>74</v>
      </c>
      <c r="Y826" s="1" t="s">
        <v>74</v>
      </c>
      <c r="Z826" s="1" t="s">
        <v>74</v>
      </c>
      <c r="AA826" s="1" t="s">
        <v>7752</v>
      </c>
      <c r="AB826" s="1" t="s">
        <v>7753</v>
      </c>
      <c r="AC826" s="1" t="s">
        <v>74</v>
      </c>
      <c r="AD826" s="1" t="s">
        <v>74</v>
      </c>
      <c r="AE826" s="1" t="s">
        <v>74</v>
      </c>
      <c r="AF826" s="1" t="s">
        <v>74</v>
      </c>
      <c r="AG826" s="1" t="s">
        <v>74</v>
      </c>
      <c r="AH826" s="1" t="s">
        <v>74</v>
      </c>
      <c r="AI826" s="1" t="s">
        <v>74</v>
      </c>
      <c r="AJ826" s="1" t="s">
        <v>74</v>
      </c>
      <c r="AK826" s="1" t="s">
        <v>74</v>
      </c>
      <c r="AL826" s="1" t="s">
        <v>74</v>
      </c>
      <c r="AM826" s="1" t="s">
        <v>74</v>
      </c>
      <c r="AN826" s="1" t="s">
        <v>74</v>
      </c>
      <c r="AO826" s="1" t="s">
        <v>7754</v>
      </c>
      <c r="AP826" s="1" t="s">
        <v>7755</v>
      </c>
      <c r="AQ826" s="1" t="s">
        <v>74</v>
      </c>
      <c r="AR826" s="1" t="s">
        <v>74</v>
      </c>
      <c r="AS826" s="1" t="s">
        <v>74</v>
      </c>
      <c r="AT826" s="1" t="s">
        <v>221</v>
      </c>
      <c r="AU826" s="1">
        <v>2017.0</v>
      </c>
      <c r="AV826" s="1">
        <v>31.0</v>
      </c>
      <c r="AW826" s="1">
        <v>3.0</v>
      </c>
      <c r="AX826" s="1" t="s">
        <v>74</v>
      </c>
      <c r="AY826" s="1" t="s">
        <v>74</v>
      </c>
      <c r="AZ826" s="1" t="s">
        <v>74</v>
      </c>
      <c r="BA826" s="1" t="s">
        <v>74</v>
      </c>
      <c r="BB826" s="1">
        <v>235.0</v>
      </c>
      <c r="BC826" s="1">
        <v>237.0</v>
      </c>
      <c r="BD826" s="1" t="s">
        <v>74</v>
      </c>
      <c r="BE826" s="1" t="s">
        <v>7756</v>
      </c>
      <c r="BF826" s="2" t="str">
        <f>HYPERLINK("http://dx.doi.org/10.1016/j.gaceta.2016.10.003","http://dx.doi.org/10.1016/j.gaceta.2016.10.003")</f>
        <v>http://dx.doi.org/10.1016/j.gaceta.2016.10.003</v>
      </c>
      <c r="BG826" s="1" t="s">
        <v>74</v>
      </c>
      <c r="BH826" s="1" t="s">
        <v>74</v>
      </c>
      <c r="BI826" s="1" t="s">
        <v>74</v>
      </c>
      <c r="BJ826" s="1" t="s">
        <v>74</v>
      </c>
      <c r="BK826" s="1" t="s">
        <v>74</v>
      </c>
      <c r="BL826" s="1" t="s">
        <v>74</v>
      </c>
      <c r="BM826" s="1" t="s">
        <v>74</v>
      </c>
      <c r="BN826" s="1">
        <v>2.8007311E7</v>
      </c>
      <c r="BO826" s="1" t="s">
        <v>74</v>
      </c>
      <c r="BP826" s="1" t="s">
        <v>74</v>
      </c>
      <c r="BQ826" s="1" t="s">
        <v>74</v>
      </c>
      <c r="BR826" s="1" t="s">
        <v>74</v>
      </c>
      <c r="BS826" s="1" t="s">
        <v>7757</v>
      </c>
      <c r="BT826" s="1" t="str">
        <f>HYPERLINK("https%3A%2F%2Fwww.webofscience.com%2Fwos%2Fwoscc%2Ffull-record%2FWOS:000400322500010","View Full Record in Web of Science")</f>
        <v>View Full Record in Web of Science</v>
      </c>
    </row>
    <row r="827" ht="12.75" customHeight="1">
      <c r="A827" s="1" t="s">
        <v>72</v>
      </c>
      <c r="B827" s="1" t="s">
        <v>7758</v>
      </c>
      <c r="C827" s="1" t="s">
        <v>74</v>
      </c>
      <c r="D827" s="1" t="s">
        <v>74</v>
      </c>
      <c r="E827" s="1" t="s">
        <v>74</v>
      </c>
      <c r="F827" s="1" t="s">
        <v>7759</v>
      </c>
      <c r="G827" s="1" t="s">
        <v>74</v>
      </c>
      <c r="H827" s="1" t="s">
        <v>74</v>
      </c>
      <c r="I827" s="1" t="s">
        <v>7760</v>
      </c>
      <c r="J827" s="1" t="s">
        <v>527</v>
      </c>
      <c r="K827" s="1" t="s">
        <v>74</v>
      </c>
      <c r="L827" s="1" t="s">
        <v>74</v>
      </c>
      <c r="M827" s="1" t="s">
        <v>74</v>
      </c>
      <c r="N827" s="1" t="s">
        <v>74</v>
      </c>
      <c r="O827" s="1" t="s">
        <v>74</v>
      </c>
      <c r="P827" s="1" t="s">
        <v>74</v>
      </c>
      <c r="Q827" s="1" t="s">
        <v>74</v>
      </c>
      <c r="R827" s="1" t="s">
        <v>74</v>
      </c>
      <c r="S827" s="1" t="s">
        <v>74</v>
      </c>
      <c r="T827" s="1" t="s">
        <v>74</v>
      </c>
      <c r="U827" s="1" t="s">
        <v>74</v>
      </c>
      <c r="V827" s="1" t="s">
        <v>7761</v>
      </c>
      <c r="W827" s="1" t="s">
        <v>74</v>
      </c>
      <c r="X827" s="1" t="s">
        <v>74</v>
      </c>
      <c r="Y827" s="1" t="s">
        <v>74</v>
      </c>
      <c r="Z827" s="1" t="s">
        <v>74</v>
      </c>
      <c r="AA827" s="1" t="s">
        <v>7762</v>
      </c>
      <c r="AB827" s="1" t="s">
        <v>7763</v>
      </c>
      <c r="AC827" s="1" t="s">
        <v>74</v>
      </c>
      <c r="AD827" s="1" t="s">
        <v>74</v>
      </c>
      <c r="AE827" s="1" t="s">
        <v>74</v>
      </c>
      <c r="AF827" s="1" t="s">
        <v>74</v>
      </c>
      <c r="AG827" s="1" t="s">
        <v>74</v>
      </c>
      <c r="AH827" s="1" t="s">
        <v>74</v>
      </c>
      <c r="AI827" s="1" t="s">
        <v>74</v>
      </c>
      <c r="AJ827" s="1" t="s">
        <v>74</v>
      </c>
      <c r="AK827" s="1" t="s">
        <v>74</v>
      </c>
      <c r="AL827" s="1" t="s">
        <v>74</v>
      </c>
      <c r="AM827" s="1" t="s">
        <v>74</v>
      </c>
      <c r="AN827" s="1" t="s">
        <v>74</v>
      </c>
      <c r="AO827" s="1" t="s">
        <v>531</v>
      </c>
      <c r="AP827" s="1" t="s">
        <v>532</v>
      </c>
      <c r="AQ827" s="1" t="s">
        <v>74</v>
      </c>
      <c r="AR827" s="1" t="s">
        <v>74</v>
      </c>
      <c r="AS827" s="1" t="s">
        <v>74</v>
      </c>
      <c r="AT827" s="1" t="s">
        <v>7764</v>
      </c>
      <c r="AU827" s="1">
        <v>2015.0</v>
      </c>
      <c r="AV827" s="1">
        <v>165.0</v>
      </c>
      <c r="AW827" s="1" t="s">
        <v>74</v>
      </c>
      <c r="AX827" s="1" t="s">
        <v>74</v>
      </c>
      <c r="AY827" s="1" t="s">
        <v>74</v>
      </c>
      <c r="AZ827" s="1" t="s">
        <v>74</v>
      </c>
      <c r="BA827" s="1" t="s">
        <v>74</v>
      </c>
      <c r="BB827" s="1">
        <v>232.0</v>
      </c>
      <c r="BC827" s="1">
        <v>238.0</v>
      </c>
      <c r="BD827" s="1" t="s">
        <v>74</v>
      </c>
      <c r="BE827" s="1" t="s">
        <v>7765</v>
      </c>
      <c r="BF827" s="2" t="str">
        <f>HYPERLINK("http://dx.doi.org/10.1016/j.electacta.2015.02.230","http://dx.doi.org/10.1016/j.electacta.2015.02.230")</f>
        <v>http://dx.doi.org/10.1016/j.electacta.2015.02.230</v>
      </c>
      <c r="BG827" s="1" t="s">
        <v>74</v>
      </c>
      <c r="BH827" s="1" t="s">
        <v>74</v>
      </c>
      <c r="BI827" s="1" t="s">
        <v>74</v>
      </c>
      <c r="BJ827" s="1" t="s">
        <v>74</v>
      </c>
      <c r="BK827" s="1" t="s">
        <v>74</v>
      </c>
      <c r="BL827" s="1" t="s">
        <v>74</v>
      </c>
      <c r="BM827" s="1" t="s">
        <v>74</v>
      </c>
      <c r="BN827" s="1" t="s">
        <v>74</v>
      </c>
      <c r="BO827" s="1" t="s">
        <v>74</v>
      </c>
      <c r="BP827" s="1" t="s">
        <v>74</v>
      </c>
      <c r="BQ827" s="1" t="s">
        <v>74</v>
      </c>
      <c r="BR827" s="1" t="s">
        <v>74</v>
      </c>
      <c r="BS827" s="1" t="s">
        <v>7766</v>
      </c>
      <c r="BT827" s="1" t="str">
        <f>HYPERLINK("https%3A%2F%2Fwww.webofscience.com%2Fwos%2Fwoscc%2Ffull-record%2FWOS:000353499400033","View Full Record in Web of Science")</f>
        <v>View Full Record in Web of Science</v>
      </c>
    </row>
    <row r="828" ht="12.75" customHeight="1">
      <c r="A828" s="1" t="s">
        <v>72</v>
      </c>
      <c r="B828" s="1" t="s">
        <v>7767</v>
      </c>
      <c r="C828" s="1" t="s">
        <v>74</v>
      </c>
      <c r="D828" s="1" t="s">
        <v>74</v>
      </c>
      <c r="E828" s="1" t="s">
        <v>74</v>
      </c>
      <c r="F828" s="1" t="s">
        <v>7768</v>
      </c>
      <c r="G828" s="1" t="s">
        <v>74</v>
      </c>
      <c r="H828" s="1" t="s">
        <v>74</v>
      </c>
      <c r="I828" s="1" t="s">
        <v>7769</v>
      </c>
      <c r="J828" s="1" t="s">
        <v>7770</v>
      </c>
      <c r="K828" s="1" t="s">
        <v>74</v>
      </c>
      <c r="L828" s="1" t="s">
        <v>74</v>
      </c>
      <c r="M828" s="1" t="s">
        <v>74</v>
      </c>
      <c r="N828" s="1" t="s">
        <v>74</v>
      </c>
      <c r="O828" s="1" t="s">
        <v>74</v>
      </c>
      <c r="P828" s="1" t="s">
        <v>74</v>
      </c>
      <c r="Q828" s="1" t="s">
        <v>74</v>
      </c>
      <c r="R828" s="1" t="s">
        <v>74</v>
      </c>
      <c r="S828" s="1" t="s">
        <v>74</v>
      </c>
      <c r="T828" s="1" t="s">
        <v>74</v>
      </c>
      <c r="U828" s="1" t="s">
        <v>74</v>
      </c>
      <c r="V828" s="1" t="s">
        <v>7771</v>
      </c>
      <c r="W828" s="1" t="s">
        <v>74</v>
      </c>
      <c r="X828" s="1" t="s">
        <v>74</v>
      </c>
      <c r="Y828" s="1" t="s">
        <v>74</v>
      </c>
      <c r="Z828" s="1" t="s">
        <v>74</v>
      </c>
      <c r="AA828" s="1" t="s">
        <v>74</v>
      </c>
      <c r="AB828" s="1" t="s">
        <v>7772</v>
      </c>
      <c r="AC828" s="1" t="s">
        <v>74</v>
      </c>
      <c r="AD828" s="1" t="s">
        <v>74</v>
      </c>
      <c r="AE828" s="1" t="s">
        <v>74</v>
      </c>
      <c r="AF828" s="1" t="s">
        <v>74</v>
      </c>
      <c r="AG828" s="1" t="s">
        <v>74</v>
      </c>
      <c r="AH828" s="1" t="s">
        <v>74</v>
      </c>
      <c r="AI828" s="1" t="s">
        <v>74</v>
      </c>
      <c r="AJ828" s="1" t="s">
        <v>74</v>
      </c>
      <c r="AK828" s="1" t="s">
        <v>74</v>
      </c>
      <c r="AL828" s="1" t="s">
        <v>74</v>
      </c>
      <c r="AM828" s="1" t="s">
        <v>74</v>
      </c>
      <c r="AN828" s="1" t="s">
        <v>74</v>
      </c>
      <c r="AO828" s="1" t="s">
        <v>7773</v>
      </c>
      <c r="AP828" s="1" t="s">
        <v>7774</v>
      </c>
      <c r="AQ828" s="1" t="s">
        <v>74</v>
      </c>
      <c r="AR828" s="1" t="s">
        <v>74</v>
      </c>
      <c r="AS828" s="1" t="s">
        <v>74</v>
      </c>
      <c r="AT828" s="1" t="s">
        <v>370</v>
      </c>
      <c r="AU828" s="1">
        <v>2013.0</v>
      </c>
      <c r="AV828" s="1">
        <v>7.0</v>
      </c>
      <c r="AW828" s="1">
        <v>1.0</v>
      </c>
      <c r="AX828" s="1" t="s">
        <v>74</v>
      </c>
      <c r="AY828" s="1" t="s">
        <v>74</v>
      </c>
      <c r="AZ828" s="1" t="s">
        <v>74</v>
      </c>
      <c r="BA828" s="1" t="s">
        <v>74</v>
      </c>
      <c r="BB828" s="1">
        <v>29.0</v>
      </c>
      <c r="BC828" s="1">
        <v>37.0</v>
      </c>
      <c r="BD828" s="1" t="s">
        <v>74</v>
      </c>
      <c r="BE828" s="1" t="s">
        <v>7775</v>
      </c>
      <c r="BF828" s="2" t="str">
        <f>HYPERLINK("http://dx.doi.org/10.1007/BF03355542","http://dx.doi.org/10.1007/BF03355542")</f>
        <v>http://dx.doi.org/10.1007/BF03355542</v>
      </c>
      <c r="BG828" s="1" t="s">
        <v>74</v>
      </c>
      <c r="BH828" s="1" t="s">
        <v>74</v>
      </c>
      <c r="BI828" s="1" t="s">
        <v>74</v>
      </c>
      <c r="BJ828" s="1" t="s">
        <v>74</v>
      </c>
      <c r="BK828" s="1" t="s">
        <v>74</v>
      </c>
      <c r="BL828" s="1" t="s">
        <v>74</v>
      </c>
      <c r="BM828" s="1" t="s">
        <v>74</v>
      </c>
      <c r="BN828" s="1" t="s">
        <v>74</v>
      </c>
      <c r="BO828" s="1" t="s">
        <v>74</v>
      </c>
      <c r="BP828" s="1" t="s">
        <v>74</v>
      </c>
      <c r="BQ828" s="1" t="s">
        <v>74</v>
      </c>
      <c r="BR828" s="1" t="s">
        <v>74</v>
      </c>
      <c r="BS828" s="1" t="s">
        <v>7776</v>
      </c>
      <c r="BT828" s="1" t="str">
        <f>HYPERLINK("https%3A%2F%2Fwww.webofscience.com%2Fwos%2Fwoscc%2Ffull-record%2FWOS:000314076400004","View Full Record in Web of Science")</f>
        <v>View Full Record in Web of Science</v>
      </c>
    </row>
    <row r="829" ht="12.75" customHeight="1">
      <c r="A829" s="1" t="s">
        <v>72</v>
      </c>
      <c r="B829" s="1" t="s">
        <v>7777</v>
      </c>
      <c r="C829" s="1" t="s">
        <v>74</v>
      </c>
      <c r="D829" s="1" t="s">
        <v>74</v>
      </c>
      <c r="E829" s="1" t="s">
        <v>74</v>
      </c>
      <c r="F829" s="1" t="s">
        <v>7778</v>
      </c>
      <c r="G829" s="1" t="s">
        <v>74</v>
      </c>
      <c r="H829" s="1" t="s">
        <v>74</v>
      </c>
      <c r="I829" s="1" t="s">
        <v>7779</v>
      </c>
      <c r="J829" s="1" t="s">
        <v>7780</v>
      </c>
      <c r="K829" s="1" t="s">
        <v>74</v>
      </c>
      <c r="L829" s="1" t="s">
        <v>74</v>
      </c>
      <c r="M829" s="1" t="s">
        <v>74</v>
      </c>
      <c r="N829" s="1" t="s">
        <v>74</v>
      </c>
      <c r="O829" s="1" t="s">
        <v>74</v>
      </c>
      <c r="P829" s="1" t="s">
        <v>74</v>
      </c>
      <c r="Q829" s="1" t="s">
        <v>74</v>
      </c>
      <c r="R829" s="1" t="s">
        <v>74</v>
      </c>
      <c r="S829" s="1" t="s">
        <v>74</v>
      </c>
      <c r="T829" s="1" t="s">
        <v>74</v>
      </c>
      <c r="U829" s="1" t="s">
        <v>74</v>
      </c>
      <c r="V829" s="1" t="s">
        <v>7781</v>
      </c>
      <c r="W829" s="1" t="s">
        <v>74</v>
      </c>
      <c r="X829" s="1" t="s">
        <v>74</v>
      </c>
      <c r="Y829" s="1" t="s">
        <v>74</v>
      </c>
      <c r="Z829" s="1" t="s">
        <v>74</v>
      </c>
      <c r="AA829" s="1" t="s">
        <v>7782</v>
      </c>
      <c r="AB829" s="1" t="s">
        <v>7783</v>
      </c>
      <c r="AC829" s="1" t="s">
        <v>74</v>
      </c>
      <c r="AD829" s="1" t="s">
        <v>74</v>
      </c>
      <c r="AE829" s="1" t="s">
        <v>74</v>
      </c>
      <c r="AF829" s="1" t="s">
        <v>74</v>
      </c>
      <c r="AG829" s="1" t="s">
        <v>74</v>
      </c>
      <c r="AH829" s="1" t="s">
        <v>74</v>
      </c>
      <c r="AI829" s="1" t="s">
        <v>74</v>
      </c>
      <c r="AJ829" s="1" t="s">
        <v>74</v>
      </c>
      <c r="AK829" s="1" t="s">
        <v>74</v>
      </c>
      <c r="AL829" s="1" t="s">
        <v>74</v>
      </c>
      <c r="AM829" s="1" t="s">
        <v>74</v>
      </c>
      <c r="AN829" s="1" t="s">
        <v>74</v>
      </c>
      <c r="AO829" s="1" t="s">
        <v>74</v>
      </c>
      <c r="AP829" s="1" t="s">
        <v>7784</v>
      </c>
      <c r="AQ829" s="1" t="s">
        <v>74</v>
      </c>
      <c r="AR829" s="1" t="s">
        <v>74</v>
      </c>
      <c r="AS829" s="1" t="s">
        <v>74</v>
      </c>
      <c r="AT829" s="1" t="s">
        <v>7785</v>
      </c>
      <c r="AU829" s="1">
        <v>2013.0</v>
      </c>
      <c r="AV829" s="1">
        <v>10.0</v>
      </c>
      <c r="AW829" s="1" t="s">
        <v>74</v>
      </c>
      <c r="AX829" s="1" t="s">
        <v>74</v>
      </c>
      <c r="AY829" s="1" t="s">
        <v>74</v>
      </c>
      <c r="AZ829" s="1" t="s">
        <v>74</v>
      </c>
      <c r="BA829" s="1" t="s">
        <v>74</v>
      </c>
      <c r="BB829" s="1" t="s">
        <v>74</v>
      </c>
      <c r="BC829" s="1" t="s">
        <v>74</v>
      </c>
      <c r="BD829" s="1">
        <v>220.0</v>
      </c>
      <c r="BE829" s="1" t="s">
        <v>7786</v>
      </c>
      <c r="BF829" s="2" t="str">
        <f>HYPERLINK("http://dx.doi.org/10.1186/1743-422X-10-220","http://dx.doi.org/10.1186/1743-422X-10-220")</f>
        <v>http://dx.doi.org/10.1186/1743-422X-10-220</v>
      </c>
      <c r="BG829" s="1" t="s">
        <v>74</v>
      </c>
      <c r="BH829" s="1" t="s">
        <v>74</v>
      </c>
      <c r="BI829" s="1" t="s">
        <v>74</v>
      </c>
      <c r="BJ829" s="1" t="s">
        <v>74</v>
      </c>
      <c r="BK829" s="1" t="s">
        <v>74</v>
      </c>
      <c r="BL829" s="1" t="s">
        <v>74</v>
      </c>
      <c r="BM829" s="1" t="s">
        <v>74</v>
      </c>
      <c r="BN829" s="1">
        <v>2.3816333E7</v>
      </c>
      <c r="BO829" s="1" t="s">
        <v>74</v>
      </c>
      <c r="BP829" s="1" t="s">
        <v>74</v>
      </c>
      <c r="BQ829" s="1" t="s">
        <v>74</v>
      </c>
      <c r="BR829" s="1" t="s">
        <v>74</v>
      </c>
      <c r="BS829" s="1" t="s">
        <v>7787</v>
      </c>
      <c r="BT829" s="1" t="str">
        <f>HYPERLINK("https%3A%2F%2Fwww.webofscience.com%2Fwos%2Fwoscc%2Ffull-record%2FWOS:000321341800001","View Full Record in Web of Science")</f>
        <v>View Full Record in Web of Science</v>
      </c>
    </row>
    <row r="830" ht="12.75" customHeight="1">
      <c r="A830" s="1" t="s">
        <v>72</v>
      </c>
      <c r="B830" s="1" t="s">
        <v>7788</v>
      </c>
      <c r="C830" s="1" t="s">
        <v>74</v>
      </c>
      <c r="D830" s="1" t="s">
        <v>74</v>
      </c>
      <c r="E830" s="1" t="s">
        <v>74</v>
      </c>
      <c r="F830" s="1" t="s">
        <v>7789</v>
      </c>
      <c r="G830" s="1" t="s">
        <v>74</v>
      </c>
      <c r="H830" s="1" t="s">
        <v>74</v>
      </c>
      <c r="I830" s="1" t="s">
        <v>7790</v>
      </c>
      <c r="J830" s="1" t="s">
        <v>1933</v>
      </c>
      <c r="K830" s="1" t="s">
        <v>74</v>
      </c>
      <c r="L830" s="1" t="s">
        <v>74</v>
      </c>
      <c r="M830" s="1" t="s">
        <v>74</v>
      </c>
      <c r="N830" s="1" t="s">
        <v>74</v>
      </c>
      <c r="O830" s="1" t="s">
        <v>74</v>
      </c>
      <c r="P830" s="1" t="s">
        <v>74</v>
      </c>
      <c r="Q830" s="1" t="s">
        <v>74</v>
      </c>
      <c r="R830" s="1" t="s">
        <v>74</v>
      </c>
      <c r="S830" s="1" t="s">
        <v>74</v>
      </c>
      <c r="T830" s="1" t="s">
        <v>74</v>
      </c>
      <c r="U830" s="1" t="s">
        <v>74</v>
      </c>
      <c r="V830" s="1" t="s">
        <v>7791</v>
      </c>
      <c r="W830" s="1" t="s">
        <v>74</v>
      </c>
      <c r="X830" s="1" t="s">
        <v>74</v>
      </c>
      <c r="Y830" s="1" t="s">
        <v>74</v>
      </c>
      <c r="Z830" s="1" t="s">
        <v>74</v>
      </c>
      <c r="AA830" s="1" t="s">
        <v>7792</v>
      </c>
      <c r="AB830" s="1" t="s">
        <v>7793</v>
      </c>
      <c r="AC830" s="1" t="s">
        <v>74</v>
      </c>
      <c r="AD830" s="1" t="s">
        <v>74</v>
      </c>
      <c r="AE830" s="1" t="s">
        <v>74</v>
      </c>
      <c r="AF830" s="1" t="s">
        <v>74</v>
      </c>
      <c r="AG830" s="1" t="s">
        <v>74</v>
      </c>
      <c r="AH830" s="1" t="s">
        <v>74</v>
      </c>
      <c r="AI830" s="1" t="s">
        <v>74</v>
      </c>
      <c r="AJ830" s="1" t="s">
        <v>74</v>
      </c>
      <c r="AK830" s="1" t="s">
        <v>74</v>
      </c>
      <c r="AL830" s="1" t="s">
        <v>74</v>
      </c>
      <c r="AM830" s="1" t="s">
        <v>74</v>
      </c>
      <c r="AN830" s="1" t="s">
        <v>74</v>
      </c>
      <c r="AO830" s="1" t="s">
        <v>1936</v>
      </c>
      <c r="AP830" s="1" t="s">
        <v>1937</v>
      </c>
      <c r="AQ830" s="1" t="s">
        <v>74</v>
      </c>
      <c r="AR830" s="1" t="s">
        <v>74</v>
      </c>
      <c r="AS830" s="1" t="s">
        <v>74</v>
      </c>
      <c r="AT830" s="1" t="s">
        <v>6882</v>
      </c>
      <c r="AU830" s="1">
        <v>2013.0</v>
      </c>
      <c r="AV830" s="1">
        <v>92.0</v>
      </c>
      <c r="AW830" s="1">
        <v>1.0</v>
      </c>
      <c r="AX830" s="1" t="s">
        <v>74</v>
      </c>
      <c r="AY830" s="1" t="s">
        <v>74</v>
      </c>
      <c r="AZ830" s="1" t="s">
        <v>74</v>
      </c>
      <c r="BA830" s="1" t="s">
        <v>74</v>
      </c>
      <c r="BB830" s="1">
        <v>241.0</v>
      </c>
      <c r="BC830" s="1">
        <v>248.0</v>
      </c>
      <c r="BD830" s="1" t="s">
        <v>74</v>
      </c>
      <c r="BE830" s="1" t="s">
        <v>7794</v>
      </c>
      <c r="BF830" s="2" t="str">
        <f>HYPERLINK("http://dx.doi.org/10.1016/j.carbpol.2012.09.071","http://dx.doi.org/10.1016/j.carbpol.2012.09.071")</f>
        <v>http://dx.doi.org/10.1016/j.carbpol.2012.09.071</v>
      </c>
      <c r="BG830" s="1" t="s">
        <v>74</v>
      </c>
      <c r="BH830" s="1" t="s">
        <v>74</v>
      </c>
      <c r="BI830" s="1" t="s">
        <v>74</v>
      </c>
      <c r="BJ830" s="1" t="s">
        <v>74</v>
      </c>
      <c r="BK830" s="1" t="s">
        <v>74</v>
      </c>
      <c r="BL830" s="1" t="s">
        <v>74</v>
      </c>
      <c r="BM830" s="1" t="s">
        <v>74</v>
      </c>
      <c r="BN830" s="1">
        <v>2.321829E7</v>
      </c>
      <c r="BO830" s="1" t="s">
        <v>74</v>
      </c>
      <c r="BP830" s="1" t="s">
        <v>74</v>
      </c>
      <c r="BQ830" s="1" t="s">
        <v>74</v>
      </c>
      <c r="BR830" s="1" t="s">
        <v>74</v>
      </c>
      <c r="BS830" s="1" t="s">
        <v>7795</v>
      </c>
      <c r="BT830" s="1" t="str">
        <f>HYPERLINK("https%3A%2F%2Fwww.webofscience.com%2Fwos%2Fwoscc%2Ffull-record%2FWOS:000313146900033","View Full Record in Web of Science")</f>
        <v>View Full Record in Web of Science</v>
      </c>
    </row>
    <row r="831" ht="12.75" customHeight="1">
      <c r="A831" s="1" t="s">
        <v>72</v>
      </c>
      <c r="B831" s="1" t="s">
        <v>7796</v>
      </c>
      <c r="C831" s="1" t="s">
        <v>74</v>
      </c>
      <c r="D831" s="1" t="s">
        <v>74</v>
      </c>
      <c r="E831" s="1" t="s">
        <v>74</v>
      </c>
      <c r="F831" s="1" t="s">
        <v>7797</v>
      </c>
      <c r="G831" s="1" t="s">
        <v>74</v>
      </c>
      <c r="H831" s="1" t="s">
        <v>74</v>
      </c>
      <c r="I831" s="1" t="s">
        <v>7798</v>
      </c>
      <c r="J831" s="1" t="s">
        <v>360</v>
      </c>
      <c r="K831" s="1" t="s">
        <v>74</v>
      </c>
      <c r="L831" s="1" t="s">
        <v>74</v>
      </c>
      <c r="M831" s="1" t="s">
        <v>74</v>
      </c>
      <c r="N831" s="1" t="s">
        <v>74</v>
      </c>
      <c r="O831" s="1" t="s">
        <v>74</v>
      </c>
      <c r="P831" s="1" t="s">
        <v>74</v>
      </c>
      <c r="Q831" s="1" t="s">
        <v>74</v>
      </c>
      <c r="R831" s="1" t="s">
        <v>74</v>
      </c>
      <c r="S831" s="1" t="s">
        <v>74</v>
      </c>
      <c r="T831" s="1" t="s">
        <v>74</v>
      </c>
      <c r="U831" s="1" t="s">
        <v>74</v>
      </c>
      <c r="V831" s="1" t="s">
        <v>7799</v>
      </c>
      <c r="W831" s="1" t="s">
        <v>74</v>
      </c>
      <c r="X831" s="1" t="s">
        <v>74</v>
      </c>
      <c r="Y831" s="1" t="s">
        <v>74</v>
      </c>
      <c r="Z831" s="1" t="s">
        <v>74</v>
      </c>
      <c r="AA831" s="1" t="s">
        <v>74</v>
      </c>
      <c r="AB831" s="1" t="s">
        <v>74</v>
      </c>
      <c r="AC831" s="1" t="s">
        <v>74</v>
      </c>
      <c r="AD831" s="1" t="s">
        <v>74</v>
      </c>
      <c r="AE831" s="1" t="s">
        <v>74</v>
      </c>
      <c r="AF831" s="1" t="s">
        <v>74</v>
      </c>
      <c r="AG831" s="1" t="s">
        <v>74</v>
      </c>
      <c r="AH831" s="1" t="s">
        <v>74</v>
      </c>
      <c r="AI831" s="1" t="s">
        <v>74</v>
      </c>
      <c r="AJ831" s="1" t="s">
        <v>74</v>
      </c>
      <c r="AK831" s="1" t="s">
        <v>74</v>
      </c>
      <c r="AL831" s="1" t="s">
        <v>74</v>
      </c>
      <c r="AM831" s="1" t="s">
        <v>74</v>
      </c>
      <c r="AN831" s="1" t="s">
        <v>74</v>
      </c>
      <c r="AO831" s="1" t="s">
        <v>362</v>
      </c>
      <c r="AP831" s="1" t="s">
        <v>833</v>
      </c>
      <c r="AQ831" s="1" t="s">
        <v>74</v>
      </c>
      <c r="AR831" s="1" t="s">
        <v>74</v>
      </c>
      <c r="AS831" s="1" t="s">
        <v>74</v>
      </c>
      <c r="AT831" s="1" t="s">
        <v>112</v>
      </c>
      <c r="AU831" s="1">
        <v>2012.0</v>
      </c>
      <c r="AV831" s="1">
        <v>140.0</v>
      </c>
      <c r="AW831" s="1">
        <v>11.0</v>
      </c>
      <c r="AX831" s="1" t="s">
        <v>74</v>
      </c>
      <c r="AY831" s="1" t="s">
        <v>74</v>
      </c>
      <c r="AZ831" s="1" t="s">
        <v>74</v>
      </c>
      <c r="BA831" s="1" t="s">
        <v>74</v>
      </c>
      <c r="BB831" s="1">
        <v>1449.0</v>
      </c>
      <c r="BC831" s="1">
        <v>1452.0</v>
      </c>
      <c r="BD831" s="1" t="s">
        <v>74</v>
      </c>
      <c r="BE831" s="1" t="s">
        <v>7800</v>
      </c>
      <c r="BF831" s="2" t="str">
        <f>HYPERLINK("http://dx.doi.org/10.4067/S0034-98872012001100011","http://dx.doi.org/10.4067/S0034-98872012001100011")</f>
        <v>http://dx.doi.org/10.4067/S0034-98872012001100011</v>
      </c>
      <c r="BG831" s="1" t="s">
        <v>74</v>
      </c>
      <c r="BH831" s="1" t="s">
        <v>74</v>
      </c>
      <c r="BI831" s="1" t="s">
        <v>74</v>
      </c>
      <c r="BJ831" s="1" t="s">
        <v>74</v>
      </c>
      <c r="BK831" s="1" t="s">
        <v>74</v>
      </c>
      <c r="BL831" s="1" t="s">
        <v>74</v>
      </c>
      <c r="BM831" s="1" t="s">
        <v>74</v>
      </c>
      <c r="BN831" s="1">
        <v>2.3677192E7</v>
      </c>
      <c r="BO831" s="1" t="s">
        <v>74</v>
      </c>
      <c r="BP831" s="1" t="s">
        <v>74</v>
      </c>
      <c r="BQ831" s="1" t="s">
        <v>74</v>
      </c>
      <c r="BR831" s="1" t="s">
        <v>74</v>
      </c>
      <c r="BS831" s="1" t="s">
        <v>7801</v>
      </c>
      <c r="BT831" s="1" t="str">
        <f>HYPERLINK("https%3A%2F%2Fwww.webofscience.com%2Fwos%2Fwoscc%2Ffull-record%2FWOS:000312626000011","View Full Record in Web of Science")</f>
        <v>View Full Record in Web of Science</v>
      </c>
    </row>
    <row r="832" ht="12.75" customHeight="1">
      <c r="A832" s="1" t="s">
        <v>72</v>
      </c>
      <c r="B832" s="1" t="s">
        <v>7197</v>
      </c>
      <c r="C832" s="1" t="s">
        <v>74</v>
      </c>
      <c r="D832" s="1" t="s">
        <v>74</v>
      </c>
      <c r="E832" s="1" t="s">
        <v>74</v>
      </c>
      <c r="F832" s="1" t="s">
        <v>7198</v>
      </c>
      <c r="G832" s="1" t="s">
        <v>74</v>
      </c>
      <c r="H832" s="1" t="s">
        <v>74</v>
      </c>
      <c r="I832" s="1" t="s">
        <v>7802</v>
      </c>
      <c r="J832" s="1" t="s">
        <v>7803</v>
      </c>
      <c r="K832" s="1" t="s">
        <v>74</v>
      </c>
      <c r="L832" s="1" t="s">
        <v>74</v>
      </c>
      <c r="M832" s="1" t="s">
        <v>74</v>
      </c>
      <c r="N832" s="1" t="s">
        <v>74</v>
      </c>
      <c r="O832" s="1" t="s">
        <v>74</v>
      </c>
      <c r="P832" s="1" t="s">
        <v>74</v>
      </c>
      <c r="Q832" s="1" t="s">
        <v>74</v>
      </c>
      <c r="R832" s="1" t="s">
        <v>74</v>
      </c>
      <c r="S832" s="1" t="s">
        <v>74</v>
      </c>
      <c r="T832" s="1" t="s">
        <v>74</v>
      </c>
      <c r="U832" s="1" t="s">
        <v>74</v>
      </c>
      <c r="V832" s="1" t="s">
        <v>7804</v>
      </c>
      <c r="W832" s="1" t="s">
        <v>74</v>
      </c>
      <c r="X832" s="1" t="s">
        <v>74</v>
      </c>
      <c r="Y832" s="1" t="s">
        <v>74</v>
      </c>
      <c r="Z832" s="1" t="s">
        <v>74</v>
      </c>
      <c r="AA832" s="1" t="s">
        <v>7805</v>
      </c>
      <c r="AB832" s="1" t="s">
        <v>7806</v>
      </c>
      <c r="AC832" s="1" t="s">
        <v>74</v>
      </c>
      <c r="AD832" s="1" t="s">
        <v>74</v>
      </c>
      <c r="AE832" s="1" t="s">
        <v>74</v>
      </c>
      <c r="AF832" s="1" t="s">
        <v>74</v>
      </c>
      <c r="AG832" s="1" t="s">
        <v>74</v>
      </c>
      <c r="AH832" s="1" t="s">
        <v>74</v>
      </c>
      <c r="AI832" s="1" t="s">
        <v>74</v>
      </c>
      <c r="AJ832" s="1" t="s">
        <v>74</v>
      </c>
      <c r="AK832" s="1" t="s">
        <v>74</v>
      </c>
      <c r="AL832" s="1" t="s">
        <v>74</v>
      </c>
      <c r="AM832" s="1" t="s">
        <v>74</v>
      </c>
      <c r="AN832" s="1" t="s">
        <v>74</v>
      </c>
      <c r="AO832" s="1" t="s">
        <v>7807</v>
      </c>
      <c r="AP832" s="1" t="s">
        <v>7808</v>
      </c>
      <c r="AQ832" s="1" t="s">
        <v>74</v>
      </c>
      <c r="AR832" s="1" t="s">
        <v>74</v>
      </c>
      <c r="AS832" s="1" t="s">
        <v>74</v>
      </c>
      <c r="AT832" s="1" t="s">
        <v>841</v>
      </c>
      <c r="AU832" s="1">
        <v>2012.0</v>
      </c>
      <c r="AV832" s="1">
        <v>109.0</v>
      </c>
      <c r="AW832" s="1">
        <v>3.0</v>
      </c>
      <c r="AX832" s="1" t="s">
        <v>74</v>
      </c>
      <c r="AY832" s="1" t="s">
        <v>74</v>
      </c>
      <c r="AZ832" s="1" t="s">
        <v>74</v>
      </c>
      <c r="BA832" s="1" t="s">
        <v>74</v>
      </c>
      <c r="BB832" s="1">
        <v>430.0</v>
      </c>
      <c r="BC832" s="1">
        <v>437.0</v>
      </c>
      <c r="BD832" s="1" t="s">
        <v>74</v>
      </c>
      <c r="BE832" s="1" t="s">
        <v>7809</v>
      </c>
      <c r="BF832" s="2" t="str">
        <f>HYPERLINK("http://dx.doi.org/10.1016/j.jfoodeng.2011.10.038","http://dx.doi.org/10.1016/j.jfoodeng.2011.10.038")</f>
        <v>http://dx.doi.org/10.1016/j.jfoodeng.2011.10.038</v>
      </c>
      <c r="BG832" s="1" t="s">
        <v>74</v>
      </c>
      <c r="BH832" s="1" t="s">
        <v>74</v>
      </c>
      <c r="BI832" s="1" t="s">
        <v>74</v>
      </c>
      <c r="BJ832" s="1" t="s">
        <v>74</v>
      </c>
      <c r="BK832" s="1" t="s">
        <v>74</v>
      </c>
      <c r="BL832" s="1" t="s">
        <v>74</v>
      </c>
      <c r="BM832" s="1" t="s">
        <v>74</v>
      </c>
      <c r="BN832" s="1" t="s">
        <v>74</v>
      </c>
      <c r="BO832" s="1" t="s">
        <v>74</v>
      </c>
      <c r="BP832" s="1" t="s">
        <v>74</v>
      </c>
      <c r="BQ832" s="1" t="s">
        <v>74</v>
      </c>
      <c r="BR832" s="1" t="s">
        <v>74</v>
      </c>
      <c r="BS832" s="1" t="s">
        <v>7810</v>
      </c>
      <c r="BT832" s="1" t="str">
        <f>HYPERLINK("https%3A%2F%2Fwww.webofscience.com%2Fwos%2Fwoscc%2Ffull-record%2FWOS:000300199000012","View Full Record in Web of Science")</f>
        <v>View Full Record in Web of Science</v>
      </c>
    </row>
    <row r="833" ht="12.75" customHeight="1">
      <c r="A833" s="1" t="s">
        <v>72</v>
      </c>
      <c r="B833" s="1" t="s">
        <v>7811</v>
      </c>
      <c r="C833" s="1" t="s">
        <v>74</v>
      </c>
      <c r="D833" s="1" t="s">
        <v>74</v>
      </c>
      <c r="E833" s="1" t="s">
        <v>74</v>
      </c>
      <c r="F833" s="1" t="s">
        <v>7812</v>
      </c>
      <c r="G833" s="1" t="s">
        <v>74</v>
      </c>
      <c r="H833" s="1" t="s">
        <v>74</v>
      </c>
      <c r="I833" s="1" t="s">
        <v>7813</v>
      </c>
      <c r="J833" s="1" t="s">
        <v>360</v>
      </c>
      <c r="K833" s="1" t="s">
        <v>74</v>
      </c>
      <c r="L833" s="1" t="s">
        <v>74</v>
      </c>
      <c r="M833" s="1" t="s">
        <v>74</v>
      </c>
      <c r="N833" s="1" t="s">
        <v>74</v>
      </c>
      <c r="O833" s="1" t="s">
        <v>74</v>
      </c>
      <c r="P833" s="1" t="s">
        <v>74</v>
      </c>
      <c r="Q833" s="1" t="s">
        <v>74</v>
      </c>
      <c r="R833" s="1" t="s">
        <v>74</v>
      </c>
      <c r="S833" s="1" t="s">
        <v>74</v>
      </c>
      <c r="T833" s="1" t="s">
        <v>74</v>
      </c>
      <c r="U833" s="1" t="s">
        <v>74</v>
      </c>
      <c r="V833" s="1" t="s">
        <v>74</v>
      </c>
      <c r="W833" s="1" t="s">
        <v>74</v>
      </c>
      <c r="X833" s="1" t="s">
        <v>74</v>
      </c>
      <c r="Y833" s="1" t="s">
        <v>74</v>
      </c>
      <c r="Z833" s="1" t="s">
        <v>74</v>
      </c>
      <c r="AA833" s="1" t="s">
        <v>74</v>
      </c>
      <c r="AB833" s="1" t="s">
        <v>74</v>
      </c>
      <c r="AC833" s="1" t="s">
        <v>74</v>
      </c>
      <c r="AD833" s="1" t="s">
        <v>74</v>
      </c>
      <c r="AE833" s="1" t="s">
        <v>74</v>
      </c>
      <c r="AF833" s="1" t="s">
        <v>74</v>
      </c>
      <c r="AG833" s="1" t="s">
        <v>74</v>
      </c>
      <c r="AH833" s="1" t="s">
        <v>74</v>
      </c>
      <c r="AI833" s="1" t="s">
        <v>74</v>
      </c>
      <c r="AJ833" s="1" t="s">
        <v>74</v>
      </c>
      <c r="AK833" s="1" t="s">
        <v>74</v>
      </c>
      <c r="AL833" s="1" t="s">
        <v>74</v>
      </c>
      <c r="AM833" s="1" t="s">
        <v>74</v>
      </c>
      <c r="AN833" s="1" t="s">
        <v>74</v>
      </c>
      <c r="AO833" s="1" t="s">
        <v>362</v>
      </c>
      <c r="AP833" s="1" t="s">
        <v>74</v>
      </c>
      <c r="AQ833" s="1" t="s">
        <v>74</v>
      </c>
      <c r="AR833" s="1" t="s">
        <v>74</v>
      </c>
      <c r="AS833" s="1" t="s">
        <v>74</v>
      </c>
      <c r="AT833" s="1" t="s">
        <v>144</v>
      </c>
      <c r="AU833" s="1">
        <v>2012.0</v>
      </c>
      <c r="AV833" s="1">
        <v>140.0</v>
      </c>
      <c r="AW833" s="1">
        <v>3.0</v>
      </c>
      <c r="AX833" s="1" t="s">
        <v>74</v>
      </c>
      <c r="AY833" s="1" t="s">
        <v>74</v>
      </c>
      <c r="AZ833" s="1" t="s">
        <v>74</v>
      </c>
      <c r="BA833" s="1" t="s">
        <v>74</v>
      </c>
      <c r="BB833" s="1">
        <v>404.0</v>
      </c>
      <c r="BC833" s="1">
        <v>405.0</v>
      </c>
      <c r="BD833" s="1" t="s">
        <v>74</v>
      </c>
      <c r="BE833" s="1" t="s">
        <v>74</v>
      </c>
      <c r="BF833" s="1" t="s">
        <v>74</v>
      </c>
      <c r="BG833" s="1" t="s">
        <v>74</v>
      </c>
      <c r="BH833" s="1" t="s">
        <v>74</v>
      </c>
      <c r="BI833" s="1" t="s">
        <v>74</v>
      </c>
      <c r="BJ833" s="1" t="s">
        <v>74</v>
      </c>
      <c r="BK833" s="1" t="s">
        <v>74</v>
      </c>
      <c r="BL833" s="1" t="s">
        <v>74</v>
      </c>
      <c r="BM833" s="1" t="s">
        <v>74</v>
      </c>
      <c r="BN833" s="1">
        <v>2.2689125E7</v>
      </c>
      <c r="BO833" s="1" t="s">
        <v>74</v>
      </c>
      <c r="BP833" s="1" t="s">
        <v>74</v>
      </c>
      <c r="BQ833" s="1" t="s">
        <v>74</v>
      </c>
      <c r="BR833" s="1" t="s">
        <v>74</v>
      </c>
      <c r="BS833" s="1" t="s">
        <v>7814</v>
      </c>
      <c r="BT833" s="1" t="str">
        <f>HYPERLINK("https%3A%2F%2Fwww.webofscience.com%2Fwos%2Fwoscc%2Ffull-record%2FWOS:000302927100020","View Full Record in Web of Science")</f>
        <v>View Full Record in Web of Science</v>
      </c>
    </row>
    <row r="834" ht="12.75" customHeight="1">
      <c r="A834" s="1" t="s">
        <v>72</v>
      </c>
      <c r="B834" s="1" t="s">
        <v>7815</v>
      </c>
      <c r="C834" s="1" t="s">
        <v>74</v>
      </c>
      <c r="D834" s="1" t="s">
        <v>74</v>
      </c>
      <c r="E834" s="1" t="s">
        <v>74</v>
      </c>
      <c r="F834" s="1" t="s">
        <v>7816</v>
      </c>
      <c r="G834" s="1" t="s">
        <v>74</v>
      </c>
      <c r="H834" s="1" t="s">
        <v>74</v>
      </c>
      <c r="I834" s="1" t="s">
        <v>7817</v>
      </c>
      <c r="J834" s="1" t="s">
        <v>661</v>
      </c>
      <c r="K834" s="1" t="s">
        <v>74</v>
      </c>
      <c r="L834" s="1" t="s">
        <v>74</v>
      </c>
      <c r="M834" s="1" t="s">
        <v>74</v>
      </c>
      <c r="N834" s="1" t="s">
        <v>74</v>
      </c>
      <c r="O834" s="1" t="s">
        <v>74</v>
      </c>
      <c r="P834" s="1" t="s">
        <v>74</v>
      </c>
      <c r="Q834" s="1" t="s">
        <v>74</v>
      </c>
      <c r="R834" s="1" t="s">
        <v>74</v>
      </c>
      <c r="S834" s="1" t="s">
        <v>74</v>
      </c>
      <c r="T834" s="1" t="s">
        <v>74</v>
      </c>
      <c r="U834" s="1" t="s">
        <v>74</v>
      </c>
      <c r="V834" s="1" t="s">
        <v>7818</v>
      </c>
      <c r="W834" s="1" t="s">
        <v>74</v>
      </c>
      <c r="X834" s="1" t="s">
        <v>74</v>
      </c>
      <c r="Y834" s="1" t="s">
        <v>74</v>
      </c>
      <c r="Z834" s="1" t="s">
        <v>74</v>
      </c>
      <c r="AA834" s="1" t="s">
        <v>7819</v>
      </c>
      <c r="AB834" s="1" t="s">
        <v>7820</v>
      </c>
      <c r="AC834" s="1" t="s">
        <v>74</v>
      </c>
      <c r="AD834" s="1" t="s">
        <v>74</v>
      </c>
      <c r="AE834" s="1" t="s">
        <v>74</v>
      </c>
      <c r="AF834" s="1" t="s">
        <v>74</v>
      </c>
      <c r="AG834" s="1" t="s">
        <v>74</v>
      </c>
      <c r="AH834" s="1" t="s">
        <v>74</v>
      </c>
      <c r="AI834" s="1" t="s">
        <v>74</v>
      </c>
      <c r="AJ834" s="1" t="s">
        <v>74</v>
      </c>
      <c r="AK834" s="1" t="s">
        <v>74</v>
      </c>
      <c r="AL834" s="1" t="s">
        <v>74</v>
      </c>
      <c r="AM834" s="1" t="s">
        <v>74</v>
      </c>
      <c r="AN834" s="1" t="s">
        <v>74</v>
      </c>
      <c r="AO834" s="1" t="s">
        <v>665</v>
      </c>
      <c r="AP834" s="1" t="s">
        <v>74</v>
      </c>
      <c r="AQ834" s="1" t="s">
        <v>74</v>
      </c>
      <c r="AR834" s="1" t="s">
        <v>74</v>
      </c>
      <c r="AS834" s="1" t="s">
        <v>74</v>
      </c>
      <c r="AT834" s="1" t="s">
        <v>1666</v>
      </c>
      <c r="AU834" s="1">
        <v>2011.0</v>
      </c>
      <c r="AV834" s="1">
        <v>175.0</v>
      </c>
      <c r="AW834" s="1">
        <v>3.0</v>
      </c>
      <c r="AX834" s="1" t="s">
        <v>74</v>
      </c>
      <c r="AY834" s="1" t="s">
        <v>74</v>
      </c>
      <c r="AZ834" s="1" t="s">
        <v>74</v>
      </c>
      <c r="BA834" s="1" t="s">
        <v>74</v>
      </c>
      <c r="BB834" s="1">
        <v>336.0</v>
      </c>
      <c r="BC834" s="1">
        <v>348.0</v>
      </c>
      <c r="BD834" s="1" t="s">
        <v>74</v>
      </c>
      <c r="BE834" s="1" t="s">
        <v>7821</v>
      </c>
      <c r="BF834" s="2" t="str">
        <f>HYPERLINK("http://dx.doi.org/10.1016/j.resp.2010.12.014","http://dx.doi.org/10.1016/j.resp.2010.12.014")</f>
        <v>http://dx.doi.org/10.1016/j.resp.2010.12.014</v>
      </c>
      <c r="BG834" s="1" t="s">
        <v>74</v>
      </c>
      <c r="BH834" s="1" t="s">
        <v>74</v>
      </c>
      <c r="BI834" s="1" t="s">
        <v>74</v>
      </c>
      <c r="BJ834" s="1" t="s">
        <v>74</v>
      </c>
      <c r="BK834" s="1" t="s">
        <v>74</v>
      </c>
      <c r="BL834" s="1" t="s">
        <v>74</v>
      </c>
      <c r="BM834" s="1" t="s">
        <v>74</v>
      </c>
      <c r="BN834" s="1">
        <v>2.1195213E7</v>
      </c>
      <c r="BO834" s="1" t="s">
        <v>74</v>
      </c>
      <c r="BP834" s="1" t="s">
        <v>74</v>
      </c>
      <c r="BQ834" s="1" t="s">
        <v>74</v>
      </c>
      <c r="BR834" s="1" t="s">
        <v>74</v>
      </c>
      <c r="BS834" s="1" t="s">
        <v>7822</v>
      </c>
      <c r="BT834" s="1" t="str">
        <f>HYPERLINK("https%3A%2F%2Fwww.webofscience.com%2Fwos%2Fwoscc%2Ffull-record%2FWOS:000287896900006","View Full Record in Web of Science")</f>
        <v>View Full Record in Web of Science</v>
      </c>
    </row>
    <row r="835" ht="12.75" customHeight="1">
      <c r="A835" s="1" t="s">
        <v>72</v>
      </c>
      <c r="B835" s="1" t="s">
        <v>7823</v>
      </c>
      <c r="C835" s="1" t="s">
        <v>74</v>
      </c>
      <c r="D835" s="1" t="s">
        <v>74</v>
      </c>
      <c r="E835" s="1" t="s">
        <v>74</v>
      </c>
      <c r="F835" s="1" t="s">
        <v>7824</v>
      </c>
      <c r="G835" s="1" t="s">
        <v>74</v>
      </c>
      <c r="H835" s="1" t="s">
        <v>74</v>
      </c>
      <c r="I835" s="1" t="s">
        <v>7825</v>
      </c>
      <c r="J835" s="1" t="s">
        <v>7826</v>
      </c>
      <c r="K835" s="1" t="s">
        <v>74</v>
      </c>
      <c r="L835" s="1" t="s">
        <v>74</v>
      </c>
      <c r="M835" s="1" t="s">
        <v>74</v>
      </c>
      <c r="N835" s="1" t="s">
        <v>74</v>
      </c>
      <c r="O835" s="1" t="s">
        <v>74</v>
      </c>
      <c r="P835" s="1" t="s">
        <v>74</v>
      </c>
      <c r="Q835" s="1" t="s">
        <v>74</v>
      </c>
      <c r="R835" s="1" t="s">
        <v>74</v>
      </c>
      <c r="S835" s="1" t="s">
        <v>74</v>
      </c>
      <c r="T835" s="1" t="s">
        <v>74</v>
      </c>
      <c r="U835" s="1" t="s">
        <v>74</v>
      </c>
      <c r="V835" s="1" t="s">
        <v>7827</v>
      </c>
      <c r="W835" s="1" t="s">
        <v>74</v>
      </c>
      <c r="X835" s="1" t="s">
        <v>74</v>
      </c>
      <c r="Y835" s="1" t="s">
        <v>74</v>
      </c>
      <c r="Z835" s="1" t="s">
        <v>74</v>
      </c>
      <c r="AA835" s="1" t="s">
        <v>74</v>
      </c>
      <c r="AB835" s="1" t="s">
        <v>74</v>
      </c>
      <c r="AC835" s="1" t="s">
        <v>74</v>
      </c>
      <c r="AD835" s="1" t="s">
        <v>74</v>
      </c>
      <c r="AE835" s="1" t="s">
        <v>74</v>
      </c>
      <c r="AF835" s="1" t="s">
        <v>74</v>
      </c>
      <c r="AG835" s="1" t="s">
        <v>74</v>
      </c>
      <c r="AH835" s="1" t="s">
        <v>74</v>
      </c>
      <c r="AI835" s="1" t="s">
        <v>74</v>
      </c>
      <c r="AJ835" s="1" t="s">
        <v>74</v>
      </c>
      <c r="AK835" s="1" t="s">
        <v>74</v>
      </c>
      <c r="AL835" s="1" t="s">
        <v>74</v>
      </c>
      <c r="AM835" s="1" t="s">
        <v>74</v>
      </c>
      <c r="AN835" s="1" t="s">
        <v>74</v>
      </c>
      <c r="AO835" s="1" t="s">
        <v>7828</v>
      </c>
      <c r="AP835" s="1" t="s">
        <v>74</v>
      </c>
      <c r="AQ835" s="1" t="s">
        <v>74</v>
      </c>
      <c r="AR835" s="1" t="s">
        <v>74</v>
      </c>
      <c r="AS835" s="1" t="s">
        <v>74</v>
      </c>
      <c r="AT835" s="1" t="s">
        <v>122</v>
      </c>
      <c r="AU835" s="1">
        <v>2010.0</v>
      </c>
      <c r="AV835" s="1">
        <v>73.0</v>
      </c>
      <c r="AW835" s="1">
        <v>8.0</v>
      </c>
      <c r="AX835" s="1" t="s">
        <v>74</v>
      </c>
      <c r="AY835" s="1" t="s">
        <v>74</v>
      </c>
      <c r="AZ835" s="1" t="s">
        <v>74</v>
      </c>
      <c r="BA835" s="1" t="s">
        <v>74</v>
      </c>
      <c r="BB835" s="1">
        <v>803.0</v>
      </c>
      <c r="BC835" s="1">
        <v>809.0</v>
      </c>
      <c r="BD835" s="1" t="s">
        <v>74</v>
      </c>
      <c r="BE835" s="1" t="s">
        <v>7829</v>
      </c>
      <c r="BF835" s="2" t="str">
        <f>HYPERLINK("http://dx.doi.org/10.1002/jemt.20823","http://dx.doi.org/10.1002/jemt.20823")</f>
        <v>http://dx.doi.org/10.1002/jemt.20823</v>
      </c>
      <c r="BG835" s="1" t="s">
        <v>74</v>
      </c>
      <c r="BH835" s="1" t="s">
        <v>74</v>
      </c>
      <c r="BI835" s="1" t="s">
        <v>74</v>
      </c>
      <c r="BJ835" s="1" t="s">
        <v>74</v>
      </c>
      <c r="BK835" s="1" t="s">
        <v>74</v>
      </c>
      <c r="BL835" s="1" t="s">
        <v>74</v>
      </c>
      <c r="BM835" s="1" t="s">
        <v>74</v>
      </c>
      <c r="BN835" s="1">
        <v>2.0169616E7</v>
      </c>
      <c r="BO835" s="1" t="s">
        <v>74</v>
      </c>
      <c r="BP835" s="1" t="s">
        <v>74</v>
      </c>
      <c r="BQ835" s="1" t="s">
        <v>74</v>
      </c>
      <c r="BR835" s="1" t="s">
        <v>74</v>
      </c>
      <c r="BS835" s="1" t="s">
        <v>7830</v>
      </c>
      <c r="BT835" s="1" t="str">
        <f>HYPERLINK("https%3A%2F%2Fwww.webofscience.com%2Fwos%2Fwoscc%2Ffull-record%2FWOS:000280944600010","View Full Record in Web of Science")</f>
        <v>View Full Record in Web of Science</v>
      </c>
    </row>
    <row r="836" ht="12.75" customHeight="1">
      <c r="A836" s="1" t="s">
        <v>72</v>
      </c>
      <c r="B836" s="1" t="s">
        <v>7831</v>
      </c>
      <c r="C836" s="1" t="s">
        <v>74</v>
      </c>
      <c r="D836" s="1" t="s">
        <v>74</v>
      </c>
      <c r="E836" s="1" t="s">
        <v>74</v>
      </c>
      <c r="F836" s="1" t="s">
        <v>7832</v>
      </c>
      <c r="G836" s="1" t="s">
        <v>74</v>
      </c>
      <c r="H836" s="1" t="s">
        <v>74</v>
      </c>
      <c r="I836" s="1" t="s">
        <v>7833</v>
      </c>
      <c r="J836" s="1" t="s">
        <v>6360</v>
      </c>
      <c r="K836" s="1" t="s">
        <v>74</v>
      </c>
      <c r="L836" s="1" t="s">
        <v>74</v>
      </c>
      <c r="M836" s="1" t="s">
        <v>74</v>
      </c>
      <c r="N836" s="1" t="s">
        <v>74</v>
      </c>
      <c r="O836" s="1" t="s">
        <v>74</v>
      </c>
      <c r="P836" s="1" t="s">
        <v>74</v>
      </c>
      <c r="Q836" s="1" t="s">
        <v>74</v>
      </c>
      <c r="R836" s="1" t="s">
        <v>74</v>
      </c>
      <c r="S836" s="1" t="s">
        <v>74</v>
      </c>
      <c r="T836" s="1" t="s">
        <v>74</v>
      </c>
      <c r="U836" s="1" t="s">
        <v>74</v>
      </c>
      <c r="V836" s="1" t="s">
        <v>7834</v>
      </c>
      <c r="W836" s="1" t="s">
        <v>74</v>
      </c>
      <c r="X836" s="1" t="s">
        <v>74</v>
      </c>
      <c r="Y836" s="1" t="s">
        <v>74</v>
      </c>
      <c r="Z836" s="1" t="s">
        <v>74</v>
      </c>
      <c r="AA836" s="1" t="s">
        <v>7835</v>
      </c>
      <c r="AB836" s="1" t="s">
        <v>7836</v>
      </c>
      <c r="AC836" s="1" t="s">
        <v>74</v>
      </c>
      <c r="AD836" s="1" t="s">
        <v>74</v>
      </c>
      <c r="AE836" s="1" t="s">
        <v>74</v>
      </c>
      <c r="AF836" s="1" t="s">
        <v>74</v>
      </c>
      <c r="AG836" s="1" t="s">
        <v>74</v>
      </c>
      <c r="AH836" s="1" t="s">
        <v>74</v>
      </c>
      <c r="AI836" s="1" t="s">
        <v>74</v>
      </c>
      <c r="AJ836" s="1" t="s">
        <v>74</v>
      </c>
      <c r="AK836" s="1" t="s">
        <v>74</v>
      </c>
      <c r="AL836" s="1" t="s">
        <v>74</v>
      </c>
      <c r="AM836" s="1" t="s">
        <v>74</v>
      </c>
      <c r="AN836" s="1" t="s">
        <v>74</v>
      </c>
      <c r="AO836" s="1" t="s">
        <v>6362</v>
      </c>
      <c r="AP836" s="1" t="s">
        <v>6363</v>
      </c>
      <c r="AQ836" s="1" t="s">
        <v>74</v>
      </c>
      <c r="AR836" s="1" t="s">
        <v>74</v>
      </c>
      <c r="AS836" s="1" t="s">
        <v>74</v>
      </c>
      <c r="AT836" s="1" t="s">
        <v>7837</v>
      </c>
      <c r="AU836" s="1">
        <v>2010.0</v>
      </c>
      <c r="AV836" s="1">
        <v>81.0</v>
      </c>
      <c r="AW836" s="1">
        <v>6.0</v>
      </c>
      <c r="AX836" s="1" t="s">
        <v>74</v>
      </c>
      <c r="AY836" s="1" t="s">
        <v>74</v>
      </c>
      <c r="AZ836" s="1" t="s">
        <v>74</v>
      </c>
      <c r="BA836" s="1" t="s">
        <v>74</v>
      </c>
      <c r="BB836" s="1" t="s">
        <v>74</v>
      </c>
      <c r="BC836" s="1" t="s">
        <v>74</v>
      </c>
      <c r="BD836" s="1">
        <v>62114.0</v>
      </c>
      <c r="BE836" s="1" t="s">
        <v>7838</v>
      </c>
      <c r="BF836" s="2" t="str">
        <f>HYPERLINK("http://dx.doi.org/10.1103/PhysRevA.81.062114","http://dx.doi.org/10.1103/PhysRevA.81.062114")</f>
        <v>http://dx.doi.org/10.1103/PhysRevA.81.062114</v>
      </c>
      <c r="BG836" s="1" t="s">
        <v>74</v>
      </c>
      <c r="BH836" s="1" t="s">
        <v>74</v>
      </c>
      <c r="BI836" s="1" t="s">
        <v>74</v>
      </c>
      <c r="BJ836" s="1" t="s">
        <v>74</v>
      </c>
      <c r="BK836" s="1" t="s">
        <v>74</v>
      </c>
      <c r="BL836" s="1" t="s">
        <v>74</v>
      </c>
      <c r="BM836" s="1" t="s">
        <v>74</v>
      </c>
      <c r="BN836" s="1" t="s">
        <v>74</v>
      </c>
      <c r="BO836" s="1" t="s">
        <v>74</v>
      </c>
      <c r="BP836" s="1" t="s">
        <v>74</v>
      </c>
      <c r="BQ836" s="1" t="s">
        <v>74</v>
      </c>
      <c r="BR836" s="1" t="s">
        <v>74</v>
      </c>
      <c r="BS836" s="1" t="s">
        <v>7839</v>
      </c>
      <c r="BT836" s="1" t="str">
        <f>HYPERLINK("https%3A%2F%2Fwww.webofscience.com%2Fwos%2Fwoscc%2Ffull-record%2FWOS:000278719000001","View Full Record in Web of Science")</f>
        <v>View Full Record in Web of Science</v>
      </c>
    </row>
    <row r="837" ht="12.75" customHeight="1">
      <c r="A837" s="1" t="s">
        <v>72</v>
      </c>
      <c r="B837" s="1" t="s">
        <v>7840</v>
      </c>
      <c r="C837" s="1" t="s">
        <v>74</v>
      </c>
      <c r="D837" s="1" t="s">
        <v>74</v>
      </c>
      <c r="E837" s="1" t="s">
        <v>74</v>
      </c>
      <c r="F837" s="1" t="s">
        <v>7841</v>
      </c>
      <c r="G837" s="1" t="s">
        <v>74</v>
      </c>
      <c r="H837" s="1" t="s">
        <v>74</v>
      </c>
      <c r="I837" s="1" t="s">
        <v>7842</v>
      </c>
      <c r="J837" s="1" t="s">
        <v>5582</v>
      </c>
      <c r="K837" s="1" t="s">
        <v>74</v>
      </c>
      <c r="L837" s="1" t="s">
        <v>74</v>
      </c>
      <c r="M837" s="1" t="s">
        <v>74</v>
      </c>
      <c r="N837" s="1" t="s">
        <v>74</v>
      </c>
      <c r="O837" s="1" t="s">
        <v>74</v>
      </c>
      <c r="P837" s="1" t="s">
        <v>74</v>
      </c>
      <c r="Q837" s="1" t="s">
        <v>74</v>
      </c>
      <c r="R837" s="1" t="s">
        <v>74</v>
      </c>
      <c r="S837" s="1" t="s">
        <v>74</v>
      </c>
      <c r="T837" s="1" t="s">
        <v>74</v>
      </c>
      <c r="U837" s="1" t="s">
        <v>74</v>
      </c>
      <c r="V837" s="1" t="s">
        <v>7843</v>
      </c>
      <c r="W837" s="1" t="s">
        <v>74</v>
      </c>
      <c r="X837" s="1" t="s">
        <v>74</v>
      </c>
      <c r="Y837" s="1" t="s">
        <v>74</v>
      </c>
      <c r="Z837" s="1" t="s">
        <v>74</v>
      </c>
      <c r="AA837" s="1" t="s">
        <v>74</v>
      </c>
      <c r="AB837" s="1" t="s">
        <v>74</v>
      </c>
      <c r="AC837" s="1" t="s">
        <v>74</v>
      </c>
      <c r="AD837" s="1" t="s">
        <v>74</v>
      </c>
      <c r="AE837" s="1" t="s">
        <v>74</v>
      </c>
      <c r="AF837" s="1" t="s">
        <v>74</v>
      </c>
      <c r="AG837" s="1" t="s">
        <v>74</v>
      </c>
      <c r="AH837" s="1" t="s">
        <v>74</v>
      </c>
      <c r="AI837" s="1" t="s">
        <v>74</v>
      </c>
      <c r="AJ837" s="1" t="s">
        <v>74</v>
      </c>
      <c r="AK837" s="1" t="s">
        <v>74</v>
      </c>
      <c r="AL837" s="1" t="s">
        <v>74</v>
      </c>
      <c r="AM837" s="1" t="s">
        <v>74</v>
      </c>
      <c r="AN837" s="1" t="s">
        <v>74</v>
      </c>
      <c r="AO837" s="1" t="s">
        <v>5586</v>
      </c>
      <c r="AP837" s="1" t="s">
        <v>5587</v>
      </c>
      <c r="AQ837" s="1" t="s">
        <v>74</v>
      </c>
      <c r="AR837" s="1" t="s">
        <v>74</v>
      </c>
      <c r="AS837" s="1" t="s">
        <v>74</v>
      </c>
      <c r="AT837" s="1" t="s">
        <v>389</v>
      </c>
      <c r="AU837" s="1">
        <v>2008.0</v>
      </c>
      <c r="AV837" s="1">
        <v>44.0</v>
      </c>
      <c r="AW837" s="1">
        <v>1.0</v>
      </c>
      <c r="AX837" s="1" t="s">
        <v>74</v>
      </c>
      <c r="AY837" s="1" t="s">
        <v>74</v>
      </c>
      <c r="AZ837" s="1" t="s">
        <v>74</v>
      </c>
      <c r="BA837" s="1" t="s">
        <v>74</v>
      </c>
      <c r="BB837" s="1">
        <v>173.0</v>
      </c>
      <c r="BC837" s="1">
        <v>182.0</v>
      </c>
      <c r="BD837" s="1" t="s">
        <v>74</v>
      </c>
      <c r="BE837" s="1" t="s">
        <v>7844</v>
      </c>
      <c r="BF837" s="2" t="str">
        <f>HYPERLINK("http://dx.doi.org/10.1111/j.1529-8817.2007.00431.x","http://dx.doi.org/10.1111/j.1529-8817.2007.00431.x")</f>
        <v>http://dx.doi.org/10.1111/j.1529-8817.2007.00431.x</v>
      </c>
      <c r="BG837" s="1" t="s">
        <v>74</v>
      </c>
      <c r="BH837" s="1" t="s">
        <v>74</v>
      </c>
      <c r="BI837" s="1" t="s">
        <v>74</v>
      </c>
      <c r="BJ837" s="1" t="s">
        <v>74</v>
      </c>
      <c r="BK837" s="1" t="s">
        <v>74</v>
      </c>
      <c r="BL837" s="1" t="s">
        <v>74</v>
      </c>
      <c r="BM837" s="1" t="s">
        <v>74</v>
      </c>
      <c r="BN837" s="1">
        <v>2.7041054E7</v>
      </c>
      <c r="BO837" s="1" t="s">
        <v>74</v>
      </c>
      <c r="BP837" s="1" t="s">
        <v>74</v>
      </c>
      <c r="BQ837" s="1" t="s">
        <v>74</v>
      </c>
      <c r="BR837" s="1" t="s">
        <v>74</v>
      </c>
      <c r="BS837" s="1" t="s">
        <v>7845</v>
      </c>
      <c r="BT837" s="1" t="str">
        <f>HYPERLINK("https%3A%2F%2Fwww.webofscience.com%2Fwos%2Fwoscc%2Ffull-record%2FWOS:000252986000025","View Full Record in Web of Science")</f>
        <v>View Full Record in Web of Science</v>
      </c>
    </row>
    <row r="838" ht="12.75" customHeight="1">
      <c r="A838" s="1" t="s">
        <v>72</v>
      </c>
      <c r="B838" s="1" t="s">
        <v>7846</v>
      </c>
      <c r="C838" s="1" t="s">
        <v>74</v>
      </c>
      <c r="D838" s="1" t="s">
        <v>74</v>
      </c>
      <c r="E838" s="1" t="s">
        <v>74</v>
      </c>
      <c r="F838" s="1" t="s">
        <v>7847</v>
      </c>
      <c r="G838" s="1" t="s">
        <v>74</v>
      </c>
      <c r="H838" s="1" t="s">
        <v>74</v>
      </c>
      <c r="I838" s="1" t="s">
        <v>7848</v>
      </c>
      <c r="J838" s="1" t="s">
        <v>360</v>
      </c>
      <c r="K838" s="1" t="s">
        <v>74</v>
      </c>
      <c r="L838" s="1" t="s">
        <v>74</v>
      </c>
      <c r="M838" s="1" t="s">
        <v>74</v>
      </c>
      <c r="N838" s="1" t="s">
        <v>74</v>
      </c>
      <c r="O838" s="1" t="s">
        <v>74</v>
      </c>
      <c r="P838" s="1" t="s">
        <v>74</v>
      </c>
      <c r="Q838" s="1" t="s">
        <v>74</v>
      </c>
      <c r="R838" s="1" t="s">
        <v>74</v>
      </c>
      <c r="S838" s="1" t="s">
        <v>74</v>
      </c>
      <c r="T838" s="1" t="s">
        <v>74</v>
      </c>
      <c r="U838" s="1" t="s">
        <v>74</v>
      </c>
      <c r="V838" s="1" t="s">
        <v>7849</v>
      </c>
      <c r="W838" s="1" t="s">
        <v>74</v>
      </c>
      <c r="X838" s="1" t="s">
        <v>74</v>
      </c>
      <c r="Y838" s="1" t="s">
        <v>74</v>
      </c>
      <c r="Z838" s="1" t="s">
        <v>74</v>
      </c>
      <c r="AA838" s="1" t="s">
        <v>74</v>
      </c>
      <c r="AB838" s="1" t="s">
        <v>7850</v>
      </c>
      <c r="AC838" s="1" t="s">
        <v>74</v>
      </c>
      <c r="AD838" s="1" t="s">
        <v>74</v>
      </c>
      <c r="AE838" s="1" t="s">
        <v>74</v>
      </c>
      <c r="AF838" s="1" t="s">
        <v>74</v>
      </c>
      <c r="AG838" s="1" t="s">
        <v>74</v>
      </c>
      <c r="AH838" s="1" t="s">
        <v>74</v>
      </c>
      <c r="AI838" s="1" t="s">
        <v>74</v>
      </c>
      <c r="AJ838" s="1" t="s">
        <v>74</v>
      </c>
      <c r="AK838" s="1" t="s">
        <v>74</v>
      </c>
      <c r="AL838" s="1" t="s">
        <v>74</v>
      </c>
      <c r="AM838" s="1" t="s">
        <v>74</v>
      </c>
      <c r="AN838" s="1" t="s">
        <v>74</v>
      </c>
      <c r="AO838" s="1" t="s">
        <v>362</v>
      </c>
      <c r="AP838" s="1" t="s">
        <v>833</v>
      </c>
      <c r="AQ838" s="1" t="s">
        <v>74</v>
      </c>
      <c r="AR838" s="1" t="s">
        <v>74</v>
      </c>
      <c r="AS838" s="1" t="s">
        <v>74</v>
      </c>
      <c r="AT838" s="1" t="s">
        <v>122</v>
      </c>
      <c r="AU838" s="1">
        <v>2007.0</v>
      </c>
      <c r="AV838" s="1">
        <v>135.0</v>
      </c>
      <c r="AW838" s="1">
        <v>8.0</v>
      </c>
      <c r="AX838" s="1" t="s">
        <v>74</v>
      </c>
      <c r="AY838" s="1" t="s">
        <v>74</v>
      </c>
      <c r="AZ838" s="1" t="s">
        <v>74</v>
      </c>
      <c r="BA838" s="1" t="s">
        <v>74</v>
      </c>
      <c r="BB838" s="1">
        <v>1044.0</v>
      </c>
      <c r="BC838" s="1">
        <v>1047.0</v>
      </c>
      <c r="BD838" s="1" t="s">
        <v>74</v>
      </c>
      <c r="BE838" s="1" t="s">
        <v>74</v>
      </c>
      <c r="BF838" s="1" t="s">
        <v>74</v>
      </c>
      <c r="BG838" s="1" t="s">
        <v>74</v>
      </c>
      <c r="BH838" s="1" t="s">
        <v>74</v>
      </c>
      <c r="BI838" s="1" t="s">
        <v>74</v>
      </c>
      <c r="BJ838" s="1" t="s">
        <v>74</v>
      </c>
      <c r="BK838" s="1" t="s">
        <v>74</v>
      </c>
      <c r="BL838" s="1" t="s">
        <v>74</v>
      </c>
      <c r="BM838" s="1" t="s">
        <v>74</v>
      </c>
      <c r="BN838" s="1">
        <v>1.7989863E7</v>
      </c>
      <c r="BO838" s="1" t="s">
        <v>74</v>
      </c>
      <c r="BP838" s="1" t="s">
        <v>74</v>
      </c>
      <c r="BQ838" s="1" t="s">
        <v>74</v>
      </c>
      <c r="BR838" s="1" t="s">
        <v>74</v>
      </c>
      <c r="BS838" s="1" t="s">
        <v>7851</v>
      </c>
      <c r="BT838" s="1" t="str">
        <f>HYPERLINK("https%3A%2F%2Fwww.webofscience.com%2Fwos%2Fwoscc%2Ffull-record%2FWOS:000250091600013","View Full Record in Web of Science")</f>
        <v>View Full Record in Web of Science</v>
      </c>
    </row>
    <row r="839" ht="12.75" customHeight="1">
      <c r="A839" s="1" t="s">
        <v>72</v>
      </c>
      <c r="B839" s="1" t="s">
        <v>7852</v>
      </c>
      <c r="C839" s="1" t="s">
        <v>74</v>
      </c>
      <c r="D839" s="1" t="s">
        <v>74</v>
      </c>
      <c r="E839" s="1" t="s">
        <v>74</v>
      </c>
      <c r="F839" s="1" t="s">
        <v>7853</v>
      </c>
      <c r="G839" s="1" t="s">
        <v>74</v>
      </c>
      <c r="H839" s="1" t="s">
        <v>74</v>
      </c>
      <c r="I839" s="1" t="s">
        <v>7854</v>
      </c>
      <c r="J839" s="1" t="s">
        <v>2510</v>
      </c>
      <c r="K839" s="1" t="s">
        <v>74</v>
      </c>
      <c r="L839" s="1" t="s">
        <v>74</v>
      </c>
      <c r="M839" s="1" t="s">
        <v>74</v>
      </c>
      <c r="N839" s="1" t="s">
        <v>74</v>
      </c>
      <c r="O839" s="1" t="s">
        <v>7855</v>
      </c>
      <c r="P839" s="1" t="s">
        <v>7856</v>
      </c>
      <c r="Q839" s="1" t="s">
        <v>7857</v>
      </c>
      <c r="R839" s="1" t="s">
        <v>74</v>
      </c>
      <c r="S839" s="1" t="s">
        <v>74</v>
      </c>
      <c r="T839" s="1" t="s">
        <v>74</v>
      </c>
      <c r="U839" s="1" t="s">
        <v>74</v>
      </c>
      <c r="V839" s="1" t="s">
        <v>7858</v>
      </c>
      <c r="W839" s="1" t="s">
        <v>74</v>
      </c>
      <c r="X839" s="1" t="s">
        <v>74</v>
      </c>
      <c r="Y839" s="1" t="s">
        <v>74</v>
      </c>
      <c r="Z839" s="1" t="s">
        <v>74</v>
      </c>
      <c r="AA839" s="1" t="s">
        <v>7859</v>
      </c>
      <c r="AB839" s="1" t="s">
        <v>7860</v>
      </c>
      <c r="AC839" s="1" t="s">
        <v>74</v>
      </c>
      <c r="AD839" s="1" t="s">
        <v>74</v>
      </c>
      <c r="AE839" s="1" t="s">
        <v>74</v>
      </c>
      <c r="AF839" s="1" t="s">
        <v>74</v>
      </c>
      <c r="AG839" s="1" t="s">
        <v>74</v>
      </c>
      <c r="AH839" s="1" t="s">
        <v>74</v>
      </c>
      <c r="AI839" s="1" t="s">
        <v>74</v>
      </c>
      <c r="AJ839" s="1" t="s">
        <v>74</v>
      </c>
      <c r="AK839" s="1" t="s">
        <v>74</v>
      </c>
      <c r="AL839" s="1" t="s">
        <v>74</v>
      </c>
      <c r="AM839" s="1" t="s">
        <v>74</v>
      </c>
      <c r="AN839" s="1" t="s">
        <v>74</v>
      </c>
      <c r="AO839" s="1" t="s">
        <v>2514</v>
      </c>
      <c r="AP839" s="1" t="s">
        <v>74</v>
      </c>
      <c r="AQ839" s="1" t="s">
        <v>74</v>
      </c>
      <c r="AR839" s="1" t="s">
        <v>74</v>
      </c>
      <c r="AS839" s="1" t="s">
        <v>74</v>
      </c>
      <c r="AT839" s="1" t="s">
        <v>74</v>
      </c>
      <c r="AU839" s="1">
        <v>2007.0</v>
      </c>
      <c r="AV839" s="1">
        <v>56.0</v>
      </c>
      <c r="AW839" s="1">
        <v>2.0</v>
      </c>
      <c r="AX839" s="1" t="s">
        <v>74</v>
      </c>
      <c r="AY839" s="1" t="s">
        <v>74</v>
      </c>
      <c r="AZ839" s="1" t="s">
        <v>74</v>
      </c>
      <c r="BA839" s="1" t="s">
        <v>74</v>
      </c>
      <c r="BB839" s="1">
        <v>71.0</v>
      </c>
      <c r="BC839" s="1">
        <v>77.0</v>
      </c>
      <c r="BD839" s="1" t="s">
        <v>74</v>
      </c>
      <c r="BE839" s="1" t="s">
        <v>7861</v>
      </c>
      <c r="BF839" s="2" t="str">
        <f>HYPERLINK("http://dx.doi.org/10.2166/wst.2007.474","http://dx.doi.org/10.2166/wst.2007.474")</f>
        <v>http://dx.doi.org/10.2166/wst.2007.474</v>
      </c>
      <c r="BG839" s="1" t="s">
        <v>74</v>
      </c>
      <c r="BH839" s="1" t="s">
        <v>74</v>
      </c>
      <c r="BI839" s="1" t="s">
        <v>74</v>
      </c>
      <c r="BJ839" s="1" t="s">
        <v>74</v>
      </c>
      <c r="BK839" s="1" t="s">
        <v>74</v>
      </c>
      <c r="BL839" s="1" t="s">
        <v>74</v>
      </c>
      <c r="BM839" s="1" t="s">
        <v>74</v>
      </c>
      <c r="BN839" s="1">
        <v>1.784998E7</v>
      </c>
      <c r="BO839" s="1" t="s">
        <v>74</v>
      </c>
      <c r="BP839" s="1" t="s">
        <v>74</v>
      </c>
      <c r="BQ839" s="1" t="s">
        <v>74</v>
      </c>
      <c r="BR839" s="1" t="s">
        <v>74</v>
      </c>
      <c r="BS839" s="1" t="s">
        <v>7862</v>
      </c>
      <c r="BT839" s="1" t="str">
        <f>HYPERLINK("https%3A%2F%2Fwww.webofscience.com%2Fwos%2Fwoscc%2Ffull-record%2FWOS:000248820800011","View Full Record in Web of Science")</f>
        <v>View Full Record in Web of Science</v>
      </c>
    </row>
    <row r="840" ht="12.75" customHeight="1">
      <c r="A840" s="1" t="s">
        <v>72</v>
      </c>
      <c r="B840" s="1" t="s">
        <v>7863</v>
      </c>
      <c r="C840" s="1" t="s">
        <v>74</v>
      </c>
      <c r="D840" s="1" t="s">
        <v>74</v>
      </c>
      <c r="E840" s="1" t="s">
        <v>74</v>
      </c>
      <c r="F840" s="1" t="s">
        <v>7863</v>
      </c>
      <c r="G840" s="1" t="s">
        <v>74</v>
      </c>
      <c r="H840" s="1" t="s">
        <v>74</v>
      </c>
      <c r="I840" s="1" t="s">
        <v>7864</v>
      </c>
      <c r="J840" s="1" t="s">
        <v>3498</v>
      </c>
      <c r="K840" s="1" t="s">
        <v>74</v>
      </c>
      <c r="L840" s="1" t="s">
        <v>74</v>
      </c>
      <c r="M840" s="1" t="s">
        <v>74</v>
      </c>
      <c r="N840" s="1" t="s">
        <v>74</v>
      </c>
      <c r="O840" s="1" t="s">
        <v>74</v>
      </c>
      <c r="P840" s="1" t="s">
        <v>74</v>
      </c>
      <c r="Q840" s="1" t="s">
        <v>74</v>
      </c>
      <c r="R840" s="1" t="s">
        <v>74</v>
      </c>
      <c r="S840" s="1" t="s">
        <v>74</v>
      </c>
      <c r="T840" s="1" t="s">
        <v>74</v>
      </c>
      <c r="U840" s="1" t="s">
        <v>74</v>
      </c>
      <c r="V840" s="1" t="s">
        <v>7865</v>
      </c>
      <c r="W840" s="1" t="s">
        <v>74</v>
      </c>
      <c r="X840" s="1" t="s">
        <v>74</v>
      </c>
      <c r="Y840" s="1" t="s">
        <v>74</v>
      </c>
      <c r="Z840" s="1" t="s">
        <v>74</v>
      </c>
      <c r="AA840" s="1" t="s">
        <v>7866</v>
      </c>
      <c r="AB840" s="1" t="s">
        <v>3501</v>
      </c>
      <c r="AC840" s="1" t="s">
        <v>74</v>
      </c>
      <c r="AD840" s="1" t="s">
        <v>74</v>
      </c>
      <c r="AE840" s="1" t="s">
        <v>74</v>
      </c>
      <c r="AF840" s="1" t="s">
        <v>74</v>
      </c>
      <c r="AG840" s="1" t="s">
        <v>74</v>
      </c>
      <c r="AH840" s="1" t="s">
        <v>74</v>
      </c>
      <c r="AI840" s="1" t="s">
        <v>74</v>
      </c>
      <c r="AJ840" s="1" t="s">
        <v>74</v>
      </c>
      <c r="AK840" s="1" t="s">
        <v>74</v>
      </c>
      <c r="AL840" s="1" t="s">
        <v>74</v>
      </c>
      <c r="AM840" s="1" t="s">
        <v>74</v>
      </c>
      <c r="AN840" s="1" t="s">
        <v>74</v>
      </c>
      <c r="AO840" s="1" t="s">
        <v>3502</v>
      </c>
      <c r="AP840" s="1" t="s">
        <v>74</v>
      </c>
      <c r="AQ840" s="1" t="s">
        <v>74</v>
      </c>
      <c r="AR840" s="1" t="s">
        <v>74</v>
      </c>
      <c r="AS840" s="1" t="s">
        <v>74</v>
      </c>
      <c r="AT840" s="1" t="s">
        <v>7867</v>
      </c>
      <c r="AU840" s="1">
        <v>2006.0</v>
      </c>
      <c r="AV840" s="1">
        <v>103.0</v>
      </c>
      <c r="AW840" s="1">
        <v>2.0</v>
      </c>
      <c r="AX840" s="1" t="s">
        <v>74</v>
      </c>
      <c r="AY840" s="1" t="s">
        <v>74</v>
      </c>
      <c r="AZ840" s="1" t="s">
        <v>74</v>
      </c>
      <c r="BA840" s="1" t="s">
        <v>74</v>
      </c>
      <c r="BB840" s="1">
        <v>297.0</v>
      </c>
      <c r="BC840" s="1">
        <v>301.0</v>
      </c>
      <c r="BD840" s="1" t="s">
        <v>74</v>
      </c>
      <c r="BE840" s="1" t="s">
        <v>7868</v>
      </c>
      <c r="BF840" s="2" t="str">
        <f>HYPERLINK("http://dx.doi.org/10.1016/j.jep.2005.09.042","http://dx.doi.org/10.1016/j.jep.2005.09.042")</f>
        <v>http://dx.doi.org/10.1016/j.jep.2005.09.042</v>
      </c>
      <c r="BG840" s="1" t="s">
        <v>74</v>
      </c>
      <c r="BH840" s="1" t="s">
        <v>74</v>
      </c>
      <c r="BI840" s="1" t="s">
        <v>74</v>
      </c>
      <c r="BJ840" s="1" t="s">
        <v>74</v>
      </c>
      <c r="BK840" s="1" t="s">
        <v>74</v>
      </c>
      <c r="BL840" s="1" t="s">
        <v>74</v>
      </c>
      <c r="BM840" s="1" t="s">
        <v>74</v>
      </c>
      <c r="BN840" s="1">
        <v>1.6310995E7</v>
      </c>
      <c r="BO840" s="1" t="s">
        <v>74</v>
      </c>
      <c r="BP840" s="1" t="s">
        <v>74</v>
      </c>
      <c r="BQ840" s="1" t="s">
        <v>74</v>
      </c>
      <c r="BR840" s="1" t="s">
        <v>74</v>
      </c>
      <c r="BS840" s="1" t="s">
        <v>7869</v>
      </c>
      <c r="BT840" s="1" t="str">
        <f>HYPERLINK("https%3A%2F%2Fwww.webofscience.com%2Fwos%2Fwoscc%2Ffull-record%2FWOS:000234840100022","View Full Record in Web of Science")</f>
        <v>View Full Record in Web of Science</v>
      </c>
    </row>
    <row r="841" ht="12.75" customHeight="1">
      <c r="A841" s="1" t="s">
        <v>72</v>
      </c>
      <c r="B841" s="1" t="s">
        <v>7870</v>
      </c>
      <c r="C841" s="1" t="s">
        <v>74</v>
      </c>
      <c r="D841" s="1" t="s">
        <v>74</v>
      </c>
      <c r="E841" s="1" t="s">
        <v>74</v>
      </c>
      <c r="F841" s="1" t="s">
        <v>7870</v>
      </c>
      <c r="G841" s="1" t="s">
        <v>74</v>
      </c>
      <c r="H841" s="1" t="s">
        <v>74</v>
      </c>
      <c r="I841" s="1" t="s">
        <v>7871</v>
      </c>
      <c r="J841" s="1" t="s">
        <v>7872</v>
      </c>
      <c r="K841" s="1" t="s">
        <v>74</v>
      </c>
      <c r="L841" s="1" t="s">
        <v>74</v>
      </c>
      <c r="M841" s="1" t="s">
        <v>74</v>
      </c>
      <c r="N841" s="1" t="s">
        <v>74</v>
      </c>
      <c r="O841" s="1" t="s">
        <v>74</v>
      </c>
      <c r="P841" s="1" t="s">
        <v>74</v>
      </c>
      <c r="Q841" s="1" t="s">
        <v>74</v>
      </c>
      <c r="R841" s="1" t="s">
        <v>74</v>
      </c>
      <c r="S841" s="1" t="s">
        <v>74</v>
      </c>
      <c r="T841" s="1" t="s">
        <v>74</v>
      </c>
      <c r="U841" s="1" t="s">
        <v>74</v>
      </c>
      <c r="V841" s="1" t="s">
        <v>7873</v>
      </c>
      <c r="W841" s="1" t="s">
        <v>74</v>
      </c>
      <c r="X841" s="1" t="s">
        <v>74</v>
      </c>
      <c r="Y841" s="1" t="s">
        <v>74</v>
      </c>
      <c r="Z841" s="1" t="s">
        <v>74</v>
      </c>
      <c r="AA841" s="1" t="s">
        <v>7243</v>
      </c>
      <c r="AB841" s="1" t="s">
        <v>7244</v>
      </c>
      <c r="AC841" s="1" t="s">
        <v>74</v>
      </c>
      <c r="AD841" s="1" t="s">
        <v>74</v>
      </c>
      <c r="AE841" s="1" t="s">
        <v>74</v>
      </c>
      <c r="AF841" s="1" t="s">
        <v>74</v>
      </c>
      <c r="AG841" s="1" t="s">
        <v>74</v>
      </c>
      <c r="AH841" s="1" t="s">
        <v>74</v>
      </c>
      <c r="AI841" s="1" t="s">
        <v>74</v>
      </c>
      <c r="AJ841" s="1" t="s">
        <v>74</v>
      </c>
      <c r="AK841" s="1" t="s">
        <v>74</v>
      </c>
      <c r="AL841" s="1" t="s">
        <v>74</v>
      </c>
      <c r="AM841" s="1" t="s">
        <v>74</v>
      </c>
      <c r="AN841" s="1" t="s">
        <v>74</v>
      </c>
      <c r="AO841" s="1" t="s">
        <v>7874</v>
      </c>
      <c r="AP841" s="1" t="s">
        <v>7875</v>
      </c>
      <c r="AQ841" s="1" t="s">
        <v>74</v>
      </c>
      <c r="AR841" s="1" t="s">
        <v>74</v>
      </c>
      <c r="AS841" s="1" t="s">
        <v>74</v>
      </c>
      <c r="AT841" s="1" t="s">
        <v>122</v>
      </c>
      <c r="AU841" s="1">
        <v>2005.0</v>
      </c>
      <c r="AV841" s="1">
        <v>10.0</v>
      </c>
      <c r="AW841" s="1">
        <v>4.0</v>
      </c>
      <c r="AX841" s="1" t="s">
        <v>74</v>
      </c>
      <c r="AY841" s="1" t="s">
        <v>74</v>
      </c>
      <c r="AZ841" s="1" t="s">
        <v>74</v>
      </c>
      <c r="BA841" s="1" t="s">
        <v>74</v>
      </c>
      <c r="BB841" s="1">
        <v>227.0</v>
      </c>
      <c r="BC841" s="1">
        <v>234.0</v>
      </c>
      <c r="BD841" s="1" t="s">
        <v>74</v>
      </c>
      <c r="BE841" s="1" t="s">
        <v>7876</v>
      </c>
      <c r="BF841" s="2" t="str">
        <f>HYPERLINK("http://dx.doi.org/10.1179/135100005X70189","http://dx.doi.org/10.1179/135100005X70189")</f>
        <v>http://dx.doi.org/10.1179/135100005X70189</v>
      </c>
      <c r="BG841" s="1" t="s">
        <v>74</v>
      </c>
      <c r="BH841" s="1" t="s">
        <v>74</v>
      </c>
      <c r="BI841" s="1" t="s">
        <v>74</v>
      </c>
      <c r="BJ841" s="1" t="s">
        <v>74</v>
      </c>
      <c r="BK841" s="1" t="s">
        <v>74</v>
      </c>
      <c r="BL841" s="1" t="s">
        <v>74</v>
      </c>
      <c r="BM841" s="1" t="s">
        <v>74</v>
      </c>
      <c r="BN841" s="1">
        <v>1.625979E7</v>
      </c>
      <c r="BO841" s="1" t="s">
        <v>74</v>
      </c>
      <c r="BP841" s="1" t="s">
        <v>74</v>
      </c>
      <c r="BQ841" s="1" t="s">
        <v>74</v>
      </c>
      <c r="BR841" s="1" t="s">
        <v>74</v>
      </c>
      <c r="BS841" s="1" t="s">
        <v>7877</v>
      </c>
      <c r="BT841" s="1" t="str">
        <f>HYPERLINK("https%3A%2F%2Fwww.webofscience.com%2Fwos%2Fwoscc%2Ffull-record%2FWOS:000234389400006","View Full Record in Web of Science")</f>
        <v>View Full Record in Web of Science</v>
      </c>
    </row>
    <row r="842" ht="12.75" customHeight="1">
      <c r="A842" s="1" t="s">
        <v>72</v>
      </c>
      <c r="B842" s="1" t="s">
        <v>7878</v>
      </c>
      <c r="C842" s="1" t="s">
        <v>74</v>
      </c>
      <c r="D842" s="1" t="s">
        <v>74</v>
      </c>
      <c r="E842" s="1" t="s">
        <v>74</v>
      </c>
      <c r="F842" s="1" t="s">
        <v>7878</v>
      </c>
      <c r="G842" s="1" t="s">
        <v>74</v>
      </c>
      <c r="H842" s="1" t="s">
        <v>74</v>
      </c>
      <c r="I842" s="1" t="s">
        <v>7879</v>
      </c>
      <c r="J842" s="1" t="s">
        <v>7880</v>
      </c>
      <c r="K842" s="1" t="s">
        <v>74</v>
      </c>
      <c r="L842" s="1" t="s">
        <v>74</v>
      </c>
      <c r="M842" s="1" t="s">
        <v>74</v>
      </c>
      <c r="N842" s="1" t="s">
        <v>74</v>
      </c>
      <c r="O842" s="1" t="s">
        <v>7881</v>
      </c>
      <c r="P842" s="1" t="s">
        <v>7882</v>
      </c>
      <c r="Q842" s="1" t="s">
        <v>800</v>
      </c>
      <c r="R842" s="1" t="s">
        <v>74</v>
      </c>
      <c r="S842" s="1" t="s">
        <v>74</v>
      </c>
      <c r="T842" s="1" t="s">
        <v>74</v>
      </c>
      <c r="U842" s="1" t="s">
        <v>74</v>
      </c>
      <c r="V842" s="1" t="s">
        <v>7883</v>
      </c>
      <c r="W842" s="1" t="s">
        <v>74</v>
      </c>
      <c r="X842" s="1" t="s">
        <v>74</v>
      </c>
      <c r="Y842" s="1" t="s">
        <v>74</v>
      </c>
      <c r="Z842" s="1" t="s">
        <v>74</v>
      </c>
      <c r="AA842" s="1" t="s">
        <v>7884</v>
      </c>
      <c r="AB842" s="1" t="s">
        <v>7885</v>
      </c>
      <c r="AC842" s="1" t="s">
        <v>74</v>
      </c>
      <c r="AD842" s="1" t="s">
        <v>74</v>
      </c>
      <c r="AE842" s="1" t="s">
        <v>74</v>
      </c>
      <c r="AF842" s="1" t="s">
        <v>74</v>
      </c>
      <c r="AG842" s="1" t="s">
        <v>74</v>
      </c>
      <c r="AH842" s="1" t="s">
        <v>74</v>
      </c>
      <c r="AI842" s="1" t="s">
        <v>74</v>
      </c>
      <c r="AJ842" s="1" t="s">
        <v>74</v>
      </c>
      <c r="AK842" s="1" t="s">
        <v>74</v>
      </c>
      <c r="AL842" s="1" t="s">
        <v>74</v>
      </c>
      <c r="AM842" s="1" t="s">
        <v>74</v>
      </c>
      <c r="AN842" s="1" t="s">
        <v>74</v>
      </c>
      <c r="AO842" s="1" t="s">
        <v>7886</v>
      </c>
      <c r="AP842" s="1" t="s">
        <v>7887</v>
      </c>
      <c r="AQ842" s="1" t="s">
        <v>74</v>
      </c>
      <c r="AR842" s="1" t="s">
        <v>74</v>
      </c>
      <c r="AS842" s="1" t="s">
        <v>74</v>
      </c>
      <c r="AT842" s="1" t="s">
        <v>211</v>
      </c>
      <c r="AU842" s="1">
        <v>2005.0</v>
      </c>
      <c r="AV842" s="1">
        <v>28.0</v>
      </c>
      <c r="AW842" s="1">
        <v>4.0</v>
      </c>
      <c r="AX842" s="1" t="s">
        <v>74</v>
      </c>
      <c r="AY842" s="1" t="s">
        <v>74</v>
      </c>
      <c r="AZ842" s="1" t="s">
        <v>74</v>
      </c>
      <c r="BA842" s="1" t="s">
        <v>74</v>
      </c>
      <c r="BB842" s="1">
        <v>185.0</v>
      </c>
      <c r="BC842" s="1">
        <v>187.0</v>
      </c>
      <c r="BD842" s="1" t="s">
        <v>74</v>
      </c>
      <c r="BE842" s="1" t="s">
        <v>7888</v>
      </c>
      <c r="BF842" s="2" t="str">
        <f>HYPERLINK("http://dx.doi.org/10.1097/01.wnf.0000174932.82134.e2","http://dx.doi.org/10.1097/01.wnf.0000174932.82134.e2")</f>
        <v>http://dx.doi.org/10.1097/01.wnf.0000174932.82134.e2</v>
      </c>
      <c r="BG842" s="1" t="s">
        <v>74</v>
      </c>
      <c r="BH842" s="1" t="s">
        <v>74</v>
      </c>
      <c r="BI842" s="1" t="s">
        <v>74</v>
      </c>
      <c r="BJ842" s="1" t="s">
        <v>74</v>
      </c>
      <c r="BK842" s="1" t="s">
        <v>74</v>
      </c>
      <c r="BL842" s="1" t="s">
        <v>74</v>
      </c>
      <c r="BM842" s="1" t="s">
        <v>74</v>
      </c>
      <c r="BN842" s="1">
        <v>1.6062098E7</v>
      </c>
      <c r="BO842" s="1" t="s">
        <v>74</v>
      </c>
      <c r="BP842" s="1" t="s">
        <v>74</v>
      </c>
      <c r="BQ842" s="1" t="s">
        <v>74</v>
      </c>
      <c r="BR842" s="1" t="s">
        <v>74</v>
      </c>
      <c r="BS842" s="1" t="s">
        <v>7889</v>
      </c>
      <c r="BT842" s="1" t="str">
        <f>HYPERLINK("https%3A%2F%2Fwww.webofscience.com%2Fwos%2Fwoscc%2Ffull-record%2FWOS:000231330000007","View Full Record in Web of Science")</f>
        <v>View Full Record in Web of Science</v>
      </c>
    </row>
    <row r="843" ht="12.75" customHeight="1">
      <c r="A843" s="1" t="s">
        <v>72</v>
      </c>
      <c r="B843" s="1" t="s">
        <v>7890</v>
      </c>
      <c r="C843" s="1" t="s">
        <v>74</v>
      </c>
      <c r="D843" s="1" t="s">
        <v>74</v>
      </c>
      <c r="E843" s="1" t="s">
        <v>74</v>
      </c>
      <c r="F843" s="1" t="s">
        <v>7890</v>
      </c>
      <c r="G843" s="1" t="s">
        <v>74</v>
      </c>
      <c r="H843" s="1" t="s">
        <v>74</v>
      </c>
      <c r="I843" s="1" t="s">
        <v>7891</v>
      </c>
      <c r="J843" s="1" t="s">
        <v>7892</v>
      </c>
      <c r="K843" s="1" t="s">
        <v>74</v>
      </c>
      <c r="L843" s="1" t="s">
        <v>74</v>
      </c>
      <c r="M843" s="1" t="s">
        <v>74</v>
      </c>
      <c r="N843" s="1" t="s">
        <v>74</v>
      </c>
      <c r="O843" s="1" t="s">
        <v>74</v>
      </c>
      <c r="P843" s="1" t="s">
        <v>74</v>
      </c>
      <c r="Q843" s="1" t="s">
        <v>74</v>
      </c>
      <c r="R843" s="1" t="s">
        <v>74</v>
      </c>
      <c r="S843" s="1" t="s">
        <v>74</v>
      </c>
      <c r="T843" s="1" t="s">
        <v>74</v>
      </c>
      <c r="U843" s="1" t="s">
        <v>74</v>
      </c>
      <c r="V843" s="1" t="s">
        <v>7893</v>
      </c>
      <c r="W843" s="1" t="s">
        <v>74</v>
      </c>
      <c r="X843" s="1" t="s">
        <v>74</v>
      </c>
      <c r="Y843" s="1" t="s">
        <v>74</v>
      </c>
      <c r="Z843" s="1" t="s">
        <v>74</v>
      </c>
      <c r="AA843" s="1" t="s">
        <v>7894</v>
      </c>
      <c r="AB843" s="1" t="s">
        <v>7895</v>
      </c>
      <c r="AC843" s="1" t="s">
        <v>74</v>
      </c>
      <c r="AD843" s="1" t="s">
        <v>74</v>
      </c>
      <c r="AE843" s="1" t="s">
        <v>74</v>
      </c>
      <c r="AF843" s="1" t="s">
        <v>74</v>
      </c>
      <c r="AG843" s="1" t="s">
        <v>74</v>
      </c>
      <c r="AH843" s="1" t="s">
        <v>74</v>
      </c>
      <c r="AI843" s="1" t="s">
        <v>74</v>
      </c>
      <c r="AJ843" s="1" t="s">
        <v>74</v>
      </c>
      <c r="AK843" s="1" t="s">
        <v>74</v>
      </c>
      <c r="AL843" s="1" t="s">
        <v>74</v>
      </c>
      <c r="AM843" s="1" t="s">
        <v>74</v>
      </c>
      <c r="AN843" s="1" t="s">
        <v>74</v>
      </c>
      <c r="AO843" s="1" t="s">
        <v>7896</v>
      </c>
      <c r="AP843" s="1" t="s">
        <v>7897</v>
      </c>
      <c r="AQ843" s="1" t="s">
        <v>74</v>
      </c>
      <c r="AR843" s="1" t="s">
        <v>74</v>
      </c>
      <c r="AS843" s="1" t="s">
        <v>74</v>
      </c>
      <c r="AT843" s="1" t="s">
        <v>389</v>
      </c>
      <c r="AU843" s="1">
        <v>2004.0</v>
      </c>
      <c r="AV843" s="1">
        <v>114.0</v>
      </c>
      <c r="AW843" s="1">
        <v>2.0</v>
      </c>
      <c r="AX843" s="1" t="s">
        <v>74</v>
      </c>
      <c r="AY843" s="1" t="s">
        <v>74</v>
      </c>
      <c r="AZ843" s="1" t="s">
        <v>74</v>
      </c>
      <c r="BA843" s="1" t="s">
        <v>74</v>
      </c>
      <c r="BB843" s="1">
        <v>229.0</v>
      </c>
      <c r="BC843" s="1">
        <v>242.0</v>
      </c>
      <c r="BD843" s="1" t="s">
        <v>74</v>
      </c>
      <c r="BE843" s="1" t="s">
        <v>7898</v>
      </c>
      <c r="BF843" s="2" t="str">
        <f>HYPERLINK("http://dx.doi.org/10.1080/00207450490269453","http://dx.doi.org/10.1080/00207450490269453")</f>
        <v>http://dx.doi.org/10.1080/00207450490269453</v>
      </c>
      <c r="BG843" s="1" t="s">
        <v>74</v>
      </c>
      <c r="BH843" s="1" t="s">
        <v>74</v>
      </c>
      <c r="BI843" s="1" t="s">
        <v>74</v>
      </c>
      <c r="BJ843" s="1" t="s">
        <v>74</v>
      </c>
      <c r="BK843" s="1" t="s">
        <v>74</v>
      </c>
      <c r="BL843" s="1" t="s">
        <v>74</v>
      </c>
      <c r="BM843" s="1" t="s">
        <v>74</v>
      </c>
      <c r="BN843" s="1">
        <v>1.470221E7</v>
      </c>
      <c r="BO843" s="1" t="s">
        <v>74</v>
      </c>
      <c r="BP843" s="1" t="s">
        <v>74</v>
      </c>
      <c r="BQ843" s="1" t="s">
        <v>74</v>
      </c>
      <c r="BR843" s="1" t="s">
        <v>74</v>
      </c>
      <c r="BS843" s="1" t="s">
        <v>7899</v>
      </c>
      <c r="BT843" s="1" t="str">
        <f>HYPERLINK("https%3A%2F%2Fwww.webofscience.com%2Fwos%2Fwoscc%2Ffull-record%2FWOS:000188663200008","View Full Record in Web of Science")</f>
        <v>View Full Record in Web of Science</v>
      </c>
    </row>
    <row r="844" ht="12.75" customHeight="1">
      <c r="A844" s="1" t="s">
        <v>72</v>
      </c>
      <c r="B844" s="1" t="s">
        <v>7900</v>
      </c>
      <c r="C844" s="1" t="s">
        <v>74</v>
      </c>
      <c r="D844" s="1" t="s">
        <v>74</v>
      </c>
      <c r="E844" s="1" t="s">
        <v>74</v>
      </c>
      <c r="F844" s="1" t="s">
        <v>7900</v>
      </c>
      <c r="G844" s="1" t="s">
        <v>74</v>
      </c>
      <c r="H844" s="1" t="s">
        <v>74</v>
      </c>
      <c r="I844" s="1" t="s">
        <v>7901</v>
      </c>
      <c r="J844" s="1" t="s">
        <v>5599</v>
      </c>
      <c r="K844" s="1" t="s">
        <v>74</v>
      </c>
      <c r="L844" s="1" t="s">
        <v>74</v>
      </c>
      <c r="M844" s="1" t="s">
        <v>74</v>
      </c>
      <c r="N844" s="1" t="s">
        <v>74</v>
      </c>
      <c r="O844" s="1" t="s">
        <v>74</v>
      </c>
      <c r="P844" s="1" t="s">
        <v>74</v>
      </c>
      <c r="Q844" s="1" t="s">
        <v>74</v>
      </c>
      <c r="R844" s="1" t="s">
        <v>74</v>
      </c>
      <c r="S844" s="1" t="s">
        <v>74</v>
      </c>
      <c r="T844" s="1" t="s">
        <v>74</v>
      </c>
      <c r="U844" s="1" t="s">
        <v>74</v>
      </c>
      <c r="V844" s="1" t="s">
        <v>7902</v>
      </c>
      <c r="W844" s="1" t="s">
        <v>74</v>
      </c>
      <c r="X844" s="1" t="s">
        <v>74</v>
      </c>
      <c r="Y844" s="1" t="s">
        <v>74</v>
      </c>
      <c r="Z844" s="1" t="s">
        <v>74</v>
      </c>
      <c r="AA844" s="1" t="s">
        <v>7903</v>
      </c>
      <c r="AB844" s="1" t="s">
        <v>7904</v>
      </c>
      <c r="AC844" s="1" t="s">
        <v>74</v>
      </c>
      <c r="AD844" s="1" t="s">
        <v>74</v>
      </c>
      <c r="AE844" s="1" t="s">
        <v>74</v>
      </c>
      <c r="AF844" s="1" t="s">
        <v>74</v>
      </c>
      <c r="AG844" s="1" t="s">
        <v>74</v>
      </c>
      <c r="AH844" s="1" t="s">
        <v>74</v>
      </c>
      <c r="AI844" s="1" t="s">
        <v>74</v>
      </c>
      <c r="AJ844" s="1" t="s">
        <v>74</v>
      </c>
      <c r="AK844" s="1" t="s">
        <v>74</v>
      </c>
      <c r="AL844" s="1" t="s">
        <v>74</v>
      </c>
      <c r="AM844" s="1" t="s">
        <v>74</v>
      </c>
      <c r="AN844" s="1" t="s">
        <v>74</v>
      </c>
      <c r="AO844" s="1" t="s">
        <v>5603</v>
      </c>
      <c r="AP844" s="1" t="s">
        <v>5604</v>
      </c>
      <c r="AQ844" s="1" t="s">
        <v>74</v>
      </c>
      <c r="AR844" s="1" t="s">
        <v>74</v>
      </c>
      <c r="AS844" s="1" t="s">
        <v>74</v>
      </c>
      <c r="AT844" s="1" t="s">
        <v>289</v>
      </c>
      <c r="AU844" s="1">
        <v>2002.0</v>
      </c>
      <c r="AV844" s="1">
        <v>34.0</v>
      </c>
      <c r="AW844" s="1">
        <v>6.0</v>
      </c>
      <c r="AX844" s="1" t="s">
        <v>74</v>
      </c>
      <c r="AY844" s="1" t="s">
        <v>74</v>
      </c>
      <c r="AZ844" s="1" t="s">
        <v>74</v>
      </c>
      <c r="BA844" s="1" t="s">
        <v>74</v>
      </c>
      <c r="BB844" s="1">
        <v>645.0</v>
      </c>
      <c r="BC844" s="1">
        <v>656.0</v>
      </c>
      <c r="BD844" s="1" t="s">
        <v>7905</v>
      </c>
      <c r="BE844" s="1" t="s">
        <v>7906</v>
      </c>
      <c r="BF844" s="2" t="str">
        <f>HYPERLINK("http://dx.doi.org/10.1016/S1357-2725(01)00175-3","http://dx.doi.org/10.1016/S1357-2725(01)00175-3")</f>
        <v>http://dx.doi.org/10.1016/S1357-2725(01)00175-3</v>
      </c>
      <c r="BG844" s="1" t="s">
        <v>74</v>
      </c>
      <c r="BH844" s="1" t="s">
        <v>74</v>
      </c>
      <c r="BI844" s="1" t="s">
        <v>74</v>
      </c>
      <c r="BJ844" s="1" t="s">
        <v>74</v>
      </c>
      <c r="BK844" s="1" t="s">
        <v>74</v>
      </c>
      <c r="BL844" s="1" t="s">
        <v>74</v>
      </c>
      <c r="BM844" s="1" t="s">
        <v>74</v>
      </c>
      <c r="BN844" s="1">
        <v>1.1943595E7</v>
      </c>
      <c r="BO844" s="1" t="s">
        <v>74</v>
      </c>
      <c r="BP844" s="1" t="s">
        <v>74</v>
      </c>
      <c r="BQ844" s="1" t="s">
        <v>74</v>
      </c>
      <c r="BR844" s="1" t="s">
        <v>74</v>
      </c>
      <c r="BS844" s="1" t="s">
        <v>7907</v>
      </c>
      <c r="BT844" s="1" t="str">
        <f>HYPERLINK("https%3A%2F%2Fwww.webofscience.com%2Fwos%2Fwoscc%2Ffull-record%2FWOS:000175551800010","View Full Record in Web of Science")</f>
        <v>View Full Record in Web of Science</v>
      </c>
    </row>
    <row r="845" ht="12.75" customHeight="1">
      <c r="A845" s="1" t="s">
        <v>72</v>
      </c>
      <c r="B845" s="1" t="s">
        <v>7908</v>
      </c>
      <c r="C845" s="1" t="s">
        <v>74</v>
      </c>
      <c r="D845" s="1" t="s">
        <v>74</v>
      </c>
      <c r="E845" s="1" t="s">
        <v>74</v>
      </c>
      <c r="F845" s="1" t="s">
        <v>7908</v>
      </c>
      <c r="G845" s="1" t="s">
        <v>74</v>
      </c>
      <c r="H845" s="1" t="s">
        <v>74</v>
      </c>
      <c r="I845" s="1" t="s">
        <v>7909</v>
      </c>
      <c r="J845" s="1" t="s">
        <v>413</v>
      </c>
      <c r="K845" s="1" t="s">
        <v>74</v>
      </c>
      <c r="L845" s="1" t="s">
        <v>74</v>
      </c>
      <c r="M845" s="1" t="s">
        <v>74</v>
      </c>
      <c r="N845" s="1" t="s">
        <v>74</v>
      </c>
      <c r="O845" s="1" t="s">
        <v>7910</v>
      </c>
      <c r="P845" s="1" t="s">
        <v>7911</v>
      </c>
      <c r="Q845" s="1" t="s">
        <v>7912</v>
      </c>
      <c r="R845" s="1" t="s">
        <v>7913</v>
      </c>
      <c r="S845" s="1" t="s">
        <v>74</v>
      </c>
      <c r="T845" s="1" t="s">
        <v>74</v>
      </c>
      <c r="U845" s="1" t="s">
        <v>74</v>
      </c>
      <c r="V845" s="1" t="s">
        <v>7914</v>
      </c>
      <c r="W845" s="1" t="s">
        <v>74</v>
      </c>
      <c r="X845" s="1" t="s">
        <v>74</v>
      </c>
      <c r="Y845" s="1" t="s">
        <v>74</v>
      </c>
      <c r="Z845" s="1" t="s">
        <v>74</v>
      </c>
      <c r="AA845" s="1" t="s">
        <v>74</v>
      </c>
      <c r="AB845" s="1" t="s">
        <v>74</v>
      </c>
      <c r="AC845" s="1" t="s">
        <v>74</v>
      </c>
      <c r="AD845" s="1" t="s">
        <v>74</v>
      </c>
      <c r="AE845" s="1" t="s">
        <v>74</v>
      </c>
      <c r="AF845" s="1" t="s">
        <v>74</v>
      </c>
      <c r="AG845" s="1" t="s">
        <v>74</v>
      </c>
      <c r="AH845" s="1" t="s">
        <v>74</v>
      </c>
      <c r="AI845" s="1" t="s">
        <v>74</v>
      </c>
      <c r="AJ845" s="1" t="s">
        <v>74</v>
      </c>
      <c r="AK845" s="1" t="s">
        <v>74</v>
      </c>
      <c r="AL845" s="1" t="s">
        <v>74</v>
      </c>
      <c r="AM845" s="1" t="s">
        <v>74</v>
      </c>
      <c r="AN845" s="1" t="s">
        <v>74</v>
      </c>
      <c r="AO845" s="1" t="s">
        <v>414</v>
      </c>
      <c r="AP845" s="1" t="s">
        <v>74</v>
      </c>
      <c r="AQ845" s="1" t="s">
        <v>74</v>
      </c>
      <c r="AR845" s="1" t="s">
        <v>74</v>
      </c>
      <c r="AS845" s="1" t="s">
        <v>74</v>
      </c>
      <c r="AT845" s="1" t="s">
        <v>379</v>
      </c>
      <c r="AU845" s="1">
        <v>2000.0</v>
      </c>
      <c r="AV845" s="1">
        <v>45.0</v>
      </c>
      <c r="AW845" s="1">
        <v>3.0</v>
      </c>
      <c r="AX845" s="1" t="s">
        <v>74</v>
      </c>
      <c r="AY845" s="1" t="s">
        <v>74</v>
      </c>
      <c r="AZ845" s="1" t="s">
        <v>74</v>
      </c>
      <c r="BA845" s="1" t="s">
        <v>74</v>
      </c>
      <c r="BB845" s="1">
        <v>347.0</v>
      </c>
      <c r="BC845" s="1">
        <v>354.0</v>
      </c>
      <c r="BD845" s="1" t="s">
        <v>74</v>
      </c>
      <c r="BE845" s="1" t="s">
        <v>74</v>
      </c>
      <c r="BF845" s="1" t="s">
        <v>74</v>
      </c>
      <c r="BG845" s="1" t="s">
        <v>74</v>
      </c>
      <c r="BH845" s="1" t="s">
        <v>74</v>
      </c>
      <c r="BI845" s="1" t="s">
        <v>74</v>
      </c>
      <c r="BJ845" s="1" t="s">
        <v>74</v>
      </c>
      <c r="BK845" s="1" t="s">
        <v>74</v>
      </c>
      <c r="BL845" s="1" t="s">
        <v>74</v>
      </c>
      <c r="BM845" s="1" t="s">
        <v>74</v>
      </c>
      <c r="BN845" s="1" t="s">
        <v>74</v>
      </c>
      <c r="BO845" s="1" t="s">
        <v>74</v>
      </c>
      <c r="BP845" s="1" t="s">
        <v>74</v>
      </c>
      <c r="BQ845" s="1" t="s">
        <v>74</v>
      </c>
      <c r="BR845" s="1" t="s">
        <v>74</v>
      </c>
      <c r="BS845" s="1" t="s">
        <v>7915</v>
      </c>
      <c r="BT845" s="1" t="str">
        <f>HYPERLINK("https%3A%2F%2Fwww.webofscience.com%2Fwos%2Fwoscc%2Ffull-record%2FWOS:000089763300003","View Full Record in Web of Science")</f>
        <v>View Full Record in Web of Science</v>
      </c>
    </row>
    <row r="846" ht="12.75" customHeight="1">
      <c r="A846" s="1" t="s">
        <v>72</v>
      </c>
      <c r="B846" s="1" t="s">
        <v>7916</v>
      </c>
      <c r="C846" s="1" t="s">
        <v>74</v>
      </c>
      <c r="D846" s="1" t="s">
        <v>74</v>
      </c>
      <c r="E846" s="1" t="s">
        <v>74</v>
      </c>
      <c r="F846" s="1" t="s">
        <v>7916</v>
      </c>
      <c r="G846" s="1" t="s">
        <v>74</v>
      </c>
      <c r="H846" s="1" t="s">
        <v>74</v>
      </c>
      <c r="I846" s="1" t="s">
        <v>7917</v>
      </c>
      <c r="J846" s="1" t="s">
        <v>7918</v>
      </c>
      <c r="K846" s="1" t="s">
        <v>74</v>
      </c>
      <c r="L846" s="1" t="s">
        <v>74</v>
      </c>
      <c r="M846" s="1" t="s">
        <v>74</v>
      </c>
      <c r="N846" s="1" t="s">
        <v>74</v>
      </c>
      <c r="O846" s="1" t="s">
        <v>74</v>
      </c>
      <c r="P846" s="1" t="s">
        <v>74</v>
      </c>
      <c r="Q846" s="1" t="s">
        <v>74</v>
      </c>
      <c r="R846" s="1" t="s">
        <v>74</v>
      </c>
      <c r="S846" s="1" t="s">
        <v>74</v>
      </c>
      <c r="T846" s="1" t="s">
        <v>74</v>
      </c>
      <c r="U846" s="1" t="s">
        <v>74</v>
      </c>
      <c r="V846" s="1" t="s">
        <v>7919</v>
      </c>
      <c r="W846" s="1" t="s">
        <v>74</v>
      </c>
      <c r="X846" s="1" t="s">
        <v>74</v>
      </c>
      <c r="Y846" s="1" t="s">
        <v>74</v>
      </c>
      <c r="Z846" s="1" t="s">
        <v>74</v>
      </c>
      <c r="AA846" s="1" t="s">
        <v>7920</v>
      </c>
      <c r="AB846" s="1" t="s">
        <v>7921</v>
      </c>
      <c r="AC846" s="1" t="s">
        <v>74</v>
      </c>
      <c r="AD846" s="1" t="s">
        <v>74</v>
      </c>
      <c r="AE846" s="1" t="s">
        <v>74</v>
      </c>
      <c r="AF846" s="1" t="s">
        <v>74</v>
      </c>
      <c r="AG846" s="1" t="s">
        <v>74</v>
      </c>
      <c r="AH846" s="1" t="s">
        <v>74</v>
      </c>
      <c r="AI846" s="1" t="s">
        <v>74</v>
      </c>
      <c r="AJ846" s="1" t="s">
        <v>74</v>
      </c>
      <c r="AK846" s="1" t="s">
        <v>74</v>
      </c>
      <c r="AL846" s="1" t="s">
        <v>74</v>
      </c>
      <c r="AM846" s="1" t="s">
        <v>74</v>
      </c>
      <c r="AN846" s="1" t="s">
        <v>74</v>
      </c>
      <c r="AO846" s="1" t="s">
        <v>7922</v>
      </c>
      <c r="AP846" s="1" t="s">
        <v>74</v>
      </c>
      <c r="AQ846" s="1" t="s">
        <v>74</v>
      </c>
      <c r="AR846" s="1" t="s">
        <v>74</v>
      </c>
      <c r="AS846" s="1" t="s">
        <v>74</v>
      </c>
      <c r="AT846" s="1" t="s">
        <v>363</v>
      </c>
      <c r="AU846" s="1">
        <v>1999.0</v>
      </c>
      <c r="AV846" s="1">
        <v>20.0</v>
      </c>
      <c r="AW846" s="1">
        <v>5.0</v>
      </c>
      <c r="AX846" s="1" t="s">
        <v>74</v>
      </c>
      <c r="AY846" s="1" t="s">
        <v>74</v>
      </c>
      <c r="AZ846" s="1" t="s">
        <v>74</v>
      </c>
      <c r="BA846" s="1" t="s">
        <v>74</v>
      </c>
      <c r="BB846" s="1">
        <v>827.0</v>
      </c>
      <c r="BC846" s="1">
        <v>832.0</v>
      </c>
      <c r="BD846" s="1" t="s">
        <v>74</v>
      </c>
      <c r="BE846" s="1" t="s">
        <v>74</v>
      </c>
      <c r="BF846" s="1" t="s">
        <v>74</v>
      </c>
      <c r="BG846" s="1" t="s">
        <v>74</v>
      </c>
      <c r="BH846" s="1" t="s">
        <v>74</v>
      </c>
      <c r="BI846" s="1" t="s">
        <v>74</v>
      </c>
      <c r="BJ846" s="1" t="s">
        <v>74</v>
      </c>
      <c r="BK846" s="1" t="s">
        <v>74</v>
      </c>
      <c r="BL846" s="1" t="s">
        <v>74</v>
      </c>
      <c r="BM846" s="1" t="s">
        <v>74</v>
      </c>
      <c r="BN846" s="1">
        <v>1.0591518E7</v>
      </c>
      <c r="BO846" s="1" t="s">
        <v>74</v>
      </c>
      <c r="BP846" s="1" t="s">
        <v>74</v>
      </c>
      <c r="BQ846" s="1" t="s">
        <v>74</v>
      </c>
      <c r="BR846" s="1" t="s">
        <v>74</v>
      </c>
      <c r="BS846" s="1" t="s">
        <v>7923</v>
      </c>
      <c r="BT846" s="1" t="str">
        <f>HYPERLINK("https%3A%2F%2Fwww.webofscience.com%2Fwos%2Fwoscc%2Ffull-record%2FWOS:000083920200016","View Full Record in Web of Science")</f>
        <v>View Full Record in Web of Science</v>
      </c>
    </row>
    <row r="847" ht="12.75" customHeight="1">
      <c r="A847" s="1" t="s">
        <v>72</v>
      </c>
      <c r="B847" s="1" t="s">
        <v>7924</v>
      </c>
      <c r="C847" s="1" t="s">
        <v>74</v>
      </c>
      <c r="D847" s="1" t="s">
        <v>74</v>
      </c>
      <c r="E847" s="1" t="s">
        <v>74</v>
      </c>
      <c r="F847" s="1" t="s">
        <v>7924</v>
      </c>
      <c r="G847" s="1" t="s">
        <v>74</v>
      </c>
      <c r="H847" s="1" t="s">
        <v>74</v>
      </c>
      <c r="I847" s="1" t="s">
        <v>7925</v>
      </c>
      <c r="J847" s="1" t="s">
        <v>128</v>
      </c>
      <c r="K847" s="1" t="s">
        <v>74</v>
      </c>
      <c r="L847" s="1" t="s">
        <v>74</v>
      </c>
      <c r="M847" s="1" t="s">
        <v>74</v>
      </c>
      <c r="N847" s="1" t="s">
        <v>74</v>
      </c>
      <c r="O847" s="1" t="s">
        <v>74</v>
      </c>
      <c r="P847" s="1" t="s">
        <v>74</v>
      </c>
      <c r="Q847" s="1" t="s">
        <v>74</v>
      </c>
      <c r="R847" s="1" t="s">
        <v>74</v>
      </c>
      <c r="S847" s="1" t="s">
        <v>74</v>
      </c>
      <c r="T847" s="1" t="s">
        <v>74</v>
      </c>
      <c r="U847" s="1" t="s">
        <v>74</v>
      </c>
      <c r="V847" s="1" t="s">
        <v>7926</v>
      </c>
      <c r="W847" s="1" t="s">
        <v>74</v>
      </c>
      <c r="X847" s="1" t="s">
        <v>74</v>
      </c>
      <c r="Y847" s="1" t="s">
        <v>74</v>
      </c>
      <c r="Z847" s="1" t="s">
        <v>74</v>
      </c>
      <c r="AA847" s="1" t="s">
        <v>74</v>
      </c>
      <c r="AB847" s="1" t="s">
        <v>74</v>
      </c>
      <c r="AC847" s="1" t="s">
        <v>74</v>
      </c>
      <c r="AD847" s="1" t="s">
        <v>74</v>
      </c>
      <c r="AE847" s="1" t="s">
        <v>74</v>
      </c>
      <c r="AF847" s="1" t="s">
        <v>74</v>
      </c>
      <c r="AG847" s="1" t="s">
        <v>74</v>
      </c>
      <c r="AH847" s="1" t="s">
        <v>74</v>
      </c>
      <c r="AI847" s="1" t="s">
        <v>74</v>
      </c>
      <c r="AJ847" s="1" t="s">
        <v>74</v>
      </c>
      <c r="AK847" s="1" t="s">
        <v>74</v>
      </c>
      <c r="AL847" s="1" t="s">
        <v>74</v>
      </c>
      <c r="AM847" s="1" t="s">
        <v>74</v>
      </c>
      <c r="AN847" s="1" t="s">
        <v>74</v>
      </c>
      <c r="AO847" s="1" t="s">
        <v>132</v>
      </c>
      <c r="AP847" s="1" t="s">
        <v>74</v>
      </c>
      <c r="AQ847" s="1" t="s">
        <v>74</v>
      </c>
      <c r="AR847" s="1" t="s">
        <v>74</v>
      </c>
      <c r="AS847" s="1" t="s">
        <v>74</v>
      </c>
      <c r="AT847" s="1" t="s">
        <v>7927</v>
      </c>
      <c r="AU847" s="1">
        <v>1999.0</v>
      </c>
      <c r="AV847" s="1">
        <v>459.0</v>
      </c>
      <c r="AW847" s="1" t="s">
        <v>3395</v>
      </c>
      <c r="AX847" s="1" t="s">
        <v>74</v>
      </c>
      <c r="AY847" s="1" t="s">
        <v>74</v>
      </c>
      <c r="AZ847" s="1" t="s">
        <v>74</v>
      </c>
      <c r="BA847" s="1" t="s">
        <v>74</v>
      </c>
      <c r="BB847" s="1">
        <v>201.0</v>
      </c>
      <c r="BC847" s="1">
        <v>207.0</v>
      </c>
      <c r="BD847" s="1" t="s">
        <v>74</v>
      </c>
      <c r="BE847" s="1" t="s">
        <v>7928</v>
      </c>
      <c r="BF847" s="2" t="str">
        <f>HYPERLINK("http://dx.doi.org/10.1016/S0370-2693(99)00637-1","http://dx.doi.org/10.1016/S0370-2693(99)00637-1")</f>
        <v>http://dx.doi.org/10.1016/S0370-2693(99)00637-1</v>
      </c>
      <c r="BG847" s="1" t="s">
        <v>74</v>
      </c>
      <c r="BH847" s="1" t="s">
        <v>74</v>
      </c>
      <c r="BI847" s="1" t="s">
        <v>74</v>
      </c>
      <c r="BJ847" s="1" t="s">
        <v>74</v>
      </c>
      <c r="BK847" s="1" t="s">
        <v>74</v>
      </c>
      <c r="BL847" s="1" t="s">
        <v>74</v>
      </c>
      <c r="BM847" s="1" t="s">
        <v>74</v>
      </c>
      <c r="BN847" s="1" t="s">
        <v>74</v>
      </c>
      <c r="BO847" s="1" t="s">
        <v>74</v>
      </c>
      <c r="BP847" s="1" t="s">
        <v>74</v>
      </c>
      <c r="BQ847" s="1" t="s">
        <v>74</v>
      </c>
      <c r="BR847" s="1" t="s">
        <v>74</v>
      </c>
      <c r="BS847" s="1" t="s">
        <v>7929</v>
      </c>
      <c r="BT847" s="1" t="str">
        <f>HYPERLINK("https%3A%2F%2Fwww.webofscience.com%2Fwos%2Fwoscc%2Ffull-record%2FWOS:000081689500033","View Full Record in Web of Science")</f>
        <v>View Full Record in Web of Science</v>
      </c>
    </row>
    <row r="848" ht="12.75" customHeight="1">
      <c r="A848" s="1" t="s">
        <v>72</v>
      </c>
      <c r="B848" s="1" t="s">
        <v>7930</v>
      </c>
      <c r="C848" s="1" t="s">
        <v>74</v>
      </c>
      <c r="D848" s="1" t="s">
        <v>74</v>
      </c>
      <c r="E848" s="1" t="s">
        <v>74</v>
      </c>
      <c r="F848" s="1" t="s">
        <v>7930</v>
      </c>
      <c r="G848" s="1" t="s">
        <v>74</v>
      </c>
      <c r="H848" s="1" t="s">
        <v>74</v>
      </c>
      <c r="I848" s="1" t="s">
        <v>7931</v>
      </c>
      <c r="J848" s="1" t="s">
        <v>6320</v>
      </c>
      <c r="K848" s="1" t="s">
        <v>74</v>
      </c>
      <c r="L848" s="1" t="s">
        <v>74</v>
      </c>
      <c r="M848" s="1" t="s">
        <v>74</v>
      </c>
      <c r="N848" s="1" t="s">
        <v>74</v>
      </c>
      <c r="O848" s="1" t="s">
        <v>74</v>
      </c>
      <c r="P848" s="1" t="s">
        <v>74</v>
      </c>
      <c r="Q848" s="1" t="s">
        <v>74</v>
      </c>
      <c r="R848" s="1" t="s">
        <v>74</v>
      </c>
      <c r="S848" s="1" t="s">
        <v>74</v>
      </c>
      <c r="T848" s="1" t="s">
        <v>74</v>
      </c>
      <c r="U848" s="1" t="s">
        <v>74</v>
      </c>
      <c r="V848" s="1" t="s">
        <v>7932</v>
      </c>
      <c r="W848" s="1" t="s">
        <v>74</v>
      </c>
      <c r="X848" s="1" t="s">
        <v>74</v>
      </c>
      <c r="Y848" s="1" t="s">
        <v>74</v>
      </c>
      <c r="Z848" s="1" t="s">
        <v>74</v>
      </c>
      <c r="AA848" s="1" t="s">
        <v>74</v>
      </c>
      <c r="AB848" s="1" t="s">
        <v>74</v>
      </c>
      <c r="AC848" s="1" t="s">
        <v>74</v>
      </c>
      <c r="AD848" s="1" t="s">
        <v>74</v>
      </c>
      <c r="AE848" s="1" t="s">
        <v>74</v>
      </c>
      <c r="AF848" s="1" t="s">
        <v>74</v>
      </c>
      <c r="AG848" s="1" t="s">
        <v>74</v>
      </c>
      <c r="AH848" s="1" t="s">
        <v>74</v>
      </c>
      <c r="AI848" s="1" t="s">
        <v>74</v>
      </c>
      <c r="AJ848" s="1" t="s">
        <v>74</v>
      </c>
      <c r="AK848" s="1" t="s">
        <v>74</v>
      </c>
      <c r="AL848" s="1" t="s">
        <v>74</v>
      </c>
      <c r="AM848" s="1" t="s">
        <v>74</v>
      </c>
      <c r="AN848" s="1" t="s">
        <v>74</v>
      </c>
      <c r="AO848" s="1" t="s">
        <v>6322</v>
      </c>
      <c r="AP848" s="1" t="s">
        <v>74</v>
      </c>
      <c r="AQ848" s="1" t="s">
        <v>74</v>
      </c>
      <c r="AR848" s="1" t="s">
        <v>74</v>
      </c>
      <c r="AS848" s="1" t="s">
        <v>74</v>
      </c>
      <c r="AT848" s="1" t="s">
        <v>389</v>
      </c>
      <c r="AU848" s="1">
        <v>1999.0</v>
      </c>
      <c r="AV848" s="1">
        <v>47.0</v>
      </c>
      <c r="AW848" s="1">
        <v>2.0</v>
      </c>
      <c r="AX848" s="1" t="s">
        <v>74</v>
      </c>
      <c r="AY848" s="1" t="s">
        <v>74</v>
      </c>
      <c r="AZ848" s="1" t="s">
        <v>74</v>
      </c>
      <c r="BA848" s="1" t="s">
        <v>74</v>
      </c>
      <c r="BB848" s="1">
        <v>171.0</v>
      </c>
      <c r="BC848" s="1">
        <v>175.0</v>
      </c>
      <c r="BD848" s="1" t="s">
        <v>74</v>
      </c>
      <c r="BE848" s="1" t="s">
        <v>74</v>
      </c>
      <c r="BF848" s="1" t="s">
        <v>74</v>
      </c>
      <c r="BG848" s="1" t="s">
        <v>74</v>
      </c>
      <c r="BH848" s="1" t="s">
        <v>74</v>
      </c>
      <c r="BI848" s="1" t="s">
        <v>74</v>
      </c>
      <c r="BJ848" s="1" t="s">
        <v>74</v>
      </c>
      <c r="BK848" s="1" t="s">
        <v>74</v>
      </c>
      <c r="BL848" s="1" t="s">
        <v>74</v>
      </c>
      <c r="BM848" s="1" t="s">
        <v>74</v>
      </c>
      <c r="BN848" s="1">
        <v>1.0205661E7</v>
      </c>
      <c r="BO848" s="1" t="s">
        <v>74</v>
      </c>
      <c r="BP848" s="1" t="s">
        <v>74</v>
      </c>
      <c r="BQ848" s="1" t="s">
        <v>74</v>
      </c>
      <c r="BR848" s="1" t="s">
        <v>74</v>
      </c>
      <c r="BS848" s="1" t="s">
        <v>7933</v>
      </c>
      <c r="BT848" s="1" t="str">
        <f>HYPERLINK("https%3A%2F%2Fwww.webofscience.com%2Fwos%2Fwoscc%2Ffull-record%2FWOS:000079366300002","View Full Record in Web of Science")</f>
        <v>View Full Record in Web of Science</v>
      </c>
    </row>
    <row r="849" ht="12.75" customHeight="1">
      <c r="A849" s="1" t="s">
        <v>72</v>
      </c>
      <c r="B849" s="1" t="s">
        <v>7934</v>
      </c>
      <c r="C849" s="1" t="s">
        <v>74</v>
      </c>
      <c r="D849" s="1" t="s">
        <v>74</v>
      </c>
      <c r="E849" s="1" t="s">
        <v>74</v>
      </c>
      <c r="F849" s="1" t="s">
        <v>7934</v>
      </c>
      <c r="G849" s="1" t="s">
        <v>74</v>
      </c>
      <c r="H849" s="1" t="s">
        <v>74</v>
      </c>
      <c r="I849" s="1" t="s">
        <v>7935</v>
      </c>
      <c r="J849" s="1" t="s">
        <v>997</v>
      </c>
      <c r="K849" s="1" t="s">
        <v>74</v>
      </c>
      <c r="L849" s="1" t="s">
        <v>74</v>
      </c>
      <c r="M849" s="1" t="s">
        <v>74</v>
      </c>
      <c r="N849" s="1" t="s">
        <v>74</v>
      </c>
      <c r="O849" s="1" t="s">
        <v>74</v>
      </c>
      <c r="P849" s="1" t="s">
        <v>74</v>
      </c>
      <c r="Q849" s="1" t="s">
        <v>74</v>
      </c>
      <c r="R849" s="1" t="s">
        <v>74</v>
      </c>
      <c r="S849" s="1" t="s">
        <v>74</v>
      </c>
      <c r="T849" s="1" t="s">
        <v>74</v>
      </c>
      <c r="U849" s="1" t="s">
        <v>74</v>
      </c>
      <c r="V849" s="1" t="s">
        <v>7936</v>
      </c>
      <c r="W849" s="1" t="s">
        <v>74</v>
      </c>
      <c r="X849" s="1" t="s">
        <v>74</v>
      </c>
      <c r="Y849" s="1" t="s">
        <v>74</v>
      </c>
      <c r="Z849" s="1" t="s">
        <v>74</v>
      </c>
      <c r="AA849" s="1" t="s">
        <v>74</v>
      </c>
      <c r="AB849" s="1" t="s">
        <v>74</v>
      </c>
      <c r="AC849" s="1" t="s">
        <v>74</v>
      </c>
      <c r="AD849" s="1" t="s">
        <v>74</v>
      </c>
      <c r="AE849" s="1" t="s">
        <v>74</v>
      </c>
      <c r="AF849" s="1" t="s">
        <v>74</v>
      </c>
      <c r="AG849" s="1" t="s">
        <v>74</v>
      </c>
      <c r="AH849" s="1" t="s">
        <v>74</v>
      </c>
      <c r="AI849" s="1" t="s">
        <v>74</v>
      </c>
      <c r="AJ849" s="1" t="s">
        <v>74</v>
      </c>
      <c r="AK849" s="1" t="s">
        <v>74</v>
      </c>
      <c r="AL849" s="1" t="s">
        <v>74</v>
      </c>
      <c r="AM849" s="1" t="s">
        <v>74</v>
      </c>
      <c r="AN849" s="1" t="s">
        <v>74</v>
      </c>
      <c r="AO849" s="1" t="s">
        <v>7937</v>
      </c>
      <c r="AP849" s="1" t="s">
        <v>74</v>
      </c>
      <c r="AQ849" s="1" t="s">
        <v>74</v>
      </c>
      <c r="AR849" s="1" t="s">
        <v>74</v>
      </c>
      <c r="AS849" s="1" t="s">
        <v>74</v>
      </c>
      <c r="AT849" s="1" t="s">
        <v>609</v>
      </c>
      <c r="AU849" s="1">
        <v>1997.0</v>
      </c>
      <c r="AV849" s="1">
        <v>55.0</v>
      </c>
      <c r="AW849" s="1">
        <v>12.0</v>
      </c>
      <c r="AX849" s="1" t="s">
        <v>74</v>
      </c>
      <c r="AY849" s="1" t="s">
        <v>74</v>
      </c>
      <c r="AZ849" s="1" t="s">
        <v>74</v>
      </c>
      <c r="BA849" s="1" t="s">
        <v>74</v>
      </c>
      <c r="BB849" s="1">
        <v>7580.0</v>
      </c>
      <c r="BC849" s="1">
        <v>7585.0</v>
      </c>
      <c r="BD849" s="1" t="s">
        <v>74</v>
      </c>
      <c r="BE849" s="1" t="s">
        <v>7938</v>
      </c>
      <c r="BF849" s="2" t="str">
        <f>HYPERLINK("http://dx.doi.org/10.1103/PhysRevD.55.7580","http://dx.doi.org/10.1103/PhysRevD.55.7580")</f>
        <v>http://dx.doi.org/10.1103/PhysRevD.55.7580</v>
      </c>
      <c r="BG849" s="1" t="s">
        <v>74</v>
      </c>
      <c r="BH849" s="1" t="s">
        <v>74</v>
      </c>
      <c r="BI849" s="1" t="s">
        <v>74</v>
      </c>
      <c r="BJ849" s="1" t="s">
        <v>74</v>
      </c>
      <c r="BK849" s="1" t="s">
        <v>74</v>
      </c>
      <c r="BL849" s="1" t="s">
        <v>74</v>
      </c>
      <c r="BM849" s="1" t="s">
        <v>74</v>
      </c>
      <c r="BN849" s="1" t="s">
        <v>74</v>
      </c>
      <c r="BO849" s="1" t="s">
        <v>74</v>
      </c>
      <c r="BP849" s="1" t="s">
        <v>74</v>
      </c>
      <c r="BQ849" s="1" t="s">
        <v>74</v>
      </c>
      <c r="BR849" s="1" t="s">
        <v>74</v>
      </c>
      <c r="BS849" s="1" t="s">
        <v>7939</v>
      </c>
      <c r="BT849" s="1" t="str">
        <f>HYPERLINK("https%3A%2F%2Fwww.webofscience.com%2Fwos%2Fwoscc%2Ffull-record%2FWOS:A1997XF60100024","View Full Record in Web of Science")</f>
        <v>View Full Record in Web of Science</v>
      </c>
    </row>
    <row r="850" ht="12.75" customHeight="1">
      <c r="A850" s="1" t="s">
        <v>72</v>
      </c>
      <c r="B850" s="1" t="s">
        <v>7940</v>
      </c>
      <c r="C850" s="1" t="s">
        <v>74</v>
      </c>
      <c r="D850" s="1" t="s">
        <v>74</v>
      </c>
      <c r="E850" s="1" t="s">
        <v>74</v>
      </c>
      <c r="F850" s="1" t="s">
        <v>7940</v>
      </c>
      <c r="G850" s="1" t="s">
        <v>74</v>
      </c>
      <c r="H850" s="1" t="s">
        <v>74</v>
      </c>
      <c r="I850" s="1" t="s">
        <v>7941</v>
      </c>
      <c r="J850" s="1" t="s">
        <v>1660</v>
      </c>
      <c r="K850" s="1" t="s">
        <v>74</v>
      </c>
      <c r="L850" s="1" t="s">
        <v>74</v>
      </c>
      <c r="M850" s="1" t="s">
        <v>74</v>
      </c>
      <c r="N850" s="1" t="s">
        <v>74</v>
      </c>
      <c r="O850" s="1" t="s">
        <v>74</v>
      </c>
      <c r="P850" s="1" t="s">
        <v>74</v>
      </c>
      <c r="Q850" s="1" t="s">
        <v>74</v>
      </c>
      <c r="R850" s="1" t="s">
        <v>74</v>
      </c>
      <c r="S850" s="1" t="s">
        <v>74</v>
      </c>
      <c r="T850" s="1" t="s">
        <v>74</v>
      </c>
      <c r="U850" s="1" t="s">
        <v>74</v>
      </c>
      <c r="V850" s="1" t="s">
        <v>7942</v>
      </c>
      <c r="W850" s="1" t="s">
        <v>74</v>
      </c>
      <c r="X850" s="1" t="s">
        <v>74</v>
      </c>
      <c r="Y850" s="1" t="s">
        <v>74</v>
      </c>
      <c r="Z850" s="1" t="s">
        <v>74</v>
      </c>
      <c r="AA850" s="1" t="s">
        <v>74</v>
      </c>
      <c r="AB850" s="1" t="s">
        <v>74</v>
      </c>
      <c r="AC850" s="1" t="s">
        <v>74</v>
      </c>
      <c r="AD850" s="1" t="s">
        <v>74</v>
      </c>
      <c r="AE850" s="1" t="s">
        <v>74</v>
      </c>
      <c r="AF850" s="1" t="s">
        <v>74</v>
      </c>
      <c r="AG850" s="1" t="s">
        <v>74</v>
      </c>
      <c r="AH850" s="1" t="s">
        <v>74</v>
      </c>
      <c r="AI850" s="1" t="s">
        <v>74</v>
      </c>
      <c r="AJ850" s="1" t="s">
        <v>74</v>
      </c>
      <c r="AK850" s="1" t="s">
        <v>74</v>
      </c>
      <c r="AL850" s="1" t="s">
        <v>74</v>
      </c>
      <c r="AM850" s="1" t="s">
        <v>74</v>
      </c>
      <c r="AN850" s="1" t="s">
        <v>74</v>
      </c>
      <c r="AO850" s="1" t="s">
        <v>7943</v>
      </c>
      <c r="AP850" s="1" t="s">
        <v>74</v>
      </c>
      <c r="AQ850" s="1" t="s">
        <v>74</v>
      </c>
      <c r="AR850" s="1" t="s">
        <v>74</v>
      </c>
      <c r="AS850" s="1" t="s">
        <v>74</v>
      </c>
      <c r="AT850" s="1" t="s">
        <v>7944</v>
      </c>
      <c r="AU850" s="1">
        <v>1996.0</v>
      </c>
      <c r="AV850" s="1">
        <v>402.0</v>
      </c>
      <c r="AW850" s="1" t="s">
        <v>308</v>
      </c>
      <c r="AX850" s="1" t="s">
        <v>74</v>
      </c>
      <c r="AY850" s="1" t="s">
        <v>74</v>
      </c>
      <c r="AZ850" s="1" t="s">
        <v>74</v>
      </c>
      <c r="BA850" s="1" t="s">
        <v>74</v>
      </c>
      <c r="BB850" s="1">
        <v>81.0</v>
      </c>
      <c r="BC850" s="1">
        <v>89.0</v>
      </c>
      <c r="BD850" s="1" t="s">
        <v>74</v>
      </c>
      <c r="BE850" s="1" t="s">
        <v>7945</v>
      </c>
      <c r="BF850" s="2" t="str">
        <f>HYPERLINK("http://dx.doi.org/10.1016/0022-0728(95)04254-7","http://dx.doi.org/10.1016/0022-0728(95)04254-7")</f>
        <v>http://dx.doi.org/10.1016/0022-0728(95)04254-7</v>
      </c>
      <c r="BG850" s="1" t="s">
        <v>74</v>
      </c>
      <c r="BH850" s="1" t="s">
        <v>74</v>
      </c>
      <c r="BI850" s="1" t="s">
        <v>74</v>
      </c>
      <c r="BJ850" s="1" t="s">
        <v>74</v>
      </c>
      <c r="BK850" s="1" t="s">
        <v>74</v>
      </c>
      <c r="BL850" s="1" t="s">
        <v>74</v>
      </c>
      <c r="BM850" s="1" t="s">
        <v>74</v>
      </c>
      <c r="BN850" s="1" t="s">
        <v>74</v>
      </c>
      <c r="BO850" s="1" t="s">
        <v>74</v>
      </c>
      <c r="BP850" s="1" t="s">
        <v>74</v>
      </c>
      <c r="BQ850" s="1" t="s">
        <v>74</v>
      </c>
      <c r="BR850" s="1" t="s">
        <v>74</v>
      </c>
      <c r="BS850" s="1" t="s">
        <v>7946</v>
      </c>
      <c r="BT850" s="1" t="str">
        <f>HYPERLINK("https%3A%2F%2Fwww.webofscience.com%2Fwos%2Fwoscc%2Ffull-record%2FWOS:A1996UC28000009","View Full Record in Web of Science")</f>
        <v>View Full Record in Web of Science</v>
      </c>
    </row>
    <row r="851" ht="12.75" customHeight="1">
      <c r="A851" s="1" t="s">
        <v>72</v>
      </c>
      <c r="B851" s="1" t="s">
        <v>7947</v>
      </c>
      <c r="C851" s="1" t="s">
        <v>74</v>
      </c>
      <c r="D851" s="1" t="s">
        <v>74</v>
      </c>
      <c r="E851" s="1" t="s">
        <v>74</v>
      </c>
      <c r="F851" s="1" t="s">
        <v>7947</v>
      </c>
      <c r="G851" s="1" t="s">
        <v>74</v>
      </c>
      <c r="H851" s="1" t="s">
        <v>74</v>
      </c>
      <c r="I851" s="1" t="s">
        <v>7948</v>
      </c>
      <c r="J851" s="1" t="s">
        <v>7949</v>
      </c>
      <c r="K851" s="1" t="s">
        <v>74</v>
      </c>
      <c r="L851" s="1" t="s">
        <v>74</v>
      </c>
      <c r="M851" s="1" t="s">
        <v>74</v>
      </c>
      <c r="N851" s="1" t="s">
        <v>74</v>
      </c>
      <c r="O851" s="1" t="s">
        <v>74</v>
      </c>
      <c r="P851" s="1" t="s">
        <v>74</v>
      </c>
      <c r="Q851" s="1" t="s">
        <v>74</v>
      </c>
      <c r="R851" s="1" t="s">
        <v>74</v>
      </c>
      <c r="S851" s="1" t="s">
        <v>74</v>
      </c>
      <c r="T851" s="1" t="s">
        <v>74</v>
      </c>
      <c r="U851" s="1" t="s">
        <v>74</v>
      </c>
      <c r="V851" s="1" t="s">
        <v>74</v>
      </c>
      <c r="W851" s="1" t="s">
        <v>74</v>
      </c>
      <c r="X851" s="1" t="s">
        <v>74</v>
      </c>
      <c r="Y851" s="1" t="s">
        <v>74</v>
      </c>
      <c r="Z851" s="1" t="s">
        <v>74</v>
      </c>
      <c r="AA851" s="1" t="s">
        <v>74</v>
      </c>
      <c r="AB851" s="1" t="s">
        <v>74</v>
      </c>
      <c r="AC851" s="1" t="s">
        <v>74</v>
      </c>
      <c r="AD851" s="1" t="s">
        <v>74</v>
      </c>
      <c r="AE851" s="1" t="s">
        <v>74</v>
      </c>
      <c r="AF851" s="1" t="s">
        <v>74</v>
      </c>
      <c r="AG851" s="1" t="s">
        <v>74</v>
      </c>
      <c r="AH851" s="1" t="s">
        <v>74</v>
      </c>
      <c r="AI851" s="1" t="s">
        <v>74</v>
      </c>
      <c r="AJ851" s="1" t="s">
        <v>74</v>
      </c>
      <c r="AK851" s="1" t="s">
        <v>74</v>
      </c>
      <c r="AL851" s="1" t="s">
        <v>74</v>
      </c>
      <c r="AM851" s="1" t="s">
        <v>74</v>
      </c>
      <c r="AN851" s="1" t="s">
        <v>74</v>
      </c>
      <c r="AO851" s="1" t="s">
        <v>7950</v>
      </c>
      <c r="AP851" s="1" t="s">
        <v>74</v>
      </c>
      <c r="AQ851" s="1" t="s">
        <v>74</v>
      </c>
      <c r="AR851" s="1" t="s">
        <v>74</v>
      </c>
      <c r="AS851" s="1" t="s">
        <v>74</v>
      </c>
      <c r="AT851" s="1" t="s">
        <v>74</v>
      </c>
      <c r="AU851" s="1">
        <v>1983.0</v>
      </c>
      <c r="AV851" s="1">
        <v>12.0</v>
      </c>
      <c r="AW851" s="1">
        <v>5.0</v>
      </c>
      <c r="AX851" s="1" t="s">
        <v>74</v>
      </c>
      <c r="AY851" s="1" t="s">
        <v>74</v>
      </c>
      <c r="AZ851" s="1" t="s">
        <v>74</v>
      </c>
      <c r="BA851" s="1" t="s">
        <v>74</v>
      </c>
      <c r="BB851" s="1">
        <v>511.0</v>
      </c>
      <c r="BC851" s="1">
        <v>521.0</v>
      </c>
      <c r="BD851" s="1" t="s">
        <v>74</v>
      </c>
      <c r="BE851" s="1" t="s">
        <v>7951</v>
      </c>
      <c r="BF851" s="2" t="str">
        <f>HYPERLINK("http://dx.doi.org/10.1080/03610918308812339","http://dx.doi.org/10.1080/03610918308812339")</f>
        <v>http://dx.doi.org/10.1080/03610918308812339</v>
      </c>
      <c r="BG851" s="1" t="s">
        <v>74</v>
      </c>
      <c r="BH851" s="1" t="s">
        <v>74</v>
      </c>
      <c r="BI851" s="1" t="s">
        <v>74</v>
      </c>
      <c r="BJ851" s="1" t="s">
        <v>74</v>
      </c>
      <c r="BK851" s="1" t="s">
        <v>74</v>
      </c>
      <c r="BL851" s="1" t="s">
        <v>74</v>
      </c>
      <c r="BM851" s="1" t="s">
        <v>74</v>
      </c>
      <c r="BN851" s="1" t="s">
        <v>74</v>
      </c>
      <c r="BO851" s="1" t="s">
        <v>74</v>
      </c>
      <c r="BP851" s="1" t="s">
        <v>74</v>
      </c>
      <c r="BQ851" s="1" t="s">
        <v>74</v>
      </c>
      <c r="BR851" s="1" t="s">
        <v>74</v>
      </c>
      <c r="BS851" s="1" t="s">
        <v>7952</v>
      </c>
      <c r="BT851" s="1" t="str">
        <f>HYPERLINK("https%3A%2F%2Fwww.webofscience.com%2Fwos%2Fwoscc%2Ffull-record%2FWOS:A1983RE44500001","View Full Record in Web of Science")</f>
        <v>View Full Record in Web of Science</v>
      </c>
    </row>
    <row r="852" ht="12.75" customHeight="1">
      <c r="A852" s="1" t="s">
        <v>72</v>
      </c>
      <c r="B852" s="1" t="s">
        <v>7953</v>
      </c>
      <c r="C852" s="1" t="s">
        <v>74</v>
      </c>
      <c r="D852" s="1" t="s">
        <v>74</v>
      </c>
      <c r="E852" s="1" t="s">
        <v>74</v>
      </c>
      <c r="F852" s="1" t="s">
        <v>7954</v>
      </c>
      <c r="G852" s="1" t="s">
        <v>74</v>
      </c>
      <c r="H852" s="1" t="s">
        <v>74</v>
      </c>
      <c r="I852" s="1" t="s">
        <v>7955</v>
      </c>
      <c r="J852" s="1" t="s">
        <v>7956</v>
      </c>
      <c r="K852" s="1" t="s">
        <v>74</v>
      </c>
      <c r="L852" s="1" t="s">
        <v>74</v>
      </c>
      <c r="M852" s="1" t="s">
        <v>74</v>
      </c>
      <c r="N852" s="1" t="s">
        <v>74</v>
      </c>
      <c r="O852" s="1" t="s">
        <v>74</v>
      </c>
      <c r="P852" s="1" t="s">
        <v>74</v>
      </c>
      <c r="Q852" s="1" t="s">
        <v>74</v>
      </c>
      <c r="R852" s="1" t="s">
        <v>74</v>
      </c>
      <c r="S852" s="1" t="s">
        <v>74</v>
      </c>
      <c r="T852" s="1" t="s">
        <v>74</v>
      </c>
      <c r="U852" s="1" t="s">
        <v>74</v>
      </c>
      <c r="V852" s="1" t="s">
        <v>7957</v>
      </c>
      <c r="W852" s="1" t="s">
        <v>74</v>
      </c>
      <c r="X852" s="1" t="s">
        <v>74</v>
      </c>
      <c r="Y852" s="1" t="s">
        <v>74</v>
      </c>
      <c r="Z852" s="1" t="s">
        <v>74</v>
      </c>
      <c r="AA852" s="1" t="s">
        <v>74</v>
      </c>
      <c r="AB852" s="1" t="s">
        <v>7958</v>
      </c>
      <c r="AC852" s="1" t="s">
        <v>74</v>
      </c>
      <c r="AD852" s="1" t="s">
        <v>74</v>
      </c>
      <c r="AE852" s="1" t="s">
        <v>74</v>
      </c>
      <c r="AF852" s="1" t="s">
        <v>74</v>
      </c>
      <c r="AG852" s="1" t="s">
        <v>74</v>
      </c>
      <c r="AH852" s="1" t="s">
        <v>74</v>
      </c>
      <c r="AI852" s="1" t="s">
        <v>74</v>
      </c>
      <c r="AJ852" s="1" t="s">
        <v>74</v>
      </c>
      <c r="AK852" s="1" t="s">
        <v>74</v>
      </c>
      <c r="AL852" s="1" t="s">
        <v>74</v>
      </c>
      <c r="AM852" s="1" t="s">
        <v>74</v>
      </c>
      <c r="AN852" s="1" t="s">
        <v>74</v>
      </c>
      <c r="AO852" s="1" t="s">
        <v>7959</v>
      </c>
      <c r="AP852" s="1" t="s">
        <v>7960</v>
      </c>
      <c r="AQ852" s="1" t="s">
        <v>74</v>
      </c>
      <c r="AR852" s="1" t="s">
        <v>74</v>
      </c>
      <c r="AS852" s="1" t="s">
        <v>74</v>
      </c>
      <c r="AT852" s="1" t="s">
        <v>1654</v>
      </c>
      <c r="AU852" s="1">
        <v>2024.0</v>
      </c>
      <c r="AV852" s="1">
        <v>50.0</v>
      </c>
      <c r="AW852" s="1" t="s">
        <v>326</v>
      </c>
      <c r="AX852" s="1" t="s">
        <v>74</v>
      </c>
      <c r="AY852" s="1" t="s">
        <v>74</v>
      </c>
      <c r="AZ852" s="1" t="s">
        <v>1042</v>
      </c>
      <c r="BA852" s="1" t="s">
        <v>74</v>
      </c>
      <c r="BB852" s="1">
        <v>305.0</v>
      </c>
      <c r="BC852" s="1">
        <v>337.0</v>
      </c>
      <c r="BD852" s="1" t="s">
        <v>74</v>
      </c>
      <c r="BE852" s="1" t="s">
        <v>7961</v>
      </c>
      <c r="BF852" s="2" t="str">
        <f>HYPERLINK("http://dx.doi.org/10.1080/2329194X.2024.2430255","http://dx.doi.org/10.1080/2329194X.2024.2430255")</f>
        <v>http://dx.doi.org/10.1080/2329194X.2024.2430255</v>
      </c>
      <c r="BG852" s="1" t="s">
        <v>74</v>
      </c>
      <c r="BH852" s="1" t="s">
        <v>5760</v>
      </c>
      <c r="BI852" s="1" t="s">
        <v>74</v>
      </c>
      <c r="BJ852" s="1" t="s">
        <v>74</v>
      </c>
      <c r="BK852" s="1" t="s">
        <v>74</v>
      </c>
      <c r="BL852" s="1" t="s">
        <v>74</v>
      </c>
      <c r="BM852" s="1" t="s">
        <v>74</v>
      </c>
      <c r="BN852" s="1" t="s">
        <v>74</v>
      </c>
      <c r="BO852" s="1" t="s">
        <v>74</v>
      </c>
      <c r="BP852" s="1" t="s">
        <v>74</v>
      </c>
      <c r="BQ852" s="1" t="s">
        <v>74</v>
      </c>
      <c r="BR852" s="1" t="s">
        <v>74</v>
      </c>
      <c r="BS852" s="1" t="s">
        <v>7962</v>
      </c>
      <c r="BT852" s="1" t="str">
        <f>HYPERLINK("https%3A%2F%2Fwww.webofscience.com%2Fwos%2Fwoscc%2Ffull-record%2FWOS:001372967900001","View Full Record in Web of Science")</f>
        <v>View Full Record in Web of Science</v>
      </c>
    </row>
    <row r="853" ht="12.75" customHeight="1">
      <c r="A853" s="1" t="s">
        <v>72</v>
      </c>
      <c r="B853" s="1" t="s">
        <v>7963</v>
      </c>
      <c r="C853" s="1" t="s">
        <v>74</v>
      </c>
      <c r="D853" s="1" t="s">
        <v>74</v>
      </c>
      <c r="E853" s="1" t="s">
        <v>74</v>
      </c>
      <c r="F853" s="1" t="s">
        <v>7964</v>
      </c>
      <c r="G853" s="1" t="s">
        <v>74</v>
      </c>
      <c r="H853" s="1" t="s">
        <v>74</v>
      </c>
      <c r="I853" s="1" t="s">
        <v>7965</v>
      </c>
      <c r="J853" s="1" t="s">
        <v>7966</v>
      </c>
      <c r="K853" s="1" t="s">
        <v>74</v>
      </c>
      <c r="L853" s="1" t="s">
        <v>74</v>
      </c>
      <c r="M853" s="1" t="s">
        <v>74</v>
      </c>
      <c r="N853" s="1" t="s">
        <v>74</v>
      </c>
      <c r="O853" s="1" t="s">
        <v>74</v>
      </c>
      <c r="P853" s="1" t="s">
        <v>74</v>
      </c>
      <c r="Q853" s="1" t="s">
        <v>74</v>
      </c>
      <c r="R853" s="1" t="s">
        <v>74</v>
      </c>
      <c r="S853" s="1" t="s">
        <v>74</v>
      </c>
      <c r="T853" s="1" t="s">
        <v>74</v>
      </c>
      <c r="U853" s="1" t="s">
        <v>74</v>
      </c>
      <c r="V853" s="1" t="s">
        <v>7967</v>
      </c>
      <c r="W853" s="1" t="s">
        <v>74</v>
      </c>
      <c r="X853" s="1" t="s">
        <v>74</v>
      </c>
      <c r="Y853" s="1" t="s">
        <v>74</v>
      </c>
      <c r="Z853" s="1" t="s">
        <v>74</v>
      </c>
      <c r="AA853" s="1" t="s">
        <v>7968</v>
      </c>
      <c r="AB853" s="1" t="s">
        <v>7969</v>
      </c>
      <c r="AC853" s="1" t="s">
        <v>74</v>
      </c>
      <c r="AD853" s="1" t="s">
        <v>74</v>
      </c>
      <c r="AE853" s="1" t="s">
        <v>74</v>
      </c>
      <c r="AF853" s="1" t="s">
        <v>74</v>
      </c>
      <c r="AG853" s="1" t="s">
        <v>74</v>
      </c>
      <c r="AH853" s="1" t="s">
        <v>74</v>
      </c>
      <c r="AI853" s="1" t="s">
        <v>74</v>
      </c>
      <c r="AJ853" s="1" t="s">
        <v>74</v>
      </c>
      <c r="AK853" s="1" t="s">
        <v>74</v>
      </c>
      <c r="AL853" s="1" t="s">
        <v>74</v>
      </c>
      <c r="AM853" s="1" t="s">
        <v>74</v>
      </c>
      <c r="AN853" s="1" t="s">
        <v>74</v>
      </c>
      <c r="AO853" s="1" t="s">
        <v>7970</v>
      </c>
      <c r="AP853" s="1" t="s">
        <v>7971</v>
      </c>
      <c r="AQ853" s="1" t="s">
        <v>74</v>
      </c>
      <c r="AR853" s="1" t="s">
        <v>74</v>
      </c>
      <c r="AS853" s="1" t="s">
        <v>74</v>
      </c>
      <c r="AT853" s="1" t="s">
        <v>1458</v>
      </c>
      <c r="AU853" s="1">
        <v>2024.0</v>
      </c>
      <c r="AV853" s="1">
        <v>300.0</v>
      </c>
      <c r="AW853" s="1" t="s">
        <v>74</v>
      </c>
      <c r="AX853" s="1" t="s">
        <v>74</v>
      </c>
      <c r="AY853" s="1" t="s">
        <v>74</v>
      </c>
      <c r="AZ853" s="1" t="s">
        <v>74</v>
      </c>
      <c r="BA853" s="1" t="s">
        <v>74</v>
      </c>
      <c r="BB853" s="1" t="s">
        <v>74</v>
      </c>
      <c r="BC853" s="1" t="s">
        <v>74</v>
      </c>
      <c r="BD853" s="1">
        <v>131630.0</v>
      </c>
      <c r="BE853" s="1" t="s">
        <v>7972</v>
      </c>
      <c r="BF853" s="2" t="str">
        <f>HYPERLINK("http://dx.doi.org/10.1016/j.energy.2024.131630","http://dx.doi.org/10.1016/j.energy.2024.131630")</f>
        <v>http://dx.doi.org/10.1016/j.energy.2024.131630</v>
      </c>
      <c r="BG853" s="1" t="s">
        <v>74</v>
      </c>
      <c r="BH853" s="1" t="s">
        <v>480</v>
      </c>
      <c r="BI853" s="1" t="s">
        <v>74</v>
      </c>
      <c r="BJ853" s="1" t="s">
        <v>74</v>
      </c>
      <c r="BK853" s="1" t="s">
        <v>74</v>
      </c>
      <c r="BL853" s="1" t="s">
        <v>74</v>
      </c>
      <c r="BM853" s="1" t="s">
        <v>74</v>
      </c>
      <c r="BN853" s="1" t="s">
        <v>74</v>
      </c>
      <c r="BO853" s="1" t="s">
        <v>74</v>
      </c>
      <c r="BP853" s="1" t="s">
        <v>74</v>
      </c>
      <c r="BQ853" s="1" t="s">
        <v>74</v>
      </c>
      <c r="BR853" s="1" t="s">
        <v>74</v>
      </c>
      <c r="BS853" s="1" t="s">
        <v>7973</v>
      </c>
      <c r="BT853" s="1" t="str">
        <f>HYPERLINK("https%3A%2F%2Fwww.webofscience.com%2Fwos%2Fwoscc%2Ffull-record%2FWOS:001333027000001","View Full Record in Web of Science")</f>
        <v>View Full Record in Web of Science</v>
      </c>
    </row>
    <row r="854" ht="12.75" customHeight="1">
      <c r="A854" s="1" t="s">
        <v>72</v>
      </c>
      <c r="B854" s="1" t="s">
        <v>7974</v>
      </c>
      <c r="C854" s="1" t="s">
        <v>74</v>
      </c>
      <c r="D854" s="1" t="s">
        <v>74</v>
      </c>
      <c r="E854" s="1" t="s">
        <v>74</v>
      </c>
      <c r="F854" s="1" t="s">
        <v>7975</v>
      </c>
      <c r="G854" s="1" t="s">
        <v>74</v>
      </c>
      <c r="H854" s="1" t="s">
        <v>74</v>
      </c>
      <c r="I854" s="1" t="s">
        <v>7976</v>
      </c>
      <c r="J854" s="1" t="s">
        <v>7977</v>
      </c>
      <c r="K854" s="1" t="s">
        <v>74</v>
      </c>
      <c r="L854" s="1" t="s">
        <v>74</v>
      </c>
      <c r="M854" s="1" t="s">
        <v>74</v>
      </c>
      <c r="N854" s="1" t="s">
        <v>74</v>
      </c>
      <c r="O854" s="1" t="s">
        <v>74</v>
      </c>
      <c r="P854" s="1" t="s">
        <v>74</v>
      </c>
      <c r="Q854" s="1" t="s">
        <v>74</v>
      </c>
      <c r="R854" s="1" t="s">
        <v>74</v>
      </c>
      <c r="S854" s="1" t="s">
        <v>74</v>
      </c>
      <c r="T854" s="1" t="s">
        <v>74</v>
      </c>
      <c r="U854" s="1" t="s">
        <v>74</v>
      </c>
      <c r="V854" s="1" t="s">
        <v>7978</v>
      </c>
      <c r="W854" s="1" t="s">
        <v>74</v>
      </c>
      <c r="X854" s="1" t="s">
        <v>74</v>
      </c>
      <c r="Y854" s="1" t="s">
        <v>74</v>
      </c>
      <c r="Z854" s="1" t="s">
        <v>74</v>
      </c>
      <c r="AA854" s="1" t="s">
        <v>74</v>
      </c>
      <c r="AB854" s="1" t="s">
        <v>74</v>
      </c>
      <c r="AC854" s="1" t="s">
        <v>74</v>
      </c>
      <c r="AD854" s="1" t="s">
        <v>74</v>
      </c>
      <c r="AE854" s="1" t="s">
        <v>74</v>
      </c>
      <c r="AF854" s="1" t="s">
        <v>74</v>
      </c>
      <c r="AG854" s="1" t="s">
        <v>74</v>
      </c>
      <c r="AH854" s="1" t="s">
        <v>74</v>
      </c>
      <c r="AI854" s="1" t="s">
        <v>74</v>
      </c>
      <c r="AJ854" s="1" t="s">
        <v>74</v>
      </c>
      <c r="AK854" s="1" t="s">
        <v>74</v>
      </c>
      <c r="AL854" s="1" t="s">
        <v>74</v>
      </c>
      <c r="AM854" s="1" t="s">
        <v>74</v>
      </c>
      <c r="AN854" s="1" t="s">
        <v>74</v>
      </c>
      <c r="AO854" s="1" t="s">
        <v>7979</v>
      </c>
      <c r="AP854" s="1" t="s">
        <v>7980</v>
      </c>
      <c r="AQ854" s="1" t="s">
        <v>74</v>
      </c>
      <c r="AR854" s="1" t="s">
        <v>74</v>
      </c>
      <c r="AS854" s="1" t="s">
        <v>74</v>
      </c>
      <c r="AT854" s="1" t="s">
        <v>1214</v>
      </c>
      <c r="AU854" s="1">
        <v>2024.0</v>
      </c>
      <c r="AV854" s="1">
        <v>95.0</v>
      </c>
      <c r="AW854" s="1">
        <v>2.0</v>
      </c>
      <c r="AX854" s="1" t="s">
        <v>74</v>
      </c>
      <c r="AY854" s="1" t="s">
        <v>74</v>
      </c>
      <c r="AZ854" s="1" t="s">
        <v>74</v>
      </c>
      <c r="BA854" s="1" t="s">
        <v>74</v>
      </c>
      <c r="BB854" s="1">
        <v>151.0</v>
      </c>
      <c r="BC854" s="1">
        <v>158.0</v>
      </c>
      <c r="BD854" s="1" t="s">
        <v>74</v>
      </c>
      <c r="BE854" s="1" t="s">
        <v>7981</v>
      </c>
      <c r="BF854" s="2" t="str">
        <f>HYPERLINK("http://dx.doi.org/10.32641/andespediatr.v95i2.4941","http://dx.doi.org/10.32641/andespediatr.v95i2.4941")</f>
        <v>http://dx.doi.org/10.32641/andespediatr.v95i2.4941</v>
      </c>
      <c r="BG854" s="1" t="s">
        <v>74</v>
      </c>
      <c r="BH854" s="1" t="s">
        <v>74</v>
      </c>
      <c r="BI854" s="1" t="s">
        <v>74</v>
      </c>
      <c r="BJ854" s="1" t="s">
        <v>74</v>
      </c>
      <c r="BK854" s="1" t="s">
        <v>74</v>
      </c>
      <c r="BL854" s="1" t="s">
        <v>74</v>
      </c>
      <c r="BM854" s="1" t="s">
        <v>74</v>
      </c>
      <c r="BN854" s="1">
        <v>3.8801362E7</v>
      </c>
      <c r="BO854" s="1" t="s">
        <v>74</v>
      </c>
      <c r="BP854" s="1" t="s">
        <v>74</v>
      </c>
      <c r="BQ854" s="1" t="s">
        <v>74</v>
      </c>
      <c r="BR854" s="1" t="s">
        <v>74</v>
      </c>
      <c r="BS854" s="1" t="s">
        <v>7982</v>
      </c>
      <c r="BT854" s="1" t="str">
        <f>HYPERLINK("https%3A%2F%2Fwww.webofscience.com%2Fwos%2Fwoscc%2Ffull-record%2FWOS:001223686000009","View Full Record in Web of Science")</f>
        <v>View Full Record in Web of Science</v>
      </c>
    </row>
    <row r="855" ht="12.75" customHeight="1">
      <c r="A855" s="1" t="s">
        <v>72</v>
      </c>
      <c r="B855" s="1" t="s">
        <v>7983</v>
      </c>
      <c r="C855" s="1" t="s">
        <v>74</v>
      </c>
      <c r="D855" s="1" t="s">
        <v>74</v>
      </c>
      <c r="E855" s="1" t="s">
        <v>74</v>
      </c>
      <c r="F855" s="1" t="s">
        <v>7984</v>
      </c>
      <c r="G855" s="1" t="s">
        <v>74</v>
      </c>
      <c r="H855" s="1" t="s">
        <v>74</v>
      </c>
      <c r="I855" s="1" t="s">
        <v>7985</v>
      </c>
      <c r="J855" s="1" t="s">
        <v>1299</v>
      </c>
      <c r="K855" s="1" t="s">
        <v>74</v>
      </c>
      <c r="L855" s="1" t="s">
        <v>74</v>
      </c>
      <c r="M855" s="1" t="s">
        <v>74</v>
      </c>
      <c r="N855" s="1" t="s">
        <v>74</v>
      </c>
      <c r="O855" s="1" t="s">
        <v>74</v>
      </c>
      <c r="P855" s="1" t="s">
        <v>74</v>
      </c>
      <c r="Q855" s="1" t="s">
        <v>74</v>
      </c>
      <c r="R855" s="1" t="s">
        <v>74</v>
      </c>
      <c r="S855" s="1" t="s">
        <v>74</v>
      </c>
      <c r="T855" s="1" t="s">
        <v>74</v>
      </c>
      <c r="U855" s="1" t="s">
        <v>74</v>
      </c>
      <c r="V855" s="1" t="s">
        <v>7986</v>
      </c>
      <c r="W855" s="1" t="s">
        <v>74</v>
      </c>
      <c r="X855" s="1" t="s">
        <v>74</v>
      </c>
      <c r="Y855" s="1" t="s">
        <v>74</v>
      </c>
      <c r="Z855" s="1" t="s">
        <v>74</v>
      </c>
      <c r="AA855" s="1" t="s">
        <v>7987</v>
      </c>
      <c r="AB855" s="1" t="s">
        <v>7988</v>
      </c>
      <c r="AC855" s="1" t="s">
        <v>74</v>
      </c>
      <c r="AD855" s="1" t="s">
        <v>74</v>
      </c>
      <c r="AE855" s="1" t="s">
        <v>74</v>
      </c>
      <c r="AF855" s="1" t="s">
        <v>74</v>
      </c>
      <c r="AG855" s="1" t="s">
        <v>74</v>
      </c>
      <c r="AH855" s="1" t="s">
        <v>74</v>
      </c>
      <c r="AI855" s="1" t="s">
        <v>74</v>
      </c>
      <c r="AJ855" s="1" t="s">
        <v>74</v>
      </c>
      <c r="AK855" s="1" t="s">
        <v>74</v>
      </c>
      <c r="AL855" s="1" t="s">
        <v>74</v>
      </c>
      <c r="AM855" s="1" t="s">
        <v>74</v>
      </c>
      <c r="AN855" s="1" t="s">
        <v>74</v>
      </c>
      <c r="AO855" s="1" t="s">
        <v>74</v>
      </c>
      <c r="AP855" s="1" t="s">
        <v>1303</v>
      </c>
      <c r="AQ855" s="1" t="s">
        <v>74</v>
      </c>
      <c r="AR855" s="1" t="s">
        <v>74</v>
      </c>
      <c r="AS855" s="1" t="s">
        <v>74</v>
      </c>
      <c r="AT855" s="1" t="s">
        <v>112</v>
      </c>
      <c r="AU855" s="1">
        <v>2023.0</v>
      </c>
      <c r="AV855" s="1">
        <v>13.0</v>
      </c>
      <c r="AW855" s="1">
        <v>11.0</v>
      </c>
      <c r="AX855" s="1" t="s">
        <v>74</v>
      </c>
      <c r="AY855" s="1" t="s">
        <v>74</v>
      </c>
      <c r="AZ855" s="1" t="s">
        <v>74</v>
      </c>
      <c r="BA855" s="1" t="s">
        <v>74</v>
      </c>
      <c r="BB855" s="1" t="s">
        <v>74</v>
      </c>
      <c r="BC855" s="1" t="s">
        <v>74</v>
      </c>
      <c r="BD855" s="1">
        <v>1375.0</v>
      </c>
      <c r="BE855" s="1" t="s">
        <v>7989</v>
      </c>
      <c r="BF855" s="2" t="str">
        <f>HYPERLINK("http://dx.doi.org/10.3390/min13111375","http://dx.doi.org/10.3390/min13111375")</f>
        <v>http://dx.doi.org/10.3390/min13111375</v>
      </c>
      <c r="BG855" s="1" t="s">
        <v>74</v>
      </c>
      <c r="BH855" s="1" t="s">
        <v>74</v>
      </c>
      <c r="BI855" s="1" t="s">
        <v>74</v>
      </c>
      <c r="BJ855" s="1" t="s">
        <v>74</v>
      </c>
      <c r="BK855" s="1" t="s">
        <v>74</v>
      </c>
      <c r="BL855" s="1" t="s">
        <v>74</v>
      </c>
      <c r="BM855" s="1" t="s">
        <v>74</v>
      </c>
      <c r="BN855" s="1" t="s">
        <v>74</v>
      </c>
      <c r="BO855" s="1" t="s">
        <v>74</v>
      </c>
      <c r="BP855" s="1" t="s">
        <v>74</v>
      </c>
      <c r="BQ855" s="1" t="s">
        <v>74</v>
      </c>
      <c r="BR855" s="1" t="s">
        <v>74</v>
      </c>
      <c r="BS855" s="1" t="s">
        <v>7990</v>
      </c>
      <c r="BT855" s="1" t="str">
        <f>HYPERLINK("https%3A%2F%2Fwww.webofscience.com%2Fwos%2Fwoscc%2Ffull-record%2FWOS:001119828000001","View Full Record in Web of Science")</f>
        <v>View Full Record in Web of Science</v>
      </c>
    </row>
    <row r="856" ht="12.75" customHeight="1">
      <c r="A856" s="1" t="s">
        <v>72</v>
      </c>
      <c r="B856" s="1" t="s">
        <v>7991</v>
      </c>
      <c r="C856" s="1" t="s">
        <v>74</v>
      </c>
      <c r="D856" s="1" t="s">
        <v>74</v>
      </c>
      <c r="E856" s="1" t="s">
        <v>74</v>
      </c>
      <c r="F856" s="1" t="s">
        <v>7992</v>
      </c>
      <c r="G856" s="1" t="s">
        <v>74</v>
      </c>
      <c r="H856" s="1" t="s">
        <v>74</v>
      </c>
      <c r="I856" s="1" t="s">
        <v>7993</v>
      </c>
      <c r="J856" s="1" t="s">
        <v>7994</v>
      </c>
      <c r="K856" s="1" t="s">
        <v>74</v>
      </c>
      <c r="L856" s="1" t="s">
        <v>74</v>
      </c>
      <c r="M856" s="1" t="s">
        <v>74</v>
      </c>
      <c r="N856" s="1" t="s">
        <v>74</v>
      </c>
      <c r="O856" s="1" t="s">
        <v>74</v>
      </c>
      <c r="P856" s="1" t="s">
        <v>74</v>
      </c>
      <c r="Q856" s="1" t="s">
        <v>74</v>
      </c>
      <c r="R856" s="1" t="s">
        <v>74</v>
      </c>
      <c r="S856" s="1" t="s">
        <v>74</v>
      </c>
      <c r="T856" s="1" t="s">
        <v>74</v>
      </c>
      <c r="U856" s="1" t="s">
        <v>74</v>
      </c>
      <c r="V856" s="1" t="s">
        <v>7995</v>
      </c>
      <c r="W856" s="1" t="s">
        <v>74</v>
      </c>
      <c r="X856" s="1" t="s">
        <v>74</v>
      </c>
      <c r="Y856" s="1" t="s">
        <v>74</v>
      </c>
      <c r="Z856" s="1" t="s">
        <v>74</v>
      </c>
      <c r="AA856" s="1" t="s">
        <v>6490</v>
      </c>
      <c r="AB856" s="1" t="s">
        <v>7996</v>
      </c>
      <c r="AC856" s="1" t="s">
        <v>74</v>
      </c>
      <c r="AD856" s="1" t="s">
        <v>74</v>
      </c>
      <c r="AE856" s="1" t="s">
        <v>74</v>
      </c>
      <c r="AF856" s="1" t="s">
        <v>74</v>
      </c>
      <c r="AG856" s="1" t="s">
        <v>74</v>
      </c>
      <c r="AH856" s="1" t="s">
        <v>74</v>
      </c>
      <c r="AI856" s="1" t="s">
        <v>74</v>
      </c>
      <c r="AJ856" s="1" t="s">
        <v>74</v>
      </c>
      <c r="AK856" s="1" t="s">
        <v>74</v>
      </c>
      <c r="AL856" s="1" t="s">
        <v>74</v>
      </c>
      <c r="AM856" s="1" t="s">
        <v>74</v>
      </c>
      <c r="AN856" s="1" t="s">
        <v>74</v>
      </c>
      <c r="AO856" s="1" t="s">
        <v>7997</v>
      </c>
      <c r="AP856" s="1" t="s">
        <v>7998</v>
      </c>
      <c r="AQ856" s="1" t="s">
        <v>74</v>
      </c>
      <c r="AR856" s="1" t="s">
        <v>74</v>
      </c>
      <c r="AS856" s="1" t="s">
        <v>74</v>
      </c>
      <c r="AT856" s="1" t="s">
        <v>389</v>
      </c>
      <c r="AU856" s="1">
        <v>2022.0</v>
      </c>
      <c r="AV856" s="1">
        <v>25.0</v>
      </c>
      <c r="AW856" s="1">
        <v>1.0</v>
      </c>
      <c r="AX856" s="1" t="s">
        <v>74</v>
      </c>
      <c r="AY856" s="1" t="s">
        <v>74</v>
      </c>
      <c r="AZ856" s="1" t="s">
        <v>74</v>
      </c>
      <c r="BA856" s="1" t="s">
        <v>74</v>
      </c>
      <c r="BB856" s="1">
        <v>279.0</v>
      </c>
      <c r="BC856" s="1">
        <v>302.0</v>
      </c>
      <c r="BD856" s="1" t="s">
        <v>74</v>
      </c>
      <c r="BE856" s="1" t="s">
        <v>7999</v>
      </c>
      <c r="BF856" s="2" t="str">
        <f>HYPERLINK("http://dx.doi.org/10.1007/s10586-021-03381-6","http://dx.doi.org/10.1007/s10586-021-03381-6")</f>
        <v>http://dx.doi.org/10.1007/s10586-021-03381-6</v>
      </c>
      <c r="BG856" s="1" t="s">
        <v>74</v>
      </c>
      <c r="BH856" s="1" t="s">
        <v>668</v>
      </c>
      <c r="BI856" s="1" t="s">
        <v>74</v>
      </c>
      <c r="BJ856" s="1" t="s">
        <v>74</v>
      </c>
      <c r="BK856" s="1" t="s">
        <v>74</v>
      </c>
      <c r="BL856" s="1" t="s">
        <v>74</v>
      </c>
      <c r="BM856" s="1" t="s">
        <v>74</v>
      </c>
      <c r="BN856" s="1" t="s">
        <v>74</v>
      </c>
      <c r="BO856" s="1" t="s">
        <v>74</v>
      </c>
      <c r="BP856" s="1" t="s">
        <v>74</v>
      </c>
      <c r="BQ856" s="1" t="s">
        <v>74</v>
      </c>
      <c r="BR856" s="1" t="s">
        <v>74</v>
      </c>
      <c r="BS856" s="1" t="s">
        <v>8000</v>
      </c>
      <c r="BT856" s="1" t="str">
        <f>HYPERLINK("https%3A%2F%2Fwww.webofscience.com%2Fwos%2Fwoscc%2Ffull-record%2FWOS:000690731400001","View Full Record in Web of Science")</f>
        <v>View Full Record in Web of Science</v>
      </c>
    </row>
    <row r="857" ht="12.75" customHeight="1">
      <c r="A857" s="1" t="s">
        <v>72</v>
      </c>
      <c r="B857" s="1" t="s">
        <v>8001</v>
      </c>
      <c r="C857" s="1" t="s">
        <v>74</v>
      </c>
      <c r="D857" s="1" t="s">
        <v>74</v>
      </c>
      <c r="E857" s="1" t="s">
        <v>74</v>
      </c>
      <c r="F857" s="1" t="s">
        <v>8002</v>
      </c>
      <c r="G857" s="1" t="s">
        <v>74</v>
      </c>
      <c r="H857" s="1" t="s">
        <v>74</v>
      </c>
      <c r="I857" s="1" t="s">
        <v>8003</v>
      </c>
      <c r="J857" s="1" t="s">
        <v>2235</v>
      </c>
      <c r="K857" s="1" t="s">
        <v>74</v>
      </c>
      <c r="L857" s="1" t="s">
        <v>74</v>
      </c>
      <c r="M857" s="1" t="s">
        <v>74</v>
      </c>
      <c r="N857" s="1" t="s">
        <v>74</v>
      </c>
      <c r="O857" s="1" t="s">
        <v>74</v>
      </c>
      <c r="P857" s="1" t="s">
        <v>74</v>
      </c>
      <c r="Q857" s="1" t="s">
        <v>74</v>
      </c>
      <c r="R857" s="1" t="s">
        <v>74</v>
      </c>
      <c r="S857" s="1" t="s">
        <v>74</v>
      </c>
      <c r="T857" s="1" t="s">
        <v>74</v>
      </c>
      <c r="U857" s="1" t="s">
        <v>74</v>
      </c>
      <c r="V857" s="1" t="s">
        <v>8004</v>
      </c>
      <c r="W857" s="1" t="s">
        <v>74</v>
      </c>
      <c r="X857" s="1" t="s">
        <v>74</v>
      </c>
      <c r="Y857" s="1" t="s">
        <v>74</v>
      </c>
      <c r="Z857" s="1" t="s">
        <v>74</v>
      </c>
      <c r="AA857" s="1" t="s">
        <v>8005</v>
      </c>
      <c r="AB857" s="1" t="s">
        <v>8006</v>
      </c>
      <c r="AC857" s="1" t="s">
        <v>74</v>
      </c>
      <c r="AD857" s="1" t="s">
        <v>74</v>
      </c>
      <c r="AE857" s="1" t="s">
        <v>74</v>
      </c>
      <c r="AF857" s="1" t="s">
        <v>74</v>
      </c>
      <c r="AG857" s="1" t="s">
        <v>74</v>
      </c>
      <c r="AH857" s="1" t="s">
        <v>74</v>
      </c>
      <c r="AI857" s="1" t="s">
        <v>74</v>
      </c>
      <c r="AJ857" s="1" t="s">
        <v>74</v>
      </c>
      <c r="AK857" s="1" t="s">
        <v>74</v>
      </c>
      <c r="AL857" s="1" t="s">
        <v>74</v>
      </c>
      <c r="AM857" s="1" t="s">
        <v>74</v>
      </c>
      <c r="AN857" s="1" t="s">
        <v>74</v>
      </c>
      <c r="AO857" s="1" t="s">
        <v>2237</v>
      </c>
      <c r="AP857" s="1" t="s">
        <v>2238</v>
      </c>
      <c r="AQ857" s="1" t="s">
        <v>74</v>
      </c>
      <c r="AR857" s="1" t="s">
        <v>74</v>
      </c>
      <c r="AS857" s="1" t="s">
        <v>74</v>
      </c>
      <c r="AT857" s="1" t="s">
        <v>621</v>
      </c>
      <c r="AU857" s="1">
        <v>2020.0</v>
      </c>
      <c r="AV857" s="1">
        <v>36.0</v>
      </c>
      <c r="AW857" s="1">
        <v>1.0</v>
      </c>
      <c r="AX857" s="1" t="s">
        <v>74</v>
      </c>
      <c r="AY857" s="1" t="s">
        <v>74</v>
      </c>
      <c r="AZ857" s="1" t="s">
        <v>74</v>
      </c>
      <c r="BA857" s="1" t="s">
        <v>74</v>
      </c>
      <c r="BB857" s="1">
        <v>109.0</v>
      </c>
      <c r="BC857" s="1">
        <v>130.0</v>
      </c>
      <c r="BD857" s="1" t="s">
        <v>74</v>
      </c>
      <c r="BE857" s="1" t="s">
        <v>8007</v>
      </c>
      <c r="BF857" s="2" t="str">
        <f>HYPERLINK("http://dx.doi.org/10.4067/S0718-23762021000100109","http://dx.doi.org/10.4067/S0718-23762021000100109")</f>
        <v>http://dx.doi.org/10.4067/S0718-23762021000100109</v>
      </c>
      <c r="BG857" s="1" t="s">
        <v>74</v>
      </c>
      <c r="BH857" s="1" t="s">
        <v>74</v>
      </c>
      <c r="BI857" s="1" t="s">
        <v>74</v>
      </c>
      <c r="BJ857" s="1" t="s">
        <v>74</v>
      </c>
      <c r="BK857" s="1" t="s">
        <v>74</v>
      </c>
      <c r="BL857" s="1" t="s">
        <v>74</v>
      </c>
      <c r="BM857" s="1" t="s">
        <v>74</v>
      </c>
      <c r="BN857" s="1" t="s">
        <v>74</v>
      </c>
      <c r="BO857" s="1" t="s">
        <v>74</v>
      </c>
      <c r="BP857" s="1" t="s">
        <v>74</v>
      </c>
      <c r="BQ857" s="1" t="s">
        <v>74</v>
      </c>
      <c r="BR857" s="1" t="s">
        <v>74</v>
      </c>
      <c r="BS857" s="1" t="s">
        <v>8008</v>
      </c>
      <c r="BT857" s="1" t="str">
        <f>HYPERLINK("https%3A%2F%2Fwww.webofscience.com%2Fwos%2Fwoscc%2Ffull-record%2FWOS:000716376900005","View Full Record in Web of Science")</f>
        <v>View Full Record in Web of Science</v>
      </c>
    </row>
    <row r="858" ht="12.75" customHeight="1">
      <c r="A858" s="1" t="s">
        <v>72</v>
      </c>
      <c r="B858" s="1" t="s">
        <v>6651</v>
      </c>
      <c r="C858" s="1" t="s">
        <v>74</v>
      </c>
      <c r="D858" s="1" t="s">
        <v>74</v>
      </c>
      <c r="E858" s="1" t="s">
        <v>74</v>
      </c>
      <c r="F858" s="1" t="s">
        <v>8009</v>
      </c>
      <c r="G858" s="1" t="s">
        <v>74</v>
      </c>
      <c r="H858" s="1" t="s">
        <v>74</v>
      </c>
      <c r="I858" s="1" t="s">
        <v>8010</v>
      </c>
      <c r="J858" s="1" t="s">
        <v>8011</v>
      </c>
      <c r="K858" s="1" t="s">
        <v>74</v>
      </c>
      <c r="L858" s="1" t="s">
        <v>74</v>
      </c>
      <c r="M858" s="1" t="s">
        <v>74</v>
      </c>
      <c r="N858" s="1" t="s">
        <v>74</v>
      </c>
      <c r="O858" s="1" t="s">
        <v>74</v>
      </c>
      <c r="P858" s="1" t="s">
        <v>74</v>
      </c>
      <c r="Q858" s="1" t="s">
        <v>74</v>
      </c>
      <c r="R858" s="1" t="s">
        <v>74</v>
      </c>
      <c r="S858" s="1" t="s">
        <v>74</v>
      </c>
      <c r="T858" s="1" t="s">
        <v>74</v>
      </c>
      <c r="U858" s="1" t="s">
        <v>74</v>
      </c>
      <c r="V858" s="1" t="s">
        <v>74</v>
      </c>
      <c r="W858" s="1" t="s">
        <v>74</v>
      </c>
      <c r="X858" s="1" t="s">
        <v>74</v>
      </c>
      <c r="Y858" s="1" t="s">
        <v>74</v>
      </c>
      <c r="Z858" s="1" t="s">
        <v>74</v>
      </c>
      <c r="AA858" s="1" t="s">
        <v>74</v>
      </c>
      <c r="AB858" s="1" t="s">
        <v>74</v>
      </c>
      <c r="AC858" s="1" t="s">
        <v>74</v>
      </c>
      <c r="AD858" s="1" t="s">
        <v>74</v>
      </c>
      <c r="AE858" s="1" t="s">
        <v>74</v>
      </c>
      <c r="AF858" s="1" t="s">
        <v>74</v>
      </c>
      <c r="AG858" s="1" t="s">
        <v>74</v>
      </c>
      <c r="AH858" s="1" t="s">
        <v>74</v>
      </c>
      <c r="AI858" s="1" t="s">
        <v>74</v>
      </c>
      <c r="AJ858" s="1" t="s">
        <v>74</v>
      </c>
      <c r="AK858" s="1" t="s">
        <v>74</v>
      </c>
      <c r="AL858" s="1" t="s">
        <v>74</v>
      </c>
      <c r="AM858" s="1" t="s">
        <v>74</v>
      </c>
      <c r="AN858" s="1" t="s">
        <v>74</v>
      </c>
      <c r="AO858" s="1" t="s">
        <v>8012</v>
      </c>
      <c r="AP858" s="1" t="s">
        <v>8013</v>
      </c>
      <c r="AQ858" s="1" t="s">
        <v>74</v>
      </c>
      <c r="AR858" s="1" t="s">
        <v>74</v>
      </c>
      <c r="AS858" s="1" t="s">
        <v>74</v>
      </c>
      <c r="AT858" s="1" t="s">
        <v>621</v>
      </c>
      <c r="AU858" s="1">
        <v>2020.0</v>
      </c>
      <c r="AV858" s="1">
        <v>77.0</v>
      </c>
      <c r="AW858" s="1">
        <v>3.0</v>
      </c>
      <c r="AX858" s="1" t="s">
        <v>74</v>
      </c>
      <c r="AY858" s="1" t="s">
        <v>74</v>
      </c>
      <c r="AZ858" s="1" t="s">
        <v>74</v>
      </c>
      <c r="BA858" s="1" t="s">
        <v>74</v>
      </c>
      <c r="BB858" s="1">
        <v>498.0</v>
      </c>
      <c r="BC858" s="1">
        <v>499.0</v>
      </c>
      <c r="BD858" s="1" t="s">
        <v>74</v>
      </c>
      <c r="BE858" s="1" t="s">
        <v>8014</v>
      </c>
      <c r="BF858" s="2" t="str">
        <f>HYPERLINK("http://dx.doi.org/10.1017/tam.2020.62","http://dx.doi.org/10.1017/tam.2020.62")</f>
        <v>http://dx.doi.org/10.1017/tam.2020.62</v>
      </c>
      <c r="BG858" s="1" t="s">
        <v>74</v>
      </c>
      <c r="BH858" s="1" t="s">
        <v>74</v>
      </c>
      <c r="BI858" s="1" t="s">
        <v>74</v>
      </c>
      <c r="BJ858" s="1" t="s">
        <v>74</v>
      </c>
      <c r="BK858" s="1" t="s">
        <v>74</v>
      </c>
      <c r="BL858" s="1" t="s">
        <v>74</v>
      </c>
      <c r="BM858" s="1" t="s">
        <v>74</v>
      </c>
      <c r="BN858" s="1" t="s">
        <v>74</v>
      </c>
      <c r="BO858" s="1" t="s">
        <v>74</v>
      </c>
      <c r="BP858" s="1" t="s">
        <v>74</v>
      </c>
      <c r="BQ858" s="1" t="s">
        <v>74</v>
      </c>
      <c r="BR858" s="1" t="s">
        <v>74</v>
      </c>
      <c r="BS858" s="1" t="s">
        <v>8015</v>
      </c>
      <c r="BT858" s="1" t="str">
        <f>HYPERLINK("https%3A%2F%2Fwww.webofscience.com%2Fwos%2Fwoscc%2Ffull-record%2FWOS:000566753900023","View Full Record in Web of Science")</f>
        <v>View Full Record in Web of Science</v>
      </c>
    </row>
    <row r="859" ht="12.75" customHeight="1">
      <c r="A859" s="1" t="s">
        <v>72</v>
      </c>
      <c r="B859" s="1" t="s">
        <v>6651</v>
      </c>
      <c r="C859" s="1" t="s">
        <v>74</v>
      </c>
      <c r="D859" s="1" t="s">
        <v>74</v>
      </c>
      <c r="E859" s="1" t="s">
        <v>74</v>
      </c>
      <c r="F859" s="1" t="s">
        <v>8009</v>
      </c>
      <c r="G859" s="1" t="s">
        <v>74</v>
      </c>
      <c r="H859" s="1" t="s">
        <v>74</v>
      </c>
      <c r="I859" s="1" t="s">
        <v>8016</v>
      </c>
      <c r="J859" s="1" t="s">
        <v>8011</v>
      </c>
      <c r="K859" s="1" t="s">
        <v>74</v>
      </c>
      <c r="L859" s="1" t="s">
        <v>74</v>
      </c>
      <c r="M859" s="1" t="s">
        <v>74</v>
      </c>
      <c r="N859" s="1" t="s">
        <v>74</v>
      </c>
      <c r="O859" s="1" t="s">
        <v>74</v>
      </c>
      <c r="P859" s="1" t="s">
        <v>74</v>
      </c>
      <c r="Q859" s="1" t="s">
        <v>74</v>
      </c>
      <c r="R859" s="1" t="s">
        <v>74</v>
      </c>
      <c r="S859" s="1" t="s">
        <v>74</v>
      </c>
      <c r="T859" s="1" t="s">
        <v>74</v>
      </c>
      <c r="U859" s="1" t="s">
        <v>74</v>
      </c>
      <c r="V859" s="1" t="s">
        <v>74</v>
      </c>
      <c r="W859" s="1" t="s">
        <v>74</v>
      </c>
      <c r="X859" s="1" t="s">
        <v>74</v>
      </c>
      <c r="Y859" s="1" t="s">
        <v>74</v>
      </c>
      <c r="Z859" s="1" t="s">
        <v>74</v>
      </c>
      <c r="AA859" s="1" t="s">
        <v>74</v>
      </c>
      <c r="AB859" s="1" t="s">
        <v>74</v>
      </c>
      <c r="AC859" s="1" t="s">
        <v>74</v>
      </c>
      <c r="AD859" s="1" t="s">
        <v>74</v>
      </c>
      <c r="AE859" s="1" t="s">
        <v>74</v>
      </c>
      <c r="AF859" s="1" t="s">
        <v>74</v>
      </c>
      <c r="AG859" s="1" t="s">
        <v>74</v>
      </c>
      <c r="AH859" s="1" t="s">
        <v>74</v>
      </c>
      <c r="AI859" s="1" t="s">
        <v>74</v>
      </c>
      <c r="AJ859" s="1" t="s">
        <v>74</v>
      </c>
      <c r="AK859" s="1" t="s">
        <v>74</v>
      </c>
      <c r="AL859" s="1" t="s">
        <v>74</v>
      </c>
      <c r="AM859" s="1" t="s">
        <v>74</v>
      </c>
      <c r="AN859" s="1" t="s">
        <v>74</v>
      </c>
      <c r="AO859" s="1" t="s">
        <v>8012</v>
      </c>
      <c r="AP859" s="1" t="s">
        <v>8013</v>
      </c>
      <c r="AQ859" s="1" t="s">
        <v>74</v>
      </c>
      <c r="AR859" s="1" t="s">
        <v>74</v>
      </c>
      <c r="AS859" s="1" t="s">
        <v>74</v>
      </c>
      <c r="AT859" s="1" t="s">
        <v>841</v>
      </c>
      <c r="AU859" s="1">
        <v>2020.0</v>
      </c>
      <c r="AV859" s="1">
        <v>77.0</v>
      </c>
      <c r="AW859" s="1">
        <v>2.0</v>
      </c>
      <c r="AX859" s="1" t="s">
        <v>74</v>
      </c>
      <c r="AY859" s="1" t="s">
        <v>74</v>
      </c>
      <c r="AZ859" s="1" t="s">
        <v>74</v>
      </c>
      <c r="BA859" s="1" t="s">
        <v>74</v>
      </c>
      <c r="BB859" s="1">
        <v>345.0</v>
      </c>
      <c r="BC859" s="1">
        <v>347.0</v>
      </c>
      <c r="BD859" s="1" t="s">
        <v>8017</v>
      </c>
      <c r="BE859" s="1" t="s">
        <v>8018</v>
      </c>
      <c r="BF859" s="2" t="str">
        <f>HYPERLINK("http://dx.doi.org/10.1017/tam.2020.31","http://dx.doi.org/10.1017/tam.2020.31")</f>
        <v>http://dx.doi.org/10.1017/tam.2020.31</v>
      </c>
      <c r="BG859" s="1" t="s">
        <v>74</v>
      </c>
      <c r="BH859" s="1" t="s">
        <v>74</v>
      </c>
      <c r="BI859" s="1" t="s">
        <v>74</v>
      </c>
      <c r="BJ859" s="1" t="s">
        <v>74</v>
      </c>
      <c r="BK859" s="1" t="s">
        <v>74</v>
      </c>
      <c r="BL859" s="1" t="s">
        <v>74</v>
      </c>
      <c r="BM859" s="1" t="s">
        <v>74</v>
      </c>
      <c r="BN859" s="1" t="s">
        <v>74</v>
      </c>
      <c r="BO859" s="1" t="s">
        <v>74</v>
      </c>
      <c r="BP859" s="1" t="s">
        <v>74</v>
      </c>
      <c r="BQ859" s="1" t="s">
        <v>74</v>
      </c>
      <c r="BR859" s="1" t="s">
        <v>74</v>
      </c>
      <c r="BS859" s="1" t="s">
        <v>8019</v>
      </c>
      <c r="BT859" s="1" t="str">
        <f>HYPERLINK("https%3A%2F%2Fwww.webofscience.com%2Fwos%2Fwoscc%2Ffull-record%2FWOS:000529165900030","View Full Record in Web of Science")</f>
        <v>View Full Record in Web of Science</v>
      </c>
    </row>
    <row r="860" ht="12.75" customHeight="1">
      <c r="A860" s="1" t="s">
        <v>72</v>
      </c>
      <c r="B860" s="1" t="s">
        <v>8020</v>
      </c>
      <c r="C860" s="1" t="s">
        <v>74</v>
      </c>
      <c r="D860" s="1" t="s">
        <v>74</v>
      </c>
      <c r="E860" s="1" t="s">
        <v>74</v>
      </c>
      <c r="F860" s="1" t="s">
        <v>8021</v>
      </c>
      <c r="G860" s="1" t="s">
        <v>74</v>
      </c>
      <c r="H860" s="1" t="s">
        <v>74</v>
      </c>
      <c r="I860" s="1" t="s">
        <v>8022</v>
      </c>
      <c r="J860" s="1" t="s">
        <v>8023</v>
      </c>
      <c r="K860" s="1" t="s">
        <v>74</v>
      </c>
      <c r="L860" s="1" t="s">
        <v>74</v>
      </c>
      <c r="M860" s="1" t="s">
        <v>74</v>
      </c>
      <c r="N860" s="1" t="s">
        <v>74</v>
      </c>
      <c r="O860" s="1" t="s">
        <v>74</v>
      </c>
      <c r="P860" s="1" t="s">
        <v>74</v>
      </c>
      <c r="Q860" s="1" t="s">
        <v>74</v>
      </c>
      <c r="R860" s="1" t="s">
        <v>74</v>
      </c>
      <c r="S860" s="1" t="s">
        <v>74</v>
      </c>
      <c r="T860" s="1" t="s">
        <v>74</v>
      </c>
      <c r="U860" s="1" t="s">
        <v>74</v>
      </c>
      <c r="V860" s="1" t="s">
        <v>8024</v>
      </c>
      <c r="W860" s="1" t="s">
        <v>74</v>
      </c>
      <c r="X860" s="1" t="s">
        <v>74</v>
      </c>
      <c r="Y860" s="1" t="s">
        <v>74</v>
      </c>
      <c r="Z860" s="1" t="s">
        <v>74</v>
      </c>
      <c r="AA860" s="1" t="s">
        <v>8025</v>
      </c>
      <c r="AB860" s="1" t="s">
        <v>8026</v>
      </c>
      <c r="AC860" s="1" t="s">
        <v>74</v>
      </c>
      <c r="AD860" s="1" t="s">
        <v>74</v>
      </c>
      <c r="AE860" s="1" t="s">
        <v>74</v>
      </c>
      <c r="AF860" s="1" t="s">
        <v>74</v>
      </c>
      <c r="AG860" s="1" t="s">
        <v>74</v>
      </c>
      <c r="AH860" s="1" t="s">
        <v>74</v>
      </c>
      <c r="AI860" s="1" t="s">
        <v>74</v>
      </c>
      <c r="AJ860" s="1" t="s">
        <v>74</v>
      </c>
      <c r="AK860" s="1" t="s">
        <v>74</v>
      </c>
      <c r="AL860" s="1" t="s">
        <v>74</v>
      </c>
      <c r="AM860" s="1" t="s">
        <v>74</v>
      </c>
      <c r="AN860" s="1" t="s">
        <v>74</v>
      </c>
      <c r="AO860" s="1" t="s">
        <v>8027</v>
      </c>
      <c r="AP860" s="1" t="s">
        <v>8028</v>
      </c>
      <c r="AQ860" s="1" t="s">
        <v>74</v>
      </c>
      <c r="AR860" s="1" t="s">
        <v>74</v>
      </c>
      <c r="AS860" s="1" t="s">
        <v>74</v>
      </c>
      <c r="AT860" s="1" t="s">
        <v>964</v>
      </c>
      <c r="AU860" s="1">
        <v>2020.0</v>
      </c>
      <c r="AV860" s="1">
        <v>25.0</v>
      </c>
      <c r="AW860" s="1">
        <v>1.0</v>
      </c>
      <c r="AX860" s="1" t="s">
        <v>74</v>
      </c>
      <c r="AY860" s="1" t="s">
        <v>74</v>
      </c>
      <c r="AZ860" s="1" t="s">
        <v>74</v>
      </c>
      <c r="BA860" s="1" t="s">
        <v>74</v>
      </c>
      <c r="BB860" s="1">
        <v>17.0</v>
      </c>
      <c r="BC860" s="1">
        <v>32.0</v>
      </c>
      <c r="BD860" s="1" t="s">
        <v>74</v>
      </c>
      <c r="BE860" s="1" t="s">
        <v>8029</v>
      </c>
      <c r="BF860" s="2" t="str">
        <f>HYPERLINK("http://dx.doi.org/10.1080/10871209.2020.1678079","http://dx.doi.org/10.1080/10871209.2020.1678079")</f>
        <v>http://dx.doi.org/10.1080/10871209.2020.1678079</v>
      </c>
      <c r="BG860" s="1" t="s">
        <v>74</v>
      </c>
      <c r="BH860" s="1" t="s">
        <v>8030</v>
      </c>
      <c r="BI860" s="1" t="s">
        <v>74</v>
      </c>
      <c r="BJ860" s="1" t="s">
        <v>74</v>
      </c>
      <c r="BK860" s="1" t="s">
        <v>74</v>
      </c>
      <c r="BL860" s="1" t="s">
        <v>74</v>
      </c>
      <c r="BM860" s="1" t="s">
        <v>74</v>
      </c>
      <c r="BN860" s="1" t="s">
        <v>74</v>
      </c>
      <c r="BO860" s="1" t="s">
        <v>74</v>
      </c>
      <c r="BP860" s="1" t="s">
        <v>74</v>
      </c>
      <c r="BQ860" s="1" t="s">
        <v>74</v>
      </c>
      <c r="BR860" s="1" t="s">
        <v>74</v>
      </c>
      <c r="BS860" s="1" t="s">
        <v>8031</v>
      </c>
      <c r="BT860" s="1" t="str">
        <f>HYPERLINK("https%3A%2F%2Fwww.webofscience.com%2Fwos%2Fwoscc%2Ffull-record%2FWOS:000492205200001","View Full Record in Web of Science")</f>
        <v>View Full Record in Web of Science</v>
      </c>
    </row>
    <row r="861" ht="12.75" customHeight="1">
      <c r="A861" s="1" t="s">
        <v>72</v>
      </c>
      <c r="B861" s="1" t="s">
        <v>8032</v>
      </c>
      <c r="C861" s="1" t="s">
        <v>74</v>
      </c>
      <c r="D861" s="1" t="s">
        <v>74</v>
      </c>
      <c r="E861" s="1" t="s">
        <v>74</v>
      </c>
      <c r="F861" s="1" t="s">
        <v>8033</v>
      </c>
      <c r="G861" s="1" t="s">
        <v>74</v>
      </c>
      <c r="H861" s="1" t="s">
        <v>74</v>
      </c>
      <c r="I861" s="1" t="s">
        <v>8034</v>
      </c>
      <c r="J861" s="1" t="s">
        <v>8035</v>
      </c>
      <c r="K861" s="1" t="s">
        <v>74</v>
      </c>
      <c r="L861" s="1" t="s">
        <v>74</v>
      </c>
      <c r="M861" s="1" t="s">
        <v>74</v>
      </c>
      <c r="N861" s="1" t="s">
        <v>74</v>
      </c>
      <c r="O861" s="1" t="s">
        <v>74</v>
      </c>
      <c r="P861" s="1" t="s">
        <v>74</v>
      </c>
      <c r="Q861" s="1" t="s">
        <v>74</v>
      </c>
      <c r="R861" s="1" t="s">
        <v>74</v>
      </c>
      <c r="S861" s="1" t="s">
        <v>74</v>
      </c>
      <c r="T861" s="1" t="s">
        <v>74</v>
      </c>
      <c r="U861" s="1" t="s">
        <v>74</v>
      </c>
      <c r="V861" s="1" t="s">
        <v>8036</v>
      </c>
      <c r="W861" s="1" t="s">
        <v>74</v>
      </c>
      <c r="X861" s="1" t="s">
        <v>74</v>
      </c>
      <c r="Y861" s="1" t="s">
        <v>74</v>
      </c>
      <c r="Z861" s="1" t="s">
        <v>74</v>
      </c>
      <c r="AA861" s="1" t="s">
        <v>8037</v>
      </c>
      <c r="AB861" s="1" t="s">
        <v>8038</v>
      </c>
      <c r="AC861" s="1" t="s">
        <v>74</v>
      </c>
      <c r="AD861" s="1" t="s">
        <v>74</v>
      </c>
      <c r="AE861" s="1" t="s">
        <v>74</v>
      </c>
      <c r="AF861" s="1" t="s">
        <v>74</v>
      </c>
      <c r="AG861" s="1" t="s">
        <v>74</v>
      </c>
      <c r="AH861" s="1" t="s">
        <v>74</v>
      </c>
      <c r="AI861" s="1" t="s">
        <v>74</v>
      </c>
      <c r="AJ861" s="1" t="s">
        <v>74</v>
      </c>
      <c r="AK861" s="1" t="s">
        <v>74</v>
      </c>
      <c r="AL861" s="1" t="s">
        <v>74</v>
      </c>
      <c r="AM861" s="1" t="s">
        <v>74</v>
      </c>
      <c r="AN861" s="1" t="s">
        <v>74</v>
      </c>
      <c r="AO861" s="1" t="s">
        <v>8039</v>
      </c>
      <c r="AP861" s="1" t="s">
        <v>8040</v>
      </c>
      <c r="AQ861" s="1" t="s">
        <v>74</v>
      </c>
      <c r="AR861" s="1" t="s">
        <v>74</v>
      </c>
      <c r="AS861" s="1" t="s">
        <v>74</v>
      </c>
      <c r="AT861" s="1" t="s">
        <v>421</v>
      </c>
      <c r="AU861" s="1">
        <v>2018.0</v>
      </c>
      <c r="AV861" s="1">
        <v>25.0</v>
      </c>
      <c r="AW861" s="1">
        <v>5.0</v>
      </c>
      <c r="AX861" s="1" t="s">
        <v>74</v>
      </c>
      <c r="AY861" s="1" t="s">
        <v>74</v>
      </c>
      <c r="AZ861" s="1" t="s">
        <v>74</v>
      </c>
      <c r="BA861" s="1" t="s">
        <v>74</v>
      </c>
      <c r="BB861" s="1">
        <v>2901.0</v>
      </c>
      <c r="BC861" s="1">
        <v>2914.0</v>
      </c>
      <c r="BD861" s="1" t="s">
        <v>74</v>
      </c>
      <c r="BE861" s="1" t="s">
        <v>8041</v>
      </c>
      <c r="BF861" s="2" t="str">
        <f>HYPERLINK("http://dx.doi.org/10.1007/s10570-018-1766-7","http://dx.doi.org/10.1007/s10570-018-1766-7")</f>
        <v>http://dx.doi.org/10.1007/s10570-018-1766-7</v>
      </c>
      <c r="BG861" s="1" t="s">
        <v>74</v>
      </c>
      <c r="BH861" s="1" t="s">
        <v>74</v>
      </c>
      <c r="BI861" s="1" t="s">
        <v>74</v>
      </c>
      <c r="BJ861" s="1" t="s">
        <v>74</v>
      </c>
      <c r="BK861" s="1" t="s">
        <v>74</v>
      </c>
      <c r="BL861" s="1" t="s">
        <v>74</v>
      </c>
      <c r="BM861" s="1" t="s">
        <v>74</v>
      </c>
      <c r="BN861" s="1" t="s">
        <v>74</v>
      </c>
      <c r="BO861" s="1" t="s">
        <v>74</v>
      </c>
      <c r="BP861" s="1" t="s">
        <v>74</v>
      </c>
      <c r="BQ861" s="1" t="s">
        <v>74</v>
      </c>
      <c r="BR861" s="1" t="s">
        <v>74</v>
      </c>
      <c r="BS861" s="1" t="s">
        <v>8042</v>
      </c>
      <c r="BT861" s="1" t="str">
        <f>HYPERLINK("https%3A%2F%2Fwww.webofscience.com%2Fwos%2Fwoscc%2Ffull-record%2FWOS:000431788000011","View Full Record in Web of Science")</f>
        <v>View Full Record in Web of Science</v>
      </c>
    </row>
    <row r="862" ht="12.75" customHeight="1">
      <c r="A862" s="1" t="s">
        <v>72</v>
      </c>
      <c r="B862" s="1" t="s">
        <v>8043</v>
      </c>
      <c r="C862" s="1" t="s">
        <v>74</v>
      </c>
      <c r="D862" s="1" t="s">
        <v>74</v>
      </c>
      <c r="E862" s="1" t="s">
        <v>74</v>
      </c>
      <c r="F862" s="1" t="s">
        <v>8044</v>
      </c>
      <c r="G862" s="1" t="s">
        <v>74</v>
      </c>
      <c r="H862" s="1" t="s">
        <v>74</v>
      </c>
      <c r="I862" s="1" t="s">
        <v>8045</v>
      </c>
      <c r="J862" s="1" t="s">
        <v>8046</v>
      </c>
      <c r="K862" s="1" t="s">
        <v>74</v>
      </c>
      <c r="L862" s="1" t="s">
        <v>74</v>
      </c>
      <c r="M862" s="1" t="s">
        <v>74</v>
      </c>
      <c r="N862" s="1" t="s">
        <v>74</v>
      </c>
      <c r="O862" s="1" t="s">
        <v>74</v>
      </c>
      <c r="P862" s="1" t="s">
        <v>74</v>
      </c>
      <c r="Q862" s="1" t="s">
        <v>74</v>
      </c>
      <c r="R862" s="1" t="s">
        <v>74</v>
      </c>
      <c r="S862" s="1" t="s">
        <v>74</v>
      </c>
      <c r="T862" s="1" t="s">
        <v>74</v>
      </c>
      <c r="U862" s="1" t="s">
        <v>74</v>
      </c>
      <c r="V862" s="1" t="s">
        <v>8047</v>
      </c>
      <c r="W862" s="1" t="s">
        <v>74</v>
      </c>
      <c r="X862" s="1" t="s">
        <v>74</v>
      </c>
      <c r="Y862" s="1" t="s">
        <v>74</v>
      </c>
      <c r="Z862" s="1" t="s">
        <v>74</v>
      </c>
      <c r="AA862" s="1" t="s">
        <v>8048</v>
      </c>
      <c r="AB862" s="1" t="s">
        <v>8049</v>
      </c>
      <c r="AC862" s="1" t="s">
        <v>74</v>
      </c>
      <c r="AD862" s="1" t="s">
        <v>74</v>
      </c>
      <c r="AE862" s="1" t="s">
        <v>74</v>
      </c>
      <c r="AF862" s="1" t="s">
        <v>74</v>
      </c>
      <c r="AG862" s="1" t="s">
        <v>74</v>
      </c>
      <c r="AH862" s="1" t="s">
        <v>74</v>
      </c>
      <c r="AI862" s="1" t="s">
        <v>74</v>
      </c>
      <c r="AJ862" s="1" t="s">
        <v>74</v>
      </c>
      <c r="AK862" s="1" t="s">
        <v>74</v>
      </c>
      <c r="AL862" s="1" t="s">
        <v>74</v>
      </c>
      <c r="AM862" s="1" t="s">
        <v>74</v>
      </c>
      <c r="AN862" s="1" t="s">
        <v>74</v>
      </c>
      <c r="AO862" s="1" t="s">
        <v>8050</v>
      </c>
      <c r="AP862" s="1" t="s">
        <v>8051</v>
      </c>
      <c r="AQ862" s="1" t="s">
        <v>74</v>
      </c>
      <c r="AR862" s="1" t="s">
        <v>74</v>
      </c>
      <c r="AS862" s="1" t="s">
        <v>74</v>
      </c>
      <c r="AT862" s="1" t="s">
        <v>2105</v>
      </c>
      <c r="AU862" s="1">
        <v>2017.0</v>
      </c>
      <c r="AV862" s="1">
        <v>687.0</v>
      </c>
      <c r="AW862" s="1" t="s">
        <v>74</v>
      </c>
      <c r="AX862" s="1" t="s">
        <v>74</v>
      </c>
      <c r="AY862" s="1" t="s">
        <v>74</v>
      </c>
      <c r="AZ862" s="1" t="s">
        <v>74</v>
      </c>
      <c r="BA862" s="1" t="s">
        <v>74</v>
      </c>
      <c r="BB862" s="1">
        <v>73.0</v>
      </c>
      <c r="BC862" s="1">
        <v>84.0</v>
      </c>
      <c r="BD862" s="1" t="s">
        <v>74</v>
      </c>
      <c r="BE862" s="1" t="s">
        <v>8052</v>
      </c>
      <c r="BF862" s="2" t="str">
        <f>HYPERLINK("http://dx.doi.org/10.1016/j.cplett.2017.08.067","http://dx.doi.org/10.1016/j.cplett.2017.08.067")</f>
        <v>http://dx.doi.org/10.1016/j.cplett.2017.08.067</v>
      </c>
      <c r="BG862" s="1" t="s">
        <v>74</v>
      </c>
      <c r="BH862" s="1" t="s">
        <v>74</v>
      </c>
      <c r="BI862" s="1" t="s">
        <v>74</v>
      </c>
      <c r="BJ862" s="1" t="s">
        <v>74</v>
      </c>
      <c r="BK862" s="1" t="s">
        <v>74</v>
      </c>
      <c r="BL862" s="1" t="s">
        <v>74</v>
      </c>
      <c r="BM862" s="1" t="s">
        <v>74</v>
      </c>
      <c r="BN862" s="1" t="s">
        <v>74</v>
      </c>
      <c r="BO862" s="1" t="s">
        <v>74</v>
      </c>
      <c r="BP862" s="1" t="s">
        <v>74</v>
      </c>
      <c r="BQ862" s="1" t="s">
        <v>74</v>
      </c>
      <c r="BR862" s="1" t="s">
        <v>74</v>
      </c>
      <c r="BS862" s="1" t="s">
        <v>8053</v>
      </c>
      <c r="BT862" s="1" t="str">
        <f>HYPERLINK("https%3A%2F%2Fwww.webofscience.com%2Fwos%2Fwoscc%2Ffull-record%2FWOS:000412453700012","View Full Record in Web of Science")</f>
        <v>View Full Record in Web of Science</v>
      </c>
    </row>
    <row r="863" ht="12.75" customHeight="1">
      <c r="A863" s="1" t="s">
        <v>72</v>
      </c>
      <c r="B863" s="1" t="s">
        <v>8054</v>
      </c>
      <c r="C863" s="1" t="s">
        <v>74</v>
      </c>
      <c r="D863" s="1" t="s">
        <v>74</v>
      </c>
      <c r="E863" s="1" t="s">
        <v>74</v>
      </c>
      <c r="F863" s="1" t="s">
        <v>8055</v>
      </c>
      <c r="G863" s="1" t="s">
        <v>74</v>
      </c>
      <c r="H863" s="1" t="s">
        <v>74</v>
      </c>
      <c r="I863" s="1" t="s">
        <v>8056</v>
      </c>
      <c r="J863" s="1" t="s">
        <v>8057</v>
      </c>
      <c r="K863" s="1" t="s">
        <v>74</v>
      </c>
      <c r="L863" s="1" t="s">
        <v>74</v>
      </c>
      <c r="M863" s="1" t="s">
        <v>74</v>
      </c>
      <c r="N863" s="1" t="s">
        <v>74</v>
      </c>
      <c r="O863" s="1" t="s">
        <v>74</v>
      </c>
      <c r="P863" s="1" t="s">
        <v>74</v>
      </c>
      <c r="Q863" s="1" t="s">
        <v>74</v>
      </c>
      <c r="R863" s="1" t="s">
        <v>74</v>
      </c>
      <c r="S863" s="1" t="s">
        <v>74</v>
      </c>
      <c r="T863" s="1" t="s">
        <v>74</v>
      </c>
      <c r="U863" s="1" t="s">
        <v>74</v>
      </c>
      <c r="V863" s="1" t="s">
        <v>8058</v>
      </c>
      <c r="W863" s="1" t="s">
        <v>74</v>
      </c>
      <c r="X863" s="1" t="s">
        <v>74</v>
      </c>
      <c r="Y863" s="1" t="s">
        <v>74</v>
      </c>
      <c r="Z863" s="1" t="s">
        <v>74</v>
      </c>
      <c r="AA863" s="1" t="s">
        <v>74</v>
      </c>
      <c r="AB863" s="1" t="s">
        <v>8059</v>
      </c>
      <c r="AC863" s="1" t="s">
        <v>74</v>
      </c>
      <c r="AD863" s="1" t="s">
        <v>74</v>
      </c>
      <c r="AE863" s="1" t="s">
        <v>74</v>
      </c>
      <c r="AF863" s="1" t="s">
        <v>74</v>
      </c>
      <c r="AG863" s="1" t="s">
        <v>74</v>
      </c>
      <c r="AH863" s="1" t="s">
        <v>74</v>
      </c>
      <c r="AI863" s="1" t="s">
        <v>74</v>
      </c>
      <c r="AJ863" s="1" t="s">
        <v>74</v>
      </c>
      <c r="AK863" s="1" t="s">
        <v>74</v>
      </c>
      <c r="AL863" s="1" t="s">
        <v>74</v>
      </c>
      <c r="AM863" s="1" t="s">
        <v>74</v>
      </c>
      <c r="AN863" s="1" t="s">
        <v>74</v>
      </c>
      <c r="AO863" s="1" t="s">
        <v>8060</v>
      </c>
      <c r="AP863" s="1" t="s">
        <v>8061</v>
      </c>
      <c r="AQ863" s="1" t="s">
        <v>74</v>
      </c>
      <c r="AR863" s="1" t="s">
        <v>74</v>
      </c>
      <c r="AS863" s="1" t="s">
        <v>74</v>
      </c>
      <c r="AT863" s="1" t="s">
        <v>2781</v>
      </c>
      <c r="AU863" s="1">
        <v>2017.0</v>
      </c>
      <c r="AV863" s="1">
        <v>240.0</v>
      </c>
      <c r="AW863" s="1" t="s">
        <v>74</v>
      </c>
      <c r="AX863" s="1" t="s">
        <v>74</v>
      </c>
      <c r="AY863" s="1" t="s">
        <v>74</v>
      </c>
      <c r="AZ863" s="1" t="s">
        <v>74</v>
      </c>
      <c r="BA863" s="1" t="s">
        <v>74</v>
      </c>
      <c r="BB863" s="1">
        <v>121.0</v>
      </c>
      <c r="BC863" s="1">
        <v>129.0</v>
      </c>
      <c r="BD863" s="1" t="s">
        <v>74</v>
      </c>
      <c r="BE863" s="1" t="s">
        <v>8062</v>
      </c>
      <c r="BF863" s="2" t="str">
        <f>HYPERLINK("http://dx.doi.org/10.1016/j.virusres.2017.07.014","http://dx.doi.org/10.1016/j.virusres.2017.07.014")</f>
        <v>http://dx.doi.org/10.1016/j.virusres.2017.07.014</v>
      </c>
      <c r="BG863" s="1" t="s">
        <v>74</v>
      </c>
      <c r="BH863" s="1" t="s">
        <v>74</v>
      </c>
      <c r="BI863" s="1" t="s">
        <v>74</v>
      </c>
      <c r="BJ863" s="1" t="s">
        <v>74</v>
      </c>
      <c r="BK863" s="1" t="s">
        <v>74</v>
      </c>
      <c r="BL863" s="1" t="s">
        <v>74</v>
      </c>
      <c r="BM863" s="1" t="s">
        <v>74</v>
      </c>
      <c r="BN863" s="1">
        <v>2.8743463E7</v>
      </c>
      <c r="BO863" s="1" t="s">
        <v>74</v>
      </c>
      <c r="BP863" s="1" t="s">
        <v>74</v>
      </c>
      <c r="BQ863" s="1" t="s">
        <v>74</v>
      </c>
      <c r="BR863" s="1" t="s">
        <v>74</v>
      </c>
      <c r="BS863" s="1" t="s">
        <v>8063</v>
      </c>
      <c r="BT863" s="1" t="str">
        <f>HYPERLINK("https%3A%2F%2Fwww.webofscience.com%2Fwos%2Fwoscc%2Ffull-record%2FWOS:000413133000016","View Full Record in Web of Science")</f>
        <v>View Full Record in Web of Science</v>
      </c>
    </row>
    <row r="864" ht="12.75" customHeight="1">
      <c r="A864" s="1" t="s">
        <v>72</v>
      </c>
      <c r="B864" s="1" t="s">
        <v>8064</v>
      </c>
      <c r="C864" s="1" t="s">
        <v>74</v>
      </c>
      <c r="D864" s="1" t="s">
        <v>74</v>
      </c>
      <c r="E864" s="1" t="s">
        <v>74</v>
      </c>
      <c r="F864" s="1" t="s">
        <v>8065</v>
      </c>
      <c r="G864" s="1" t="s">
        <v>74</v>
      </c>
      <c r="H864" s="1" t="s">
        <v>74</v>
      </c>
      <c r="I864" s="1" t="s">
        <v>8066</v>
      </c>
      <c r="J864" s="1" t="s">
        <v>846</v>
      </c>
      <c r="K864" s="1" t="s">
        <v>74</v>
      </c>
      <c r="L864" s="1" t="s">
        <v>74</v>
      </c>
      <c r="M864" s="1" t="s">
        <v>74</v>
      </c>
      <c r="N864" s="1" t="s">
        <v>74</v>
      </c>
      <c r="O864" s="1" t="s">
        <v>74</v>
      </c>
      <c r="P864" s="1" t="s">
        <v>74</v>
      </c>
      <c r="Q864" s="1" t="s">
        <v>74</v>
      </c>
      <c r="R864" s="1" t="s">
        <v>74</v>
      </c>
      <c r="S864" s="1" t="s">
        <v>74</v>
      </c>
      <c r="T864" s="1" t="s">
        <v>74</v>
      </c>
      <c r="U864" s="1" t="s">
        <v>74</v>
      </c>
      <c r="V864" s="1" t="s">
        <v>8067</v>
      </c>
      <c r="W864" s="1" t="s">
        <v>74</v>
      </c>
      <c r="X864" s="1" t="s">
        <v>74</v>
      </c>
      <c r="Y864" s="1" t="s">
        <v>74</v>
      </c>
      <c r="Z864" s="1" t="s">
        <v>74</v>
      </c>
      <c r="AA864" s="1" t="s">
        <v>8068</v>
      </c>
      <c r="AB864" s="1" t="s">
        <v>8069</v>
      </c>
      <c r="AC864" s="1" t="s">
        <v>74</v>
      </c>
      <c r="AD864" s="1" t="s">
        <v>74</v>
      </c>
      <c r="AE864" s="1" t="s">
        <v>74</v>
      </c>
      <c r="AF864" s="1" t="s">
        <v>74</v>
      </c>
      <c r="AG864" s="1" t="s">
        <v>74</v>
      </c>
      <c r="AH864" s="1" t="s">
        <v>74</v>
      </c>
      <c r="AI864" s="1" t="s">
        <v>74</v>
      </c>
      <c r="AJ864" s="1" t="s">
        <v>74</v>
      </c>
      <c r="AK864" s="1" t="s">
        <v>74</v>
      </c>
      <c r="AL864" s="1" t="s">
        <v>74</v>
      </c>
      <c r="AM864" s="1" t="s">
        <v>74</v>
      </c>
      <c r="AN864" s="1" t="s">
        <v>74</v>
      </c>
      <c r="AO864" s="1" t="s">
        <v>850</v>
      </c>
      <c r="AP864" s="1" t="s">
        <v>74</v>
      </c>
      <c r="AQ864" s="1" t="s">
        <v>74</v>
      </c>
      <c r="AR864" s="1" t="s">
        <v>74</v>
      </c>
      <c r="AS864" s="1" t="s">
        <v>74</v>
      </c>
      <c r="AT864" s="1" t="s">
        <v>724</v>
      </c>
      <c r="AU864" s="1">
        <v>2016.0</v>
      </c>
      <c r="AV864" s="1">
        <v>11.0</v>
      </c>
      <c r="AW864" s="1">
        <v>9.0</v>
      </c>
      <c r="AX864" s="1" t="s">
        <v>74</v>
      </c>
      <c r="AY864" s="1" t="s">
        <v>74</v>
      </c>
      <c r="AZ864" s="1" t="s">
        <v>74</v>
      </c>
      <c r="BA864" s="1" t="s">
        <v>74</v>
      </c>
      <c r="BB864" s="1" t="s">
        <v>74</v>
      </c>
      <c r="BC864" s="1" t="s">
        <v>74</v>
      </c>
      <c r="BD864" s="1" t="s">
        <v>8070</v>
      </c>
      <c r="BE864" s="1" t="s">
        <v>8071</v>
      </c>
      <c r="BF864" s="2" t="str">
        <f>HYPERLINK("http://dx.doi.org/10.1371/journal.pone.0163735","http://dx.doi.org/10.1371/journal.pone.0163735")</f>
        <v>http://dx.doi.org/10.1371/journal.pone.0163735</v>
      </c>
      <c r="BG864" s="1" t="s">
        <v>74</v>
      </c>
      <c r="BH864" s="1" t="s">
        <v>74</v>
      </c>
      <c r="BI864" s="1" t="s">
        <v>74</v>
      </c>
      <c r="BJ864" s="1" t="s">
        <v>74</v>
      </c>
      <c r="BK864" s="1" t="s">
        <v>74</v>
      </c>
      <c r="BL864" s="1" t="s">
        <v>74</v>
      </c>
      <c r="BM864" s="1" t="s">
        <v>74</v>
      </c>
      <c r="BN864" s="1">
        <v>2.7662193E7</v>
      </c>
      <c r="BO864" s="1" t="s">
        <v>74</v>
      </c>
      <c r="BP864" s="1" t="s">
        <v>74</v>
      </c>
      <c r="BQ864" s="1" t="s">
        <v>74</v>
      </c>
      <c r="BR864" s="1" t="s">
        <v>74</v>
      </c>
      <c r="BS864" s="1" t="s">
        <v>8072</v>
      </c>
      <c r="BT864" s="1" t="str">
        <f>HYPERLINK("https%3A%2F%2Fwww.webofscience.com%2Fwos%2Fwoscc%2Ffull-record%2FWOS:000383893500064","View Full Record in Web of Science")</f>
        <v>View Full Record in Web of Science</v>
      </c>
    </row>
    <row r="865" ht="12.75" customHeight="1">
      <c r="A865" s="1" t="s">
        <v>72</v>
      </c>
      <c r="B865" s="1" t="s">
        <v>8073</v>
      </c>
      <c r="C865" s="1" t="s">
        <v>74</v>
      </c>
      <c r="D865" s="1" t="s">
        <v>74</v>
      </c>
      <c r="E865" s="1" t="s">
        <v>74</v>
      </c>
      <c r="F865" s="1" t="s">
        <v>8074</v>
      </c>
      <c r="G865" s="1" t="s">
        <v>74</v>
      </c>
      <c r="H865" s="1" t="s">
        <v>74</v>
      </c>
      <c r="I865" s="1" t="s">
        <v>8075</v>
      </c>
      <c r="J865" s="1" t="s">
        <v>8076</v>
      </c>
      <c r="K865" s="1" t="s">
        <v>74</v>
      </c>
      <c r="L865" s="1" t="s">
        <v>74</v>
      </c>
      <c r="M865" s="1" t="s">
        <v>74</v>
      </c>
      <c r="N865" s="1" t="s">
        <v>74</v>
      </c>
      <c r="O865" s="1" t="s">
        <v>74</v>
      </c>
      <c r="P865" s="1" t="s">
        <v>74</v>
      </c>
      <c r="Q865" s="1" t="s">
        <v>74</v>
      </c>
      <c r="R865" s="1" t="s">
        <v>74</v>
      </c>
      <c r="S865" s="1" t="s">
        <v>74</v>
      </c>
      <c r="T865" s="1" t="s">
        <v>74</v>
      </c>
      <c r="U865" s="1" t="s">
        <v>74</v>
      </c>
      <c r="V865" s="1" t="s">
        <v>8077</v>
      </c>
      <c r="W865" s="1" t="s">
        <v>74</v>
      </c>
      <c r="X865" s="1" t="s">
        <v>74</v>
      </c>
      <c r="Y865" s="1" t="s">
        <v>74</v>
      </c>
      <c r="Z865" s="1" t="s">
        <v>74</v>
      </c>
      <c r="AA865" s="1" t="s">
        <v>8078</v>
      </c>
      <c r="AB865" s="1" t="s">
        <v>8079</v>
      </c>
      <c r="AC865" s="1" t="s">
        <v>74</v>
      </c>
      <c r="AD865" s="1" t="s">
        <v>74</v>
      </c>
      <c r="AE865" s="1" t="s">
        <v>74</v>
      </c>
      <c r="AF865" s="1" t="s">
        <v>74</v>
      </c>
      <c r="AG865" s="1" t="s">
        <v>74</v>
      </c>
      <c r="AH865" s="1" t="s">
        <v>74</v>
      </c>
      <c r="AI865" s="1" t="s">
        <v>74</v>
      </c>
      <c r="AJ865" s="1" t="s">
        <v>74</v>
      </c>
      <c r="AK865" s="1" t="s">
        <v>74</v>
      </c>
      <c r="AL865" s="1" t="s">
        <v>74</v>
      </c>
      <c r="AM865" s="1" t="s">
        <v>74</v>
      </c>
      <c r="AN865" s="1" t="s">
        <v>74</v>
      </c>
      <c r="AO865" s="1" t="s">
        <v>8080</v>
      </c>
      <c r="AP865" s="1" t="s">
        <v>8081</v>
      </c>
      <c r="AQ865" s="1" t="s">
        <v>74</v>
      </c>
      <c r="AR865" s="1" t="s">
        <v>74</v>
      </c>
      <c r="AS865" s="1" t="s">
        <v>74</v>
      </c>
      <c r="AT865" s="1" t="s">
        <v>379</v>
      </c>
      <c r="AU865" s="1">
        <v>2016.0</v>
      </c>
      <c r="AV865" s="1">
        <v>71.0</v>
      </c>
      <c r="AW865" s="1" t="s">
        <v>74</v>
      </c>
      <c r="AX865" s="1" t="s">
        <v>74</v>
      </c>
      <c r="AY865" s="1" t="s">
        <v>74</v>
      </c>
      <c r="AZ865" s="1" t="s">
        <v>74</v>
      </c>
      <c r="BA865" s="1" t="s">
        <v>74</v>
      </c>
      <c r="BB865" s="1">
        <v>246.0</v>
      </c>
      <c r="BC865" s="1">
        <v>249.0</v>
      </c>
      <c r="BD865" s="1" t="s">
        <v>74</v>
      </c>
      <c r="BE865" s="1" t="s">
        <v>8082</v>
      </c>
      <c r="BF865" s="2" t="str">
        <f>HYPERLINK("http://dx.doi.org/10.1016/j.jcs.2016.09.006","http://dx.doi.org/10.1016/j.jcs.2016.09.006")</f>
        <v>http://dx.doi.org/10.1016/j.jcs.2016.09.006</v>
      </c>
      <c r="BG865" s="1" t="s">
        <v>74</v>
      </c>
      <c r="BH865" s="1" t="s">
        <v>74</v>
      </c>
      <c r="BI865" s="1" t="s">
        <v>74</v>
      </c>
      <c r="BJ865" s="1" t="s">
        <v>74</v>
      </c>
      <c r="BK865" s="1" t="s">
        <v>74</v>
      </c>
      <c r="BL865" s="1" t="s">
        <v>74</v>
      </c>
      <c r="BM865" s="1" t="s">
        <v>74</v>
      </c>
      <c r="BN865" s="1" t="s">
        <v>74</v>
      </c>
      <c r="BO865" s="1" t="s">
        <v>74</v>
      </c>
      <c r="BP865" s="1" t="s">
        <v>74</v>
      </c>
      <c r="BQ865" s="1" t="s">
        <v>74</v>
      </c>
      <c r="BR865" s="1" t="s">
        <v>74</v>
      </c>
      <c r="BS865" s="1" t="s">
        <v>8083</v>
      </c>
      <c r="BT865" s="1" t="str">
        <f>HYPERLINK("https%3A%2F%2Fwww.webofscience.com%2Fwos%2Fwoscc%2Ffull-record%2FWOS:000391898800034","View Full Record in Web of Science")</f>
        <v>View Full Record in Web of Science</v>
      </c>
    </row>
    <row r="866" ht="12.75" customHeight="1">
      <c r="A866" s="1" t="s">
        <v>72</v>
      </c>
      <c r="B866" s="1" t="s">
        <v>8084</v>
      </c>
      <c r="C866" s="1" t="s">
        <v>74</v>
      </c>
      <c r="D866" s="1" t="s">
        <v>74</v>
      </c>
      <c r="E866" s="1" t="s">
        <v>74</v>
      </c>
      <c r="F866" s="1" t="s">
        <v>8085</v>
      </c>
      <c r="G866" s="1" t="s">
        <v>74</v>
      </c>
      <c r="H866" s="1" t="s">
        <v>74</v>
      </c>
      <c r="I866" s="1" t="s">
        <v>8086</v>
      </c>
      <c r="J866" s="1" t="s">
        <v>8087</v>
      </c>
      <c r="K866" s="1" t="s">
        <v>74</v>
      </c>
      <c r="L866" s="1" t="s">
        <v>74</v>
      </c>
      <c r="M866" s="1" t="s">
        <v>74</v>
      </c>
      <c r="N866" s="1" t="s">
        <v>74</v>
      </c>
      <c r="O866" s="1" t="s">
        <v>74</v>
      </c>
      <c r="P866" s="1" t="s">
        <v>74</v>
      </c>
      <c r="Q866" s="1" t="s">
        <v>74</v>
      </c>
      <c r="R866" s="1" t="s">
        <v>74</v>
      </c>
      <c r="S866" s="1" t="s">
        <v>74</v>
      </c>
      <c r="T866" s="1" t="s">
        <v>74</v>
      </c>
      <c r="U866" s="1" t="s">
        <v>74</v>
      </c>
      <c r="V866" s="1" t="s">
        <v>8088</v>
      </c>
      <c r="W866" s="1" t="s">
        <v>74</v>
      </c>
      <c r="X866" s="1" t="s">
        <v>74</v>
      </c>
      <c r="Y866" s="1" t="s">
        <v>74</v>
      </c>
      <c r="Z866" s="1" t="s">
        <v>74</v>
      </c>
      <c r="AA866" s="1" t="s">
        <v>8089</v>
      </c>
      <c r="AB866" s="1" t="s">
        <v>6095</v>
      </c>
      <c r="AC866" s="1" t="s">
        <v>74</v>
      </c>
      <c r="AD866" s="1" t="s">
        <v>74</v>
      </c>
      <c r="AE866" s="1" t="s">
        <v>74</v>
      </c>
      <c r="AF866" s="1" t="s">
        <v>74</v>
      </c>
      <c r="AG866" s="1" t="s">
        <v>74</v>
      </c>
      <c r="AH866" s="1" t="s">
        <v>74</v>
      </c>
      <c r="AI866" s="1" t="s">
        <v>74</v>
      </c>
      <c r="AJ866" s="1" t="s">
        <v>74</v>
      </c>
      <c r="AK866" s="1" t="s">
        <v>74</v>
      </c>
      <c r="AL866" s="1" t="s">
        <v>74</v>
      </c>
      <c r="AM866" s="1" t="s">
        <v>74</v>
      </c>
      <c r="AN866" s="1" t="s">
        <v>74</v>
      </c>
      <c r="AO866" s="1" t="s">
        <v>8090</v>
      </c>
      <c r="AP866" s="1" t="s">
        <v>74</v>
      </c>
      <c r="AQ866" s="1" t="s">
        <v>74</v>
      </c>
      <c r="AR866" s="1" t="s">
        <v>74</v>
      </c>
      <c r="AS866" s="1" t="s">
        <v>74</v>
      </c>
      <c r="AT866" s="1" t="s">
        <v>74</v>
      </c>
      <c r="AU866" s="1">
        <v>2016.0</v>
      </c>
      <c r="AV866" s="1">
        <v>13.0</v>
      </c>
      <c r="AW866" s="1">
        <v>14.0</v>
      </c>
      <c r="AX866" s="1" t="s">
        <v>74</v>
      </c>
      <c r="AY866" s="1" t="s">
        <v>74</v>
      </c>
      <c r="AZ866" s="1" t="s">
        <v>74</v>
      </c>
      <c r="BA866" s="1" t="s">
        <v>74</v>
      </c>
      <c r="BB866" s="1">
        <v>2357.0</v>
      </c>
      <c r="BC866" s="1">
        <v>2378.0</v>
      </c>
      <c r="BD866" s="1" t="s">
        <v>74</v>
      </c>
      <c r="BE866" s="1" t="s">
        <v>8091</v>
      </c>
      <c r="BF866" s="2" t="str">
        <f>HYPERLINK("http://dx.doi.org/10.1590/1679-78252622","http://dx.doi.org/10.1590/1679-78252622")</f>
        <v>http://dx.doi.org/10.1590/1679-78252622</v>
      </c>
      <c r="BG866" s="1" t="s">
        <v>74</v>
      </c>
      <c r="BH866" s="1" t="s">
        <v>74</v>
      </c>
      <c r="BI866" s="1" t="s">
        <v>74</v>
      </c>
      <c r="BJ866" s="1" t="s">
        <v>74</v>
      </c>
      <c r="BK866" s="1" t="s">
        <v>74</v>
      </c>
      <c r="BL866" s="1" t="s">
        <v>74</v>
      </c>
      <c r="BM866" s="1" t="s">
        <v>74</v>
      </c>
      <c r="BN866" s="1" t="s">
        <v>74</v>
      </c>
      <c r="BO866" s="1" t="s">
        <v>74</v>
      </c>
      <c r="BP866" s="1" t="s">
        <v>74</v>
      </c>
      <c r="BQ866" s="1" t="s">
        <v>74</v>
      </c>
      <c r="BR866" s="1" t="s">
        <v>74</v>
      </c>
      <c r="BS866" s="1" t="s">
        <v>8092</v>
      </c>
      <c r="BT866" s="1" t="str">
        <f>HYPERLINK("https%3A%2F%2Fwww.webofscience.com%2Fwos%2Fwoscc%2Ffull-record%2FWOS:000387963500006","View Full Record in Web of Science")</f>
        <v>View Full Record in Web of Science</v>
      </c>
    </row>
    <row r="867" ht="12.75" customHeight="1">
      <c r="A867" s="1" t="s">
        <v>72</v>
      </c>
      <c r="B867" s="1" t="s">
        <v>8093</v>
      </c>
      <c r="C867" s="1" t="s">
        <v>74</v>
      </c>
      <c r="D867" s="1" t="s">
        <v>74</v>
      </c>
      <c r="E867" s="1" t="s">
        <v>74</v>
      </c>
      <c r="F867" s="1" t="s">
        <v>8094</v>
      </c>
      <c r="G867" s="1" t="s">
        <v>74</v>
      </c>
      <c r="H867" s="1" t="s">
        <v>74</v>
      </c>
      <c r="I867" s="1" t="s">
        <v>8095</v>
      </c>
      <c r="J867" s="1" t="s">
        <v>8096</v>
      </c>
      <c r="K867" s="1" t="s">
        <v>74</v>
      </c>
      <c r="L867" s="1" t="s">
        <v>74</v>
      </c>
      <c r="M867" s="1" t="s">
        <v>74</v>
      </c>
      <c r="N867" s="1" t="s">
        <v>74</v>
      </c>
      <c r="O867" s="1" t="s">
        <v>74</v>
      </c>
      <c r="P867" s="1" t="s">
        <v>74</v>
      </c>
      <c r="Q867" s="1" t="s">
        <v>74</v>
      </c>
      <c r="R867" s="1" t="s">
        <v>74</v>
      </c>
      <c r="S867" s="1" t="s">
        <v>74</v>
      </c>
      <c r="T867" s="1" t="s">
        <v>74</v>
      </c>
      <c r="U867" s="1" t="s">
        <v>74</v>
      </c>
      <c r="V867" s="1" t="s">
        <v>8097</v>
      </c>
      <c r="W867" s="1" t="s">
        <v>74</v>
      </c>
      <c r="X867" s="1" t="s">
        <v>74</v>
      </c>
      <c r="Y867" s="1" t="s">
        <v>74</v>
      </c>
      <c r="Z867" s="1" t="s">
        <v>74</v>
      </c>
      <c r="AA867" s="1" t="s">
        <v>74</v>
      </c>
      <c r="AB867" s="1" t="s">
        <v>8098</v>
      </c>
      <c r="AC867" s="1" t="s">
        <v>74</v>
      </c>
      <c r="AD867" s="1" t="s">
        <v>74</v>
      </c>
      <c r="AE867" s="1" t="s">
        <v>74</v>
      </c>
      <c r="AF867" s="1" t="s">
        <v>74</v>
      </c>
      <c r="AG867" s="1" t="s">
        <v>74</v>
      </c>
      <c r="AH867" s="1" t="s">
        <v>74</v>
      </c>
      <c r="AI867" s="1" t="s">
        <v>74</v>
      </c>
      <c r="AJ867" s="1" t="s">
        <v>74</v>
      </c>
      <c r="AK867" s="1" t="s">
        <v>74</v>
      </c>
      <c r="AL867" s="1" t="s">
        <v>74</v>
      </c>
      <c r="AM867" s="1" t="s">
        <v>74</v>
      </c>
      <c r="AN867" s="1" t="s">
        <v>74</v>
      </c>
      <c r="AO867" s="1" t="s">
        <v>8099</v>
      </c>
      <c r="AP867" s="1" t="s">
        <v>8100</v>
      </c>
      <c r="AQ867" s="1" t="s">
        <v>74</v>
      </c>
      <c r="AR867" s="1" t="s">
        <v>74</v>
      </c>
      <c r="AS867" s="1" t="s">
        <v>74</v>
      </c>
      <c r="AT867" s="1" t="s">
        <v>289</v>
      </c>
      <c r="AU867" s="1">
        <v>2015.0</v>
      </c>
      <c r="AV867" s="1">
        <v>9.0</v>
      </c>
      <c r="AW867" s="1">
        <v>2.0</v>
      </c>
      <c r="AX867" s="1" t="s">
        <v>74</v>
      </c>
      <c r="AY867" s="1" t="s">
        <v>74</v>
      </c>
      <c r="AZ867" s="1" t="s">
        <v>74</v>
      </c>
      <c r="BA867" s="1" t="s">
        <v>74</v>
      </c>
      <c r="BB867" s="1">
        <v>121.0</v>
      </c>
      <c r="BC867" s="1">
        <v>139.0</v>
      </c>
      <c r="BD867" s="1" t="s">
        <v>74</v>
      </c>
      <c r="BE867" s="1" t="s">
        <v>8101</v>
      </c>
      <c r="BF867" s="2" t="str">
        <f>HYPERLINK("http://dx.doi.org/10.1007/s12193-014-0173-0","http://dx.doi.org/10.1007/s12193-014-0173-0")</f>
        <v>http://dx.doi.org/10.1007/s12193-014-0173-0</v>
      </c>
      <c r="BG867" s="1" t="s">
        <v>74</v>
      </c>
      <c r="BH867" s="1" t="s">
        <v>74</v>
      </c>
      <c r="BI867" s="1" t="s">
        <v>74</v>
      </c>
      <c r="BJ867" s="1" t="s">
        <v>74</v>
      </c>
      <c r="BK867" s="1" t="s">
        <v>74</v>
      </c>
      <c r="BL867" s="1" t="s">
        <v>74</v>
      </c>
      <c r="BM867" s="1" t="s">
        <v>74</v>
      </c>
      <c r="BN867" s="1" t="s">
        <v>74</v>
      </c>
      <c r="BO867" s="1" t="s">
        <v>74</v>
      </c>
      <c r="BP867" s="1" t="s">
        <v>74</v>
      </c>
      <c r="BQ867" s="1" t="s">
        <v>74</v>
      </c>
      <c r="BR867" s="1" t="s">
        <v>74</v>
      </c>
      <c r="BS867" s="1" t="s">
        <v>8102</v>
      </c>
      <c r="BT867" s="1" t="str">
        <f>HYPERLINK("https%3A%2F%2Fwww.webofscience.com%2Fwos%2Fwoscc%2Ffull-record%2FWOS:000354258100003","View Full Record in Web of Science")</f>
        <v>View Full Record in Web of Science</v>
      </c>
    </row>
    <row r="868" ht="12.75" customHeight="1">
      <c r="A868" s="1" t="s">
        <v>72</v>
      </c>
      <c r="B868" s="1" t="s">
        <v>8103</v>
      </c>
      <c r="C868" s="1" t="s">
        <v>74</v>
      </c>
      <c r="D868" s="1" t="s">
        <v>74</v>
      </c>
      <c r="E868" s="1" t="s">
        <v>74</v>
      </c>
      <c r="F868" s="1" t="s">
        <v>8104</v>
      </c>
      <c r="G868" s="1" t="s">
        <v>74</v>
      </c>
      <c r="H868" s="1" t="s">
        <v>74</v>
      </c>
      <c r="I868" s="1" t="s">
        <v>8105</v>
      </c>
      <c r="J868" s="1" t="s">
        <v>3895</v>
      </c>
      <c r="K868" s="1" t="s">
        <v>74</v>
      </c>
      <c r="L868" s="1" t="s">
        <v>74</v>
      </c>
      <c r="M868" s="1" t="s">
        <v>74</v>
      </c>
      <c r="N868" s="1" t="s">
        <v>74</v>
      </c>
      <c r="O868" s="1" t="s">
        <v>74</v>
      </c>
      <c r="P868" s="1" t="s">
        <v>74</v>
      </c>
      <c r="Q868" s="1" t="s">
        <v>74</v>
      </c>
      <c r="R868" s="1" t="s">
        <v>74</v>
      </c>
      <c r="S868" s="1" t="s">
        <v>74</v>
      </c>
      <c r="T868" s="1" t="s">
        <v>74</v>
      </c>
      <c r="U868" s="1" t="s">
        <v>74</v>
      </c>
      <c r="V868" s="1" t="s">
        <v>8106</v>
      </c>
      <c r="W868" s="1" t="s">
        <v>74</v>
      </c>
      <c r="X868" s="1" t="s">
        <v>74</v>
      </c>
      <c r="Y868" s="1" t="s">
        <v>74</v>
      </c>
      <c r="Z868" s="1" t="s">
        <v>74</v>
      </c>
      <c r="AA868" s="1" t="s">
        <v>1445</v>
      </c>
      <c r="AB868" s="1" t="s">
        <v>8107</v>
      </c>
      <c r="AC868" s="1" t="s">
        <v>74</v>
      </c>
      <c r="AD868" s="1" t="s">
        <v>74</v>
      </c>
      <c r="AE868" s="1" t="s">
        <v>74</v>
      </c>
      <c r="AF868" s="1" t="s">
        <v>74</v>
      </c>
      <c r="AG868" s="1" t="s">
        <v>74</v>
      </c>
      <c r="AH868" s="1" t="s">
        <v>74</v>
      </c>
      <c r="AI868" s="1" t="s">
        <v>74</v>
      </c>
      <c r="AJ868" s="1" t="s">
        <v>74</v>
      </c>
      <c r="AK868" s="1" t="s">
        <v>74</v>
      </c>
      <c r="AL868" s="1" t="s">
        <v>74</v>
      </c>
      <c r="AM868" s="1" t="s">
        <v>74</v>
      </c>
      <c r="AN868" s="1" t="s">
        <v>74</v>
      </c>
      <c r="AO868" s="1" t="s">
        <v>3898</v>
      </c>
      <c r="AP868" s="1" t="s">
        <v>3899</v>
      </c>
      <c r="AQ868" s="1" t="s">
        <v>74</v>
      </c>
      <c r="AR868" s="1" t="s">
        <v>74</v>
      </c>
      <c r="AS868" s="1" t="s">
        <v>74</v>
      </c>
      <c r="AT868" s="1" t="s">
        <v>415</v>
      </c>
      <c r="AU868" s="1">
        <v>2014.0</v>
      </c>
      <c r="AV868" s="1">
        <v>158.0</v>
      </c>
      <c r="AW868" s="1" t="s">
        <v>74</v>
      </c>
      <c r="AX868" s="1" t="s">
        <v>74</v>
      </c>
      <c r="AY868" s="1" t="s">
        <v>74</v>
      </c>
      <c r="AZ868" s="1" t="s">
        <v>74</v>
      </c>
      <c r="BA868" s="1" t="s">
        <v>74</v>
      </c>
      <c r="BB868" s="1">
        <v>244.0</v>
      </c>
      <c r="BC868" s="1">
        <v>255.0</v>
      </c>
      <c r="BD868" s="1" t="s">
        <v>74</v>
      </c>
      <c r="BE868" s="1" t="s">
        <v>8108</v>
      </c>
      <c r="BF868" s="2" t="str">
        <f>HYPERLINK("http://dx.doi.org/10.1016/j.ijpe.2014.08.008","http://dx.doi.org/10.1016/j.ijpe.2014.08.008")</f>
        <v>http://dx.doi.org/10.1016/j.ijpe.2014.08.008</v>
      </c>
      <c r="BG868" s="1" t="s">
        <v>74</v>
      </c>
      <c r="BH868" s="1" t="s">
        <v>74</v>
      </c>
      <c r="BI868" s="1" t="s">
        <v>74</v>
      </c>
      <c r="BJ868" s="1" t="s">
        <v>74</v>
      </c>
      <c r="BK868" s="1" t="s">
        <v>74</v>
      </c>
      <c r="BL868" s="1" t="s">
        <v>74</v>
      </c>
      <c r="BM868" s="1" t="s">
        <v>74</v>
      </c>
      <c r="BN868" s="1" t="s">
        <v>74</v>
      </c>
      <c r="BO868" s="1" t="s">
        <v>74</v>
      </c>
      <c r="BP868" s="1" t="s">
        <v>74</v>
      </c>
      <c r="BQ868" s="1" t="s">
        <v>74</v>
      </c>
      <c r="BR868" s="1" t="s">
        <v>74</v>
      </c>
      <c r="BS868" s="1" t="s">
        <v>8109</v>
      </c>
      <c r="BT868" s="1" t="str">
        <f>HYPERLINK("https%3A%2F%2Fwww.webofscience.com%2Fwos%2Fwoscc%2Ffull-record%2FWOS:000345729500023","View Full Record in Web of Science")</f>
        <v>View Full Record in Web of Science</v>
      </c>
    </row>
    <row r="869" ht="12.75" customHeight="1">
      <c r="A869" s="1" t="s">
        <v>72</v>
      </c>
      <c r="B869" s="1" t="s">
        <v>8110</v>
      </c>
      <c r="C869" s="1" t="s">
        <v>74</v>
      </c>
      <c r="D869" s="1" t="s">
        <v>74</v>
      </c>
      <c r="E869" s="1" t="s">
        <v>74</v>
      </c>
      <c r="F869" s="1" t="s">
        <v>8111</v>
      </c>
      <c r="G869" s="1" t="s">
        <v>74</v>
      </c>
      <c r="H869" s="1" t="s">
        <v>74</v>
      </c>
      <c r="I869" s="1" t="s">
        <v>8112</v>
      </c>
      <c r="J869" s="1" t="s">
        <v>8113</v>
      </c>
      <c r="K869" s="1" t="s">
        <v>74</v>
      </c>
      <c r="L869" s="1" t="s">
        <v>74</v>
      </c>
      <c r="M869" s="1" t="s">
        <v>74</v>
      </c>
      <c r="N869" s="1" t="s">
        <v>74</v>
      </c>
      <c r="O869" s="1" t="s">
        <v>74</v>
      </c>
      <c r="P869" s="1" t="s">
        <v>74</v>
      </c>
      <c r="Q869" s="1" t="s">
        <v>74</v>
      </c>
      <c r="R869" s="1" t="s">
        <v>74</v>
      </c>
      <c r="S869" s="1" t="s">
        <v>74</v>
      </c>
      <c r="T869" s="1" t="s">
        <v>74</v>
      </c>
      <c r="U869" s="1" t="s">
        <v>74</v>
      </c>
      <c r="V869" s="1" t="s">
        <v>8114</v>
      </c>
      <c r="W869" s="1" t="s">
        <v>74</v>
      </c>
      <c r="X869" s="1" t="s">
        <v>74</v>
      </c>
      <c r="Y869" s="1" t="s">
        <v>74</v>
      </c>
      <c r="Z869" s="1" t="s">
        <v>74</v>
      </c>
      <c r="AA869" s="1" t="s">
        <v>8115</v>
      </c>
      <c r="AB869" s="1" t="s">
        <v>8116</v>
      </c>
      <c r="AC869" s="1" t="s">
        <v>74</v>
      </c>
      <c r="AD869" s="1" t="s">
        <v>74</v>
      </c>
      <c r="AE869" s="1" t="s">
        <v>74</v>
      </c>
      <c r="AF869" s="1" t="s">
        <v>74</v>
      </c>
      <c r="AG869" s="1" t="s">
        <v>74</v>
      </c>
      <c r="AH869" s="1" t="s">
        <v>74</v>
      </c>
      <c r="AI869" s="1" t="s">
        <v>74</v>
      </c>
      <c r="AJ869" s="1" t="s">
        <v>74</v>
      </c>
      <c r="AK869" s="1" t="s">
        <v>74</v>
      </c>
      <c r="AL869" s="1" t="s">
        <v>74</v>
      </c>
      <c r="AM869" s="1" t="s">
        <v>74</v>
      </c>
      <c r="AN869" s="1" t="s">
        <v>74</v>
      </c>
      <c r="AO869" s="1" t="s">
        <v>8117</v>
      </c>
      <c r="AP869" s="1" t="s">
        <v>8118</v>
      </c>
      <c r="AQ869" s="1" t="s">
        <v>74</v>
      </c>
      <c r="AR869" s="1" t="s">
        <v>74</v>
      </c>
      <c r="AS869" s="1" t="s">
        <v>74</v>
      </c>
      <c r="AT869" s="1" t="s">
        <v>609</v>
      </c>
      <c r="AU869" s="1">
        <v>2014.0</v>
      </c>
      <c r="AV869" s="1">
        <v>171.0</v>
      </c>
      <c r="AW869" s="1">
        <v>10.0</v>
      </c>
      <c r="AX869" s="1" t="s">
        <v>74</v>
      </c>
      <c r="AY869" s="1" t="s">
        <v>74</v>
      </c>
      <c r="AZ869" s="1" t="s">
        <v>74</v>
      </c>
      <c r="BA869" s="1" t="s">
        <v>74</v>
      </c>
      <c r="BB869" s="1">
        <v>799.0</v>
      </c>
      <c r="BC869" s="1">
        <v>806.0</v>
      </c>
      <c r="BD869" s="1" t="s">
        <v>74</v>
      </c>
      <c r="BE869" s="1" t="s">
        <v>8119</v>
      </c>
      <c r="BF869" s="2" t="str">
        <f>HYPERLINK("http://dx.doi.org/10.1016/j.jplph.2014.02.005","http://dx.doi.org/10.1016/j.jplph.2014.02.005")</f>
        <v>http://dx.doi.org/10.1016/j.jplph.2014.02.005</v>
      </c>
      <c r="BG869" s="1" t="s">
        <v>74</v>
      </c>
      <c r="BH869" s="1" t="s">
        <v>74</v>
      </c>
      <c r="BI869" s="1" t="s">
        <v>74</v>
      </c>
      <c r="BJ869" s="1" t="s">
        <v>74</v>
      </c>
      <c r="BK869" s="1" t="s">
        <v>74</v>
      </c>
      <c r="BL869" s="1" t="s">
        <v>74</v>
      </c>
      <c r="BM869" s="1" t="s">
        <v>74</v>
      </c>
      <c r="BN869" s="1">
        <v>2.4877671E7</v>
      </c>
      <c r="BO869" s="1" t="s">
        <v>74</v>
      </c>
      <c r="BP869" s="1" t="s">
        <v>74</v>
      </c>
      <c r="BQ869" s="1" t="s">
        <v>74</v>
      </c>
      <c r="BR869" s="1" t="s">
        <v>74</v>
      </c>
      <c r="BS869" s="1" t="s">
        <v>8120</v>
      </c>
      <c r="BT869" s="1" t="str">
        <f>HYPERLINK("https%3A%2F%2Fwww.webofscience.com%2Fwos%2Fwoscc%2Ffull-record%2FWOS:000345628400003","View Full Record in Web of Science")</f>
        <v>View Full Record in Web of Science</v>
      </c>
    </row>
    <row r="870" ht="12.75" customHeight="1">
      <c r="A870" s="1" t="s">
        <v>72</v>
      </c>
      <c r="B870" s="1" t="s">
        <v>8121</v>
      </c>
      <c r="C870" s="1" t="s">
        <v>74</v>
      </c>
      <c r="D870" s="1" t="s">
        <v>74</v>
      </c>
      <c r="E870" s="1" t="s">
        <v>74</v>
      </c>
      <c r="F870" s="1" t="s">
        <v>8122</v>
      </c>
      <c r="G870" s="1" t="s">
        <v>74</v>
      </c>
      <c r="H870" s="1" t="s">
        <v>74</v>
      </c>
      <c r="I870" s="1" t="s">
        <v>8123</v>
      </c>
      <c r="J870" s="1" t="s">
        <v>8124</v>
      </c>
      <c r="K870" s="1" t="s">
        <v>74</v>
      </c>
      <c r="L870" s="1" t="s">
        <v>74</v>
      </c>
      <c r="M870" s="1" t="s">
        <v>74</v>
      </c>
      <c r="N870" s="1" t="s">
        <v>74</v>
      </c>
      <c r="O870" s="1" t="s">
        <v>74</v>
      </c>
      <c r="P870" s="1" t="s">
        <v>74</v>
      </c>
      <c r="Q870" s="1" t="s">
        <v>74</v>
      </c>
      <c r="R870" s="1" t="s">
        <v>74</v>
      </c>
      <c r="S870" s="1" t="s">
        <v>74</v>
      </c>
      <c r="T870" s="1" t="s">
        <v>74</v>
      </c>
      <c r="U870" s="1" t="s">
        <v>74</v>
      </c>
      <c r="V870" s="1" t="s">
        <v>8125</v>
      </c>
      <c r="W870" s="1" t="s">
        <v>74</v>
      </c>
      <c r="X870" s="1" t="s">
        <v>74</v>
      </c>
      <c r="Y870" s="1" t="s">
        <v>74</v>
      </c>
      <c r="Z870" s="1" t="s">
        <v>74</v>
      </c>
      <c r="AA870" s="1" t="s">
        <v>74</v>
      </c>
      <c r="AB870" s="1" t="s">
        <v>74</v>
      </c>
      <c r="AC870" s="1" t="s">
        <v>74</v>
      </c>
      <c r="AD870" s="1" t="s">
        <v>74</v>
      </c>
      <c r="AE870" s="1" t="s">
        <v>74</v>
      </c>
      <c r="AF870" s="1" t="s">
        <v>74</v>
      </c>
      <c r="AG870" s="1" t="s">
        <v>74</v>
      </c>
      <c r="AH870" s="1" t="s">
        <v>74</v>
      </c>
      <c r="AI870" s="1" t="s">
        <v>74</v>
      </c>
      <c r="AJ870" s="1" t="s">
        <v>74</v>
      </c>
      <c r="AK870" s="1" t="s">
        <v>74</v>
      </c>
      <c r="AL870" s="1" t="s">
        <v>74</v>
      </c>
      <c r="AM870" s="1" t="s">
        <v>74</v>
      </c>
      <c r="AN870" s="1" t="s">
        <v>74</v>
      </c>
      <c r="AO870" s="1" t="s">
        <v>8126</v>
      </c>
      <c r="AP870" s="1" t="s">
        <v>8127</v>
      </c>
      <c r="AQ870" s="1" t="s">
        <v>74</v>
      </c>
      <c r="AR870" s="1" t="s">
        <v>74</v>
      </c>
      <c r="AS870" s="1" t="s">
        <v>74</v>
      </c>
      <c r="AT870" s="1" t="s">
        <v>7443</v>
      </c>
      <c r="AU870" s="1">
        <v>2014.0</v>
      </c>
      <c r="AV870" s="1">
        <v>50.0</v>
      </c>
      <c r="AW870" s="1">
        <v>9.0</v>
      </c>
      <c r="AX870" s="1" t="s">
        <v>74</v>
      </c>
      <c r="AY870" s="1" t="s">
        <v>74</v>
      </c>
      <c r="AZ870" s="1" t="s">
        <v>74</v>
      </c>
      <c r="BA870" s="1" t="s">
        <v>74</v>
      </c>
      <c r="BB870" s="1">
        <v>710.0</v>
      </c>
      <c r="BC870" s="1">
        <v>711.0</v>
      </c>
      <c r="BD870" s="1" t="s">
        <v>74</v>
      </c>
      <c r="BE870" s="1" t="s">
        <v>8128</v>
      </c>
      <c r="BF870" s="2" t="str">
        <f>HYPERLINK("http://dx.doi.org/10.1049/el.2014.0098","http://dx.doi.org/10.1049/el.2014.0098")</f>
        <v>http://dx.doi.org/10.1049/el.2014.0098</v>
      </c>
      <c r="BG870" s="1" t="s">
        <v>74</v>
      </c>
      <c r="BH870" s="1" t="s">
        <v>74</v>
      </c>
      <c r="BI870" s="1" t="s">
        <v>74</v>
      </c>
      <c r="BJ870" s="1" t="s">
        <v>74</v>
      </c>
      <c r="BK870" s="1" t="s">
        <v>74</v>
      </c>
      <c r="BL870" s="1" t="s">
        <v>74</v>
      </c>
      <c r="BM870" s="1" t="s">
        <v>74</v>
      </c>
      <c r="BN870" s="1" t="s">
        <v>74</v>
      </c>
      <c r="BO870" s="1" t="s">
        <v>74</v>
      </c>
      <c r="BP870" s="1" t="s">
        <v>74</v>
      </c>
      <c r="BQ870" s="1" t="s">
        <v>74</v>
      </c>
      <c r="BR870" s="1" t="s">
        <v>74</v>
      </c>
      <c r="BS870" s="1" t="s">
        <v>8129</v>
      </c>
      <c r="BT870" s="1" t="str">
        <f>HYPERLINK("https%3A%2F%2Fwww.webofscience.com%2Fwos%2Fwoscc%2Ffull-record%2FWOS:000335565800038","View Full Record in Web of Science")</f>
        <v>View Full Record in Web of Science</v>
      </c>
    </row>
    <row r="871" ht="12.75" customHeight="1">
      <c r="A871" s="1" t="s">
        <v>72</v>
      </c>
      <c r="B871" s="1" t="s">
        <v>8130</v>
      </c>
      <c r="C871" s="1" t="s">
        <v>74</v>
      </c>
      <c r="D871" s="1" t="s">
        <v>74</v>
      </c>
      <c r="E871" s="1" t="s">
        <v>74</v>
      </c>
      <c r="F871" s="1" t="s">
        <v>8131</v>
      </c>
      <c r="G871" s="1" t="s">
        <v>74</v>
      </c>
      <c r="H871" s="1" t="s">
        <v>74</v>
      </c>
      <c r="I871" s="1" t="s">
        <v>8132</v>
      </c>
      <c r="J871" s="1" t="s">
        <v>8133</v>
      </c>
      <c r="K871" s="1" t="s">
        <v>74</v>
      </c>
      <c r="L871" s="1" t="s">
        <v>74</v>
      </c>
      <c r="M871" s="1" t="s">
        <v>74</v>
      </c>
      <c r="N871" s="1" t="s">
        <v>74</v>
      </c>
      <c r="O871" s="1" t="s">
        <v>74</v>
      </c>
      <c r="P871" s="1" t="s">
        <v>74</v>
      </c>
      <c r="Q871" s="1" t="s">
        <v>74</v>
      </c>
      <c r="R871" s="1" t="s">
        <v>74</v>
      </c>
      <c r="S871" s="1" t="s">
        <v>74</v>
      </c>
      <c r="T871" s="1" t="s">
        <v>74</v>
      </c>
      <c r="U871" s="1" t="s">
        <v>74</v>
      </c>
      <c r="V871" s="1" t="s">
        <v>8134</v>
      </c>
      <c r="W871" s="1" t="s">
        <v>74</v>
      </c>
      <c r="X871" s="1" t="s">
        <v>74</v>
      </c>
      <c r="Y871" s="1" t="s">
        <v>74</v>
      </c>
      <c r="Z871" s="1" t="s">
        <v>74</v>
      </c>
      <c r="AA871" s="1" t="s">
        <v>8135</v>
      </c>
      <c r="AB871" s="1" t="s">
        <v>8136</v>
      </c>
      <c r="AC871" s="1" t="s">
        <v>74</v>
      </c>
      <c r="AD871" s="1" t="s">
        <v>74</v>
      </c>
      <c r="AE871" s="1" t="s">
        <v>74</v>
      </c>
      <c r="AF871" s="1" t="s">
        <v>74</v>
      </c>
      <c r="AG871" s="1" t="s">
        <v>74</v>
      </c>
      <c r="AH871" s="1" t="s">
        <v>74</v>
      </c>
      <c r="AI871" s="1" t="s">
        <v>74</v>
      </c>
      <c r="AJ871" s="1" t="s">
        <v>74</v>
      </c>
      <c r="AK871" s="1" t="s">
        <v>74</v>
      </c>
      <c r="AL871" s="1" t="s">
        <v>74</v>
      </c>
      <c r="AM871" s="1" t="s">
        <v>74</v>
      </c>
      <c r="AN871" s="1" t="s">
        <v>74</v>
      </c>
      <c r="AO871" s="1" t="s">
        <v>8137</v>
      </c>
      <c r="AP871" s="1" t="s">
        <v>8138</v>
      </c>
      <c r="AQ871" s="1" t="s">
        <v>74</v>
      </c>
      <c r="AR871" s="1" t="s">
        <v>74</v>
      </c>
      <c r="AS871" s="1" t="s">
        <v>74</v>
      </c>
      <c r="AT871" s="1" t="s">
        <v>363</v>
      </c>
      <c r="AU871" s="1">
        <v>2012.0</v>
      </c>
      <c r="AV871" s="1">
        <v>81.0</v>
      </c>
      <c r="AW871" s="1">
        <v>5.0</v>
      </c>
      <c r="AX871" s="1" t="s">
        <v>74</v>
      </c>
      <c r="AY871" s="1" t="s">
        <v>74</v>
      </c>
      <c r="AZ871" s="1" t="s">
        <v>74</v>
      </c>
      <c r="BA871" s="1" t="s">
        <v>74</v>
      </c>
      <c r="BB871" s="1">
        <v>1763.0</v>
      </c>
      <c r="BC871" s="1">
        <v>1772.0</v>
      </c>
      <c r="BD871" s="1" t="s">
        <v>74</v>
      </c>
      <c r="BE871" s="1" t="s">
        <v>8139</v>
      </c>
      <c r="BF871" s="2" t="str">
        <f>HYPERLINK("http://dx.doi.org/10.1111/j.1095-8649.2012.03440.x","http://dx.doi.org/10.1111/j.1095-8649.2012.03440.x")</f>
        <v>http://dx.doi.org/10.1111/j.1095-8649.2012.03440.x</v>
      </c>
      <c r="BG871" s="1" t="s">
        <v>74</v>
      </c>
      <c r="BH871" s="1" t="s">
        <v>74</v>
      </c>
      <c r="BI871" s="1" t="s">
        <v>74</v>
      </c>
      <c r="BJ871" s="1" t="s">
        <v>74</v>
      </c>
      <c r="BK871" s="1" t="s">
        <v>74</v>
      </c>
      <c r="BL871" s="1" t="s">
        <v>74</v>
      </c>
      <c r="BM871" s="1" t="s">
        <v>74</v>
      </c>
      <c r="BN871" s="1">
        <v>2.3020574E7</v>
      </c>
      <c r="BO871" s="1" t="s">
        <v>74</v>
      </c>
      <c r="BP871" s="1" t="s">
        <v>74</v>
      </c>
      <c r="BQ871" s="1" t="s">
        <v>74</v>
      </c>
      <c r="BR871" s="1" t="s">
        <v>74</v>
      </c>
      <c r="BS871" s="1" t="s">
        <v>8140</v>
      </c>
      <c r="BT871" s="1" t="str">
        <f>HYPERLINK("https%3A%2F%2Fwww.webofscience.com%2Fwos%2Fwoscc%2Ffull-record%2FWOS:000309452800020","View Full Record in Web of Science")</f>
        <v>View Full Record in Web of Science</v>
      </c>
    </row>
    <row r="872" ht="12.75" customHeight="1">
      <c r="A872" s="1" t="s">
        <v>72</v>
      </c>
      <c r="B872" s="1" t="s">
        <v>8141</v>
      </c>
      <c r="C872" s="1" t="s">
        <v>74</v>
      </c>
      <c r="D872" s="1" t="s">
        <v>74</v>
      </c>
      <c r="E872" s="1" t="s">
        <v>74</v>
      </c>
      <c r="F872" s="1" t="s">
        <v>8142</v>
      </c>
      <c r="G872" s="1" t="s">
        <v>74</v>
      </c>
      <c r="H872" s="1" t="s">
        <v>74</v>
      </c>
      <c r="I872" s="1" t="s">
        <v>8143</v>
      </c>
      <c r="J872" s="1" t="s">
        <v>7449</v>
      </c>
      <c r="K872" s="1" t="s">
        <v>74</v>
      </c>
      <c r="L872" s="1" t="s">
        <v>74</v>
      </c>
      <c r="M872" s="1" t="s">
        <v>74</v>
      </c>
      <c r="N872" s="1" t="s">
        <v>74</v>
      </c>
      <c r="O872" s="1" t="s">
        <v>74</v>
      </c>
      <c r="P872" s="1" t="s">
        <v>74</v>
      </c>
      <c r="Q872" s="1" t="s">
        <v>74</v>
      </c>
      <c r="R872" s="1" t="s">
        <v>74</v>
      </c>
      <c r="S872" s="1" t="s">
        <v>74</v>
      </c>
      <c r="T872" s="1" t="s">
        <v>74</v>
      </c>
      <c r="U872" s="1" t="s">
        <v>74</v>
      </c>
      <c r="V872" s="1" t="s">
        <v>8144</v>
      </c>
      <c r="W872" s="1" t="s">
        <v>74</v>
      </c>
      <c r="X872" s="1" t="s">
        <v>74</v>
      </c>
      <c r="Y872" s="1" t="s">
        <v>74</v>
      </c>
      <c r="Z872" s="1" t="s">
        <v>74</v>
      </c>
      <c r="AA872" s="1" t="s">
        <v>8145</v>
      </c>
      <c r="AB872" s="1" t="s">
        <v>8146</v>
      </c>
      <c r="AC872" s="1" t="s">
        <v>74</v>
      </c>
      <c r="AD872" s="1" t="s">
        <v>74</v>
      </c>
      <c r="AE872" s="1" t="s">
        <v>74</v>
      </c>
      <c r="AF872" s="1" t="s">
        <v>74</v>
      </c>
      <c r="AG872" s="1" t="s">
        <v>74</v>
      </c>
      <c r="AH872" s="1" t="s">
        <v>74</v>
      </c>
      <c r="AI872" s="1" t="s">
        <v>74</v>
      </c>
      <c r="AJ872" s="1" t="s">
        <v>74</v>
      </c>
      <c r="AK872" s="1" t="s">
        <v>74</v>
      </c>
      <c r="AL872" s="1" t="s">
        <v>74</v>
      </c>
      <c r="AM872" s="1" t="s">
        <v>74</v>
      </c>
      <c r="AN872" s="1" t="s">
        <v>74</v>
      </c>
      <c r="AO872" s="1" t="s">
        <v>7453</v>
      </c>
      <c r="AP872" s="1" t="s">
        <v>7454</v>
      </c>
      <c r="AQ872" s="1" t="s">
        <v>74</v>
      </c>
      <c r="AR872" s="1" t="s">
        <v>74</v>
      </c>
      <c r="AS872" s="1" t="s">
        <v>74</v>
      </c>
      <c r="AT872" s="1" t="s">
        <v>122</v>
      </c>
      <c r="AU872" s="1">
        <v>2012.0</v>
      </c>
      <c r="AV872" s="1">
        <v>324.0</v>
      </c>
      <c r="AW872" s="1">
        <v>15.0</v>
      </c>
      <c r="AX872" s="1" t="s">
        <v>74</v>
      </c>
      <c r="AY872" s="1" t="s">
        <v>74</v>
      </c>
      <c r="AZ872" s="1" t="s">
        <v>74</v>
      </c>
      <c r="BA872" s="1" t="s">
        <v>74</v>
      </c>
      <c r="BB872" s="1">
        <v>2360.0</v>
      </c>
      <c r="BC872" s="1">
        <v>2362.0</v>
      </c>
      <c r="BD872" s="1" t="s">
        <v>74</v>
      </c>
      <c r="BE872" s="1" t="s">
        <v>8147</v>
      </c>
      <c r="BF872" s="2" t="str">
        <f>HYPERLINK("http://dx.doi.org/10.1016/j.jmmm.2012.02.125","http://dx.doi.org/10.1016/j.jmmm.2012.02.125")</f>
        <v>http://dx.doi.org/10.1016/j.jmmm.2012.02.125</v>
      </c>
      <c r="BG872" s="1" t="s">
        <v>74</v>
      </c>
      <c r="BH872" s="1" t="s">
        <v>74</v>
      </c>
      <c r="BI872" s="1" t="s">
        <v>74</v>
      </c>
      <c r="BJ872" s="1" t="s">
        <v>74</v>
      </c>
      <c r="BK872" s="1" t="s">
        <v>74</v>
      </c>
      <c r="BL872" s="1" t="s">
        <v>74</v>
      </c>
      <c r="BM872" s="1" t="s">
        <v>74</v>
      </c>
      <c r="BN872" s="1" t="s">
        <v>74</v>
      </c>
      <c r="BO872" s="1" t="s">
        <v>74</v>
      </c>
      <c r="BP872" s="1" t="s">
        <v>74</v>
      </c>
      <c r="BQ872" s="1" t="s">
        <v>74</v>
      </c>
      <c r="BR872" s="1" t="s">
        <v>74</v>
      </c>
      <c r="BS872" s="1" t="s">
        <v>8148</v>
      </c>
      <c r="BT872" s="1" t="str">
        <f>HYPERLINK("https%3A%2F%2Fwww.webofscience.com%2Fwos%2Fwoscc%2Ffull-record%2FWOS:000302784700006","View Full Record in Web of Science")</f>
        <v>View Full Record in Web of Science</v>
      </c>
    </row>
    <row r="873" ht="12.75" customHeight="1">
      <c r="A873" s="1" t="s">
        <v>72</v>
      </c>
      <c r="B873" s="1" t="s">
        <v>8149</v>
      </c>
      <c r="C873" s="1" t="s">
        <v>74</v>
      </c>
      <c r="D873" s="1" t="s">
        <v>74</v>
      </c>
      <c r="E873" s="1" t="s">
        <v>74</v>
      </c>
      <c r="F873" s="1" t="s">
        <v>8150</v>
      </c>
      <c r="G873" s="1" t="s">
        <v>74</v>
      </c>
      <c r="H873" s="1" t="s">
        <v>74</v>
      </c>
      <c r="I873" s="1" t="s">
        <v>8151</v>
      </c>
      <c r="J873" s="1" t="s">
        <v>6015</v>
      </c>
      <c r="K873" s="1" t="s">
        <v>74</v>
      </c>
      <c r="L873" s="1" t="s">
        <v>74</v>
      </c>
      <c r="M873" s="1" t="s">
        <v>74</v>
      </c>
      <c r="N873" s="1" t="s">
        <v>74</v>
      </c>
      <c r="O873" s="1" t="s">
        <v>74</v>
      </c>
      <c r="P873" s="1" t="s">
        <v>74</v>
      </c>
      <c r="Q873" s="1" t="s">
        <v>74</v>
      </c>
      <c r="R873" s="1" t="s">
        <v>74</v>
      </c>
      <c r="S873" s="1" t="s">
        <v>74</v>
      </c>
      <c r="T873" s="1" t="s">
        <v>74</v>
      </c>
      <c r="U873" s="1" t="s">
        <v>74</v>
      </c>
      <c r="V873" s="1" t="s">
        <v>8152</v>
      </c>
      <c r="W873" s="1" t="s">
        <v>74</v>
      </c>
      <c r="X873" s="1" t="s">
        <v>74</v>
      </c>
      <c r="Y873" s="1" t="s">
        <v>74</v>
      </c>
      <c r="Z873" s="1" t="s">
        <v>74</v>
      </c>
      <c r="AA873" s="1" t="s">
        <v>8153</v>
      </c>
      <c r="AB873" s="1" t="s">
        <v>74</v>
      </c>
      <c r="AC873" s="1" t="s">
        <v>74</v>
      </c>
      <c r="AD873" s="1" t="s">
        <v>74</v>
      </c>
      <c r="AE873" s="1" t="s">
        <v>74</v>
      </c>
      <c r="AF873" s="1" t="s">
        <v>74</v>
      </c>
      <c r="AG873" s="1" t="s">
        <v>74</v>
      </c>
      <c r="AH873" s="1" t="s">
        <v>74</v>
      </c>
      <c r="AI873" s="1" t="s">
        <v>74</v>
      </c>
      <c r="AJ873" s="1" t="s">
        <v>74</v>
      </c>
      <c r="AK873" s="1" t="s">
        <v>74</v>
      </c>
      <c r="AL873" s="1" t="s">
        <v>74</v>
      </c>
      <c r="AM873" s="1" t="s">
        <v>74</v>
      </c>
      <c r="AN873" s="1" t="s">
        <v>74</v>
      </c>
      <c r="AO873" s="1" t="s">
        <v>6019</v>
      </c>
      <c r="AP873" s="1" t="s">
        <v>6020</v>
      </c>
      <c r="AQ873" s="1" t="s">
        <v>74</v>
      </c>
      <c r="AR873" s="1" t="s">
        <v>74</v>
      </c>
      <c r="AS873" s="1" t="s">
        <v>74</v>
      </c>
      <c r="AT873" s="1" t="s">
        <v>74</v>
      </c>
      <c r="AU873" s="1">
        <v>2011.0</v>
      </c>
      <c r="AV873" s="1" t="s">
        <v>74</v>
      </c>
      <c r="AW873" s="1">
        <v>47.0</v>
      </c>
      <c r="AX873" s="1" t="s">
        <v>74</v>
      </c>
      <c r="AY873" s="1" t="s">
        <v>74</v>
      </c>
      <c r="AZ873" s="1" t="s">
        <v>74</v>
      </c>
      <c r="BA873" s="1" t="s">
        <v>74</v>
      </c>
      <c r="BB873" s="1">
        <v>1.0</v>
      </c>
      <c r="BC873" s="1">
        <v>17.0</v>
      </c>
      <c r="BD873" s="1" t="s">
        <v>74</v>
      </c>
      <c r="BE873" s="1" t="s">
        <v>74</v>
      </c>
      <c r="BF873" s="1" t="s">
        <v>74</v>
      </c>
      <c r="BG873" s="1" t="s">
        <v>74</v>
      </c>
      <c r="BH873" s="1" t="s">
        <v>74</v>
      </c>
      <c r="BI873" s="1" t="s">
        <v>74</v>
      </c>
      <c r="BJ873" s="1" t="s">
        <v>74</v>
      </c>
      <c r="BK873" s="1" t="s">
        <v>74</v>
      </c>
      <c r="BL873" s="1" t="s">
        <v>74</v>
      </c>
      <c r="BM873" s="1" t="s">
        <v>74</v>
      </c>
      <c r="BN873" s="1" t="s">
        <v>74</v>
      </c>
      <c r="BO873" s="1" t="s">
        <v>74</v>
      </c>
      <c r="BP873" s="1" t="s">
        <v>74</v>
      </c>
      <c r="BQ873" s="1" t="s">
        <v>74</v>
      </c>
      <c r="BR873" s="1" t="s">
        <v>74</v>
      </c>
      <c r="BS873" s="1" t="s">
        <v>8154</v>
      </c>
      <c r="BT873" s="1" t="str">
        <f>HYPERLINK("https%3A%2F%2Fwww.webofscience.com%2Fwos%2Fwoscc%2Ffull-record%2FWOS:000293372400003","View Full Record in Web of Science")</f>
        <v>View Full Record in Web of Science</v>
      </c>
    </row>
    <row r="874" ht="12.75" customHeight="1">
      <c r="A874" s="1" t="s">
        <v>72</v>
      </c>
      <c r="B874" s="1" t="s">
        <v>946</v>
      </c>
      <c r="C874" s="1" t="s">
        <v>74</v>
      </c>
      <c r="D874" s="1" t="s">
        <v>74</v>
      </c>
      <c r="E874" s="1" t="s">
        <v>74</v>
      </c>
      <c r="F874" s="1" t="s">
        <v>947</v>
      </c>
      <c r="G874" s="1" t="s">
        <v>74</v>
      </c>
      <c r="H874" s="1" t="s">
        <v>74</v>
      </c>
      <c r="I874" s="1" t="s">
        <v>8155</v>
      </c>
      <c r="J874" s="1" t="s">
        <v>8156</v>
      </c>
      <c r="K874" s="1" t="s">
        <v>74</v>
      </c>
      <c r="L874" s="1" t="s">
        <v>74</v>
      </c>
      <c r="M874" s="1" t="s">
        <v>74</v>
      </c>
      <c r="N874" s="1" t="s">
        <v>74</v>
      </c>
      <c r="O874" s="1" t="s">
        <v>74</v>
      </c>
      <c r="P874" s="1" t="s">
        <v>74</v>
      </c>
      <c r="Q874" s="1" t="s">
        <v>74</v>
      </c>
      <c r="R874" s="1" t="s">
        <v>74</v>
      </c>
      <c r="S874" s="1" t="s">
        <v>74</v>
      </c>
      <c r="T874" s="1" t="s">
        <v>74</v>
      </c>
      <c r="U874" s="1" t="s">
        <v>74</v>
      </c>
      <c r="V874" s="1" t="s">
        <v>8157</v>
      </c>
      <c r="W874" s="1" t="s">
        <v>74</v>
      </c>
      <c r="X874" s="1" t="s">
        <v>74</v>
      </c>
      <c r="Y874" s="1" t="s">
        <v>74</v>
      </c>
      <c r="Z874" s="1" t="s">
        <v>74</v>
      </c>
      <c r="AA874" s="1" t="s">
        <v>74</v>
      </c>
      <c r="AB874" s="1" t="s">
        <v>5248</v>
      </c>
      <c r="AC874" s="1" t="s">
        <v>74</v>
      </c>
      <c r="AD874" s="1" t="s">
        <v>74</v>
      </c>
      <c r="AE874" s="1" t="s">
        <v>74</v>
      </c>
      <c r="AF874" s="1" t="s">
        <v>74</v>
      </c>
      <c r="AG874" s="1" t="s">
        <v>74</v>
      </c>
      <c r="AH874" s="1" t="s">
        <v>74</v>
      </c>
      <c r="AI874" s="1" t="s">
        <v>74</v>
      </c>
      <c r="AJ874" s="1" t="s">
        <v>74</v>
      </c>
      <c r="AK874" s="1" t="s">
        <v>74</v>
      </c>
      <c r="AL874" s="1" t="s">
        <v>74</v>
      </c>
      <c r="AM874" s="1" t="s">
        <v>74</v>
      </c>
      <c r="AN874" s="1" t="s">
        <v>74</v>
      </c>
      <c r="AO874" s="1" t="s">
        <v>8158</v>
      </c>
      <c r="AP874" s="1" t="s">
        <v>8159</v>
      </c>
      <c r="AQ874" s="1" t="s">
        <v>74</v>
      </c>
      <c r="AR874" s="1" t="s">
        <v>74</v>
      </c>
      <c r="AS874" s="1" t="s">
        <v>74</v>
      </c>
      <c r="AT874" s="1" t="s">
        <v>415</v>
      </c>
      <c r="AU874" s="1">
        <v>2010.0</v>
      </c>
      <c r="AV874" s="1">
        <v>26.0</v>
      </c>
      <c r="AW874" s="1">
        <v>3.0</v>
      </c>
      <c r="AX874" s="1" t="s">
        <v>74</v>
      </c>
      <c r="AY874" s="1" t="s">
        <v>74</v>
      </c>
      <c r="AZ874" s="1" t="s">
        <v>74</v>
      </c>
      <c r="BA874" s="1" t="s">
        <v>74</v>
      </c>
      <c r="BB874" s="1">
        <v>493.0</v>
      </c>
      <c r="BC874" s="1">
        <v>514.0</v>
      </c>
      <c r="BD874" s="1" t="s">
        <v>74</v>
      </c>
      <c r="BE874" s="1" t="s">
        <v>8160</v>
      </c>
      <c r="BF874" s="2" t="str">
        <f>HYPERLINK("http://dx.doi.org/10.1093/jleo/ewp003","http://dx.doi.org/10.1093/jleo/ewp003")</f>
        <v>http://dx.doi.org/10.1093/jleo/ewp003</v>
      </c>
      <c r="BG874" s="1" t="s">
        <v>74</v>
      </c>
      <c r="BH874" s="1" t="s">
        <v>74</v>
      </c>
      <c r="BI874" s="1" t="s">
        <v>74</v>
      </c>
      <c r="BJ874" s="1" t="s">
        <v>74</v>
      </c>
      <c r="BK874" s="1" t="s">
        <v>74</v>
      </c>
      <c r="BL874" s="1" t="s">
        <v>74</v>
      </c>
      <c r="BM874" s="1" t="s">
        <v>74</v>
      </c>
      <c r="BN874" s="1" t="s">
        <v>74</v>
      </c>
      <c r="BO874" s="1" t="s">
        <v>74</v>
      </c>
      <c r="BP874" s="1" t="s">
        <v>74</v>
      </c>
      <c r="BQ874" s="1" t="s">
        <v>74</v>
      </c>
      <c r="BR874" s="1" t="s">
        <v>74</v>
      </c>
      <c r="BS874" s="1" t="s">
        <v>8161</v>
      </c>
      <c r="BT874" s="1" t="str">
        <f>HYPERLINK("https%3A%2F%2Fwww.webofscience.com%2Fwos%2Fwoscc%2Ffull-record%2FWOS:000283673900003","View Full Record in Web of Science")</f>
        <v>View Full Record in Web of Science</v>
      </c>
    </row>
    <row r="875" ht="12.75" customHeight="1">
      <c r="A875" s="1" t="s">
        <v>72</v>
      </c>
      <c r="B875" s="1" t="s">
        <v>8162</v>
      </c>
      <c r="C875" s="1" t="s">
        <v>74</v>
      </c>
      <c r="D875" s="1" t="s">
        <v>74</v>
      </c>
      <c r="E875" s="1" t="s">
        <v>74</v>
      </c>
      <c r="F875" s="1" t="s">
        <v>8163</v>
      </c>
      <c r="G875" s="1" t="s">
        <v>74</v>
      </c>
      <c r="H875" s="1" t="s">
        <v>74</v>
      </c>
      <c r="I875" s="1" t="s">
        <v>8164</v>
      </c>
      <c r="J875" s="1" t="s">
        <v>8165</v>
      </c>
      <c r="K875" s="1" t="s">
        <v>74</v>
      </c>
      <c r="L875" s="1" t="s">
        <v>74</v>
      </c>
      <c r="M875" s="1" t="s">
        <v>74</v>
      </c>
      <c r="N875" s="1" t="s">
        <v>74</v>
      </c>
      <c r="O875" s="1" t="s">
        <v>74</v>
      </c>
      <c r="P875" s="1" t="s">
        <v>74</v>
      </c>
      <c r="Q875" s="1" t="s">
        <v>74</v>
      </c>
      <c r="R875" s="1" t="s">
        <v>74</v>
      </c>
      <c r="S875" s="1" t="s">
        <v>74</v>
      </c>
      <c r="T875" s="1" t="s">
        <v>74</v>
      </c>
      <c r="U875" s="1" t="s">
        <v>74</v>
      </c>
      <c r="V875" s="1" t="s">
        <v>8166</v>
      </c>
      <c r="W875" s="1" t="s">
        <v>74</v>
      </c>
      <c r="X875" s="1" t="s">
        <v>74</v>
      </c>
      <c r="Y875" s="1" t="s">
        <v>74</v>
      </c>
      <c r="Z875" s="1" t="s">
        <v>74</v>
      </c>
      <c r="AA875" s="1" t="s">
        <v>8167</v>
      </c>
      <c r="AB875" s="1" t="s">
        <v>8168</v>
      </c>
      <c r="AC875" s="1" t="s">
        <v>74</v>
      </c>
      <c r="AD875" s="1" t="s">
        <v>74</v>
      </c>
      <c r="AE875" s="1" t="s">
        <v>74</v>
      </c>
      <c r="AF875" s="1" t="s">
        <v>74</v>
      </c>
      <c r="AG875" s="1" t="s">
        <v>74</v>
      </c>
      <c r="AH875" s="1" t="s">
        <v>74</v>
      </c>
      <c r="AI875" s="1" t="s">
        <v>74</v>
      </c>
      <c r="AJ875" s="1" t="s">
        <v>74</v>
      </c>
      <c r="AK875" s="1" t="s">
        <v>74</v>
      </c>
      <c r="AL875" s="1" t="s">
        <v>74</v>
      </c>
      <c r="AM875" s="1" t="s">
        <v>74</v>
      </c>
      <c r="AN875" s="1" t="s">
        <v>74</v>
      </c>
      <c r="AO875" s="1" t="s">
        <v>8169</v>
      </c>
      <c r="AP875" s="1" t="s">
        <v>8170</v>
      </c>
      <c r="AQ875" s="1" t="s">
        <v>74</v>
      </c>
      <c r="AR875" s="1" t="s">
        <v>74</v>
      </c>
      <c r="AS875" s="1" t="s">
        <v>74</v>
      </c>
      <c r="AT875" s="1" t="s">
        <v>74</v>
      </c>
      <c r="AU875" s="1">
        <v>2010.0</v>
      </c>
      <c r="AV875" s="1">
        <v>135.0</v>
      </c>
      <c r="AW875" s="1">
        <v>8.0</v>
      </c>
      <c r="AX875" s="1" t="s">
        <v>74</v>
      </c>
      <c r="AY875" s="1" t="s">
        <v>74</v>
      </c>
      <c r="AZ875" s="1" t="s">
        <v>74</v>
      </c>
      <c r="BA875" s="1" t="s">
        <v>74</v>
      </c>
      <c r="BB875" s="1">
        <v>1997.0</v>
      </c>
      <c r="BC875" s="1">
        <v>2001.0</v>
      </c>
      <c r="BD875" s="1" t="s">
        <v>74</v>
      </c>
      <c r="BE875" s="1" t="s">
        <v>8171</v>
      </c>
      <c r="BF875" s="2" t="str">
        <f>HYPERLINK("http://dx.doi.org/10.1039/c0an00061b","http://dx.doi.org/10.1039/c0an00061b")</f>
        <v>http://dx.doi.org/10.1039/c0an00061b</v>
      </c>
      <c r="BG875" s="1" t="s">
        <v>74</v>
      </c>
      <c r="BH875" s="1" t="s">
        <v>74</v>
      </c>
      <c r="BI875" s="1" t="s">
        <v>74</v>
      </c>
      <c r="BJ875" s="1" t="s">
        <v>74</v>
      </c>
      <c r="BK875" s="1" t="s">
        <v>74</v>
      </c>
      <c r="BL875" s="1" t="s">
        <v>74</v>
      </c>
      <c r="BM875" s="1" t="s">
        <v>74</v>
      </c>
      <c r="BN875" s="1">
        <v>2.0532346E7</v>
      </c>
      <c r="BO875" s="1" t="s">
        <v>74</v>
      </c>
      <c r="BP875" s="1" t="s">
        <v>74</v>
      </c>
      <c r="BQ875" s="1" t="s">
        <v>74</v>
      </c>
      <c r="BR875" s="1" t="s">
        <v>74</v>
      </c>
      <c r="BS875" s="1" t="s">
        <v>8172</v>
      </c>
      <c r="BT875" s="1" t="str">
        <f>HYPERLINK("https%3A%2F%2Fwww.webofscience.com%2Fwos%2Fwoscc%2Ffull-record%2FWOS:000280087000022","View Full Record in Web of Science")</f>
        <v>View Full Record in Web of Science</v>
      </c>
    </row>
    <row r="876" ht="12.75" customHeight="1">
      <c r="A876" s="1" t="s">
        <v>147</v>
      </c>
      <c r="B876" s="1" t="s">
        <v>8173</v>
      </c>
      <c r="C876" s="1" t="s">
        <v>74</v>
      </c>
      <c r="D876" s="1" t="s">
        <v>8174</v>
      </c>
      <c r="E876" s="1" t="s">
        <v>8175</v>
      </c>
      <c r="F876" s="1" t="s">
        <v>8176</v>
      </c>
      <c r="G876" s="1" t="s">
        <v>74</v>
      </c>
      <c r="H876" s="1" t="s">
        <v>74</v>
      </c>
      <c r="I876" s="1" t="s">
        <v>8177</v>
      </c>
      <c r="J876" s="1" t="s">
        <v>8178</v>
      </c>
      <c r="K876" s="1" t="s">
        <v>860</v>
      </c>
      <c r="L876" s="1" t="s">
        <v>74</v>
      </c>
      <c r="M876" s="1" t="s">
        <v>74</v>
      </c>
      <c r="N876" s="1" t="s">
        <v>74</v>
      </c>
      <c r="O876" s="1" t="s">
        <v>8179</v>
      </c>
      <c r="P876" s="1" t="s">
        <v>8180</v>
      </c>
      <c r="Q876" s="1" t="s">
        <v>8181</v>
      </c>
      <c r="R876" s="1" t="s">
        <v>8182</v>
      </c>
      <c r="S876" s="1" t="s">
        <v>8183</v>
      </c>
      <c r="T876" s="1" t="s">
        <v>74</v>
      </c>
      <c r="U876" s="1" t="s">
        <v>74</v>
      </c>
      <c r="V876" s="1" t="s">
        <v>8184</v>
      </c>
      <c r="W876" s="1" t="s">
        <v>74</v>
      </c>
      <c r="X876" s="1" t="s">
        <v>74</v>
      </c>
      <c r="Y876" s="1" t="s">
        <v>74</v>
      </c>
      <c r="Z876" s="1" t="s">
        <v>74</v>
      </c>
      <c r="AA876" s="1" t="s">
        <v>8185</v>
      </c>
      <c r="AB876" s="1" t="s">
        <v>8186</v>
      </c>
      <c r="AC876" s="1" t="s">
        <v>74</v>
      </c>
      <c r="AD876" s="1" t="s">
        <v>74</v>
      </c>
      <c r="AE876" s="1" t="s">
        <v>74</v>
      </c>
      <c r="AF876" s="1" t="s">
        <v>74</v>
      </c>
      <c r="AG876" s="1" t="s">
        <v>74</v>
      </c>
      <c r="AH876" s="1" t="s">
        <v>74</v>
      </c>
      <c r="AI876" s="1" t="s">
        <v>74</v>
      </c>
      <c r="AJ876" s="1" t="s">
        <v>74</v>
      </c>
      <c r="AK876" s="1" t="s">
        <v>74</v>
      </c>
      <c r="AL876" s="1" t="s">
        <v>74</v>
      </c>
      <c r="AM876" s="1" t="s">
        <v>74</v>
      </c>
      <c r="AN876" s="1" t="s">
        <v>74</v>
      </c>
      <c r="AO876" s="1" t="s">
        <v>868</v>
      </c>
      <c r="AP876" s="1" t="s">
        <v>74</v>
      </c>
      <c r="AQ876" s="1" t="s">
        <v>74</v>
      </c>
      <c r="AR876" s="1" t="s">
        <v>74</v>
      </c>
      <c r="AS876" s="1" t="s">
        <v>74</v>
      </c>
      <c r="AT876" s="1" t="s">
        <v>74</v>
      </c>
      <c r="AU876" s="1">
        <v>2010.0</v>
      </c>
      <c r="AV876" s="1">
        <v>1.0</v>
      </c>
      <c r="AW876" s="1">
        <v>1.0</v>
      </c>
      <c r="AX876" s="1" t="s">
        <v>74</v>
      </c>
      <c r="AY876" s="1" t="s">
        <v>74</v>
      </c>
      <c r="AZ876" s="1" t="s">
        <v>74</v>
      </c>
      <c r="BA876" s="1" t="s">
        <v>74</v>
      </c>
      <c r="BB876" s="1">
        <v>457.0</v>
      </c>
      <c r="BC876" s="1">
        <v>464.0</v>
      </c>
      <c r="BD876" s="1" t="s">
        <v>74</v>
      </c>
      <c r="BE876" s="1" t="s">
        <v>8187</v>
      </c>
      <c r="BF876" s="2" t="str">
        <f>HYPERLINK("http://dx.doi.org/10.1016/j.procs.2010.04.049","http://dx.doi.org/10.1016/j.procs.2010.04.049")</f>
        <v>http://dx.doi.org/10.1016/j.procs.2010.04.049</v>
      </c>
      <c r="BG876" s="1" t="s">
        <v>74</v>
      </c>
      <c r="BH876" s="1" t="s">
        <v>74</v>
      </c>
      <c r="BI876" s="1" t="s">
        <v>74</v>
      </c>
      <c r="BJ876" s="1" t="s">
        <v>74</v>
      </c>
      <c r="BK876" s="1" t="s">
        <v>74</v>
      </c>
      <c r="BL876" s="1" t="s">
        <v>74</v>
      </c>
      <c r="BM876" s="1" t="s">
        <v>74</v>
      </c>
      <c r="BN876" s="1" t="s">
        <v>74</v>
      </c>
      <c r="BO876" s="1" t="s">
        <v>74</v>
      </c>
      <c r="BP876" s="1" t="s">
        <v>74</v>
      </c>
      <c r="BQ876" s="1" t="s">
        <v>74</v>
      </c>
      <c r="BR876" s="1" t="s">
        <v>74</v>
      </c>
      <c r="BS876" s="1" t="s">
        <v>8188</v>
      </c>
      <c r="BT876" s="1" t="str">
        <f>HYPERLINK("https%3A%2F%2Fwww.webofscience.com%2Fwos%2Fwoscc%2Ffull-record%2FWOS:000281951600048","View Full Record in Web of Science")</f>
        <v>View Full Record in Web of Science</v>
      </c>
    </row>
    <row r="877" ht="12.75" customHeight="1">
      <c r="A877" s="1" t="s">
        <v>72</v>
      </c>
      <c r="B877" s="1" t="s">
        <v>8189</v>
      </c>
      <c r="C877" s="1" t="s">
        <v>74</v>
      </c>
      <c r="D877" s="1" t="s">
        <v>74</v>
      </c>
      <c r="E877" s="1" t="s">
        <v>74</v>
      </c>
      <c r="F877" s="1" t="s">
        <v>8190</v>
      </c>
      <c r="G877" s="1" t="s">
        <v>74</v>
      </c>
      <c r="H877" s="1" t="s">
        <v>74</v>
      </c>
      <c r="I877" s="1" t="s">
        <v>8191</v>
      </c>
      <c r="J877" s="1" t="s">
        <v>8192</v>
      </c>
      <c r="K877" s="1" t="s">
        <v>74</v>
      </c>
      <c r="L877" s="1" t="s">
        <v>74</v>
      </c>
      <c r="M877" s="1" t="s">
        <v>74</v>
      </c>
      <c r="N877" s="1" t="s">
        <v>74</v>
      </c>
      <c r="O877" s="1" t="s">
        <v>74</v>
      </c>
      <c r="P877" s="1" t="s">
        <v>74</v>
      </c>
      <c r="Q877" s="1" t="s">
        <v>74</v>
      </c>
      <c r="R877" s="1" t="s">
        <v>74</v>
      </c>
      <c r="S877" s="1" t="s">
        <v>74</v>
      </c>
      <c r="T877" s="1" t="s">
        <v>74</v>
      </c>
      <c r="U877" s="1" t="s">
        <v>74</v>
      </c>
      <c r="V877" s="1" t="s">
        <v>74</v>
      </c>
      <c r="W877" s="1" t="s">
        <v>74</v>
      </c>
      <c r="X877" s="1" t="s">
        <v>74</v>
      </c>
      <c r="Y877" s="1" t="s">
        <v>74</v>
      </c>
      <c r="Z877" s="1" t="s">
        <v>74</v>
      </c>
      <c r="AA877" s="1" t="s">
        <v>8193</v>
      </c>
      <c r="AB877" s="1" t="s">
        <v>74</v>
      </c>
      <c r="AC877" s="1" t="s">
        <v>74</v>
      </c>
      <c r="AD877" s="1" t="s">
        <v>74</v>
      </c>
      <c r="AE877" s="1" t="s">
        <v>74</v>
      </c>
      <c r="AF877" s="1" t="s">
        <v>74</v>
      </c>
      <c r="AG877" s="1" t="s">
        <v>74</v>
      </c>
      <c r="AH877" s="1" t="s">
        <v>74</v>
      </c>
      <c r="AI877" s="1" t="s">
        <v>74</v>
      </c>
      <c r="AJ877" s="1" t="s">
        <v>74</v>
      </c>
      <c r="AK877" s="1" t="s">
        <v>74</v>
      </c>
      <c r="AL877" s="1" t="s">
        <v>74</v>
      </c>
      <c r="AM877" s="1" t="s">
        <v>74</v>
      </c>
      <c r="AN877" s="1" t="s">
        <v>74</v>
      </c>
      <c r="AO877" s="1" t="s">
        <v>8194</v>
      </c>
      <c r="AP877" s="1" t="s">
        <v>74</v>
      </c>
      <c r="AQ877" s="1" t="s">
        <v>74</v>
      </c>
      <c r="AR877" s="1" t="s">
        <v>74</v>
      </c>
      <c r="AS877" s="1" t="s">
        <v>74</v>
      </c>
      <c r="AT877" s="1" t="s">
        <v>74</v>
      </c>
      <c r="AU877" s="1">
        <v>2010.0</v>
      </c>
      <c r="AV877" s="1">
        <v>3.0</v>
      </c>
      <c r="AW877" s="1" t="s">
        <v>1871</v>
      </c>
      <c r="AX877" s="1" t="s">
        <v>74</v>
      </c>
      <c r="AY877" s="1" t="s">
        <v>74</v>
      </c>
      <c r="AZ877" s="1" t="s">
        <v>74</v>
      </c>
      <c r="BA877" s="1" t="s">
        <v>74</v>
      </c>
      <c r="BB877" s="1">
        <v>118.0</v>
      </c>
      <c r="BC877" s="1">
        <v>118.0</v>
      </c>
      <c r="BD877" s="1" t="s">
        <v>74</v>
      </c>
      <c r="BE877" s="1" t="s">
        <v>74</v>
      </c>
      <c r="BF877" s="1" t="s">
        <v>74</v>
      </c>
      <c r="BG877" s="1" t="s">
        <v>74</v>
      </c>
      <c r="BH877" s="1" t="s">
        <v>74</v>
      </c>
      <c r="BI877" s="1" t="s">
        <v>74</v>
      </c>
      <c r="BJ877" s="1" t="s">
        <v>74</v>
      </c>
      <c r="BK877" s="1" t="s">
        <v>74</v>
      </c>
      <c r="BL877" s="1" t="s">
        <v>74</v>
      </c>
      <c r="BM877" s="1" t="s">
        <v>74</v>
      </c>
      <c r="BN877" s="1" t="s">
        <v>74</v>
      </c>
      <c r="BO877" s="1" t="s">
        <v>74</v>
      </c>
      <c r="BP877" s="1" t="s">
        <v>74</v>
      </c>
      <c r="BQ877" s="1" t="s">
        <v>74</v>
      </c>
      <c r="BR877" s="1" t="s">
        <v>74</v>
      </c>
      <c r="BS877" s="1" t="s">
        <v>8195</v>
      </c>
      <c r="BT877" s="1" t="str">
        <f>HYPERLINK("https%3A%2F%2Fwww.webofscience.com%2Fwos%2Fwoscc%2Ffull-record%2FWOS:000284126800148","View Full Record in Web of Science")</f>
        <v>View Full Record in Web of Science</v>
      </c>
    </row>
    <row r="878" ht="12.75" customHeight="1">
      <c r="A878" s="1" t="s">
        <v>72</v>
      </c>
      <c r="B878" s="1" t="s">
        <v>8196</v>
      </c>
      <c r="C878" s="1" t="s">
        <v>74</v>
      </c>
      <c r="D878" s="1" t="s">
        <v>74</v>
      </c>
      <c r="E878" s="1" t="s">
        <v>74</v>
      </c>
      <c r="F878" s="1" t="s">
        <v>8197</v>
      </c>
      <c r="G878" s="1" t="s">
        <v>74</v>
      </c>
      <c r="H878" s="1" t="s">
        <v>74</v>
      </c>
      <c r="I878" s="1" t="s">
        <v>8198</v>
      </c>
      <c r="J878" s="1" t="s">
        <v>8199</v>
      </c>
      <c r="K878" s="1" t="s">
        <v>74</v>
      </c>
      <c r="L878" s="1" t="s">
        <v>74</v>
      </c>
      <c r="M878" s="1" t="s">
        <v>74</v>
      </c>
      <c r="N878" s="1" t="s">
        <v>74</v>
      </c>
      <c r="O878" s="1" t="s">
        <v>74</v>
      </c>
      <c r="P878" s="1" t="s">
        <v>74</v>
      </c>
      <c r="Q878" s="1" t="s">
        <v>74</v>
      </c>
      <c r="R878" s="1" t="s">
        <v>74</v>
      </c>
      <c r="S878" s="1" t="s">
        <v>74</v>
      </c>
      <c r="T878" s="1" t="s">
        <v>74</v>
      </c>
      <c r="U878" s="1" t="s">
        <v>74</v>
      </c>
      <c r="V878" s="1" t="s">
        <v>8200</v>
      </c>
      <c r="W878" s="1" t="s">
        <v>74</v>
      </c>
      <c r="X878" s="1" t="s">
        <v>74</v>
      </c>
      <c r="Y878" s="1" t="s">
        <v>74</v>
      </c>
      <c r="Z878" s="1" t="s">
        <v>74</v>
      </c>
      <c r="AA878" s="1" t="s">
        <v>8201</v>
      </c>
      <c r="AB878" s="1" t="s">
        <v>8202</v>
      </c>
      <c r="AC878" s="1" t="s">
        <v>74</v>
      </c>
      <c r="AD878" s="1" t="s">
        <v>74</v>
      </c>
      <c r="AE878" s="1" t="s">
        <v>74</v>
      </c>
      <c r="AF878" s="1" t="s">
        <v>74</v>
      </c>
      <c r="AG878" s="1" t="s">
        <v>74</v>
      </c>
      <c r="AH878" s="1" t="s">
        <v>74</v>
      </c>
      <c r="AI878" s="1" t="s">
        <v>74</v>
      </c>
      <c r="AJ878" s="1" t="s">
        <v>74</v>
      </c>
      <c r="AK878" s="1" t="s">
        <v>74</v>
      </c>
      <c r="AL878" s="1" t="s">
        <v>74</v>
      </c>
      <c r="AM878" s="1" t="s">
        <v>74</v>
      </c>
      <c r="AN878" s="1" t="s">
        <v>74</v>
      </c>
      <c r="AO878" s="1" t="s">
        <v>8203</v>
      </c>
      <c r="AP878" s="1" t="s">
        <v>8204</v>
      </c>
      <c r="AQ878" s="1" t="s">
        <v>74</v>
      </c>
      <c r="AR878" s="1" t="s">
        <v>74</v>
      </c>
      <c r="AS878" s="1" t="s">
        <v>74</v>
      </c>
      <c r="AT878" s="1" t="s">
        <v>289</v>
      </c>
      <c r="AU878" s="1">
        <v>2008.0</v>
      </c>
      <c r="AV878" s="1">
        <v>45.0</v>
      </c>
      <c r="AW878" s="1">
        <v>7.0</v>
      </c>
      <c r="AX878" s="1" t="s">
        <v>74</v>
      </c>
      <c r="AY878" s="1" t="s">
        <v>74</v>
      </c>
      <c r="AZ878" s="1" t="s">
        <v>74</v>
      </c>
      <c r="BA878" s="1" t="s">
        <v>74</v>
      </c>
      <c r="BB878" s="1">
        <v>1461.0</v>
      </c>
      <c r="BC878" s="1">
        <v>1483.0</v>
      </c>
      <c r="BD878" s="1" t="s">
        <v>74</v>
      </c>
      <c r="BE878" s="1" t="s">
        <v>8205</v>
      </c>
      <c r="BF878" s="2" t="str">
        <f>HYPERLINK("http://dx.doi.org/10.1177/0042098008090684","http://dx.doi.org/10.1177/0042098008090684")</f>
        <v>http://dx.doi.org/10.1177/0042098008090684</v>
      </c>
      <c r="BG878" s="1" t="s">
        <v>74</v>
      </c>
      <c r="BH878" s="1" t="s">
        <v>74</v>
      </c>
      <c r="BI878" s="1" t="s">
        <v>74</v>
      </c>
      <c r="BJ878" s="1" t="s">
        <v>74</v>
      </c>
      <c r="BK878" s="1" t="s">
        <v>74</v>
      </c>
      <c r="BL878" s="1" t="s">
        <v>74</v>
      </c>
      <c r="BM878" s="1" t="s">
        <v>74</v>
      </c>
      <c r="BN878" s="1" t="s">
        <v>74</v>
      </c>
      <c r="BO878" s="1" t="s">
        <v>74</v>
      </c>
      <c r="BP878" s="1" t="s">
        <v>74</v>
      </c>
      <c r="BQ878" s="1" t="s">
        <v>74</v>
      </c>
      <c r="BR878" s="1" t="s">
        <v>74</v>
      </c>
      <c r="BS878" s="1" t="s">
        <v>8206</v>
      </c>
      <c r="BT878" s="1" t="str">
        <f>HYPERLINK("https%3A%2F%2Fwww.webofscience.com%2Fwos%2Fwoscc%2Ffull-record%2FWOS:000256195500007","View Full Record in Web of Science")</f>
        <v>View Full Record in Web of Science</v>
      </c>
    </row>
    <row r="879" ht="12.75" customHeight="1">
      <c r="A879" s="1" t="s">
        <v>86</v>
      </c>
      <c r="B879" s="1" t="s">
        <v>8207</v>
      </c>
      <c r="C879" s="1" t="s">
        <v>74</v>
      </c>
      <c r="D879" s="1" t="s">
        <v>8208</v>
      </c>
      <c r="E879" s="1" t="s">
        <v>74</v>
      </c>
      <c r="F879" s="1" t="s">
        <v>8209</v>
      </c>
      <c r="G879" s="1" t="s">
        <v>74</v>
      </c>
      <c r="H879" s="1" t="s">
        <v>74</v>
      </c>
      <c r="I879" s="1" t="s">
        <v>8210</v>
      </c>
      <c r="J879" s="1" t="s">
        <v>8211</v>
      </c>
      <c r="K879" s="1" t="s">
        <v>8212</v>
      </c>
      <c r="L879" s="1" t="s">
        <v>74</v>
      </c>
      <c r="M879" s="1" t="s">
        <v>74</v>
      </c>
      <c r="N879" s="1" t="s">
        <v>74</v>
      </c>
      <c r="O879" s="1" t="s">
        <v>74</v>
      </c>
      <c r="P879" s="1" t="s">
        <v>74</v>
      </c>
      <c r="Q879" s="1" t="s">
        <v>74</v>
      </c>
      <c r="R879" s="1" t="s">
        <v>74</v>
      </c>
      <c r="S879" s="1" t="s">
        <v>74</v>
      </c>
      <c r="T879" s="1" t="s">
        <v>74</v>
      </c>
      <c r="U879" s="1" t="s">
        <v>74</v>
      </c>
      <c r="V879" s="1" t="s">
        <v>74</v>
      </c>
      <c r="W879" s="1" t="s">
        <v>74</v>
      </c>
      <c r="X879" s="1" t="s">
        <v>74</v>
      </c>
      <c r="Y879" s="1" t="s">
        <v>74</v>
      </c>
      <c r="Z879" s="1" t="s">
        <v>74</v>
      </c>
      <c r="AA879" s="1" t="s">
        <v>6282</v>
      </c>
      <c r="AB879" s="1" t="s">
        <v>6246</v>
      </c>
      <c r="AC879" s="1" t="s">
        <v>74</v>
      </c>
      <c r="AD879" s="1" t="s">
        <v>74</v>
      </c>
      <c r="AE879" s="1" t="s">
        <v>74</v>
      </c>
      <c r="AF879" s="1" t="s">
        <v>74</v>
      </c>
      <c r="AG879" s="1" t="s">
        <v>74</v>
      </c>
      <c r="AH879" s="1" t="s">
        <v>74</v>
      </c>
      <c r="AI879" s="1" t="s">
        <v>74</v>
      </c>
      <c r="AJ879" s="1" t="s">
        <v>74</v>
      </c>
      <c r="AK879" s="1" t="s">
        <v>74</v>
      </c>
      <c r="AL879" s="1" t="s">
        <v>74</v>
      </c>
      <c r="AM879" s="1" t="s">
        <v>74</v>
      </c>
      <c r="AN879" s="1" t="s">
        <v>74</v>
      </c>
      <c r="AO879" s="1" t="s">
        <v>74</v>
      </c>
      <c r="AP879" s="1" t="s">
        <v>74</v>
      </c>
      <c r="AQ879" s="1" t="s">
        <v>8213</v>
      </c>
      <c r="AR879" s="1" t="s">
        <v>74</v>
      </c>
      <c r="AS879" s="1" t="s">
        <v>74</v>
      </c>
      <c r="AT879" s="1" t="s">
        <v>74</v>
      </c>
      <c r="AU879" s="1">
        <v>2008.0</v>
      </c>
      <c r="AV879" s="1" t="s">
        <v>74</v>
      </c>
      <c r="AW879" s="1" t="s">
        <v>74</v>
      </c>
      <c r="AX879" s="1" t="s">
        <v>74</v>
      </c>
      <c r="AY879" s="1" t="s">
        <v>74</v>
      </c>
      <c r="AZ879" s="1" t="s">
        <v>74</v>
      </c>
      <c r="BA879" s="1" t="s">
        <v>74</v>
      </c>
      <c r="BB879" s="1">
        <v>305.0</v>
      </c>
      <c r="BC879" s="1">
        <v>317.0</v>
      </c>
      <c r="BD879" s="1" t="s">
        <v>74</v>
      </c>
      <c r="BE879" s="1" t="s">
        <v>8214</v>
      </c>
      <c r="BF879" s="2" t="str">
        <f>HYPERLINK("http://dx.doi.org/10.1016/B978-012373642-0.50016-8","http://dx.doi.org/10.1016/B978-012373642-0.50016-8")</f>
        <v>http://dx.doi.org/10.1016/B978-012373642-0.50016-8</v>
      </c>
      <c r="BG879" s="1" t="s">
        <v>74</v>
      </c>
      <c r="BH879" s="1" t="s">
        <v>74</v>
      </c>
      <c r="BI879" s="1" t="s">
        <v>74</v>
      </c>
      <c r="BJ879" s="1" t="s">
        <v>74</v>
      </c>
      <c r="BK879" s="1" t="s">
        <v>74</v>
      </c>
      <c r="BL879" s="1" t="s">
        <v>74</v>
      </c>
      <c r="BM879" s="1" t="s">
        <v>74</v>
      </c>
      <c r="BN879" s="1" t="s">
        <v>74</v>
      </c>
      <c r="BO879" s="1" t="s">
        <v>74</v>
      </c>
      <c r="BP879" s="1" t="s">
        <v>74</v>
      </c>
      <c r="BQ879" s="1" t="s">
        <v>74</v>
      </c>
      <c r="BR879" s="1" t="s">
        <v>74</v>
      </c>
      <c r="BS879" s="1" t="s">
        <v>8215</v>
      </c>
      <c r="BT879" s="1" t="str">
        <f>HYPERLINK("https%3A%2F%2Fwww.webofscience.com%2Fwos%2Fwoscc%2Ffull-record%2FWOS:000310957500014","View Full Record in Web of Science")</f>
        <v>View Full Record in Web of Science</v>
      </c>
    </row>
    <row r="880" ht="12.75" customHeight="1">
      <c r="A880" s="1" t="s">
        <v>72</v>
      </c>
      <c r="B880" s="1" t="s">
        <v>8216</v>
      </c>
      <c r="C880" s="1" t="s">
        <v>74</v>
      </c>
      <c r="D880" s="1" t="s">
        <v>74</v>
      </c>
      <c r="E880" s="1" t="s">
        <v>74</v>
      </c>
      <c r="F880" s="1" t="s">
        <v>8217</v>
      </c>
      <c r="G880" s="1" t="s">
        <v>74</v>
      </c>
      <c r="H880" s="1" t="s">
        <v>74</v>
      </c>
      <c r="I880" s="1" t="s">
        <v>8218</v>
      </c>
      <c r="J880" s="1" t="s">
        <v>1953</v>
      </c>
      <c r="K880" s="1" t="s">
        <v>74</v>
      </c>
      <c r="L880" s="1" t="s">
        <v>74</v>
      </c>
      <c r="M880" s="1" t="s">
        <v>74</v>
      </c>
      <c r="N880" s="1" t="s">
        <v>74</v>
      </c>
      <c r="O880" s="1" t="s">
        <v>8219</v>
      </c>
      <c r="P880" s="1" t="s">
        <v>8220</v>
      </c>
      <c r="Q880" s="1" t="s">
        <v>8221</v>
      </c>
      <c r="R880" s="1" t="s">
        <v>8222</v>
      </c>
      <c r="S880" s="1" t="s">
        <v>74</v>
      </c>
      <c r="T880" s="1" t="s">
        <v>74</v>
      </c>
      <c r="U880" s="1" t="s">
        <v>74</v>
      </c>
      <c r="V880" s="1" t="s">
        <v>74</v>
      </c>
      <c r="W880" s="1" t="s">
        <v>74</v>
      </c>
      <c r="X880" s="1" t="s">
        <v>74</v>
      </c>
      <c r="Y880" s="1" t="s">
        <v>74</v>
      </c>
      <c r="Z880" s="1" t="s">
        <v>74</v>
      </c>
      <c r="AA880" s="1" t="s">
        <v>74</v>
      </c>
      <c r="AB880" s="1" t="s">
        <v>2073</v>
      </c>
      <c r="AC880" s="1" t="s">
        <v>74</v>
      </c>
      <c r="AD880" s="1" t="s">
        <v>74</v>
      </c>
      <c r="AE880" s="1" t="s">
        <v>74</v>
      </c>
      <c r="AF880" s="1" t="s">
        <v>74</v>
      </c>
      <c r="AG880" s="1" t="s">
        <v>74</v>
      </c>
      <c r="AH880" s="1" t="s">
        <v>74</v>
      </c>
      <c r="AI880" s="1" t="s">
        <v>74</v>
      </c>
      <c r="AJ880" s="1" t="s">
        <v>74</v>
      </c>
      <c r="AK880" s="1" t="s">
        <v>74</v>
      </c>
      <c r="AL880" s="1" t="s">
        <v>74</v>
      </c>
      <c r="AM880" s="1" t="s">
        <v>74</v>
      </c>
      <c r="AN880" s="1" t="s">
        <v>74</v>
      </c>
      <c r="AO880" s="1" t="s">
        <v>1957</v>
      </c>
      <c r="AP880" s="1" t="s">
        <v>74</v>
      </c>
      <c r="AQ880" s="1" t="s">
        <v>74</v>
      </c>
      <c r="AR880" s="1" t="s">
        <v>74</v>
      </c>
      <c r="AS880" s="1" t="s">
        <v>74</v>
      </c>
      <c r="AT880" s="1" t="s">
        <v>363</v>
      </c>
      <c r="AU880" s="1">
        <v>2007.0</v>
      </c>
      <c r="AV880" s="1">
        <v>41.0</v>
      </c>
      <c r="AW880" s="1" t="s">
        <v>74</v>
      </c>
      <c r="AX880" s="1" t="s">
        <v>74</v>
      </c>
      <c r="AY880" s="1">
        <v>1.0</v>
      </c>
      <c r="AZ880" s="1" t="s">
        <v>74</v>
      </c>
      <c r="BA880" s="1" t="s">
        <v>74</v>
      </c>
      <c r="BB880" s="1" t="s">
        <v>8223</v>
      </c>
      <c r="BC880" s="1" t="s">
        <v>8223</v>
      </c>
      <c r="BD880" s="1" t="s">
        <v>74</v>
      </c>
      <c r="BE880" s="1" t="s">
        <v>74</v>
      </c>
      <c r="BF880" s="1" t="s">
        <v>74</v>
      </c>
      <c r="BG880" s="1" t="s">
        <v>74</v>
      </c>
      <c r="BH880" s="1" t="s">
        <v>74</v>
      </c>
      <c r="BI880" s="1" t="s">
        <v>74</v>
      </c>
      <c r="BJ880" s="1" t="s">
        <v>74</v>
      </c>
      <c r="BK880" s="1" t="s">
        <v>74</v>
      </c>
      <c r="BL880" s="1" t="s">
        <v>74</v>
      </c>
      <c r="BM880" s="1" t="s">
        <v>74</v>
      </c>
      <c r="BN880" s="1" t="s">
        <v>74</v>
      </c>
      <c r="BO880" s="1" t="s">
        <v>74</v>
      </c>
      <c r="BP880" s="1" t="s">
        <v>74</v>
      </c>
      <c r="BQ880" s="1" t="s">
        <v>74</v>
      </c>
      <c r="BR880" s="1" t="s">
        <v>74</v>
      </c>
      <c r="BS880" s="1" t="s">
        <v>8224</v>
      </c>
      <c r="BT880" s="1" t="str">
        <f>HYPERLINK("https%3A%2F%2Fwww.webofscience.com%2Fwos%2Fwoscc%2Ffull-record%2FWOS:000252296300047","View Full Record in Web of Science")</f>
        <v>View Full Record in Web of Science</v>
      </c>
    </row>
    <row r="881" ht="12.75" customHeight="1">
      <c r="A881" s="1" t="s">
        <v>72</v>
      </c>
      <c r="B881" s="1" t="s">
        <v>8225</v>
      </c>
      <c r="C881" s="1" t="s">
        <v>74</v>
      </c>
      <c r="D881" s="1" t="s">
        <v>74</v>
      </c>
      <c r="E881" s="1" t="s">
        <v>74</v>
      </c>
      <c r="F881" s="1" t="s">
        <v>8225</v>
      </c>
      <c r="G881" s="1" t="s">
        <v>74</v>
      </c>
      <c r="H881" s="1" t="s">
        <v>74</v>
      </c>
      <c r="I881" s="1" t="s">
        <v>8226</v>
      </c>
      <c r="J881" s="1" t="s">
        <v>6196</v>
      </c>
      <c r="K881" s="1" t="s">
        <v>74</v>
      </c>
      <c r="L881" s="1" t="s">
        <v>74</v>
      </c>
      <c r="M881" s="1" t="s">
        <v>74</v>
      </c>
      <c r="N881" s="1" t="s">
        <v>74</v>
      </c>
      <c r="O881" s="1" t="s">
        <v>74</v>
      </c>
      <c r="P881" s="1" t="s">
        <v>74</v>
      </c>
      <c r="Q881" s="1" t="s">
        <v>74</v>
      </c>
      <c r="R881" s="1" t="s">
        <v>74</v>
      </c>
      <c r="S881" s="1" t="s">
        <v>74</v>
      </c>
      <c r="T881" s="1" t="s">
        <v>74</v>
      </c>
      <c r="U881" s="1" t="s">
        <v>74</v>
      </c>
      <c r="V881" s="1" t="s">
        <v>8227</v>
      </c>
      <c r="W881" s="1" t="s">
        <v>74</v>
      </c>
      <c r="X881" s="1" t="s">
        <v>74</v>
      </c>
      <c r="Y881" s="1" t="s">
        <v>74</v>
      </c>
      <c r="Z881" s="1" t="s">
        <v>74</v>
      </c>
      <c r="AA881" s="1" t="s">
        <v>8228</v>
      </c>
      <c r="AB881" s="1" t="s">
        <v>74</v>
      </c>
      <c r="AC881" s="1" t="s">
        <v>74</v>
      </c>
      <c r="AD881" s="1" t="s">
        <v>74</v>
      </c>
      <c r="AE881" s="1" t="s">
        <v>74</v>
      </c>
      <c r="AF881" s="1" t="s">
        <v>74</v>
      </c>
      <c r="AG881" s="1" t="s">
        <v>74</v>
      </c>
      <c r="AH881" s="1" t="s">
        <v>74</v>
      </c>
      <c r="AI881" s="1" t="s">
        <v>74</v>
      </c>
      <c r="AJ881" s="1" t="s">
        <v>74</v>
      </c>
      <c r="AK881" s="1" t="s">
        <v>74</v>
      </c>
      <c r="AL881" s="1" t="s">
        <v>74</v>
      </c>
      <c r="AM881" s="1" t="s">
        <v>74</v>
      </c>
      <c r="AN881" s="1" t="s">
        <v>74</v>
      </c>
      <c r="AO881" s="1" t="s">
        <v>6199</v>
      </c>
      <c r="AP881" s="1" t="s">
        <v>6200</v>
      </c>
      <c r="AQ881" s="1" t="s">
        <v>74</v>
      </c>
      <c r="AR881" s="1" t="s">
        <v>74</v>
      </c>
      <c r="AS881" s="1" t="s">
        <v>74</v>
      </c>
      <c r="AT881" s="1" t="s">
        <v>289</v>
      </c>
      <c r="AU881" s="1">
        <v>2004.0</v>
      </c>
      <c r="AV881" s="1">
        <v>95.0</v>
      </c>
      <c r="AW881" s="1" t="s">
        <v>326</v>
      </c>
      <c r="AX881" s="1" t="s">
        <v>74</v>
      </c>
      <c r="AY881" s="1" t="s">
        <v>74</v>
      </c>
      <c r="AZ881" s="1" t="s">
        <v>74</v>
      </c>
      <c r="BA881" s="1" t="s">
        <v>74</v>
      </c>
      <c r="BB881" s="1">
        <v>143.0</v>
      </c>
      <c r="BC881" s="1">
        <v>150.0</v>
      </c>
      <c r="BD881" s="1" t="s">
        <v>74</v>
      </c>
      <c r="BE881" s="1" t="s">
        <v>8229</v>
      </c>
      <c r="BF881" s="2" t="str">
        <f>HYPERLINK("http://dx.doi.org/10.1023/B:CATL.0000027287.78214.bf","http://dx.doi.org/10.1023/B:CATL.0000027287.78214.bf")</f>
        <v>http://dx.doi.org/10.1023/B:CATL.0000027287.78214.bf</v>
      </c>
      <c r="BG881" s="1" t="s">
        <v>74</v>
      </c>
      <c r="BH881" s="1" t="s">
        <v>74</v>
      </c>
      <c r="BI881" s="1" t="s">
        <v>74</v>
      </c>
      <c r="BJ881" s="1" t="s">
        <v>74</v>
      </c>
      <c r="BK881" s="1" t="s">
        <v>74</v>
      </c>
      <c r="BL881" s="1" t="s">
        <v>74</v>
      </c>
      <c r="BM881" s="1" t="s">
        <v>74</v>
      </c>
      <c r="BN881" s="1" t="s">
        <v>74</v>
      </c>
      <c r="BO881" s="1" t="s">
        <v>74</v>
      </c>
      <c r="BP881" s="1" t="s">
        <v>74</v>
      </c>
      <c r="BQ881" s="1" t="s">
        <v>74</v>
      </c>
      <c r="BR881" s="1" t="s">
        <v>74</v>
      </c>
      <c r="BS881" s="1" t="s">
        <v>8230</v>
      </c>
      <c r="BT881" s="1" t="str">
        <f>HYPERLINK("https%3A%2F%2Fwww.webofscience.com%2Fwos%2Fwoscc%2Ffull-record%2FWOS:000221338900007","View Full Record in Web of Science")</f>
        <v>View Full Record in Web of Science</v>
      </c>
    </row>
    <row r="882" ht="12.75" customHeight="1">
      <c r="A882" s="1" t="s">
        <v>72</v>
      </c>
      <c r="B882" s="1" t="s">
        <v>8231</v>
      </c>
      <c r="C882" s="1" t="s">
        <v>74</v>
      </c>
      <c r="D882" s="1" t="s">
        <v>74</v>
      </c>
      <c r="E882" s="1" t="s">
        <v>74</v>
      </c>
      <c r="F882" s="1" t="s">
        <v>8231</v>
      </c>
      <c r="G882" s="1" t="s">
        <v>74</v>
      </c>
      <c r="H882" s="1" t="s">
        <v>74</v>
      </c>
      <c r="I882" s="1" t="s">
        <v>8232</v>
      </c>
      <c r="J882" s="1" t="s">
        <v>3083</v>
      </c>
      <c r="K882" s="1" t="s">
        <v>74</v>
      </c>
      <c r="L882" s="1" t="s">
        <v>74</v>
      </c>
      <c r="M882" s="1" t="s">
        <v>74</v>
      </c>
      <c r="N882" s="1" t="s">
        <v>74</v>
      </c>
      <c r="O882" s="1" t="s">
        <v>8233</v>
      </c>
      <c r="P882" s="1" t="s">
        <v>8234</v>
      </c>
      <c r="Q882" s="1" t="s">
        <v>2522</v>
      </c>
      <c r="R882" s="1" t="s">
        <v>74</v>
      </c>
      <c r="S882" s="1" t="s">
        <v>74</v>
      </c>
      <c r="T882" s="1" t="s">
        <v>74</v>
      </c>
      <c r="U882" s="1" t="s">
        <v>74</v>
      </c>
      <c r="V882" s="1" t="s">
        <v>8235</v>
      </c>
      <c r="W882" s="1" t="s">
        <v>74</v>
      </c>
      <c r="X882" s="1" t="s">
        <v>74</v>
      </c>
      <c r="Y882" s="1" t="s">
        <v>74</v>
      </c>
      <c r="Z882" s="1" t="s">
        <v>74</v>
      </c>
      <c r="AA882" s="1" t="s">
        <v>74</v>
      </c>
      <c r="AB882" s="1" t="s">
        <v>8236</v>
      </c>
      <c r="AC882" s="1" t="s">
        <v>74</v>
      </c>
      <c r="AD882" s="1" t="s">
        <v>74</v>
      </c>
      <c r="AE882" s="1" t="s">
        <v>74</v>
      </c>
      <c r="AF882" s="1" t="s">
        <v>74</v>
      </c>
      <c r="AG882" s="1" t="s">
        <v>74</v>
      </c>
      <c r="AH882" s="1" t="s">
        <v>74</v>
      </c>
      <c r="AI882" s="1" t="s">
        <v>74</v>
      </c>
      <c r="AJ882" s="1" t="s">
        <v>74</v>
      </c>
      <c r="AK882" s="1" t="s">
        <v>74</v>
      </c>
      <c r="AL882" s="1" t="s">
        <v>74</v>
      </c>
      <c r="AM882" s="1" t="s">
        <v>74</v>
      </c>
      <c r="AN882" s="1" t="s">
        <v>74</v>
      </c>
      <c r="AO882" s="1" t="s">
        <v>3087</v>
      </c>
      <c r="AP882" s="1" t="s">
        <v>74</v>
      </c>
      <c r="AQ882" s="1" t="s">
        <v>74</v>
      </c>
      <c r="AR882" s="1" t="s">
        <v>74</v>
      </c>
      <c r="AS882" s="1" t="s">
        <v>74</v>
      </c>
      <c r="AT882" s="1" t="s">
        <v>74</v>
      </c>
      <c r="AU882" s="1">
        <v>2004.0</v>
      </c>
      <c r="AV882" s="1">
        <v>37.0</v>
      </c>
      <c r="AW882" s="1">
        <v>2.0</v>
      </c>
      <c r="AX882" s="1" t="s">
        <v>74</v>
      </c>
      <c r="AY882" s="1" t="s">
        <v>74</v>
      </c>
      <c r="AZ882" s="1" t="s">
        <v>74</v>
      </c>
      <c r="BA882" s="1" t="s">
        <v>74</v>
      </c>
      <c r="BB882" s="1">
        <v>287.0</v>
      </c>
      <c r="BC882" s="1">
        <v>292.0</v>
      </c>
      <c r="BD882" s="1" t="s">
        <v>74</v>
      </c>
      <c r="BE882" s="1" t="s">
        <v>74</v>
      </c>
      <c r="BF882" s="1" t="s">
        <v>74</v>
      </c>
      <c r="BG882" s="1" t="s">
        <v>74</v>
      </c>
      <c r="BH882" s="1" t="s">
        <v>74</v>
      </c>
      <c r="BI882" s="1" t="s">
        <v>74</v>
      </c>
      <c r="BJ882" s="1" t="s">
        <v>74</v>
      </c>
      <c r="BK882" s="1" t="s">
        <v>74</v>
      </c>
      <c r="BL882" s="1" t="s">
        <v>74</v>
      </c>
      <c r="BM882" s="1" t="s">
        <v>74</v>
      </c>
      <c r="BN882" s="1">
        <v>1.5455658E7</v>
      </c>
      <c r="BO882" s="1" t="s">
        <v>74</v>
      </c>
      <c r="BP882" s="1" t="s">
        <v>74</v>
      </c>
      <c r="BQ882" s="1" t="s">
        <v>74</v>
      </c>
      <c r="BR882" s="1" t="s">
        <v>74</v>
      </c>
      <c r="BS882" s="1" t="s">
        <v>8237</v>
      </c>
      <c r="BT882" s="1" t="str">
        <f>HYPERLINK("https%3A%2F%2Fwww.webofscience.com%2Fwos%2Fwoscc%2Ffull-record%2FWOS:000224112200015","View Full Record in Web of Science")</f>
        <v>View Full Record in Web of Science</v>
      </c>
    </row>
    <row r="883" ht="12.75" customHeight="1">
      <c r="A883" s="1" t="s">
        <v>72</v>
      </c>
      <c r="B883" s="1" t="s">
        <v>8238</v>
      </c>
      <c r="C883" s="1" t="s">
        <v>74</v>
      </c>
      <c r="D883" s="1" t="s">
        <v>74</v>
      </c>
      <c r="E883" s="1" t="s">
        <v>74</v>
      </c>
      <c r="F883" s="1" t="s">
        <v>8238</v>
      </c>
      <c r="G883" s="1" t="s">
        <v>74</v>
      </c>
      <c r="H883" s="1" t="s">
        <v>74</v>
      </c>
      <c r="I883" s="1" t="s">
        <v>8239</v>
      </c>
      <c r="J883" s="1" t="s">
        <v>3348</v>
      </c>
      <c r="K883" s="1" t="s">
        <v>74</v>
      </c>
      <c r="L883" s="1" t="s">
        <v>74</v>
      </c>
      <c r="M883" s="1" t="s">
        <v>74</v>
      </c>
      <c r="N883" s="1" t="s">
        <v>74</v>
      </c>
      <c r="O883" s="1" t="s">
        <v>74</v>
      </c>
      <c r="P883" s="1" t="s">
        <v>74</v>
      </c>
      <c r="Q883" s="1" t="s">
        <v>74</v>
      </c>
      <c r="R883" s="1" t="s">
        <v>74</v>
      </c>
      <c r="S883" s="1" t="s">
        <v>74</v>
      </c>
      <c r="T883" s="1" t="s">
        <v>74</v>
      </c>
      <c r="U883" s="1" t="s">
        <v>74</v>
      </c>
      <c r="V883" s="1" t="s">
        <v>8240</v>
      </c>
      <c r="W883" s="1" t="s">
        <v>74</v>
      </c>
      <c r="X883" s="1" t="s">
        <v>74</v>
      </c>
      <c r="Y883" s="1" t="s">
        <v>74</v>
      </c>
      <c r="Z883" s="1" t="s">
        <v>74</v>
      </c>
      <c r="AA883" s="1" t="s">
        <v>74</v>
      </c>
      <c r="AB883" s="1" t="s">
        <v>74</v>
      </c>
      <c r="AC883" s="1" t="s">
        <v>74</v>
      </c>
      <c r="AD883" s="1" t="s">
        <v>74</v>
      </c>
      <c r="AE883" s="1" t="s">
        <v>74</v>
      </c>
      <c r="AF883" s="1" t="s">
        <v>74</v>
      </c>
      <c r="AG883" s="1" t="s">
        <v>74</v>
      </c>
      <c r="AH883" s="1" t="s">
        <v>74</v>
      </c>
      <c r="AI883" s="1" t="s">
        <v>74</v>
      </c>
      <c r="AJ883" s="1" t="s">
        <v>74</v>
      </c>
      <c r="AK883" s="1" t="s">
        <v>74</v>
      </c>
      <c r="AL883" s="1" t="s">
        <v>74</v>
      </c>
      <c r="AM883" s="1" t="s">
        <v>74</v>
      </c>
      <c r="AN883" s="1" t="s">
        <v>74</v>
      </c>
      <c r="AO883" s="1" t="s">
        <v>3352</v>
      </c>
      <c r="AP883" s="1" t="s">
        <v>74</v>
      </c>
      <c r="AQ883" s="1" t="s">
        <v>74</v>
      </c>
      <c r="AR883" s="1" t="s">
        <v>74</v>
      </c>
      <c r="AS883" s="1" t="s">
        <v>74</v>
      </c>
      <c r="AT883" s="1" t="s">
        <v>363</v>
      </c>
      <c r="AU883" s="1">
        <v>2003.0</v>
      </c>
      <c r="AV883" s="1">
        <v>26.0</v>
      </c>
      <c r="AW883" s="1">
        <v>10.0</v>
      </c>
      <c r="AX883" s="1" t="s">
        <v>74</v>
      </c>
      <c r="AY883" s="1" t="s">
        <v>74</v>
      </c>
      <c r="AZ883" s="1" t="s">
        <v>74</v>
      </c>
      <c r="BA883" s="1" t="s">
        <v>74</v>
      </c>
      <c r="BB883" s="1">
        <v>1599.0</v>
      </c>
      <c r="BC883" s="1">
        <v>1608.0</v>
      </c>
      <c r="BD883" s="1" t="s">
        <v>74</v>
      </c>
      <c r="BE883" s="1" t="s">
        <v>8241</v>
      </c>
      <c r="BF883" s="2" t="str">
        <f>HYPERLINK("http://dx.doi.org/10.1046/j.1365-3040.2003.01073.x","http://dx.doi.org/10.1046/j.1365-3040.2003.01073.x")</f>
        <v>http://dx.doi.org/10.1046/j.1365-3040.2003.01073.x</v>
      </c>
      <c r="BG883" s="1" t="s">
        <v>74</v>
      </c>
      <c r="BH883" s="1" t="s">
        <v>74</v>
      </c>
      <c r="BI883" s="1" t="s">
        <v>74</v>
      </c>
      <c r="BJ883" s="1" t="s">
        <v>74</v>
      </c>
      <c r="BK883" s="1" t="s">
        <v>74</v>
      </c>
      <c r="BL883" s="1" t="s">
        <v>74</v>
      </c>
      <c r="BM883" s="1" t="s">
        <v>74</v>
      </c>
      <c r="BN883" s="1" t="s">
        <v>74</v>
      </c>
      <c r="BO883" s="1" t="s">
        <v>74</v>
      </c>
      <c r="BP883" s="1" t="s">
        <v>74</v>
      </c>
      <c r="BQ883" s="1" t="s">
        <v>74</v>
      </c>
      <c r="BR883" s="1" t="s">
        <v>74</v>
      </c>
      <c r="BS883" s="1" t="s">
        <v>8242</v>
      </c>
      <c r="BT883" s="1" t="str">
        <f>HYPERLINK("https%3A%2F%2Fwww.webofscience.com%2Fwos%2Fwoscc%2Ffull-record%2FWOS:000185536000001","View Full Record in Web of Science")</f>
        <v>View Full Record in Web of Science</v>
      </c>
    </row>
    <row r="884" ht="12.75" customHeight="1">
      <c r="A884" s="1" t="s">
        <v>72</v>
      </c>
      <c r="B884" s="1" t="s">
        <v>8243</v>
      </c>
      <c r="C884" s="1" t="s">
        <v>74</v>
      </c>
      <c r="D884" s="1" t="s">
        <v>74</v>
      </c>
      <c r="E884" s="1" t="s">
        <v>74</v>
      </c>
      <c r="F884" s="1" t="s">
        <v>8243</v>
      </c>
      <c r="G884" s="1" t="s">
        <v>74</v>
      </c>
      <c r="H884" s="1" t="s">
        <v>74</v>
      </c>
      <c r="I884" s="1" t="s">
        <v>8244</v>
      </c>
      <c r="J884" s="1" t="s">
        <v>8245</v>
      </c>
      <c r="K884" s="1" t="s">
        <v>74</v>
      </c>
      <c r="L884" s="1" t="s">
        <v>74</v>
      </c>
      <c r="M884" s="1" t="s">
        <v>74</v>
      </c>
      <c r="N884" s="1" t="s">
        <v>74</v>
      </c>
      <c r="O884" s="1" t="s">
        <v>74</v>
      </c>
      <c r="P884" s="1" t="s">
        <v>74</v>
      </c>
      <c r="Q884" s="1" t="s">
        <v>74</v>
      </c>
      <c r="R884" s="1" t="s">
        <v>74</v>
      </c>
      <c r="S884" s="1" t="s">
        <v>74</v>
      </c>
      <c r="T884" s="1" t="s">
        <v>74</v>
      </c>
      <c r="U884" s="1" t="s">
        <v>74</v>
      </c>
      <c r="V884" s="1" t="s">
        <v>8246</v>
      </c>
      <c r="W884" s="1" t="s">
        <v>74</v>
      </c>
      <c r="X884" s="1" t="s">
        <v>74</v>
      </c>
      <c r="Y884" s="1" t="s">
        <v>74</v>
      </c>
      <c r="Z884" s="1" t="s">
        <v>74</v>
      </c>
      <c r="AA884" s="1" t="s">
        <v>8247</v>
      </c>
      <c r="AB884" s="1" t="s">
        <v>8248</v>
      </c>
      <c r="AC884" s="1" t="s">
        <v>74</v>
      </c>
      <c r="AD884" s="1" t="s">
        <v>74</v>
      </c>
      <c r="AE884" s="1" t="s">
        <v>74</v>
      </c>
      <c r="AF884" s="1" t="s">
        <v>74</v>
      </c>
      <c r="AG884" s="1" t="s">
        <v>74</v>
      </c>
      <c r="AH884" s="1" t="s">
        <v>74</v>
      </c>
      <c r="AI884" s="1" t="s">
        <v>74</v>
      </c>
      <c r="AJ884" s="1" t="s">
        <v>74</v>
      </c>
      <c r="AK884" s="1" t="s">
        <v>74</v>
      </c>
      <c r="AL884" s="1" t="s">
        <v>74</v>
      </c>
      <c r="AM884" s="1" t="s">
        <v>74</v>
      </c>
      <c r="AN884" s="1" t="s">
        <v>74</v>
      </c>
      <c r="AO884" s="1" t="s">
        <v>8249</v>
      </c>
      <c r="AP884" s="1" t="s">
        <v>74</v>
      </c>
      <c r="AQ884" s="1" t="s">
        <v>74</v>
      </c>
      <c r="AR884" s="1" t="s">
        <v>74</v>
      </c>
      <c r="AS884" s="1" t="s">
        <v>74</v>
      </c>
      <c r="AT884" s="1" t="s">
        <v>415</v>
      </c>
      <c r="AU884" s="1">
        <v>2002.0</v>
      </c>
      <c r="AV884" s="1">
        <v>44.0</v>
      </c>
      <c r="AW884" s="1">
        <v>12.0</v>
      </c>
      <c r="AX884" s="1" t="s">
        <v>74</v>
      </c>
      <c r="AY884" s="1" t="s">
        <v>74</v>
      </c>
      <c r="AZ884" s="1" t="s">
        <v>74</v>
      </c>
      <c r="BA884" s="1" t="s">
        <v>74</v>
      </c>
      <c r="BB884" s="1">
        <v>2857.0</v>
      </c>
      <c r="BC884" s="1">
        <v>2863.0</v>
      </c>
      <c r="BD884" s="1" t="s">
        <v>8250</v>
      </c>
      <c r="BE884" s="1" t="s">
        <v>8251</v>
      </c>
      <c r="BF884" s="2" t="str">
        <f>HYPERLINK("http://dx.doi.org/10.1016/S0010-938X(02)00084-7","http://dx.doi.org/10.1016/S0010-938X(02)00084-7")</f>
        <v>http://dx.doi.org/10.1016/S0010-938X(02)00084-7</v>
      </c>
      <c r="BG884" s="1" t="s">
        <v>74</v>
      </c>
      <c r="BH884" s="1" t="s">
        <v>74</v>
      </c>
      <c r="BI884" s="1" t="s">
        <v>74</v>
      </c>
      <c r="BJ884" s="1" t="s">
        <v>74</v>
      </c>
      <c r="BK884" s="1" t="s">
        <v>74</v>
      </c>
      <c r="BL884" s="1" t="s">
        <v>74</v>
      </c>
      <c r="BM884" s="1" t="s">
        <v>74</v>
      </c>
      <c r="BN884" s="1" t="s">
        <v>74</v>
      </c>
      <c r="BO884" s="1" t="s">
        <v>74</v>
      </c>
      <c r="BP884" s="1" t="s">
        <v>74</v>
      </c>
      <c r="BQ884" s="1" t="s">
        <v>74</v>
      </c>
      <c r="BR884" s="1" t="s">
        <v>74</v>
      </c>
      <c r="BS884" s="1" t="s">
        <v>8252</v>
      </c>
      <c r="BT884" s="1" t="str">
        <f>HYPERLINK("https%3A%2F%2Fwww.webofscience.com%2Fwos%2Fwoscc%2Ffull-record%2FWOS:000178148800014","View Full Record in Web of Science")</f>
        <v>View Full Record in Web of Science</v>
      </c>
    </row>
    <row r="885" ht="12.75" customHeight="1">
      <c r="A885" s="1" t="s">
        <v>72</v>
      </c>
      <c r="B885" s="1" t="s">
        <v>8253</v>
      </c>
      <c r="C885" s="1" t="s">
        <v>74</v>
      </c>
      <c r="D885" s="1" t="s">
        <v>74</v>
      </c>
      <c r="E885" s="1" t="s">
        <v>74</v>
      </c>
      <c r="F885" s="1" t="s">
        <v>8253</v>
      </c>
      <c r="G885" s="1" t="s">
        <v>74</v>
      </c>
      <c r="H885" s="1" t="s">
        <v>74</v>
      </c>
      <c r="I885" s="1" t="s">
        <v>8254</v>
      </c>
      <c r="J885" s="1" t="s">
        <v>2065</v>
      </c>
      <c r="K885" s="1" t="s">
        <v>74</v>
      </c>
      <c r="L885" s="1" t="s">
        <v>74</v>
      </c>
      <c r="M885" s="1" t="s">
        <v>74</v>
      </c>
      <c r="N885" s="1" t="s">
        <v>74</v>
      </c>
      <c r="O885" s="1" t="s">
        <v>74</v>
      </c>
      <c r="P885" s="1" t="s">
        <v>74</v>
      </c>
      <c r="Q885" s="1" t="s">
        <v>74</v>
      </c>
      <c r="R885" s="1" t="s">
        <v>74</v>
      </c>
      <c r="S885" s="1" t="s">
        <v>74</v>
      </c>
      <c r="T885" s="1" t="s">
        <v>74</v>
      </c>
      <c r="U885" s="1" t="s">
        <v>74</v>
      </c>
      <c r="V885" s="1" t="s">
        <v>8255</v>
      </c>
      <c r="W885" s="1" t="s">
        <v>74</v>
      </c>
      <c r="X885" s="1" t="s">
        <v>74</v>
      </c>
      <c r="Y885" s="1" t="s">
        <v>74</v>
      </c>
      <c r="Z885" s="1" t="s">
        <v>74</v>
      </c>
      <c r="AA885" s="1" t="s">
        <v>8256</v>
      </c>
      <c r="AB885" s="1" t="s">
        <v>8257</v>
      </c>
      <c r="AC885" s="1" t="s">
        <v>74</v>
      </c>
      <c r="AD885" s="1" t="s">
        <v>74</v>
      </c>
      <c r="AE885" s="1" t="s">
        <v>74</v>
      </c>
      <c r="AF885" s="1" t="s">
        <v>74</v>
      </c>
      <c r="AG885" s="1" t="s">
        <v>74</v>
      </c>
      <c r="AH885" s="1" t="s">
        <v>74</v>
      </c>
      <c r="AI885" s="1" t="s">
        <v>74</v>
      </c>
      <c r="AJ885" s="1" t="s">
        <v>74</v>
      </c>
      <c r="AK885" s="1" t="s">
        <v>74</v>
      </c>
      <c r="AL885" s="1" t="s">
        <v>74</v>
      </c>
      <c r="AM885" s="1" t="s">
        <v>74</v>
      </c>
      <c r="AN885" s="1" t="s">
        <v>74</v>
      </c>
      <c r="AO885" s="1" t="s">
        <v>6512</v>
      </c>
      <c r="AP885" s="1" t="s">
        <v>6513</v>
      </c>
      <c r="AQ885" s="1" t="s">
        <v>74</v>
      </c>
      <c r="AR885" s="1" t="s">
        <v>74</v>
      </c>
      <c r="AS885" s="1" t="s">
        <v>74</v>
      </c>
      <c r="AT885" s="1" t="s">
        <v>4247</v>
      </c>
      <c r="AU885" s="1">
        <v>1999.0</v>
      </c>
      <c r="AV885" s="1">
        <v>59.0</v>
      </c>
      <c r="AW885" s="1">
        <v>22.0</v>
      </c>
      <c r="AX885" s="1" t="s">
        <v>74</v>
      </c>
      <c r="AY885" s="1" t="s">
        <v>74</v>
      </c>
      <c r="AZ885" s="1" t="s">
        <v>74</v>
      </c>
      <c r="BA885" s="1" t="s">
        <v>74</v>
      </c>
      <c r="BB885" s="1">
        <v>14282.0</v>
      </c>
      <c r="BC885" s="1">
        <v>14301.0</v>
      </c>
      <c r="BD885" s="1" t="s">
        <v>74</v>
      </c>
      <c r="BE885" s="1" t="s">
        <v>8258</v>
      </c>
      <c r="BF885" s="2" t="str">
        <f>HYPERLINK("http://dx.doi.org/10.1103/PhysRevB.59.14282","http://dx.doi.org/10.1103/PhysRevB.59.14282")</f>
        <v>http://dx.doi.org/10.1103/PhysRevB.59.14282</v>
      </c>
      <c r="BG885" s="1" t="s">
        <v>74</v>
      </c>
      <c r="BH885" s="1" t="s">
        <v>74</v>
      </c>
      <c r="BI885" s="1" t="s">
        <v>74</v>
      </c>
      <c r="BJ885" s="1" t="s">
        <v>74</v>
      </c>
      <c r="BK885" s="1" t="s">
        <v>74</v>
      </c>
      <c r="BL885" s="1" t="s">
        <v>74</v>
      </c>
      <c r="BM885" s="1" t="s">
        <v>74</v>
      </c>
      <c r="BN885" s="1" t="s">
        <v>74</v>
      </c>
      <c r="BO885" s="1" t="s">
        <v>74</v>
      </c>
      <c r="BP885" s="1" t="s">
        <v>74</v>
      </c>
      <c r="BQ885" s="1" t="s">
        <v>74</v>
      </c>
      <c r="BR885" s="1" t="s">
        <v>74</v>
      </c>
      <c r="BS885" s="1" t="s">
        <v>8259</v>
      </c>
      <c r="BT885" s="1" t="str">
        <f>HYPERLINK("https%3A%2F%2Fwww.webofscience.com%2Fwos%2Fwoscc%2Ffull-record%2FWOS:000080780700022","View Full Record in Web of Science")</f>
        <v>View Full Record in Web of Science</v>
      </c>
    </row>
    <row r="886" ht="12.75" customHeight="1">
      <c r="A886" s="1" t="s">
        <v>72</v>
      </c>
      <c r="B886" s="1" t="s">
        <v>8260</v>
      </c>
      <c r="C886" s="1" t="s">
        <v>74</v>
      </c>
      <c r="D886" s="1" t="s">
        <v>74</v>
      </c>
      <c r="E886" s="1" t="s">
        <v>74</v>
      </c>
      <c r="F886" s="1" t="s">
        <v>8260</v>
      </c>
      <c r="G886" s="1" t="s">
        <v>74</v>
      </c>
      <c r="H886" s="1" t="s">
        <v>74</v>
      </c>
      <c r="I886" s="1" t="s">
        <v>8261</v>
      </c>
      <c r="J886" s="1" t="s">
        <v>6288</v>
      </c>
      <c r="K886" s="1" t="s">
        <v>74</v>
      </c>
      <c r="L886" s="1" t="s">
        <v>74</v>
      </c>
      <c r="M886" s="1" t="s">
        <v>74</v>
      </c>
      <c r="N886" s="1" t="s">
        <v>74</v>
      </c>
      <c r="O886" s="1" t="s">
        <v>74</v>
      </c>
      <c r="P886" s="1" t="s">
        <v>74</v>
      </c>
      <c r="Q886" s="1" t="s">
        <v>74</v>
      </c>
      <c r="R886" s="1" t="s">
        <v>74</v>
      </c>
      <c r="S886" s="1" t="s">
        <v>74</v>
      </c>
      <c r="T886" s="1" t="s">
        <v>74</v>
      </c>
      <c r="U886" s="1" t="s">
        <v>74</v>
      </c>
      <c r="V886" s="1" t="s">
        <v>8262</v>
      </c>
      <c r="W886" s="1" t="s">
        <v>74</v>
      </c>
      <c r="X886" s="1" t="s">
        <v>74</v>
      </c>
      <c r="Y886" s="1" t="s">
        <v>74</v>
      </c>
      <c r="Z886" s="1" t="s">
        <v>74</v>
      </c>
      <c r="AA886" s="1" t="s">
        <v>74</v>
      </c>
      <c r="AB886" s="1" t="s">
        <v>74</v>
      </c>
      <c r="AC886" s="1" t="s">
        <v>74</v>
      </c>
      <c r="AD886" s="1" t="s">
        <v>74</v>
      </c>
      <c r="AE886" s="1" t="s">
        <v>74</v>
      </c>
      <c r="AF886" s="1" t="s">
        <v>74</v>
      </c>
      <c r="AG886" s="1" t="s">
        <v>74</v>
      </c>
      <c r="AH886" s="1" t="s">
        <v>74</v>
      </c>
      <c r="AI886" s="1" t="s">
        <v>74</v>
      </c>
      <c r="AJ886" s="1" t="s">
        <v>74</v>
      </c>
      <c r="AK886" s="1" t="s">
        <v>74</v>
      </c>
      <c r="AL886" s="1" t="s">
        <v>74</v>
      </c>
      <c r="AM886" s="1" t="s">
        <v>74</v>
      </c>
      <c r="AN886" s="1" t="s">
        <v>74</v>
      </c>
      <c r="AO886" s="1" t="s">
        <v>6291</v>
      </c>
      <c r="AP886" s="1" t="s">
        <v>74</v>
      </c>
      <c r="AQ886" s="1" t="s">
        <v>74</v>
      </c>
      <c r="AR886" s="1" t="s">
        <v>74</v>
      </c>
      <c r="AS886" s="1" t="s">
        <v>74</v>
      </c>
      <c r="AT886" s="1" t="s">
        <v>74</v>
      </c>
      <c r="AU886" s="1">
        <v>1998.0</v>
      </c>
      <c r="AV886" s="1">
        <v>17.0</v>
      </c>
      <c r="AW886" s="1">
        <v>10.0</v>
      </c>
      <c r="AX886" s="1" t="s">
        <v>74</v>
      </c>
      <c r="AY886" s="1" t="s">
        <v>74</v>
      </c>
      <c r="AZ886" s="1" t="s">
        <v>74</v>
      </c>
      <c r="BA886" s="1" t="s">
        <v>74</v>
      </c>
      <c r="BB886" s="1">
        <v>1621.0</v>
      </c>
      <c r="BC886" s="1">
        <v>1625.0</v>
      </c>
      <c r="BD886" s="1" t="s">
        <v>74</v>
      </c>
      <c r="BE886" s="1" t="s">
        <v>8263</v>
      </c>
      <c r="BF886" s="2" t="str">
        <f>HYPERLINK("http://dx.doi.org/10.1016/S0277-5387(97)00465-8","http://dx.doi.org/10.1016/S0277-5387(97)00465-8")</f>
        <v>http://dx.doi.org/10.1016/S0277-5387(97)00465-8</v>
      </c>
      <c r="BG886" s="1" t="s">
        <v>74</v>
      </c>
      <c r="BH886" s="1" t="s">
        <v>74</v>
      </c>
      <c r="BI886" s="1" t="s">
        <v>74</v>
      </c>
      <c r="BJ886" s="1" t="s">
        <v>74</v>
      </c>
      <c r="BK886" s="1" t="s">
        <v>74</v>
      </c>
      <c r="BL886" s="1" t="s">
        <v>74</v>
      </c>
      <c r="BM886" s="1" t="s">
        <v>74</v>
      </c>
      <c r="BN886" s="1" t="s">
        <v>74</v>
      </c>
      <c r="BO886" s="1" t="s">
        <v>74</v>
      </c>
      <c r="BP886" s="1" t="s">
        <v>74</v>
      </c>
      <c r="BQ886" s="1" t="s">
        <v>74</v>
      </c>
      <c r="BR886" s="1" t="s">
        <v>74</v>
      </c>
      <c r="BS886" s="1" t="s">
        <v>8264</v>
      </c>
      <c r="BT886" s="1" t="str">
        <f>HYPERLINK("https%3A%2F%2Fwww.webofscience.com%2Fwos%2Fwoscc%2Ffull-record%2FWOS:000073948100004","View Full Record in Web of Science")</f>
        <v>View Full Record in Web of Science</v>
      </c>
    </row>
    <row r="887" ht="12.75" customHeight="1">
      <c r="A887" s="1" t="s">
        <v>72</v>
      </c>
      <c r="B887" s="1" t="s">
        <v>8265</v>
      </c>
      <c r="C887" s="1" t="s">
        <v>74</v>
      </c>
      <c r="D887" s="1" t="s">
        <v>74</v>
      </c>
      <c r="E887" s="1" t="s">
        <v>74</v>
      </c>
      <c r="F887" s="1" t="s">
        <v>8265</v>
      </c>
      <c r="G887" s="1" t="s">
        <v>74</v>
      </c>
      <c r="H887" s="1" t="s">
        <v>74</v>
      </c>
      <c r="I887" s="1" t="s">
        <v>8266</v>
      </c>
      <c r="J887" s="1" t="s">
        <v>8267</v>
      </c>
      <c r="K887" s="1" t="s">
        <v>74</v>
      </c>
      <c r="L887" s="1" t="s">
        <v>74</v>
      </c>
      <c r="M887" s="1" t="s">
        <v>74</v>
      </c>
      <c r="N887" s="1" t="s">
        <v>74</v>
      </c>
      <c r="O887" s="1" t="s">
        <v>74</v>
      </c>
      <c r="P887" s="1" t="s">
        <v>74</v>
      </c>
      <c r="Q887" s="1" t="s">
        <v>74</v>
      </c>
      <c r="R887" s="1" t="s">
        <v>74</v>
      </c>
      <c r="S887" s="1" t="s">
        <v>74</v>
      </c>
      <c r="T887" s="1" t="s">
        <v>74</v>
      </c>
      <c r="U887" s="1" t="s">
        <v>74</v>
      </c>
      <c r="V887" s="1" t="s">
        <v>74</v>
      </c>
      <c r="W887" s="1" t="s">
        <v>74</v>
      </c>
      <c r="X887" s="1" t="s">
        <v>74</v>
      </c>
      <c r="Y887" s="1" t="s">
        <v>74</v>
      </c>
      <c r="Z887" s="1" t="s">
        <v>74</v>
      </c>
      <c r="AA887" s="1" t="s">
        <v>8268</v>
      </c>
      <c r="AB887" s="1" t="s">
        <v>8269</v>
      </c>
      <c r="AC887" s="1" t="s">
        <v>74</v>
      </c>
      <c r="AD887" s="1" t="s">
        <v>74</v>
      </c>
      <c r="AE887" s="1" t="s">
        <v>74</v>
      </c>
      <c r="AF887" s="1" t="s">
        <v>74</v>
      </c>
      <c r="AG887" s="1" t="s">
        <v>74</v>
      </c>
      <c r="AH887" s="1" t="s">
        <v>74</v>
      </c>
      <c r="AI887" s="1" t="s">
        <v>74</v>
      </c>
      <c r="AJ887" s="1" t="s">
        <v>74</v>
      </c>
      <c r="AK887" s="1" t="s">
        <v>74</v>
      </c>
      <c r="AL887" s="1" t="s">
        <v>74</v>
      </c>
      <c r="AM887" s="1" t="s">
        <v>74</v>
      </c>
      <c r="AN887" s="1" t="s">
        <v>74</v>
      </c>
      <c r="AO887" s="1" t="s">
        <v>8270</v>
      </c>
      <c r="AP887" s="1" t="s">
        <v>8271</v>
      </c>
      <c r="AQ887" s="1" t="s">
        <v>74</v>
      </c>
      <c r="AR887" s="1" t="s">
        <v>74</v>
      </c>
      <c r="AS887" s="1" t="s">
        <v>74</v>
      </c>
      <c r="AT887" s="1" t="s">
        <v>621</v>
      </c>
      <c r="AU887" s="1">
        <v>1997.0</v>
      </c>
      <c r="AV887" s="1">
        <v>81.0</v>
      </c>
      <c r="AW887" s="1">
        <v>7.0</v>
      </c>
      <c r="AX887" s="1" t="s">
        <v>74</v>
      </c>
      <c r="AY887" s="1" t="s">
        <v>74</v>
      </c>
      <c r="AZ887" s="1" t="s">
        <v>74</v>
      </c>
      <c r="BA887" s="1" t="s">
        <v>74</v>
      </c>
      <c r="BB887" s="1">
        <v>830.0</v>
      </c>
      <c r="BC887" s="1">
        <v>830.0</v>
      </c>
      <c r="BD887" s="1" t="s">
        <v>74</v>
      </c>
      <c r="BE887" s="1" t="s">
        <v>8272</v>
      </c>
      <c r="BF887" s="2" t="str">
        <f>HYPERLINK("http://dx.doi.org/10.1094/PDIS.1997.81.7.830B","http://dx.doi.org/10.1094/PDIS.1997.81.7.830B")</f>
        <v>http://dx.doi.org/10.1094/PDIS.1997.81.7.830B</v>
      </c>
      <c r="BG887" s="1" t="s">
        <v>74</v>
      </c>
      <c r="BH887" s="1" t="s">
        <v>74</v>
      </c>
      <c r="BI887" s="1" t="s">
        <v>74</v>
      </c>
      <c r="BJ887" s="1" t="s">
        <v>74</v>
      </c>
      <c r="BK887" s="1" t="s">
        <v>74</v>
      </c>
      <c r="BL887" s="1" t="s">
        <v>74</v>
      </c>
      <c r="BM887" s="1" t="s">
        <v>74</v>
      </c>
      <c r="BN887" s="1">
        <v>3.0861904E7</v>
      </c>
      <c r="BO887" s="1" t="s">
        <v>74</v>
      </c>
      <c r="BP887" s="1" t="s">
        <v>74</v>
      </c>
      <c r="BQ887" s="1" t="s">
        <v>74</v>
      </c>
      <c r="BR887" s="1" t="s">
        <v>74</v>
      </c>
      <c r="BS887" s="1" t="s">
        <v>8273</v>
      </c>
      <c r="BT887" s="1" t="str">
        <f>HYPERLINK("https%3A%2F%2Fwww.webofscience.com%2Fwos%2Fwoscc%2Ffull-record%2FWOS:A1997XN28600030","View Full Record in Web of Science")</f>
        <v>View Full Record in Web of Science</v>
      </c>
    </row>
    <row r="888" ht="12.75" customHeight="1">
      <c r="A888" s="1" t="s">
        <v>72</v>
      </c>
      <c r="B888" s="1" t="s">
        <v>8274</v>
      </c>
      <c r="C888" s="1" t="s">
        <v>74</v>
      </c>
      <c r="D888" s="1" t="s">
        <v>74</v>
      </c>
      <c r="E888" s="1" t="s">
        <v>74</v>
      </c>
      <c r="F888" s="1" t="s">
        <v>8274</v>
      </c>
      <c r="G888" s="1" t="s">
        <v>74</v>
      </c>
      <c r="H888" s="1" t="s">
        <v>74</v>
      </c>
      <c r="I888" s="1" t="s">
        <v>8275</v>
      </c>
      <c r="J888" s="1" t="s">
        <v>5040</v>
      </c>
      <c r="K888" s="1" t="s">
        <v>74</v>
      </c>
      <c r="L888" s="1" t="s">
        <v>74</v>
      </c>
      <c r="M888" s="1" t="s">
        <v>74</v>
      </c>
      <c r="N888" s="1" t="s">
        <v>74</v>
      </c>
      <c r="O888" s="1" t="s">
        <v>74</v>
      </c>
      <c r="P888" s="1" t="s">
        <v>74</v>
      </c>
      <c r="Q888" s="1" t="s">
        <v>74</v>
      </c>
      <c r="R888" s="1" t="s">
        <v>74</v>
      </c>
      <c r="S888" s="1" t="s">
        <v>74</v>
      </c>
      <c r="T888" s="1" t="s">
        <v>74</v>
      </c>
      <c r="U888" s="1" t="s">
        <v>74</v>
      </c>
      <c r="V888" s="1" t="s">
        <v>74</v>
      </c>
      <c r="W888" s="1" t="s">
        <v>74</v>
      </c>
      <c r="X888" s="1" t="s">
        <v>74</v>
      </c>
      <c r="Y888" s="1" t="s">
        <v>74</v>
      </c>
      <c r="Z888" s="1" t="s">
        <v>74</v>
      </c>
      <c r="AA888" s="1" t="s">
        <v>74</v>
      </c>
      <c r="AB888" s="1" t="s">
        <v>74</v>
      </c>
      <c r="AC888" s="1" t="s">
        <v>74</v>
      </c>
      <c r="AD888" s="1" t="s">
        <v>74</v>
      </c>
      <c r="AE888" s="1" t="s">
        <v>74</v>
      </c>
      <c r="AF888" s="1" t="s">
        <v>74</v>
      </c>
      <c r="AG888" s="1" t="s">
        <v>74</v>
      </c>
      <c r="AH888" s="1" t="s">
        <v>74</v>
      </c>
      <c r="AI888" s="1" t="s">
        <v>74</v>
      </c>
      <c r="AJ888" s="1" t="s">
        <v>74</v>
      </c>
      <c r="AK888" s="1" t="s">
        <v>74</v>
      </c>
      <c r="AL888" s="1" t="s">
        <v>74</v>
      </c>
      <c r="AM888" s="1" t="s">
        <v>74</v>
      </c>
      <c r="AN888" s="1" t="s">
        <v>74</v>
      </c>
      <c r="AO888" s="1" t="s">
        <v>5041</v>
      </c>
      <c r="AP888" s="1" t="s">
        <v>8276</v>
      </c>
      <c r="AQ888" s="1" t="s">
        <v>74</v>
      </c>
      <c r="AR888" s="1" t="s">
        <v>74</v>
      </c>
      <c r="AS888" s="1" t="s">
        <v>74</v>
      </c>
      <c r="AT888" s="1" t="s">
        <v>8277</v>
      </c>
      <c r="AU888" s="1">
        <v>1996.0</v>
      </c>
      <c r="AV888" s="1">
        <v>35.0</v>
      </c>
      <c r="AW888" s="1">
        <v>1.0</v>
      </c>
      <c r="AX888" s="1" t="s">
        <v>74</v>
      </c>
      <c r="AY888" s="1" t="s">
        <v>74</v>
      </c>
      <c r="AZ888" s="1" t="s">
        <v>74</v>
      </c>
      <c r="BA888" s="1" t="s">
        <v>74</v>
      </c>
      <c r="BB888" s="1">
        <v>263.0</v>
      </c>
      <c r="BC888" s="1">
        <v>266.0</v>
      </c>
      <c r="BD888" s="1" t="s">
        <v>74</v>
      </c>
      <c r="BE888" s="1" t="s">
        <v>8278</v>
      </c>
      <c r="BF888" s="2" t="str">
        <f>HYPERLINK("http://dx.doi.org/10.1021/ic950219s","http://dx.doi.org/10.1021/ic950219s")</f>
        <v>http://dx.doi.org/10.1021/ic950219s</v>
      </c>
      <c r="BG888" s="1" t="s">
        <v>74</v>
      </c>
      <c r="BH888" s="1" t="s">
        <v>74</v>
      </c>
      <c r="BI888" s="1" t="s">
        <v>74</v>
      </c>
      <c r="BJ888" s="1" t="s">
        <v>74</v>
      </c>
      <c r="BK888" s="1" t="s">
        <v>74</v>
      </c>
      <c r="BL888" s="1" t="s">
        <v>74</v>
      </c>
      <c r="BM888" s="1" t="s">
        <v>74</v>
      </c>
      <c r="BN888" s="1">
        <v>1.1666198E7</v>
      </c>
      <c r="BO888" s="1" t="s">
        <v>74</v>
      </c>
      <c r="BP888" s="1" t="s">
        <v>74</v>
      </c>
      <c r="BQ888" s="1" t="s">
        <v>74</v>
      </c>
      <c r="BR888" s="1" t="s">
        <v>74</v>
      </c>
      <c r="BS888" s="1" t="s">
        <v>8279</v>
      </c>
      <c r="BT888" s="1" t="str">
        <f>HYPERLINK("https%3A%2F%2Fwww.webofscience.com%2Fwos%2Fwoscc%2Ffull-record%2FWOS:A1996TP07200046","View Full Record in Web of Science")</f>
        <v>View Full Record in Web of Science</v>
      </c>
    </row>
    <row r="889" ht="12.75" customHeight="1">
      <c r="A889" s="1" t="s">
        <v>72</v>
      </c>
      <c r="B889" s="1" t="s">
        <v>8280</v>
      </c>
      <c r="C889" s="1" t="s">
        <v>74</v>
      </c>
      <c r="D889" s="1" t="s">
        <v>74</v>
      </c>
      <c r="E889" s="1" t="s">
        <v>74</v>
      </c>
      <c r="F889" s="1" t="s">
        <v>8280</v>
      </c>
      <c r="G889" s="1" t="s">
        <v>74</v>
      </c>
      <c r="H889" s="1" t="s">
        <v>74</v>
      </c>
      <c r="I889" s="1" t="s">
        <v>8281</v>
      </c>
      <c r="J889" s="1" t="s">
        <v>8282</v>
      </c>
      <c r="K889" s="1" t="s">
        <v>74</v>
      </c>
      <c r="L889" s="1" t="s">
        <v>74</v>
      </c>
      <c r="M889" s="1" t="s">
        <v>74</v>
      </c>
      <c r="N889" s="1" t="s">
        <v>74</v>
      </c>
      <c r="O889" s="1" t="s">
        <v>74</v>
      </c>
      <c r="P889" s="1" t="s">
        <v>74</v>
      </c>
      <c r="Q889" s="1" t="s">
        <v>74</v>
      </c>
      <c r="R889" s="1" t="s">
        <v>74</v>
      </c>
      <c r="S889" s="1" t="s">
        <v>74</v>
      </c>
      <c r="T889" s="1" t="s">
        <v>74</v>
      </c>
      <c r="U889" s="1" t="s">
        <v>74</v>
      </c>
      <c r="V889" s="1" t="s">
        <v>74</v>
      </c>
      <c r="W889" s="1" t="s">
        <v>74</v>
      </c>
      <c r="X889" s="1" t="s">
        <v>74</v>
      </c>
      <c r="Y889" s="1" t="s">
        <v>74</v>
      </c>
      <c r="Z889" s="1" t="s">
        <v>74</v>
      </c>
      <c r="AA889" s="1" t="s">
        <v>74</v>
      </c>
      <c r="AB889" s="1" t="s">
        <v>74</v>
      </c>
      <c r="AC889" s="1" t="s">
        <v>74</v>
      </c>
      <c r="AD889" s="1" t="s">
        <v>74</v>
      </c>
      <c r="AE889" s="1" t="s">
        <v>74</v>
      </c>
      <c r="AF889" s="1" t="s">
        <v>74</v>
      </c>
      <c r="AG889" s="1" t="s">
        <v>74</v>
      </c>
      <c r="AH889" s="1" t="s">
        <v>74</v>
      </c>
      <c r="AI889" s="1" t="s">
        <v>74</v>
      </c>
      <c r="AJ889" s="1" t="s">
        <v>74</v>
      </c>
      <c r="AK889" s="1" t="s">
        <v>74</v>
      </c>
      <c r="AL889" s="1" t="s">
        <v>74</v>
      </c>
      <c r="AM889" s="1" t="s">
        <v>74</v>
      </c>
      <c r="AN889" s="1" t="s">
        <v>74</v>
      </c>
      <c r="AO889" s="1" t="s">
        <v>8283</v>
      </c>
      <c r="AP889" s="1" t="s">
        <v>74</v>
      </c>
      <c r="AQ889" s="1" t="s">
        <v>74</v>
      </c>
      <c r="AR889" s="1" t="s">
        <v>74</v>
      </c>
      <c r="AS889" s="1" t="s">
        <v>74</v>
      </c>
      <c r="AT889" s="1" t="s">
        <v>122</v>
      </c>
      <c r="AU889" s="1">
        <v>1995.0</v>
      </c>
      <c r="AV889" s="1">
        <v>26.0</v>
      </c>
      <c r="AW889" s="1">
        <v>8.0</v>
      </c>
      <c r="AX889" s="1" t="s">
        <v>74</v>
      </c>
      <c r="AY889" s="1" t="s">
        <v>74</v>
      </c>
      <c r="AZ889" s="1" t="s">
        <v>74</v>
      </c>
      <c r="BA889" s="1" t="s">
        <v>74</v>
      </c>
      <c r="BB889" s="1">
        <v>929.0</v>
      </c>
      <c r="BC889" s="1">
        <v>930.0</v>
      </c>
      <c r="BD889" s="1" t="s">
        <v>74</v>
      </c>
      <c r="BE889" s="1" t="s">
        <v>8284</v>
      </c>
      <c r="BF889" s="2" t="str">
        <f>HYPERLINK("http://dx.doi.org/10.1016/0046-8177(95)90020-9","http://dx.doi.org/10.1016/0046-8177(95)90020-9")</f>
        <v>http://dx.doi.org/10.1016/0046-8177(95)90020-9</v>
      </c>
      <c r="BG889" s="1" t="s">
        <v>74</v>
      </c>
      <c r="BH889" s="1" t="s">
        <v>74</v>
      </c>
      <c r="BI889" s="1" t="s">
        <v>74</v>
      </c>
      <c r="BJ889" s="1" t="s">
        <v>74</v>
      </c>
      <c r="BK889" s="1" t="s">
        <v>74</v>
      </c>
      <c r="BL889" s="1" t="s">
        <v>74</v>
      </c>
      <c r="BM889" s="1" t="s">
        <v>74</v>
      </c>
      <c r="BN889" s="1" t="s">
        <v>74</v>
      </c>
      <c r="BO889" s="1" t="s">
        <v>74</v>
      </c>
      <c r="BP889" s="1" t="s">
        <v>74</v>
      </c>
      <c r="BQ889" s="1" t="s">
        <v>74</v>
      </c>
      <c r="BR889" s="1" t="s">
        <v>74</v>
      </c>
      <c r="BS889" s="1" t="s">
        <v>8285</v>
      </c>
      <c r="BT889" s="1" t="str">
        <f>HYPERLINK("https%3A%2F%2Fwww.webofscience.com%2Fwos%2Fwoscc%2Ffull-record%2FWOS:A1995RN51900021","View Full Record in Web of Science")</f>
        <v>View Full Record in Web of Science</v>
      </c>
    </row>
    <row r="890" ht="12.75" customHeight="1">
      <c r="A890" s="1" t="s">
        <v>72</v>
      </c>
      <c r="B890" s="1" t="s">
        <v>8286</v>
      </c>
      <c r="C890" s="1" t="s">
        <v>74</v>
      </c>
      <c r="D890" s="1" t="s">
        <v>74</v>
      </c>
      <c r="E890" s="1" t="s">
        <v>74</v>
      </c>
      <c r="F890" s="1" t="s">
        <v>8286</v>
      </c>
      <c r="G890" s="1" t="s">
        <v>74</v>
      </c>
      <c r="H890" s="1" t="s">
        <v>74</v>
      </c>
      <c r="I890" s="1" t="s">
        <v>8287</v>
      </c>
      <c r="J890" s="1" t="s">
        <v>8288</v>
      </c>
      <c r="K890" s="1" t="s">
        <v>74</v>
      </c>
      <c r="L890" s="1" t="s">
        <v>74</v>
      </c>
      <c r="M890" s="1" t="s">
        <v>74</v>
      </c>
      <c r="N890" s="1" t="s">
        <v>74</v>
      </c>
      <c r="O890" s="1" t="s">
        <v>74</v>
      </c>
      <c r="P890" s="1" t="s">
        <v>74</v>
      </c>
      <c r="Q890" s="1" t="s">
        <v>74</v>
      </c>
      <c r="R890" s="1" t="s">
        <v>74</v>
      </c>
      <c r="S890" s="1" t="s">
        <v>74</v>
      </c>
      <c r="T890" s="1" t="s">
        <v>74</v>
      </c>
      <c r="U890" s="1" t="s">
        <v>74</v>
      </c>
      <c r="V890" s="1" t="s">
        <v>74</v>
      </c>
      <c r="W890" s="1" t="s">
        <v>74</v>
      </c>
      <c r="X890" s="1" t="s">
        <v>74</v>
      </c>
      <c r="Y890" s="1" t="s">
        <v>74</v>
      </c>
      <c r="Z890" s="1" t="s">
        <v>74</v>
      </c>
      <c r="AA890" s="1" t="s">
        <v>74</v>
      </c>
      <c r="AB890" s="1" t="s">
        <v>74</v>
      </c>
      <c r="AC890" s="1" t="s">
        <v>74</v>
      </c>
      <c r="AD890" s="1" t="s">
        <v>74</v>
      </c>
      <c r="AE890" s="1" t="s">
        <v>74</v>
      </c>
      <c r="AF890" s="1" t="s">
        <v>74</v>
      </c>
      <c r="AG890" s="1" t="s">
        <v>74</v>
      </c>
      <c r="AH890" s="1" t="s">
        <v>74</v>
      </c>
      <c r="AI890" s="1" t="s">
        <v>74</v>
      </c>
      <c r="AJ890" s="1" t="s">
        <v>74</v>
      </c>
      <c r="AK890" s="1" t="s">
        <v>74</v>
      </c>
      <c r="AL890" s="1" t="s">
        <v>74</v>
      </c>
      <c r="AM890" s="1" t="s">
        <v>74</v>
      </c>
      <c r="AN890" s="1" t="s">
        <v>74</v>
      </c>
      <c r="AO890" s="1" t="s">
        <v>8289</v>
      </c>
      <c r="AP890" s="1" t="s">
        <v>74</v>
      </c>
      <c r="AQ890" s="1" t="s">
        <v>74</v>
      </c>
      <c r="AR890" s="1" t="s">
        <v>74</v>
      </c>
      <c r="AS890" s="1" t="s">
        <v>74</v>
      </c>
      <c r="AT890" s="1" t="s">
        <v>74</v>
      </c>
      <c r="AU890" s="1">
        <v>1984.0</v>
      </c>
      <c r="AV890" s="1">
        <v>29.0</v>
      </c>
      <c r="AW890" s="1">
        <v>12.0</v>
      </c>
      <c r="AX890" s="1" t="s">
        <v>74</v>
      </c>
      <c r="AY890" s="1" t="s">
        <v>74</v>
      </c>
      <c r="AZ890" s="1" t="s">
        <v>74</v>
      </c>
      <c r="BA890" s="1" t="s">
        <v>74</v>
      </c>
      <c r="BB890" s="1">
        <v>1114.0</v>
      </c>
      <c r="BC890" s="1">
        <v>1118.0</v>
      </c>
      <c r="BD890" s="1" t="s">
        <v>74</v>
      </c>
      <c r="BE890" s="1" t="s">
        <v>8290</v>
      </c>
      <c r="BF890" s="2" t="str">
        <f>HYPERLINK("http://dx.doi.org/10.1109/TAC.1984.1103443","http://dx.doi.org/10.1109/TAC.1984.1103443")</f>
        <v>http://dx.doi.org/10.1109/TAC.1984.1103443</v>
      </c>
      <c r="BG890" s="1" t="s">
        <v>74</v>
      </c>
      <c r="BH890" s="1" t="s">
        <v>74</v>
      </c>
      <c r="BI890" s="1" t="s">
        <v>74</v>
      </c>
      <c r="BJ890" s="1" t="s">
        <v>74</v>
      </c>
      <c r="BK890" s="1" t="s">
        <v>74</v>
      </c>
      <c r="BL890" s="1" t="s">
        <v>74</v>
      </c>
      <c r="BM890" s="1" t="s">
        <v>74</v>
      </c>
      <c r="BN890" s="1" t="s">
        <v>74</v>
      </c>
      <c r="BO890" s="1" t="s">
        <v>74</v>
      </c>
      <c r="BP890" s="1" t="s">
        <v>74</v>
      </c>
      <c r="BQ890" s="1" t="s">
        <v>74</v>
      </c>
      <c r="BR890" s="1" t="s">
        <v>74</v>
      </c>
      <c r="BS890" s="1" t="s">
        <v>8291</v>
      </c>
      <c r="BT890" s="1" t="str">
        <f>HYPERLINK("https%3A%2F%2Fwww.webofscience.com%2Fwos%2Fwoscc%2Ffull-record%2FWOS:A1984TV12600014","View Full Record in Web of Science")</f>
        <v>View Full Record in Web of Science</v>
      </c>
    </row>
    <row r="891" ht="12.75" customHeight="1">
      <c r="A891" s="1" t="s">
        <v>72</v>
      </c>
      <c r="B891" s="1" t="s">
        <v>8292</v>
      </c>
      <c r="C891" s="1" t="s">
        <v>74</v>
      </c>
      <c r="D891" s="1" t="s">
        <v>74</v>
      </c>
      <c r="E891" s="1" t="s">
        <v>74</v>
      </c>
      <c r="F891" s="1" t="s">
        <v>8293</v>
      </c>
      <c r="G891" s="1" t="s">
        <v>74</v>
      </c>
      <c r="H891" s="1" t="s">
        <v>74</v>
      </c>
      <c r="I891" s="1" t="s">
        <v>8294</v>
      </c>
      <c r="J891" s="1" t="s">
        <v>8295</v>
      </c>
      <c r="K891" s="1" t="s">
        <v>74</v>
      </c>
      <c r="L891" s="1" t="s">
        <v>74</v>
      </c>
      <c r="M891" s="1" t="s">
        <v>74</v>
      </c>
      <c r="N891" s="1" t="s">
        <v>74</v>
      </c>
      <c r="O891" s="1" t="s">
        <v>74</v>
      </c>
      <c r="P891" s="1" t="s">
        <v>74</v>
      </c>
      <c r="Q891" s="1" t="s">
        <v>74</v>
      </c>
      <c r="R891" s="1" t="s">
        <v>74</v>
      </c>
      <c r="S891" s="1" t="s">
        <v>74</v>
      </c>
      <c r="T891" s="1" t="s">
        <v>74</v>
      </c>
      <c r="U891" s="1" t="s">
        <v>74</v>
      </c>
      <c r="V891" s="1" t="s">
        <v>8296</v>
      </c>
      <c r="W891" s="1" t="s">
        <v>74</v>
      </c>
      <c r="X891" s="1" t="s">
        <v>74</v>
      </c>
      <c r="Y891" s="1" t="s">
        <v>74</v>
      </c>
      <c r="Z891" s="1" t="s">
        <v>74</v>
      </c>
      <c r="AA891" s="1" t="s">
        <v>8297</v>
      </c>
      <c r="AB891" s="1" t="s">
        <v>8298</v>
      </c>
      <c r="AC891" s="1" t="s">
        <v>74</v>
      </c>
      <c r="AD891" s="1" t="s">
        <v>74</v>
      </c>
      <c r="AE891" s="1" t="s">
        <v>74</v>
      </c>
      <c r="AF891" s="1" t="s">
        <v>74</v>
      </c>
      <c r="AG891" s="1" t="s">
        <v>74</v>
      </c>
      <c r="AH891" s="1" t="s">
        <v>74</v>
      </c>
      <c r="AI891" s="1" t="s">
        <v>74</v>
      </c>
      <c r="AJ891" s="1" t="s">
        <v>74</v>
      </c>
      <c r="AK891" s="1" t="s">
        <v>74</v>
      </c>
      <c r="AL891" s="1" t="s">
        <v>74</v>
      </c>
      <c r="AM891" s="1" t="s">
        <v>74</v>
      </c>
      <c r="AN891" s="1" t="s">
        <v>74</v>
      </c>
      <c r="AO891" s="1" t="s">
        <v>8299</v>
      </c>
      <c r="AP891" s="1" t="s">
        <v>74</v>
      </c>
      <c r="AQ891" s="1" t="s">
        <v>74</v>
      </c>
      <c r="AR891" s="1" t="s">
        <v>74</v>
      </c>
      <c r="AS891" s="1" t="s">
        <v>74</v>
      </c>
      <c r="AT891" s="1" t="s">
        <v>8300</v>
      </c>
      <c r="AU891" s="1">
        <v>2024.0</v>
      </c>
      <c r="AV891" s="1">
        <v>10.0</v>
      </c>
      <c r="AW891" s="1">
        <v>1.0</v>
      </c>
      <c r="AX891" s="1" t="s">
        <v>74</v>
      </c>
      <c r="AY891" s="1" t="s">
        <v>74</v>
      </c>
      <c r="AZ891" s="1" t="s">
        <v>74</v>
      </c>
      <c r="BA891" s="1" t="s">
        <v>74</v>
      </c>
      <c r="BB891" s="1" t="s">
        <v>74</v>
      </c>
      <c r="BC891" s="1" t="s">
        <v>74</v>
      </c>
      <c r="BD891" s="1">
        <v>2302803.0</v>
      </c>
      <c r="BE891" s="1" t="s">
        <v>8301</v>
      </c>
      <c r="BF891" s="2" t="str">
        <f>HYPERLINK("http://dx.doi.org/10.1080/23311886.2024.2302803","http://dx.doi.org/10.1080/23311886.2024.2302803")</f>
        <v>http://dx.doi.org/10.1080/23311886.2024.2302803</v>
      </c>
      <c r="BG891" s="1" t="s">
        <v>74</v>
      </c>
      <c r="BH891" s="1" t="s">
        <v>74</v>
      </c>
      <c r="BI891" s="1" t="s">
        <v>74</v>
      </c>
      <c r="BJ891" s="1" t="s">
        <v>74</v>
      </c>
      <c r="BK891" s="1" t="s">
        <v>74</v>
      </c>
      <c r="BL891" s="1" t="s">
        <v>74</v>
      </c>
      <c r="BM891" s="1" t="s">
        <v>74</v>
      </c>
      <c r="BN891" s="1" t="s">
        <v>74</v>
      </c>
      <c r="BO891" s="1" t="s">
        <v>74</v>
      </c>
      <c r="BP891" s="1" t="s">
        <v>74</v>
      </c>
      <c r="BQ891" s="1" t="s">
        <v>74</v>
      </c>
      <c r="BR891" s="1" t="s">
        <v>74</v>
      </c>
      <c r="BS891" s="1" t="s">
        <v>8302</v>
      </c>
      <c r="BT891" s="1" t="str">
        <f>HYPERLINK("https%3A%2F%2Fwww.webofscience.com%2Fwos%2Fwoscc%2Ffull-record%2FWOS:001151134100001","View Full Record in Web of Science")</f>
        <v>View Full Record in Web of Science</v>
      </c>
    </row>
    <row r="892" ht="12.75" customHeight="1">
      <c r="A892" s="1" t="s">
        <v>72</v>
      </c>
      <c r="B892" s="1" t="s">
        <v>8303</v>
      </c>
      <c r="C892" s="1" t="s">
        <v>74</v>
      </c>
      <c r="D892" s="1" t="s">
        <v>74</v>
      </c>
      <c r="E892" s="1" t="s">
        <v>74</v>
      </c>
      <c r="F892" s="1" t="s">
        <v>8304</v>
      </c>
      <c r="G892" s="1" t="s">
        <v>74</v>
      </c>
      <c r="H892" s="1" t="s">
        <v>74</v>
      </c>
      <c r="I892" s="1" t="s">
        <v>8305</v>
      </c>
      <c r="J892" s="1" t="s">
        <v>8306</v>
      </c>
      <c r="K892" s="1" t="s">
        <v>74</v>
      </c>
      <c r="L892" s="1" t="s">
        <v>74</v>
      </c>
      <c r="M892" s="1" t="s">
        <v>74</v>
      </c>
      <c r="N892" s="1" t="s">
        <v>74</v>
      </c>
      <c r="O892" s="1" t="s">
        <v>74</v>
      </c>
      <c r="P892" s="1" t="s">
        <v>74</v>
      </c>
      <c r="Q892" s="1" t="s">
        <v>74</v>
      </c>
      <c r="R892" s="1" t="s">
        <v>74</v>
      </c>
      <c r="S892" s="1" t="s">
        <v>74</v>
      </c>
      <c r="T892" s="1" t="s">
        <v>74</v>
      </c>
      <c r="U892" s="1" t="s">
        <v>74</v>
      </c>
      <c r="V892" s="1" t="s">
        <v>8307</v>
      </c>
      <c r="W892" s="1" t="s">
        <v>74</v>
      </c>
      <c r="X892" s="1" t="s">
        <v>74</v>
      </c>
      <c r="Y892" s="1" t="s">
        <v>74</v>
      </c>
      <c r="Z892" s="1" t="s">
        <v>74</v>
      </c>
      <c r="AA892" s="1" t="s">
        <v>8308</v>
      </c>
      <c r="AB892" s="1" t="s">
        <v>8309</v>
      </c>
      <c r="AC892" s="1" t="s">
        <v>74</v>
      </c>
      <c r="AD892" s="1" t="s">
        <v>74</v>
      </c>
      <c r="AE892" s="1" t="s">
        <v>74</v>
      </c>
      <c r="AF892" s="1" t="s">
        <v>74</v>
      </c>
      <c r="AG892" s="1" t="s">
        <v>74</v>
      </c>
      <c r="AH892" s="1" t="s">
        <v>74</v>
      </c>
      <c r="AI892" s="1" t="s">
        <v>74</v>
      </c>
      <c r="AJ892" s="1" t="s">
        <v>74</v>
      </c>
      <c r="AK892" s="1" t="s">
        <v>74</v>
      </c>
      <c r="AL892" s="1" t="s">
        <v>74</v>
      </c>
      <c r="AM892" s="1" t="s">
        <v>74</v>
      </c>
      <c r="AN892" s="1" t="s">
        <v>74</v>
      </c>
      <c r="AO892" s="1" t="s">
        <v>8310</v>
      </c>
      <c r="AP892" s="1" t="s">
        <v>8311</v>
      </c>
      <c r="AQ892" s="1" t="s">
        <v>74</v>
      </c>
      <c r="AR892" s="1" t="s">
        <v>74</v>
      </c>
      <c r="AS892" s="1" t="s">
        <v>74</v>
      </c>
      <c r="AT892" s="1" t="s">
        <v>930</v>
      </c>
      <c r="AU892" s="1">
        <v>2024.0</v>
      </c>
      <c r="AV892" s="1">
        <v>37.0</v>
      </c>
      <c r="AW892" s="1">
        <v>4.0</v>
      </c>
      <c r="AX892" s="1" t="s">
        <v>74</v>
      </c>
      <c r="AY892" s="1" t="s">
        <v>74</v>
      </c>
      <c r="AZ892" s="1" t="s">
        <v>74</v>
      </c>
      <c r="BA892" s="1" t="s">
        <v>74</v>
      </c>
      <c r="BB892" s="1">
        <v>403.0</v>
      </c>
      <c r="BC892" s="1">
        <v>414.0</v>
      </c>
      <c r="BD892" s="1" t="s">
        <v>74</v>
      </c>
      <c r="BE892" s="1" t="s">
        <v>8312</v>
      </c>
      <c r="BF892" s="2" t="str">
        <f>HYPERLINK("http://dx.doi.org/10.17533/udea.iatreia.265","http://dx.doi.org/10.17533/udea.iatreia.265")</f>
        <v>http://dx.doi.org/10.17533/udea.iatreia.265</v>
      </c>
      <c r="BG892" s="1" t="s">
        <v>74</v>
      </c>
      <c r="BH892" s="1" t="s">
        <v>74</v>
      </c>
      <c r="BI892" s="1" t="s">
        <v>74</v>
      </c>
      <c r="BJ892" s="1" t="s">
        <v>74</v>
      </c>
      <c r="BK892" s="1" t="s">
        <v>74</v>
      </c>
      <c r="BL892" s="1" t="s">
        <v>74</v>
      </c>
      <c r="BM892" s="1" t="s">
        <v>74</v>
      </c>
      <c r="BN892" s="1" t="s">
        <v>74</v>
      </c>
      <c r="BO892" s="1" t="s">
        <v>74</v>
      </c>
      <c r="BP892" s="1" t="s">
        <v>74</v>
      </c>
      <c r="BQ892" s="1" t="s">
        <v>74</v>
      </c>
      <c r="BR892" s="1" t="s">
        <v>74</v>
      </c>
      <c r="BS892" s="1" t="s">
        <v>8313</v>
      </c>
      <c r="BT892" s="1" t="str">
        <f>HYPERLINK("https%3A%2F%2Fwww.webofscience.com%2Fwos%2Fwoscc%2Ffull-record%2FWOS:001333494300002","View Full Record in Web of Science")</f>
        <v>View Full Record in Web of Science</v>
      </c>
    </row>
    <row r="893" ht="12.75" customHeight="1">
      <c r="A893" s="1" t="s">
        <v>72</v>
      </c>
      <c r="B893" s="1" t="s">
        <v>8314</v>
      </c>
      <c r="C893" s="1" t="s">
        <v>74</v>
      </c>
      <c r="D893" s="1" t="s">
        <v>74</v>
      </c>
      <c r="E893" s="1" t="s">
        <v>74</v>
      </c>
      <c r="F893" s="1" t="s">
        <v>8315</v>
      </c>
      <c r="G893" s="1" t="s">
        <v>74</v>
      </c>
      <c r="H893" s="1" t="s">
        <v>74</v>
      </c>
      <c r="I893" s="1" t="s">
        <v>8316</v>
      </c>
      <c r="J893" s="1" t="s">
        <v>8317</v>
      </c>
      <c r="K893" s="1" t="s">
        <v>74</v>
      </c>
      <c r="L893" s="1" t="s">
        <v>74</v>
      </c>
      <c r="M893" s="1" t="s">
        <v>74</v>
      </c>
      <c r="N893" s="1" t="s">
        <v>74</v>
      </c>
      <c r="O893" s="1" t="s">
        <v>74</v>
      </c>
      <c r="P893" s="1" t="s">
        <v>74</v>
      </c>
      <c r="Q893" s="1" t="s">
        <v>74</v>
      </c>
      <c r="R893" s="1" t="s">
        <v>74</v>
      </c>
      <c r="S893" s="1" t="s">
        <v>74</v>
      </c>
      <c r="T893" s="1" t="s">
        <v>74</v>
      </c>
      <c r="U893" s="1" t="s">
        <v>74</v>
      </c>
      <c r="V893" s="1" t="s">
        <v>8318</v>
      </c>
      <c r="W893" s="1" t="s">
        <v>74</v>
      </c>
      <c r="X893" s="1" t="s">
        <v>74</v>
      </c>
      <c r="Y893" s="1" t="s">
        <v>74</v>
      </c>
      <c r="Z893" s="1" t="s">
        <v>74</v>
      </c>
      <c r="AA893" s="1" t="s">
        <v>8319</v>
      </c>
      <c r="AB893" s="1" t="s">
        <v>8320</v>
      </c>
      <c r="AC893" s="1" t="s">
        <v>74</v>
      </c>
      <c r="AD893" s="1" t="s">
        <v>74</v>
      </c>
      <c r="AE893" s="1" t="s">
        <v>74</v>
      </c>
      <c r="AF893" s="1" t="s">
        <v>74</v>
      </c>
      <c r="AG893" s="1" t="s">
        <v>74</v>
      </c>
      <c r="AH893" s="1" t="s">
        <v>74</v>
      </c>
      <c r="AI893" s="1" t="s">
        <v>74</v>
      </c>
      <c r="AJ893" s="1" t="s">
        <v>74</v>
      </c>
      <c r="AK893" s="1" t="s">
        <v>74</v>
      </c>
      <c r="AL893" s="1" t="s">
        <v>74</v>
      </c>
      <c r="AM893" s="1" t="s">
        <v>74</v>
      </c>
      <c r="AN893" s="1" t="s">
        <v>74</v>
      </c>
      <c r="AO893" s="1" t="s">
        <v>8321</v>
      </c>
      <c r="AP893" s="1" t="s">
        <v>8322</v>
      </c>
      <c r="AQ893" s="1" t="s">
        <v>74</v>
      </c>
      <c r="AR893" s="1" t="s">
        <v>74</v>
      </c>
      <c r="AS893" s="1" t="s">
        <v>74</v>
      </c>
      <c r="AT893" s="1" t="s">
        <v>8323</v>
      </c>
      <c r="AU893" s="1">
        <v>2024.0</v>
      </c>
      <c r="AV893" s="1">
        <v>128.0</v>
      </c>
      <c r="AW893" s="1">
        <v>29.0</v>
      </c>
      <c r="AX893" s="1" t="s">
        <v>74</v>
      </c>
      <c r="AY893" s="1" t="s">
        <v>74</v>
      </c>
      <c r="AZ893" s="1" t="s">
        <v>74</v>
      </c>
      <c r="BA893" s="1" t="s">
        <v>74</v>
      </c>
      <c r="BB893" s="1">
        <v>7208.0</v>
      </c>
      <c r="BC893" s="1">
        <v>7218.0</v>
      </c>
      <c r="BD893" s="1" t="s">
        <v>74</v>
      </c>
      <c r="BE893" s="1" t="s">
        <v>8324</v>
      </c>
      <c r="BF893" s="2" t="str">
        <f>HYPERLINK("http://dx.doi.org/10.1021/acs.jpcb.4c01521","http://dx.doi.org/10.1021/acs.jpcb.4c01521")</f>
        <v>http://dx.doi.org/10.1021/acs.jpcb.4c01521</v>
      </c>
      <c r="BG893" s="1" t="s">
        <v>74</v>
      </c>
      <c r="BH893" s="1" t="s">
        <v>8325</v>
      </c>
      <c r="BI893" s="1" t="s">
        <v>74</v>
      </c>
      <c r="BJ893" s="1" t="s">
        <v>74</v>
      </c>
      <c r="BK893" s="1" t="s">
        <v>74</v>
      </c>
      <c r="BL893" s="1" t="s">
        <v>74</v>
      </c>
      <c r="BM893" s="1" t="s">
        <v>74</v>
      </c>
      <c r="BN893" s="1">
        <v>3.898992E7</v>
      </c>
      <c r="BO893" s="1" t="s">
        <v>74</v>
      </c>
      <c r="BP893" s="1" t="s">
        <v>74</v>
      </c>
      <c r="BQ893" s="1" t="s">
        <v>74</v>
      </c>
      <c r="BR893" s="1" t="s">
        <v>74</v>
      </c>
      <c r="BS893" s="1" t="s">
        <v>8326</v>
      </c>
      <c r="BT893" s="1" t="str">
        <f>HYPERLINK("https%3A%2F%2Fwww.webofscience.com%2Fwos%2Fwoscc%2Ffull-record%2FWOS:001277960500001","View Full Record in Web of Science")</f>
        <v>View Full Record in Web of Science</v>
      </c>
    </row>
    <row r="894" ht="12.75" customHeight="1">
      <c r="A894" s="1" t="s">
        <v>72</v>
      </c>
      <c r="B894" s="1" t="s">
        <v>8327</v>
      </c>
      <c r="C894" s="1" t="s">
        <v>74</v>
      </c>
      <c r="D894" s="1" t="s">
        <v>74</v>
      </c>
      <c r="E894" s="1" t="s">
        <v>74</v>
      </c>
      <c r="F894" s="1" t="s">
        <v>8328</v>
      </c>
      <c r="G894" s="1" t="s">
        <v>74</v>
      </c>
      <c r="H894" s="1" t="s">
        <v>74</v>
      </c>
      <c r="I894" s="1" t="s">
        <v>8329</v>
      </c>
      <c r="J894" s="1" t="s">
        <v>8330</v>
      </c>
      <c r="K894" s="1" t="s">
        <v>74</v>
      </c>
      <c r="L894" s="1" t="s">
        <v>74</v>
      </c>
      <c r="M894" s="1" t="s">
        <v>74</v>
      </c>
      <c r="N894" s="1" t="s">
        <v>74</v>
      </c>
      <c r="O894" s="1" t="s">
        <v>74</v>
      </c>
      <c r="P894" s="1" t="s">
        <v>74</v>
      </c>
      <c r="Q894" s="1" t="s">
        <v>74</v>
      </c>
      <c r="R894" s="1" t="s">
        <v>74</v>
      </c>
      <c r="S894" s="1" t="s">
        <v>74</v>
      </c>
      <c r="T894" s="1" t="s">
        <v>74</v>
      </c>
      <c r="U894" s="1" t="s">
        <v>74</v>
      </c>
      <c r="V894" s="1" t="s">
        <v>8331</v>
      </c>
      <c r="W894" s="1" t="s">
        <v>74</v>
      </c>
      <c r="X894" s="1" t="s">
        <v>74</v>
      </c>
      <c r="Y894" s="1" t="s">
        <v>74</v>
      </c>
      <c r="Z894" s="1" t="s">
        <v>74</v>
      </c>
      <c r="AA894" s="1" t="s">
        <v>5257</v>
      </c>
      <c r="AB894" s="1" t="s">
        <v>8332</v>
      </c>
      <c r="AC894" s="1" t="s">
        <v>74</v>
      </c>
      <c r="AD894" s="1" t="s">
        <v>74</v>
      </c>
      <c r="AE894" s="1" t="s">
        <v>74</v>
      </c>
      <c r="AF894" s="1" t="s">
        <v>74</v>
      </c>
      <c r="AG894" s="1" t="s">
        <v>74</v>
      </c>
      <c r="AH894" s="1" t="s">
        <v>74</v>
      </c>
      <c r="AI894" s="1" t="s">
        <v>74</v>
      </c>
      <c r="AJ894" s="1" t="s">
        <v>74</v>
      </c>
      <c r="AK894" s="1" t="s">
        <v>74</v>
      </c>
      <c r="AL894" s="1" t="s">
        <v>74</v>
      </c>
      <c r="AM894" s="1" t="s">
        <v>74</v>
      </c>
      <c r="AN894" s="1" t="s">
        <v>74</v>
      </c>
      <c r="AO894" s="1" t="s">
        <v>8333</v>
      </c>
      <c r="AP894" s="1" t="s">
        <v>8334</v>
      </c>
      <c r="AQ894" s="1" t="s">
        <v>74</v>
      </c>
      <c r="AR894" s="1" t="s">
        <v>74</v>
      </c>
      <c r="AS894" s="1" t="s">
        <v>74</v>
      </c>
      <c r="AT894" s="1" t="s">
        <v>379</v>
      </c>
      <c r="AU894" s="1">
        <v>2022.0</v>
      </c>
      <c r="AV894" s="1">
        <v>32.0</v>
      </c>
      <c r="AW894" s="1">
        <v>9.0</v>
      </c>
      <c r="AX894" s="1" t="s">
        <v>74</v>
      </c>
      <c r="AY894" s="1" t="s">
        <v>74</v>
      </c>
      <c r="AZ894" s="1" t="s">
        <v>74</v>
      </c>
      <c r="BA894" s="1" t="s">
        <v>74</v>
      </c>
      <c r="BB894" s="1">
        <v>1110.0</v>
      </c>
      <c r="BC894" s="1">
        <v>1119.0</v>
      </c>
      <c r="BD894" s="1" t="s">
        <v>74</v>
      </c>
      <c r="BE894" s="1" t="s">
        <v>8335</v>
      </c>
      <c r="BF894" s="2" t="str">
        <f>HYPERLINK("http://dx.doi.org/10.4014/jmb.2206.06045","http://dx.doi.org/10.4014/jmb.2206.06045")</f>
        <v>http://dx.doi.org/10.4014/jmb.2206.06045</v>
      </c>
      <c r="BG894" s="1" t="s">
        <v>74</v>
      </c>
      <c r="BH894" s="1" t="s">
        <v>74</v>
      </c>
      <c r="BI894" s="1" t="s">
        <v>74</v>
      </c>
      <c r="BJ894" s="1" t="s">
        <v>74</v>
      </c>
      <c r="BK894" s="1" t="s">
        <v>74</v>
      </c>
      <c r="BL894" s="1" t="s">
        <v>74</v>
      </c>
      <c r="BM894" s="1" t="s">
        <v>74</v>
      </c>
      <c r="BN894" s="1">
        <v>3.6039043E7</v>
      </c>
      <c r="BO894" s="1" t="s">
        <v>74</v>
      </c>
      <c r="BP894" s="1" t="s">
        <v>74</v>
      </c>
      <c r="BQ894" s="1" t="s">
        <v>74</v>
      </c>
      <c r="BR894" s="1" t="s">
        <v>74</v>
      </c>
      <c r="BS894" s="1" t="s">
        <v>8336</v>
      </c>
      <c r="BT894" s="1" t="str">
        <f>HYPERLINK("https%3A%2F%2Fwww.webofscience.com%2Fwos%2Fwoscc%2Ffull-record%2FWOS:000864871700005","View Full Record in Web of Science")</f>
        <v>View Full Record in Web of Science</v>
      </c>
    </row>
    <row r="895" ht="12.75" customHeight="1">
      <c r="A895" s="1" t="s">
        <v>72</v>
      </c>
      <c r="B895" s="1" t="s">
        <v>6651</v>
      </c>
      <c r="C895" s="1" t="s">
        <v>74</v>
      </c>
      <c r="D895" s="1" t="s">
        <v>74</v>
      </c>
      <c r="E895" s="1" t="s">
        <v>74</v>
      </c>
      <c r="F895" s="1" t="s">
        <v>8009</v>
      </c>
      <c r="G895" s="1" t="s">
        <v>74</v>
      </c>
      <c r="H895" s="1" t="s">
        <v>74</v>
      </c>
      <c r="I895" s="1" t="s">
        <v>8337</v>
      </c>
      <c r="J895" s="1" t="s">
        <v>8011</v>
      </c>
      <c r="K895" s="1" t="s">
        <v>74</v>
      </c>
      <c r="L895" s="1" t="s">
        <v>74</v>
      </c>
      <c r="M895" s="1" t="s">
        <v>74</v>
      </c>
      <c r="N895" s="1" t="s">
        <v>74</v>
      </c>
      <c r="O895" s="1" t="s">
        <v>74</v>
      </c>
      <c r="P895" s="1" t="s">
        <v>74</v>
      </c>
      <c r="Q895" s="1" t="s">
        <v>74</v>
      </c>
      <c r="R895" s="1" t="s">
        <v>74</v>
      </c>
      <c r="S895" s="1" t="s">
        <v>74</v>
      </c>
      <c r="T895" s="1" t="s">
        <v>74</v>
      </c>
      <c r="U895" s="1" t="s">
        <v>74</v>
      </c>
      <c r="V895" s="1" t="s">
        <v>74</v>
      </c>
      <c r="W895" s="1" t="s">
        <v>74</v>
      </c>
      <c r="X895" s="1" t="s">
        <v>74</v>
      </c>
      <c r="Y895" s="1" t="s">
        <v>74</v>
      </c>
      <c r="Z895" s="1" t="s">
        <v>74</v>
      </c>
      <c r="AA895" s="1" t="s">
        <v>74</v>
      </c>
      <c r="AB895" s="1" t="s">
        <v>74</v>
      </c>
      <c r="AC895" s="1" t="s">
        <v>74</v>
      </c>
      <c r="AD895" s="1" t="s">
        <v>74</v>
      </c>
      <c r="AE895" s="1" t="s">
        <v>74</v>
      </c>
      <c r="AF895" s="1" t="s">
        <v>74</v>
      </c>
      <c r="AG895" s="1" t="s">
        <v>74</v>
      </c>
      <c r="AH895" s="1" t="s">
        <v>74</v>
      </c>
      <c r="AI895" s="1" t="s">
        <v>74</v>
      </c>
      <c r="AJ895" s="1" t="s">
        <v>74</v>
      </c>
      <c r="AK895" s="1" t="s">
        <v>74</v>
      </c>
      <c r="AL895" s="1" t="s">
        <v>74</v>
      </c>
      <c r="AM895" s="1" t="s">
        <v>74</v>
      </c>
      <c r="AN895" s="1" t="s">
        <v>74</v>
      </c>
      <c r="AO895" s="1" t="s">
        <v>8012</v>
      </c>
      <c r="AP895" s="1" t="s">
        <v>8013</v>
      </c>
      <c r="AQ895" s="1" t="s">
        <v>74</v>
      </c>
      <c r="AR895" s="1" t="s">
        <v>74</v>
      </c>
      <c r="AS895" s="1" t="s">
        <v>74</v>
      </c>
      <c r="AT895" s="1" t="s">
        <v>363</v>
      </c>
      <c r="AU895" s="1">
        <v>2021.0</v>
      </c>
      <c r="AV895" s="1">
        <v>78.0</v>
      </c>
      <c r="AW895" s="1">
        <v>4.0</v>
      </c>
      <c r="AX895" s="1" t="s">
        <v>74</v>
      </c>
      <c r="AY895" s="1" t="s">
        <v>74</v>
      </c>
      <c r="AZ895" s="1" t="s">
        <v>1042</v>
      </c>
      <c r="BA895" s="1" t="s">
        <v>74</v>
      </c>
      <c r="BB895" s="1">
        <v>682.0</v>
      </c>
      <c r="BC895" s="1">
        <v>683.0</v>
      </c>
      <c r="BD895" s="1" t="s">
        <v>74</v>
      </c>
      <c r="BE895" s="1" t="s">
        <v>8338</v>
      </c>
      <c r="BF895" s="2" t="str">
        <f>HYPERLINK("http://dx.doi.org/10.1017/tam.2021.89","http://dx.doi.org/10.1017/tam.2021.89")</f>
        <v>http://dx.doi.org/10.1017/tam.2021.89</v>
      </c>
      <c r="BG895" s="1" t="s">
        <v>74</v>
      </c>
      <c r="BH895" s="1" t="s">
        <v>74</v>
      </c>
      <c r="BI895" s="1" t="s">
        <v>74</v>
      </c>
      <c r="BJ895" s="1" t="s">
        <v>74</v>
      </c>
      <c r="BK895" s="1" t="s">
        <v>74</v>
      </c>
      <c r="BL895" s="1" t="s">
        <v>74</v>
      </c>
      <c r="BM895" s="1" t="s">
        <v>74</v>
      </c>
      <c r="BN895" s="1" t="s">
        <v>74</v>
      </c>
      <c r="BO895" s="1" t="s">
        <v>74</v>
      </c>
      <c r="BP895" s="1" t="s">
        <v>74</v>
      </c>
      <c r="BQ895" s="1" t="s">
        <v>74</v>
      </c>
      <c r="BR895" s="1" t="s">
        <v>74</v>
      </c>
      <c r="BS895" s="1" t="s">
        <v>8339</v>
      </c>
      <c r="BT895" s="1" t="str">
        <f>HYPERLINK("https%3A%2F%2Fwww.webofscience.com%2Fwos%2Fwoscc%2Ffull-record%2FWOS:000721292600017","View Full Record in Web of Science")</f>
        <v>View Full Record in Web of Science</v>
      </c>
    </row>
    <row r="896" ht="12.75" customHeight="1">
      <c r="A896" s="1" t="s">
        <v>72</v>
      </c>
      <c r="B896" s="1" t="s">
        <v>8340</v>
      </c>
      <c r="C896" s="1" t="s">
        <v>74</v>
      </c>
      <c r="D896" s="1" t="s">
        <v>74</v>
      </c>
      <c r="E896" s="1" t="s">
        <v>74</v>
      </c>
      <c r="F896" s="1" t="s">
        <v>8341</v>
      </c>
      <c r="G896" s="1" t="s">
        <v>74</v>
      </c>
      <c r="H896" s="1" t="s">
        <v>74</v>
      </c>
      <c r="I896" s="1" t="s">
        <v>8342</v>
      </c>
      <c r="J896" s="1" t="s">
        <v>8343</v>
      </c>
      <c r="K896" s="1" t="s">
        <v>74</v>
      </c>
      <c r="L896" s="1" t="s">
        <v>74</v>
      </c>
      <c r="M896" s="1" t="s">
        <v>74</v>
      </c>
      <c r="N896" s="1" t="s">
        <v>74</v>
      </c>
      <c r="O896" s="1" t="s">
        <v>74</v>
      </c>
      <c r="P896" s="1" t="s">
        <v>74</v>
      </c>
      <c r="Q896" s="1" t="s">
        <v>74</v>
      </c>
      <c r="R896" s="1" t="s">
        <v>74</v>
      </c>
      <c r="S896" s="1" t="s">
        <v>74</v>
      </c>
      <c r="T896" s="1" t="s">
        <v>74</v>
      </c>
      <c r="U896" s="1" t="s">
        <v>74</v>
      </c>
      <c r="V896" s="1" t="s">
        <v>8344</v>
      </c>
      <c r="W896" s="1" t="s">
        <v>74</v>
      </c>
      <c r="X896" s="1" t="s">
        <v>74</v>
      </c>
      <c r="Y896" s="1" t="s">
        <v>74</v>
      </c>
      <c r="Z896" s="1" t="s">
        <v>74</v>
      </c>
      <c r="AA896" s="1" t="s">
        <v>8345</v>
      </c>
      <c r="AB896" s="1" t="s">
        <v>8346</v>
      </c>
      <c r="AC896" s="1" t="s">
        <v>74</v>
      </c>
      <c r="AD896" s="1" t="s">
        <v>74</v>
      </c>
      <c r="AE896" s="1" t="s">
        <v>74</v>
      </c>
      <c r="AF896" s="1" t="s">
        <v>74</v>
      </c>
      <c r="AG896" s="1" t="s">
        <v>74</v>
      </c>
      <c r="AH896" s="1" t="s">
        <v>74</v>
      </c>
      <c r="AI896" s="1" t="s">
        <v>74</v>
      </c>
      <c r="AJ896" s="1" t="s">
        <v>74</v>
      </c>
      <c r="AK896" s="1" t="s">
        <v>74</v>
      </c>
      <c r="AL896" s="1" t="s">
        <v>74</v>
      </c>
      <c r="AM896" s="1" t="s">
        <v>74</v>
      </c>
      <c r="AN896" s="1" t="s">
        <v>74</v>
      </c>
      <c r="AO896" s="1" t="s">
        <v>74</v>
      </c>
      <c r="AP896" s="1" t="s">
        <v>8347</v>
      </c>
      <c r="AQ896" s="1" t="s">
        <v>74</v>
      </c>
      <c r="AR896" s="1" t="s">
        <v>74</v>
      </c>
      <c r="AS896" s="1" t="s">
        <v>74</v>
      </c>
      <c r="AT896" s="1" t="s">
        <v>4238</v>
      </c>
      <c r="AU896" s="1">
        <v>2021.0</v>
      </c>
      <c r="AV896" s="1">
        <v>21.0</v>
      </c>
      <c r="AW896" s="1">
        <v>1.0</v>
      </c>
      <c r="AX896" s="1" t="s">
        <v>74</v>
      </c>
      <c r="AY896" s="1" t="s">
        <v>74</v>
      </c>
      <c r="AZ896" s="1" t="s">
        <v>74</v>
      </c>
      <c r="BA896" s="1" t="s">
        <v>74</v>
      </c>
      <c r="BB896" s="1" t="s">
        <v>74</v>
      </c>
      <c r="BC896" s="1" t="s">
        <v>74</v>
      </c>
      <c r="BD896" s="1">
        <v>153.0</v>
      </c>
      <c r="BE896" s="1" t="s">
        <v>8348</v>
      </c>
      <c r="BF896" s="2" t="str">
        <f>HYPERLINK("http://dx.doi.org/10.1186/s12874-021-01337-3","http://dx.doi.org/10.1186/s12874-021-01337-3")</f>
        <v>http://dx.doi.org/10.1186/s12874-021-01337-3</v>
      </c>
      <c r="BG896" s="1" t="s">
        <v>74</v>
      </c>
      <c r="BH896" s="1" t="s">
        <v>74</v>
      </c>
      <c r="BI896" s="1" t="s">
        <v>74</v>
      </c>
      <c r="BJ896" s="1" t="s">
        <v>74</v>
      </c>
      <c r="BK896" s="1" t="s">
        <v>74</v>
      </c>
      <c r="BL896" s="1" t="s">
        <v>74</v>
      </c>
      <c r="BM896" s="1" t="s">
        <v>74</v>
      </c>
      <c r="BN896" s="1">
        <v>3.4311704E7</v>
      </c>
      <c r="BO896" s="1" t="s">
        <v>74</v>
      </c>
      <c r="BP896" s="1" t="s">
        <v>74</v>
      </c>
      <c r="BQ896" s="1" t="s">
        <v>74</v>
      </c>
      <c r="BR896" s="1" t="s">
        <v>74</v>
      </c>
      <c r="BS896" s="1" t="s">
        <v>8349</v>
      </c>
      <c r="BT896" s="1" t="str">
        <f>HYPERLINK("https%3A%2F%2Fwww.webofscience.com%2Fwos%2Fwoscc%2Ffull-record%2FWOS:000678626200002","View Full Record in Web of Science")</f>
        <v>View Full Record in Web of Science</v>
      </c>
    </row>
    <row r="897" ht="12.75" customHeight="1">
      <c r="A897" s="1" t="s">
        <v>72</v>
      </c>
      <c r="B897" s="1" t="s">
        <v>8350</v>
      </c>
      <c r="C897" s="1" t="s">
        <v>74</v>
      </c>
      <c r="D897" s="1" t="s">
        <v>74</v>
      </c>
      <c r="E897" s="1" t="s">
        <v>74</v>
      </c>
      <c r="F897" s="1" t="s">
        <v>8351</v>
      </c>
      <c r="G897" s="1" t="s">
        <v>74</v>
      </c>
      <c r="H897" s="1" t="s">
        <v>74</v>
      </c>
      <c r="I897" s="1" t="s">
        <v>8352</v>
      </c>
      <c r="J897" s="1" t="s">
        <v>5227</v>
      </c>
      <c r="K897" s="1" t="s">
        <v>74</v>
      </c>
      <c r="L897" s="1" t="s">
        <v>74</v>
      </c>
      <c r="M897" s="1" t="s">
        <v>74</v>
      </c>
      <c r="N897" s="1" t="s">
        <v>74</v>
      </c>
      <c r="O897" s="1" t="s">
        <v>74</v>
      </c>
      <c r="P897" s="1" t="s">
        <v>74</v>
      </c>
      <c r="Q897" s="1" t="s">
        <v>74</v>
      </c>
      <c r="R897" s="1" t="s">
        <v>74</v>
      </c>
      <c r="S897" s="1" t="s">
        <v>74</v>
      </c>
      <c r="T897" s="1" t="s">
        <v>74</v>
      </c>
      <c r="U897" s="1" t="s">
        <v>74</v>
      </c>
      <c r="V897" s="1" t="s">
        <v>8353</v>
      </c>
      <c r="W897" s="1" t="s">
        <v>74</v>
      </c>
      <c r="X897" s="1" t="s">
        <v>74</v>
      </c>
      <c r="Y897" s="1" t="s">
        <v>74</v>
      </c>
      <c r="Z897" s="1" t="s">
        <v>74</v>
      </c>
      <c r="AA897" s="1" t="s">
        <v>8354</v>
      </c>
      <c r="AB897" s="1" t="s">
        <v>74</v>
      </c>
      <c r="AC897" s="1" t="s">
        <v>74</v>
      </c>
      <c r="AD897" s="1" t="s">
        <v>74</v>
      </c>
      <c r="AE897" s="1" t="s">
        <v>74</v>
      </c>
      <c r="AF897" s="1" t="s">
        <v>74</v>
      </c>
      <c r="AG897" s="1" t="s">
        <v>74</v>
      </c>
      <c r="AH897" s="1" t="s">
        <v>74</v>
      </c>
      <c r="AI897" s="1" t="s">
        <v>74</v>
      </c>
      <c r="AJ897" s="1" t="s">
        <v>74</v>
      </c>
      <c r="AK897" s="1" t="s">
        <v>74</v>
      </c>
      <c r="AL897" s="1" t="s">
        <v>74</v>
      </c>
      <c r="AM897" s="1" t="s">
        <v>74</v>
      </c>
      <c r="AN897" s="1" t="s">
        <v>74</v>
      </c>
      <c r="AO897" s="1" t="s">
        <v>5231</v>
      </c>
      <c r="AP897" s="1" t="s">
        <v>74</v>
      </c>
      <c r="AQ897" s="1" t="s">
        <v>74</v>
      </c>
      <c r="AR897" s="1" t="s">
        <v>74</v>
      </c>
      <c r="AS897" s="1" t="s">
        <v>74</v>
      </c>
      <c r="AT897" s="1" t="s">
        <v>8355</v>
      </c>
      <c r="AU897" s="1">
        <v>2021.0</v>
      </c>
      <c r="AV897" s="1">
        <v>14.0</v>
      </c>
      <c r="AW897" s="1">
        <v>41.0</v>
      </c>
      <c r="AX897" s="1" t="s">
        <v>74</v>
      </c>
      <c r="AY897" s="1" t="s">
        <v>74</v>
      </c>
      <c r="AZ897" s="1" t="s">
        <v>74</v>
      </c>
      <c r="BA897" s="1" t="s">
        <v>74</v>
      </c>
      <c r="BB897" s="1">
        <v>100.0</v>
      </c>
      <c r="BC897" s="1">
        <v>122.0</v>
      </c>
      <c r="BD897" s="1" t="s">
        <v>74</v>
      </c>
      <c r="BE897" s="1" t="s">
        <v>8356</v>
      </c>
      <c r="BF897" s="2" t="str">
        <f>HYPERLINK("http://dx.doi.org/10.35588/gpt.v14i41.5069","http://dx.doi.org/10.35588/gpt.v14i41.5069")</f>
        <v>http://dx.doi.org/10.35588/gpt.v14i41.5069</v>
      </c>
      <c r="BG897" s="1" t="s">
        <v>74</v>
      </c>
      <c r="BH897" s="1" t="s">
        <v>74</v>
      </c>
      <c r="BI897" s="1" t="s">
        <v>74</v>
      </c>
      <c r="BJ897" s="1" t="s">
        <v>74</v>
      </c>
      <c r="BK897" s="1" t="s">
        <v>74</v>
      </c>
      <c r="BL897" s="1" t="s">
        <v>74</v>
      </c>
      <c r="BM897" s="1" t="s">
        <v>74</v>
      </c>
      <c r="BN897" s="1" t="s">
        <v>74</v>
      </c>
      <c r="BO897" s="1" t="s">
        <v>74</v>
      </c>
      <c r="BP897" s="1" t="s">
        <v>74</v>
      </c>
      <c r="BQ897" s="1" t="s">
        <v>74</v>
      </c>
      <c r="BR897" s="1" t="s">
        <v>74</v>
      </c>
      <c r="BS897" s="1" t="s">
        <v>8357</v>
      </c>
      <c r="BT897" s="1" t="str">
        <f>HYPERLINK("https%3A%2F%2Fwww.webofscience.com%2Fwos%2Fwoscc%2Ffull-record%2FWOS:000681063700006","View Full Record in Web of Science")</f>
        <v>View Full Record in Web of Science</v>
      </c>
    </row>
    <row r="898" ht="12.75" customHeight="1">
      <c r="A898" s="1" t="s">
        <v>86</v>
      </c>
      <c r="B898" s="1" t="s">
        <v>8358</v>
      </c>
      <c r="C898" s="1" t="s">
        <v>74</v>
      </c>
      <c r="D898" s="1" t="s">
        <v>8359</v>
      </c>
      <c r="E898" s="1" t="s">
        <v>74</v>
      </c>
      <c r="F898" s="1" t="s">
        <v>8360</v>
      </c>
      <c r="G898" s="1" t="s">
        <v>74</v>
      </c>
      <c r="H898" s="1" t="s">
        <v>74</v>
      </c>
      <c r="I898" s="1" t="s">
        <v>8361</v>
      </c>
      <c r="J898" s="1" t="s">
        <v>8362</v>
      </c>
      <c r="K898" s="1" t="s">
        <v>8363</v>
      </c>
      <c r="L898" s="1" t="s">
        <v>74</v>
      </c>
      <c r="M898" s="1" t="s">
        <v>74</v>
      </c>
      <c r="N898" s="1" t="s">
        <v>74</v>
      </c>
      <c r="O898" s="1" t="s">
        <v>74</v>
      </c>
      <c r="P898" s="1" t="s">
        <v>74</v>
      </c>
      <c r="Q898" s="1" t="s">
        <v>74</v>
      </c>
      <c r="R898" s="1" t="s">
        <v>74</v>
      </c>
      <c r="S898" s="1" t="s">
        <v>74</v>
      </c>
      <c r="T898" s="1" t="s">
        <v>74</v>
      </c>
      <c r="U898" s="1" t="s">
        <v>74</v>
      </c>
      <c r="V898" s="1" t="s">
        <v>74</v>
      </c>
      <c r="W898" s="1" t="s">
        <v>74</v>
      </c>
      <c r="X898" s="1" t="s">
        <v>74</v>
      </c>
      <c r="Y898" s="1" t="s">
        <v>74</v>
      </c>
      <c r="Z898" s="1" t="s">
        <v>74</v>
      </c>
      <c r="AA898" s="1" t="s">
        <v>74</v>
      </c>
      <c r="AB898" s="1" t="s">
        <v>74</v>
      </c>
      <c r="AC898" s="1" t="s">
        <v>74</v>
      </c>
      <c r="AD898" s="1" t="s">
        <v>74</v>
      </c>
      <c r="AE898" s="1" t="s">
        <v>74</v>
      </c>
      <c r="AF898" s="1" t="s">
        <v>74</v>
      </c>
      <c r="AG898" s="1" t="s">
        <v>74</v>
      </c>
      <c r="AH898" s="1" t="s">
        <v>74</v>
      </c>
      <c r="AI898" s="1" t="s">
        <v>74</v>
      </c>
      <c r="AJ898" s="1" t="s">
        <v>74</v>
      </c>
      <c r="AK898" s="1" t="s">
        <v>74</v>
      </c>
      <c r="AL898" s="1" t="s">
        <v>74</v>
      </c>
      <c r="AM898" s="1" t="s">
        <v>74</v>
      </c>
      <c r="AN898" s="1" t="s">
        <v>74</v>
      </c>
      <c r="AO898" s="1" t="s">
        <v>74</v>
      </c>
      <c r="AP898" s="1" t="s">
        <v>74</v>
      </c>
      <c r="AQ898" s="1" t="s">
        <v>8364</v>
      </c>
      <c r="AR898" s="1" t="s">
        <v>74</v>
      </c>
      <c r="AS898" s="1" t="s">
        <v>74</v>
      </c>
      <c r="AT898" s="1" t="s">
        <v>74</v>
      </c>
      <c r="AU898" s="1">
        <v>2021.0</v>
      </c>
      <c r="AV898" s="1" t="s">
        <v>74</v>
      </c>
      <c r="AW898" s="1" t="s">
        <v>74</v>
      </c>
      <c r="AX898" s="1" t="s">
        <v>74</v>
      </c>
      <c r="AY898" s="1" t="s">
        <v>74</v>
      </c>
      <c r="AZ898" s="1" t="s">
        <v>74</v>
      </c>
      <c r="BA898" s="1" t="s">
        <v>74</v>
      </c>
      <c r="BB898" s="1">
        <v>125.0</v>
      </c>
      <c r="BC898" s="1">
        <v>142.0</v>
      </c>
      <c r="BD898" s="1" t="s">
        <v>74</v>
      </c>
      <c r="BE898" s="1" t="s">
        <v>74</v>
      </c>
      <c r="BF898" s="1" t="s">
        <v>74</v>
      </c>
      <c r="BG898" s="1" t="s">
        <v>74</v>
      </c>
      <c r="BH898" s="1" t="s">
        <v>74</v>
      </c>
      <c r="BI898" s="1" t="s">
        <v>74</v>
      </c>
      <c r="BJ898" s="1" t="s">
        <v>74</v>
      </c>
      <c r="BK898" s="1" t="s">
        <v>74</v>
      </c>
      <c r="BL898" s="1" t="s">
        <v>74</v>
      </c>
      <c r="BM898" s="1" t="s">
        <v>74</v>
      </c>
      <c r="BN898" s="1" t="s">
        <v>74</v>
      </c>
      <c r="BO898" s="1" t="s">
        <v>74</v>
      </c>
      <c r="BP898" s="1" t="s">
        <v>74</v>
      </c>
      <c r="BQ898" s="1" t="s">
        <v>74</v>
      </c>
      <c r="BR898" s="1" t="s">
        <v>74</v>
      </c>
      <c r="BS898" s="1" t="s">
        <v>8365</v>
      </c>
      <c r="BT898" s="1" t="str">
        <f>HYPERLINK("https%3A%2F%2Fwww.webofscience.com%2Fwos%2Fwoscc%2Ffull-record%2FWOS:001056578300009","View Full Record in Web of Science")</f>
        <v>View Full Record in Web of Science</v>
      </c>
    </row>
    <row r="899" ht="12.75" customHeight="1">
      <c r="A899" s="1" t="s">
        <v>72</v>
      </c>
      <c r="B899" s="1" t="s">
        <v>6445</v>
      </c>
      <c r="C899" s="1" t="s">
        <v>74</v>
      </c>
      <c r="D899" s="1" t="s">
        <v>74</v>
      </c>
      <c r="E899" s="1" t="s">
        <v>74</v>
      </c>
      <c r="F899" s="1" t="s">
        <v>6446</v>
      </c>
      <c r="G899" s="1" t="s">
        <v>74</v>
      </c>
      <c r="H899" s="1" t="s">
        <v>74</v>
      </c>
      <c r="I899" s="1" t="s">
        <v>6447</v>
      </c>
      <c r="J899" s="1" t="s">
        <v>6448</v>
      </c>
      <c r="K899" s="1" t="s">
        <v>74</v>
      </c>
      <c r="L899" s="1" t="s">
        <v>74</v>
      </c>
      <c r="M899" s="1" t="s">
        <v>74</v>
      </c>
      <c r="N899" s="1" t="s">
        <v>74</v>
      </c>
      <c r="O899" s="1" t="s">
        <v>74</v>
      </c>
      <c r="P899" s="1" t="s">
        <v>74</v>
      </c>
      <c r="Q899" s="1" t="s">
        <v>74</v>
      </c>
      <c r="R899" s="1" t="s">
        <v>74</v>
      </c>
      <c r="S899" s="1" t="s">
        <v>74</v>
      </c>
      <c r="T899" s="1" t="s">
        <v>74</v>
      </c>
      <c r="U899" s="1" t="s">
        <v>74</v>
      </c>
      <c r="V899" s="1" t="s">
        <v>8366</v>
      </c>
      <c r="W899" s="1" t="s">
        <v>74</v>
      </c>
      <c r="X899" s="1" t="s">
        <v>74</v>
      </c>
      <c r="Y899" s="1" t="s">
        <v>74</v>
      </c>
      <c r="Z899" s="1" t="s">
        <v>74</v>
      </c>
      <c r="AA899" s="1" t="s">
        <v>8367</v>
      </c>
      <c r="AB899" s="1" t="s">
        <v>74</v>
      </c>
      <c r="AC899" s="1" t="s">
        <v>74</v>
      </c>
      <c r="AD899" s="1" t="s">
        <v>74</v>
      </c>
      <c r="AE899" s="1" t="s">
        <v>74</v>
      </c>
      <c r="AF899" s="1" t="s">
        <v>74</v>
      </c>
      <c r="AG899" s="1" t="s">
        <v>74</v>
      </c>
      <c r="AH899" s="1" t="s">
        <v>74</v>
      </c>
      <c r="AI899" s="1" t="s">
        <v>74</v>
      </c>
      <c r="AJ899" s="1" t="s">
        <v>74</v>
      </c>
      <c r="AK899" s="1" t="s">
        <v>74</v>
      </c>
      <c r="AL899" s="1" t="s">
        <v>74</v>
      </c>
      <c r="AM899" s="1" t="s">
        <v>74</v>
      </c>
      <c r="AN899" s="1" t="s">
        <v>74</v>
      </c>
      <c r="AO899" s="1" t="s">
        <v>6452</v>
      </c>
      <c r="AP899" s="1" t="s">
        <v>74</v>
      </c>
      <c r="AQ899" s="1" t="s">
        <v>74</v>
      </c>
      <c r="AR899" s="1" t="s">
        <v>74</v>
      </c>
      <c r="AS899" s="1" t="s">
        <v>74</v>
      </c>
      <c r="AT899" s="1" t="s">
        <v>415</v>
      </c>
      <c r="AU899" s="1">
        <v>2020.0</v>
      </c>
      <c r="AV899" s="1">
        <v>19.0</v>
      </c>
      <c r="AW899" s="1" t="s">
        <v>74</v>
      </c>
      <c r="AX899" s="1" t="s">
        <v>74</v>
      </c>
      <c r="AY899" s="1" t="s">
        <v>74</v>
      </c>
      <c r="AZ899" s="1" t="s">
        <v>74</v>
      </c>
      <c r="BA899" s="1" t="s">
        <v>74</v>
      </c>
      <c r="BB899" s="1" t="s">
        <v>74</v>
      </c>
      <c r="BC899" s="1" t="s">
        <v>74</v>
      </c>
      <c r="BD899" s="1" t="s">
        <v>74</v>
      </c>
      <c r="BE899" s="1" t="s">
        <v>74</v>
      </c>
      <c r="BF899" s="1" t="s">
        <v>74</v>
      </c>
      <c r="BG899" s="1" t="s">
        <v>74</v>
      </c>
      <c r="BH899" s="1" t="s">
        <v>74</v>
      </c>
      <c r="BI899" s="1" t="s">
        <v>74</v>
      </c>
      <c r="BJ899" s="1" t="s">
        <v>74</v>
      </c>
      <c r="BK899" s="1" t="s">
        <v>74</v>
      </c>
      <c r="BL899" s="1" t="s">
        <v>74</v>
      </c>
      <c r="BM899" s="1" t="s">
        <v>74</v>
      </c>
      <c r="BN899" s="1" t="s">
        <v>74</v>
      </c>
      <c r="BO899" s="1" t="s">
        <v>74</v>
      </c>
      <c r="BP899" s="1" t="s">
        <v>74</v>
      </c>
      <c r="BQ899" s="1" t="s">
        <v>74</v>
      </c>
      <c r="BR899" s="1" t="s">
        <v>74</v>
      </c>
      <c r="BS899" s="1" t="s">
        <v>8368</v>
      </c>
      <c r="BT899" s="1" t="str">
        <f>HYPERLINK("https%3A%2F%2Fwww.webofscience.com%2Fwos%2Fwoscc%2Ffull-record%2FWOS:000604224200008","View Full Record in Web of Science")</f>
        <v>View Full Record in Web of Science</v>
      </c>
    </row>
    <row r="900" ht="12.75" customHeight="1">
      <c r="A900" s="1" t="s">
        <v>72</v>
      </c>
      <c r="B900" s="1" t="s">
        <v>8369</v>
      </c>
      <c r="C900" s="1" t="s">
        <v>74</v>
      </c>
      <c r="D900" s="1" t="s">
        <v>74</v>
      </c>
      <c r="E900" s="1" t="s">
        <v>74</v>
      </c>
      <c r="F900" s="1" t="s">
        <v>8370</v>
      </c>
      <c r="G900" s="1" t="s">
        <v>74</v>
      </c>
      <c r="H900" s="1" t="s">
        <v>74</v>
      </c>
      <c r="I900" s="1" t="s">
        <v>8371</v>
      </c>
      <c r="J900" s="1" t="s">
        <v>8372</v>
      </c>
      <c r="K900" s="1" t="s">
        <v>74</v>
      </c>
      <c r="L900" s="1" t="s">
        <v>74</v>
      </c>
      <c r="M900" s="1" t="s">
        <v>74</v>
      </c>
      <c r="N900" s="1" t="s">
        <v>74</v>
      </c>
      <c r="O900" s="1" t="s">
        <v>8373</v>
      </c>
      <c r="P900" s="1" t="s">
        <v>8374</v>
      </c>
      <c r="Q900" s="1" t="s">
        <v>1499</v>
      </c>
      <c r="R900" s="1" t="s">
        <v>8375</v>
      </c>
      <c r="S900" s="1" t="s">
        <v>74</v>
      </c>
      <c r="T900" s="1" t="s">
        <v>74</v>
      </c>
      <c r="U900" s="1" t="s">
        <v>74</v>
      </c>
      <c r="V900" s="1" t="s">
        <v>74</v>
      </c>
      <c r="W900" s="1" t="s">
        <v>74</v>
      </c>
      <c r="X900" s="1" t="s">
        <v>74</v>
      </c>
      <c r="Y900" s="1" t="s">
        <v>74</v>
      </c>
      <c r="Z900" s="1" t="s">
        <v>74</v>
      </c>
      <c r="AA900" s="1" t="s">
        <v>74</v>
      </c>
      <c r="AB900" s="1" t="s">
        <v>74</v>
      </c>
      <c r="AC900" s="1" t="s">
        <v>74</v>
      </c>
      <c r="AD900" s="1" t="s">
        <v>74</v>
      </c>
      <c r="AE900" s="1" t="s">
        <v>74</v>
      </c>
      <c r="AF900" s="1" t="s">
        <v>74</v>
      </c>
      <c r="AG900" s="1" t="s">
        <v>74</v>
      </c>
      <c r="AH900" s="1" t="s">
        <v>74</v>
      </c>
      <c r="AI900" s="1" t="s">
        <v>74</v>
      </c>
      <c r="AJ900" s="1" t="s">
        <v>74</v>
      </c>
      <c r="AK900" s="1" t="s">
        <v>74</v>
      </c>
      <c r="AL900" s="1" t="s">
        <v>74</v>
      </c>
      <c r="AM900" s="1" t="s">
        <v>74</v>
      </c>
      <c r="AN900" s="1" t="s">
        <v>74</v>
      </c>
      <c r="AO900" s="1" t="s">
        <v>8376</v>
      </c>
      <c r="AP900" s="1" t="s">
        <v>8377</v>
      </c>
      <c r="AQ900" s="1" t="s">
        <v>74</v>
      </c>
      <c r="AR900" s="1" t="s">
        <v>74</v>
      </c>
      <c r="AS900" s="1" t="s">
        <v>74</v>
      </c>
      <c r="AT900" s="1" t="s">
        <v>621</v>
      </c>
      <c r="AU900" s="1">
        <v>2020.0</v>
      </c>
      <c r="AV900" s="1">
        <v>63.0</v>
      </c>
      <c r="AW900" s="1" t="s">
        <v>74</v>
      </c>
      <c r="AX900" s="1" t="s">
        <v>74</v>
      </c>
      <c r="AY900" s="1">
        <v>1.0</v>
      </c>
      <c r="AZ900" s="1" t="s">
        <v>1042</v>
      </c>
      <c r="BA900" s="1" t="s">
        <v>8378</v>
      </c>
      <c r="BB900" s="1" t="s">
        <v>8379</v>
      </c>
      <c r="BC900" s="1" t="s">
        <v>8379</v>
      </c>
      <c r="BD900" s="1" t="s">
        <v>74</v>
      </c>
      <c r="BE900" s="1" t="s">
        <v>74</v>
      </c>
      <c r="BF900" s="1" t="s">
        <v>74</v>
      </c>
      <c r="BG900" s="1" t="s">
        <v>74</v>
      </c>
      <c r="BH900" s="1" t="s">
        <v>74</v>
      </c>
      <c r="BI900" s="1" t="s">
        <v>74</v>
      </c>
      <c r="BJ900" s="1" t="s">
        <v>74</v>
      </c>
      <c r="BK900" s="1" t="s">
        <v>74</v>
      </c>
      <c r="BL900" s="1" t="s">
        <v>74</v>
      </c>
      <c r="BM900" s="1" t="s">
        <v>74</v>
      </c>
      <c r="BN900" s="1" t="s">
        <v>74</v>
      </c>
      <c r="BO900" s="1" t="s">
        <v>74</v>
      </c>
      <c r="BP900" s="1" t="s">
        <v>74</v>
      </c>
      <c r="BQ900" s="1" t="s">
        <v>74</v>
      </c>
      <c r="BR900" s="1" t="s">
        <v>74</v>
      </c>
      <c r="BS900" s="1" t="s">
        <v>8380</v>
      </c>
      <c r="BT900" s="1" t="str">
        <f>HYPERLINK("https%3A%2F%2Fwww.webofscience.com%2Fwos%2Fwoscc%2Ffull-record%2FWOS:000582502502233","View Full Record in Web of Science")</f>
        <v>View Full Record in Web of Science</v>
      </c>
    </row>
    <row r="901" ht="12.75" customHeight="1">
      <c r="A901" s="1" t="s">
        <v>72</v>
      </c>
      <c r="B901" s="1" t="s">
        <v>8381</v>
      </c>
      <c r="C901" s="1" t="s">
        <v>74</v>
      </c>
      <c r="D901" s="1" t="s">
        <v>74</v>
      </c>
      <c r="E901" s="1" t="s">
        <v>74</v>
      </c>
      <c r="F901" s="1" t="s">
        <v>8382</v>
      </c>
      <c r="G901" s="1" t="s">
        <v>74</v>
      </c>
      <c r="H901" s="1" t="s">
        <v>74</v>
      </c>
      <c r="I901" s="1" t="s">
        <v>8383</v>
      </c>
      <c r="J901" s="1" t="s">
        <v>3401</v>
      </c>
      <c r="K901" s="1" t="s">
        <v>74</v>
      </c>
      <c r="L901" s="1" t="s">
        <v>74</v>
      </c>
      <c r="M901" s="1" t="s">
        <v>74</v>
      </c>
      <c r="N901" s="1" t="s">
        <v>74</v>
      </c>
      <c r="O901" s="1" t="s">
        <v>74</v>
      </c>
      <c r="P901" s="1" t="s">
        <v>74</v>
      </c>
      <c r="Q901" s="1" t="s">
        <v>74</v>
      </c>
      <c r="R901" s="1" t="s">
        <v>74</v>
      </c>
      <c r="S901" s="1" t="s">
        <v>74</v>
      </c>
      <c r="T901" s="1" t="s">
        <v>74</v>
      </c>
      <c r="U901" s="1" t="s">
        <v>74</v>
      </c>
      <c r="V901" s="1" t="s">
        <v>8384</v>
      </c>
      <c r="W901" s="1" t="s">
        <v>74</v>
      </c>
      <c r="X901" s="1" t="s">
        <v>74</v>
      </c>
      <c r="Y901" s="1" t="s">
        <v>74</v>
      </c>
      <c r="Z901" s="1" t="s">
        <v>74</v>
      </c>
      <c r="AA901" s="1" t="s">
        <v>8385</v>
      </c>
      <c r="AB901" s="1" t="s">
        <v>8386</v>
      </c>
      <c r="AC901" s="1" t="s">
        <v>74</v>
      </c>
      <c r="AD901" s="1" t="s">
        <v>74</v>
      </c>
      <c r="AE901" s="1" t="s">
        <v>74</v>
      </c>
      <c r="AF901" s="1" t="s">
        <v>74</v>
      </c>
      <c r="AG901" s="1" t="s">
        <v>74</v>
      </c>
      <c r="AH901" s="1" t="s">
        <v>74</v>
      </c>
      <c r="AI901" s="1" t="s">
        <v>74</v>
      </c>
      <c r="AJ901" s="1" t="s">
        <v>74</v>
      </c>
      <c r="AK901" s="1" t="s">
        <v>74</v>
      </c>
      <c r="AL901" s="1" t="s">
        <v>74</v>
      </c>
      <c r="AM901" s="1" t="s">
        <v>74</v>
      </c>
      <c r="AN901" s="1" t="s">
        <v>74</v>
      </c>
      <c r="AO901" s="1" t="s">
        <v>3405</v>
      </c>
      <c r="AP901" s="1" t="s">
        <v>3406</v>
      </c>
      <c r="AQ901" s="1" t="s">
        <v>74</v>
      </c>
      <c r="AR901" s="1" t="s">
        <v>74</v>
      </c>
      <c r="AS901" s="1" t="s">
        <v>74</v>
      </c>
      <c r="AT901" s="1" t="s">
        <v>3227</v>
      </c>
      <c r="AU901" s="1">
        <v>2020.0</v>
      </c>
      <c r="AV901" s="1">
        <v>31.0</v>
      </c>
      <c r="AW901" s="1">
        <v>12.0</v>
      </c>
      <c r="AX901" s="1" t="s">
        <v>74</v>
      </c>
      <c r="AY901" s="1" t="s">
        <v>74</v>
      </c>
      <c r="AZ901" s="1" t="s">
        <v>74</v>
      </c>
      <c r="BA901" s="1" t="s">
        <v>74</v>
      </c>
      <c r="BB901" s="1" t="s">
        <v>74</v>
      </c>
      <c r="BC901" s="1" t="s">
        <v>74</v>
      </c>
      <c r="BD901" s="1">
        <v>125707.0</v>
      </c>
      <c r="BE901" s="1" t="s">
        <v>8387</v>
      </c>
      <c r="BF901" s="2" t="str">
        <f>HYPERLINK("http://dx.doi.org/10.1088/1361-6528/ab5f83","http://dx.doi.org/10.1088/1361-6528/ab5f83")</f>
        <v>http://dx.doi.org/10.1088/1361-6528/ab5f83</v>
      </c>
      <c r="BG901" s="1" t="s">
        <v>74</v>
      </c>
      <c r="BH901" s="1" t="s">
        <v>74</v>
      </c>
      <c r="BI901" s="1" t="s">
        <v>74</v>
      </c>
      <c r="BJ901" s="1" t="s">
        <v>74</v>
      </c>
      <c r="BK901" s="1" t="s">
        <v>74</v>
      </c>
      <c r="BL901" s="1" t="s">
        <v>74</v>
      </c>
      <c r="BM901" s="1" t="s">
        <v>74</v>
      </c>
      <c r="BN901" s="1">
        <v>3.1810068E7</v>
      </c>
      <c r="BO901" s="1" t="s">
        <v>74</v>
      </c>
      <c r="BP901" s="1" t="s">
        <v>74</v>
      </c>
      <c r="BQ901" s="1" t="s">
        <v>74</v>
      </c>
      <c r="BR901" s="1" t="s">
        <v>74</v>
      </c>
      <c r="BS901" s="1" t="s">
        <v>8388</v>
      </c>
      <c r="BT901" s="1" t="str">
        <f>HYPERLINK("https%3A%2F%2Fwww.webofscience.com%2Fwos%2Fwoscc%2Ffull-record%2FWOS:000514709100004","View Full Record in Web of Science")</f>
        <v>View Full Record in Web of Science</v>
      </c>
    </row>
    <row r="902" ht="12.75" customHeight="1">
      <c r="A902" s="1" t="s">
        <v>72</v>
      </c>
      <c r="B902" s="1" t="s">
        <v>8389</v>
      </c>
      <c r="C902" s="1" t="s">
        <v>74</v>
      </c>
      <c r="D902" s="1" t="s">
        <v>74</v>
      </c>
      <c r="E902" s="1" t="s">
        <v>74</v>
      </c>
      <c r="F902" s="1" t="s">
        <v>8390</v>
      </c>
      <c r="G902" s="1" t="s">
        <v>74</v>
      </c>
      <c r="H902" s="1" t="s">
        <v>74</v>
      </c>
      <c r="I902" s="1" t="s">
        <v>8391</v>
      </c>
      <c r="J902" s="1" t="s">
        <v>375</v>
      </c>
      <c r="K902" s="1" t="s">
        <v>74</v>
      </c>
      <c r="L902" s="1" t="s">
        <v>74</v>
      </c>
      <c r="M902" s="1" t="s">
        <v>74</v>
      </c>
      <c r="N902" s="1" t="s">
        <v>74</v>
      </c>
      <c r="O902" s="1" t="s">
        <v>74</v>
      </c>
      <c r="P902" s="1" t="s">
        <v>74</v>
      </c>
      <c r="Q902" s="1" t="s">
        <v>74</v>
      </c>
      <c r="R902" s="1" t="s">
        <v>74</v>
      </c>
      <c r="S902" s="1" t="s">
        <v>74</v>
      </c>
      <c r="T902" s="1" t="s">
        <v>74</v>
      </c>
      <c r="U902" s="1" t="s">
        <v>74</v>
      </c>
      <c r="V902" s="1" t="s">
        <v>8392</v>
      </c>
      <c r="W902" s="1" t="s">
        <v>74</v>
      </c>
      <c r="X902" s="1" t="s">
        <v>74</v>
      </c>
      <c r="Y902" s="1" t="s">
        <v>74</v>
      </c>
      <c r="Z902" s="1" t="s">
        <v>74</v>
      </c>
      <c r="AA902" s="1" t="s">
        <v>8393</v>
      </c>
      <c r="AB902" s="1" t="s">
        <v>8394</v>
      </c>
      <c r="AC902" s="1" t="s">
        <v>74</v>
      </c>
      <c r="AD902" s="1" t="s">
        <v>74</v>
      </c>
      <c r="AE902" s="1" t="s">
        <v>74</v>
      </c>
      <c r="AF902" s="1" t="s">
        <v>74</v>
      </c>
      <c r="AG902" s="1" t="s">
        <v>74</v>
      </c>
      <c r="AH902" s="1" t="s">
        <v>74</v>
      </c>
      <c r="AI902" s="1" t="s">
        <v>74</v>
      </c>
      <c r="AJ902" s="1" t="s">
        <v>74</v>
      </c>
      <c r="AK902" s="1" t="s">
        <v>74</v>
      </c>
      <c r="AL902" s="1" t="s">
        <v>74</v>
      </c>
      <c r="AM902" s="1" t="s">
        <v>74</v>
      </c>
      <c r="AN902" s="1" t="s">
        <v>74</v>
      </c>
      <c r="AO902" s="1" t="s">
        <v>378</v>
      </c>
      <c r="AP902" s="1" t="s">
        <v>8395</v>
      </c>
      <c r="AQ902" s="1" t="s">
        <v>74</v>
      </c>
      <c r="AR902" s="1" t="s">
        <v>74</v>
      </c>
      <c r="AS902" s="1" t="s">
        <v>74</v>
      </c>
      <c r="AT902" s="1" t="s">
        <v>379</v>
      </c>
      <c r="AU902" s="1">
        <v>2019.0</v>
      </c>
      <c r="AV902" s="1">
        <v>76.0</v>
      </c>
      <c r="AW902" s="1">
        <v>9.0</v>
      </c>
      <c r="AX902" s="1" t="s">
        <v>74</v>
      </c>
      <c r="AY902" s="1" t="s">
        <v>74</v>
      </c>
      <c r="AZ902" s="1" t="s">
        <v>74</v>
      </c>
      <c r="BA902" s="1" t="s">
        <v>74</v>
      </c>
      <c r="BB902" s="1">
        <v>4613.0</v>
      </c>
      <c r="BC902" s="1">
        <v>4625.0</v>
      </c>
      <c r="BD902" s="1" t="s">
        <v>74</v>
      </c>
      <c r="BE902" s="1" t="s">
        <v>8396</v>
      </c>
      <c r="BF902" s="2" t="str">
        <f>HYPERLINK("http://dx.doi.org/10.1007/s00289-018-2619-0","http://dx.doi.org/10.1007/s00289-018-2619-0")</f>
        <v>http://dx.doi.org/10.1007/s00289-018-2619-0</v>
      </c>
      <c r="BG902" s="1" t="s">
        <v>74</v>
      </c>
      <c r="BH902" s="1" t="s">
        <v>74</v>
      </c>
      <c r="BI902" s="1" t="s">
        <v>74</v>
      </c>
      <c r="BJ902" s="1" t="s">
        <v>74</v>
      </c>
      <c r="BK902" s="1" t="s">
        <v>74</v>
      </c>
      <c r="BL902" s="1" t="s">
        <v>74</v>
      </c>
      <c r="BM902" s="1" t="s">
        <v>74</v>
      </c>
      <c r="BN902" s="1" t="s">
        <v>74</v>
      </c>
      <c r="BO902" s="1" t="s">
        <v>74</v>
      </c>
      <c r="BP902" s="1" t="s">
        <v>74</v>
      </c>
      <c r="BQ902" s="1" t="s">
        <v>74</v>
      </c>
      <c r="BR902" s="1" t="s">
        <v>74</v>
      </c>
      <c r="BS902" s="1" t="s">
        <v>8397</v>
      </c>
      <c r="BT902" s="1" t="str">
        <f>HYPERLINK("https%3A%2F%2Fwww.webofscience.com%2Fwos%2Fwoscc%2Ffull-record%2FWOS:000476829800016","View Full Record in Web of Science")</f>
        <v>View Full Record in Web of Science</v>
      </c>
    </row>
    <row r="903" ht="12.75" customHeight="1">
      <c r="A903" s="1" t="s">
        <v>72</v>
      </c>
      <c r="B903" s="1" t="s">
        <v>8398</v>
      </c>
      <c r="C903" s="1" t="s">
        <v>74</v>
      </c>
      <c r="D903" s="1" t="s">
        <v>74</v>
      </c>
      <c r="E903" s="1" t="s">
        <v>74</v>
      </c>
      <c r="F903" s="1" t="s">
        <v>8399</v>
      </c>
      <c r="G903" s="1" t="s">
        <v>74</v>
      </c>
      <c r="H903" s="1" t="s">
        <v>74</v>
      </c>
      <c r="I903" s="1" t="s">
        <v>8400</v>
      </c>
      <c r="J903" s="1" t="s">
        <v>8401</v>
      </c>
      <c r="K903" s="1" t="s">
        <v>74</v>
      </c>
      <c r="L903" s="1" t="s">
        <v>74</v>
      </c>
      <c r="M903" s="1" t="s">
        <v>74</v>
      </c>
      <c r="N903" s="1" t="s">
        <v>74</v>
      </c>
      <c r="O903" s="1" t="s">
        <v>74</v>
      </c>
      <c r="P903" s="1" t="s">
        <v>74</v>
      </c>
      <c r="Q903" s="1" t="s">
        <v>74</v>
      </c>
      <c r="R903" s="1" t="s">
        <v>74</v>
      </c>
      <c r="S903" s="1" t="s">
        <v>74</v>
      </c>
      <c r="T903" s="1" t="s">
        <v>74</v>
      </c>
      <c r="U903" s="1" t="s">
        <v>74</v>
      </c>
      <c r="V903" s="1" t="s">
        <v>8402</v>
      </c>
      <c r="W903" s="1" t="s">
        <v>74</v>
      </c>
      <c r="X903" s="1" t="s">
        <v>74</v>
      </c>
      <c r="Y903" s="1" t="s">
        <v>74</v>
      </c>
      <c r="Z903" s="1" t="s">
        <v>74</v>
      </c>
      <c r="AA903" s="1" t="s">
        <v>8403</v>
      </c>
      <c r="AB903" s="1" t="s">
        <v>8404</v>
      </c>
      <c r="AC903" s="1" t="s">
        <v>74</v>
      </c>
      <c r="AD903" s="1" t="s">
        <v>74</v>
      </c>
      <c r="AE903" s="1" t="s">
        <v>74</v>
      </c>
      <c r="AF903" s="1" t="s">
        <v>74</v>
      </c>
      <c r="AG903" s="1" t="s">
        <v>74</v>
      </c>
      <c r="AH903" s="1" t="s">
        <v>74</v>
      </c>
      <c r="AI903" s="1" t="s">
        <v>74</v>
      </c>
      <c r="AJ903" s="1" t="s">
        <v>74</v>
      </c>
      <c r="AK903" s="1" t="s">
        <v>74</v>
      </c>
      <c r="AL903" s="1" t="s">
        <v>74</v>
      </c>
      <c r="AM903" s="1" t="s">
        <v>74</v>
      </c>
      <c r="AN903" s="1" t="s">
        <v>74</v>
      </c>
      <c r="AO903" s="1" t="s">
        <v>8405</v>
      </c>
      <c r="AP903" s="1" t="s">
        <v>8406</v>
      </c>
      <c r="AQ903" s="1" t="s">
        <v>74</v>
      </c>
      <c r="AR903" s="1" t="s">
        <v>74</v>
      </c>
      <c r="AS903" s="1" t="s">
        <v>74</v>
      </c>
      <c r="AT903" s="1" t="s">
        <v>8407</v>
      </c>
      <c r="AU903" s="1">
        <v>2018.0</v>
      </c>
      <c r="AV903" s="1">
        <v>124.0</v>
      </c>
      <c r="AW903" s="1">
        <v>16.0</v>
      </c>
      <c r="AX903" s="1" t="s">
        <v>74</v>
      </c>
      <c r="AY903" s="1" t="s">
        <v>74</v>
      </c>
      <c r="AZ903" s="1" t="s">
        <v>74</v>
      </c>
      <c r="BA903" s="1" t="s">
        <v>74</v>
      </c>
      <c r="BB903" s="1" t="s">
        <v>74</v>
      </c>
      <c r="BC903" s="1" t="s">
        <v>74</v>
      </c>
      <c r="BD903" s="1">
        <v>162102.0</v>
      </c>
      <c r="BE903" s="1" t="s">
        <v>8408</v>
      </c>
      <c r="BF903" s="2" t="str">
        <f>HYPERLINK("http://dx.doi.org/10.1063/1.5040262","http://dx.doi.org/10.1063/1.5040262")</f>
        <v>http://dx.doi.org/10.1063/1.5040262</v>
      </c>
      <c r="BG903" s="1" t="s">
        <v>74</v>
      </c>
      <c r="BH903" s="1" t="s">
        <v>74</v>
      </c>
      <c r="BI903" s="1" t="s">
        <v>74</v>
      </c>
      <c r="BJ903" s="1" t="s">
        <v>74</v>
      </c>
      <c r="BK903" s="1" t="s">
        <v>74</v>
      </c>
      <c r="BL903" s="1" t="s">
        <v>74</v>
      </c>
      <c r="BM903" s="1" t="s">
        <v>74</v>
      </c>
      <c r="BN903" s="1" t="s">
        <v>74</v>
      </c>
      <c r="BO903" s="1" t="s">
        <v>74</v>
      </c>
      <c r="BP903" s="1" t="s">
        <v>74</v>
      </c>
      <c r="BQ903" s="1" t="s">
        <v>74</v>
      </c>
      <c r="BR903" s="1" t="s">
        <v>74</v>
      </c>
      <c r="BS903" s="1" t="s">
        <v>8409</v>
      </c>
      <c r="BT903" s="1" t="str">
        <f>HYPERLINK("https%3A%2F%2Fwww.webofscience.com%2Fwos%2Fwoscc%2Ffull-record%2FWOS:000448975000008","View Full Record in Web of Science")</f>
        <v>View Full Record in Web of Science</v>
      </c>
    </row>
    <row r="904" ht="12.75" customHeight="1">
      <c r="A904" s="1" t="s">
        <v>72</v>
      </c>
      <c r="B904" s="1" t="s">
        <v>8410</v>
      </c>
      <c r="C904" s="1" t="s">
        <v>74</v>
      </c>
      <c r="D904" s="1" t="s">
        <v>74</v>
      </c>
      <c r="E904" s="1" t="s">
        <v>74</v>
      </c>
      <c r="F904" s="1" t="s">
        <v>8411</v>
      </c>
      <c r="G904" s="1" t="s">
        <v>74</v>
      </c>
      <c r="H904" s="1" t="s">
        <v>74</v>
      </c>
      <c r="I904" s="1" t="s">
        <v>8412</v>
      </c>
      <c r="J904" s="1" t="s">
        <v>7714</v>
      </c>
      <c r="K904" s="1" t="s">
        <v>74</v>
      </c>
      <c r="L904" s="1" t="s">
        <v>74</v>
      </c>
      <c r="M904" s="1" t="s">
        <v>74</v>
      </c>
      <c r="N904" s="1" t="s">
        <v>74</v>
      </c>
      <c r="O904" s="1" t="s">
        <v>74</v>
      </c>
      <c r="P904" s="1" t="s">
        <v>74</v>
      </c>
      <c r="Q904" s="1" t="s">
        <v>74</v>
      </c>
      <c r="R904" s="1" t="s">
        <v>74</v>
      </c>
      <c r="S904" s="1" t="s">
        <v>74</v>
      </c>
      <c r="T904" s="1" t="s">
        <v>74</v>
      </c>
      <c r="U904" s="1" t="s">
        <v>74</v>
      </c>
      <c r="V904" s="1" t="s">
        <v>8413</v>
      </c>
      <c r="W904" s="1" t="s">
        <v>74</v>
      </c>
      <c r="X904" s="1" t="s">
        <v>74</v>
      </c>
      <c r="Y904" s="1" t="s">
        <v>74</v>
      </c>
      <c r="Z904" s="1" t="s">
        <v>74</v>
      </c>
      <c r="AA904" s="1" t="s">
        <v>8414</v>
      </c>
      <c r="AB904" s="1" t="s">
        <v>8415</v>
      </c>
      <c r="AC904" s="1" t="s">
        <v>74</v>
      </c>
      <c r="AD904" s="1" t="s">
        <v>74</v>
      </c>
      <c r="AE904" s="1" t="s">
        <v>74</v>
      </c>
      <c r="AF904" s="1" t="s">
        <v>74</v>
      </c>
      <c r="AG904" s="1" t="s">
        <v>74</v>
      </c>
      <c r="AH904" s="1" t="s">
        <v>74</v>
      </c>
      <c r="AI904" s="1" t="s">
        <v>74</v>
      </c>
      <c r="AJ904" s="1" t="s">
        <v>74</v>
      </c>
      <c r="AK904" s="1" t="s">
        <v>74</v>
      </c>
      <c r="AL904" s="1" t="s">
        <v>74</v>
      </c>
      <c r="AM904" s="1" t="s">
        <v>74</v>
      </c>
      <c r="AN904" s="1" t="s">
        <v>74</v>
      </c>
      <c r="AO904" s="1" t="s">
        <v>7718</v>
      </c>
      <c r="AP904" s="1" t="s">
        <v>74</v>
      </c>
      <c r="AQ904" s="1" t="s">
        <v>74</v>
      </c>
      <c r="AR904" s="1" t="s">
        <v>74</v>
      </c>
      <c r="AS904" s="1" t="s">
        <v>74</v>
      </c>
      <c r="AT904" s="1" t="s">
        <v>8416</v>
      </c>
      <c r="AU904" s="1">
        <v>2018.0</v>
      </c>
      <c r="AV904" s="1">
        <v>19.0</v>
      </c>
      <c r="AW904" s="1" t="s">
        <v>74</v>
      </c>
      <c r="AX904" s="1" t="s">
        <v>74</v>
      </c>
      <c r="AY904" s="1" t="s">
        <v>74</v>
      </c>
      <c r="AZ904" s="1" t="s">
        <v>74</v>
      </c>
      <c r="BA904" s="1" t="s">
        <v>74</v>
      </c>
      <c r="BB904" s="1" t="s">
        <v>74</v>
      </c>
      <c r="BC904" s="1" t="s">
        <v>74</v>
      </c>
      <c r="BD904" s="1">
        <v>657.0</v>
      </c>
      <c r="BE904" s="1" t="s">
        <v>8417</v>
      </c>
      <c r="BF904" s="2" t="str">
        <f>HYPERLINK("http://dx.doi.org/10.1186/s12864-018-5038-6","http://dx.doi.org/10.1186/s12864-018-5038-6")</f>
        <v>http://dx.doi.org/10.1186/s12864-018-5038-6</v>
      </c>
      <c r="BG904" s="1" t="s">
        <v>74</v>
      </c>
      <c r="BH904" s="1" t="s">
        <v>74</v>
      </c>
      <c r="BI904" s="1" t="s">
        <v>74</v>
      </c>
      <c r="BJ904" s="1" t="s">
        <v>74</v>
      </c>
      <c r="BK904" s="1" t="s">
        <v>74</v>
      </c>
      <c r="BL904" s="1" t="s">
        <v>74</v>
      </c>
      <c r="BM904" s="1" t="s">
        <v>74</v>
      </c>
      <c r="BN904" s="1">
        <v>3.0189833E7</v>
      </c>
      <c r="BO904" s="1" t="s">
        <v>74</v>
      </c>
      <c r="BP904" s="1" t="s">
        <v>74</v>
      </c>
      <c r="BQ904" s="1" t="s">
        <v>74</v>
      </c>
      <c r="BR904" s="1" t="s">
        <v>74</v>
      </c>
      <c r="BS904" s="1" t="s">
        <v>8418</v>
      </c>
      <c r="BT904" s="1" t="str">
        <f>HYPERLINK("https%3A%2F%2Fwww.webofscience.com%2Fwos%2Fwoscc%2Ffull-record%2FWOS:000443899500002","View Full Record in Web of Science")</f>
        <v>View Full Record in Web of Science</v>
      </c>
    </row>
    <row r="905" ht="12.75" customHeight="1">
      <c r="A905" s="1" t="s">
        <v>72</v>
      </c>
      <c r="B905" s="1" t="s">
        <v>8419</v>
      </c>
      <c r="C905" s="1" t="s">
        <v>74</v>
      </c>
      <c r="D905" s="1" t="s">
        <v>74</v>
      </c>
      <c r="E905" s="1" t="s">
        <v>74</v>
      </c>
      <c r="F905" s="1" t="s">
        <v>8420</v>
      </c>
      <c r="G905" s="1" t="s">
        <v>74</v>
      </c>
      <c r="H905" s="1" t="s">
        <v>74</v>
      </c>
      <c r="I905" s="1" t="s">
        <v>8421</v>
      </c>
      <c r="J905" s="1" t="s">
        <v>8422</v>
      </c>
      <c r="K905" s="1" t="s">
        <v>74</v>
      </c>
      <c r="L905" s="1" t="s">
        <v>74</v>
      </c>
      <c r="M905" s="1" t="s">
        <v>74</v>
      </c>
      <c r="N905" s="1" t="s">
        <v>74</v>
      </c>
      <c r="O905" s="1" t="s">
        <v>74</v>
      </c>
      <c r="P905" s="1" t="s">
        <v>74</v>
      </c>
      <c r="Q905" s="1" t="s">
        <v>74</v>
      </c>
      <c r="R905" s="1" t="s">
        <v>74</v>
      </c>
      <c r="S905" s="1" t="s">
        <v>74</v>
      </c>
      <c r="T905" s="1" t="s">
        <v>74</v>
      </c>
      <c r="U905" s="1" t="s">
        <v>74</v>
      </c>
      <c r="V905" s="1" t="s">
        <v>8423</v>
      </c>
      <c r="W905" s="1" t="s">
        <v>74</v>
      </c>
      <c r="X905" s="1" t="s">
        <v>74</v>
      </c>
      <c r="Y905" s="1" t="s">
        <v>74</v>
      </c>
      <c r="Z905" s="1" t="s">
        <v>74</v>
      </c>
      <c r="AA905" s="1" t="s">
        <v>8424</v>
      </c>
      <c r="AB905" s="1" t="s">
        <v>8425</v>
      </c>
      <c r="AC905" s="1" t="s">
        <v>74</v>
      </c>
      <c r="AD905" s="1" t="s">
        <v>74</v>
      </c>
      <c r="AE905" s="1" t="s">
        <v>74</v>
      </c>
      <c r="AF905" s="1" t="s">
        <v>74</v>
      </c>
      <c r="AG905" s="1" t="s">
        <v>74</v>
      </c>
      <c r="AH905" s="1" t="s">
        <v>74</v>
      </c>
      <c r="AI905" s="1" t="s">
        <v>74</v>
      </c>
      <c r="AJ905" s="1" t="s">
        <v>74</v>
      </c>
      <c r="AK905" s="1" t="s">
        <v>74</v>
      </c>
      <c r="AL905" s="1" t="s">
        <v>74</v>
      </c>
      <c r="AM905" s="1" t="s">
        <v>74</v>
      </c>
      <c r="AN905" s="1" t="s">
        <v>74</v>
      </c>
      <c r="AO905" s="1" t="s">
        <v>8426</v>
      </c>
      <c r="AP905" s="1" t="s">
        <v>8427</v>
      </c>
      <c r="AQ905" s="1" t="s">
        <v>74</v>
      </c>
      <c r="AR905" s="1" t="s">
        <v>74</v>
      </c>
      <c r="AS905" s="1" t="s">
        <v>74</v>
      </c>
      <c r="AT905" s="1" t="s">
        <v>221</v>
      </c>
      <c r="AU905" s="1">
        <v>2018.0</v>
      </c>
      <c r="AV905" s="1">
        <v>15.0</v>
      </c>
      <c r="AW905" s="1">
        <v>3.0</v>
      </c>
      <c r="AX905" s="1" t="s">
        <v>74</v>
      </c>
      <c r="AY905" s="1" t="s">
        <v>74</v>
      </c>
      <c r="AZ905" s="1" t="s">
        <v>74</v>
      </c>
      <c r="BA905" s="1" t="s">
        <v>74</v>
      </c>
      <c r="BB905" s="1">
        <v>690.0</v>
      </c>
      <c r="BC905" s="1">
        <v>704.0</v>
      </c>
      <c r="BD905" s="1" t="s">
        <v>74</v>
      </c>
      <c r="BE905" s="1" t="s">
        <v>8428</v>
      </c>
      <c r="BF905" s="2" t="str">
        <f>HYPERLINK("http://dx.doi.org/10.1109/TCBB.2016.2635143","http://dx.doi.org/10.1109/TCBB.2016.2635143")</f>
        <v>http://dx.doi.org/10.1109/TCBB.2016.2635143</v>
      </c>
      <c r="BG905" s="1" t="s">
        <v>74</v>
      </c>
      <c r="BH905" s="1" t="s">
        <v>74</v>
      </c>
      <c r="BI905" s="1" t="s">
        <v>74</v>
      </c>
      <c r="BJ905" s="1" t="s">
        <v>74</v>
      </c>
      <c r="BK905" s="1" t="s">
        <v>74</v>
      </c>
      <c r="BL905" s="1" t="s">
        <v>74</v>
      </c>
      <c r="BM905" s="1" t="s">
        <v>74</v>
      </c>
      <c r="BN905" s="1">
        <v>2.8029627E7</v>
      </c>
      <c r="BO905" s="1" t="s">
        <v>74</v>
      </c>
      <c r="BP905" s="1" t="s">
        <v>74</v>
      </c>
      <c r="BQ905" s="1" t="s">
        <v>74</v>
      </c>
      <c r="BR905" s="1" t="s">
        <v>74</v>
      </c>
      <c r="BS905" s="1" t="s">
        <v>8429</v>
      </c>
      <c r="BT905" s="1" t="str">
        <f>HYPERLINK("https%3A%2F%2Fwww.webofscience.com%2Fwos%2Fwoscc%2Ffull-record%2FWOS:000434295100002","View Full Record in Web of Science")</f>
        <v>View Full Record in Web of Science</v>
      </c>
    </row>
    <row r="906" ht="12.75" customHeight="1">
      <c r="A906" s="1" t="s">
        <v>72</v>
      </c>
      <c r="B906" s="1" t="s">
        <v>8430</v>
      </c>
      <c r="C906" s="1" t="s">
        <v>74</v>
      </c>
      <c r="D906" s="1" t="s">
        <v>74</v>
      </c>
      <c r="E906" s="1" t="s">
        <v>74</v>
      </c>
      <c r="F906" s="1" t="s">
        <v>8431</v>
      </c>
      <c r="G906" s="1" t="s">
        <v>74</v>
      </c>
      <c r="H906" s="1" t="s">
        <v>74</v>
      </c>
      <c r="I906" s="1" t="s">
        <v>8432</v>
      </c>
      <c r="J906" s="1" t="s">
        <v>8433</v>
      </c>
      <c r="K906" s="1" t="s">
        <v>74</v>
      </c>
      <c r="L906" s="1" t="s">
        <v>74</v>
      </c>
      <c r="M906" s="1" t="s">
        <v>74</v>
      </c>
      <c r="N906" s="1" t="s">
        <v>74</v>
      </c>
      <c r="O906" s="1" t="s">
        <v>74</v>
      </c>
      <c r="P906" s="1" t="s">
        <v>74</v>
      </c>
      <c r="Q906" s="1" t="s">
        <v>74</v>
      </c>
      <c r="R906" s="1" t="s">
        <v>74</v>
      </c>
      <c r="S906" s="1" t="s">
        <v>74</v>
      </c>
      <c r="T906" s="1" t="s">
        <v>74</v>
      </c>
      <c r="U906" s="1" t="s">
        <v>74</v>
      </c>
      <c r="V906" s="1" t="s">
        <v>8434</v>
      </c>
      <c r="W906" s="1" t="s">
        <v>74</v>
      </c>
      <c r="X906" s="1" t="s">
        <v>74</v>
      </c>
      <c r="Y906" s="1" t="s">
        <v>74</v>
      </c>
      <c r="Z906" s="1" t="s">
        <v>74</v>
      </c>
      <c r="AA906" s="1" t="s">
        <v>74</v>
      </c>
      <c r="AB906" s="1" t="s">
        <v>8435</v>
      </c>
      <c r="AC906" s="1" t="s">
        <v>74</v>
      </c>
      <c r="AD906" s="1" t="s">
        <v>74</v>
      </c>
      <c r="AE906" s="1" t="s">
        <v>74</v>
      </c>
      <c r="AF906" s="1" t="s">
        <v>74</v>
      </c>
      <c r="AG906" s="1" t="s">
        <v>74</v>
      </c>
      <c r="AH906" s="1" t="s">
        <v>74</v>
      </c>
      <c r="AI906" s="1" t="s">
        <v>74</v>
      </c>
      <c r="AJ906" s="1" t="s">
        <v>74</v>
      </c>
      <c r="AK906" s="1" t="s">
        <v>74</v>
      </c>
      <c r="AL906" s="1" t="s">
        <v>74</v>
      </c>
      <c r="AM906" s="1" t="s">
        <v>74</v>
      </c>
      <c r="AN906" s="1" t="s">
        <v>74</v>
      </c>
      <c r="AO906" s="1" t="s">
        <v>74</v>
      </c>
      <c r="AP906" s="1" t="s">
        <v>8436</v>
      </c>
      <c r="AQ906" s="1" t="s">
        <v>74</v>
      </c>
      <c r="AR906" s="1" t="s">
        <v>74</v>
      </c>
      <c r="AS906" s="1" t="s">
        <v>74</v>
      </c>
      <c r="AT906" s="1" t="s">
        <v>3482</v>
      </c>
      <c r="AU906" s="1">
        <v>2017.0</v>
      </c>
      <c r="AV906" s="1">
        <v>8.0</v>
      </c>
      <c r="AW906" s="1" t="s">
        <v>74</v>
      </c>
      <c r="AX906" s="1" t="s">
        <v>74</v>
      </c>
      <c r="AY906" s="1" t="s">
        <v>74</v>
      </c>
      <c r="AZ906" s="1" t="s">
        <v>74</v>
      </c>
      <c r="BA906" s="1" t="s">
        <v>74</v>
      </c>
      <c r="BB906" s="1" t="s">
        <v>74</v>
      </c>
      <c r="BC906" s="1" t="s">
        <v>74</v>
      </c>
      <c r="BD906" s="1">
        <v>918.0</v>
      </c>
      <c r="BE906" s="1" t="s">
        <v>8437</v>
      </c>
      <c r="BF906" s="2" t="str">
        <f>HYPERLINK("http://dx.doi.org/10.3389/fphar.2017.00918","http://dx.doi.org/10.3389/fphar.2017.00918")</f>
        <v>http://dx.doi.org/10.3389/fphar.2017.00918</v>
      </c>
      <c r="BG906" s="1" t="s">
        <v>74</v>
      </c>
      <c r="BH906" s="1" t="s">
        <v>74</v>
      </c>
      <c r="BI906" s="1" t="s">
        <v>74</v>
      </c>
      <c r="BJ906" s="1" t="s">
        <v>74</v>
      </c>
      <c r="BK906" s="1" t="s">
        <v>74</v>
      </c>
      <c r="BL906" s="1" t="s">
        <v>74</v>
      </c>
      <c r="BM906" s="1" t="s">
        <v>74</v>
      </c>
      <c r="BN906" s="1">
        <v>2.932659E7</v>
      </c>
      <c r="BO906" s="1" t="s">
        <v>74</v>
      </c>
      <c r="BP906" s="1" t="s">
        <v>74</v>
      </c>
      <c r="BQ906" s="1" t="s">
        <v>74</v>
      </c>
      <c r="BR906" s="1" t="s">
        <v>74</v>
      </c>
      <c r="BS906" s="1" t="s">
        <v>8438</v>
      </c>
      <c r="BT906" s="1" t="str">
        <f>HYPERLINK("https%3A%2F%2Fwww.webofscience.com%2Fwos%2Fwoscc%2Ffull-record%2FWOS:000418040500001","View Full Record in Web of Science")</f>
        <v>View Full Record in Web of Science</v>
      </c>
    </row>
    <row r="907" ht="12.75" customHeight="1">
      <c r="A907" s="1" t="s">
        <v>72</v>
      </c>
      <c r="B907" s="1" t="s">
        <v>8439</v>
      </c>
      <c r="C907" s="1" t="s">
        <v>74</v>
      </c>
      <c r="D907" s="1" t="s">
        <v>74</v>
      </c>
      <c r="E907" s="1" t="s">
        <v>74</v>
      </c>
      <c r="F907" s="1" t="s">
        <v>8440</v>
      </c>
      <c r="G907" s="1" t="s">
        <v>74</v>
      </c>
      <c r="H907" s="1" t="s">
        <v>74</v>
      </c>
      <c r="I907" s="1" t="s">
        <v>8441</v>
      </c>
      <c r="J907" s="1" t="s">
        <v>7449</v>
      </c>
      <c r="K907" s="1" t="s">
        <v>74</v>
      </c>
      <c r="L907" s="1" t="s">
        <v>74</v>
      </c>
      <c r="M907" s="1" t="s">
        <v>74</v>
      </c>
      <c r="N907" s="1" t="s">
        <v>74</v>
      </c>
      <c r="O907" s="1" t="s">
        <v>74</v>
      </c>
      <c r="P907" s="1" t="s">
        <v>74</v>
      </c>
      <c r="Q907" s="1" t="s">
        <v>74</v>
      </c>
      <c r="R907" s="1" t="s">
        <v>74</v>
      </c>
      <c r="S907" s="1" t="s">
        <v>74</v>
      </c>
      <c r="T907" s="1" t="s">
        <v>74</v>
      </c>
      <c r="U907" s="1" t="s">
        <v>74</v>
      </c>
      <c r="V907" s="1" t="s">
        <v>8442</v>
      </c>
      <c r="W907" s="1" t="s">
        <v>74</v>
      </c>
      <c r="X907" s="1" t="s">
        <v>74</v>
      </c>
      <c r="Y907" s="1" t="s">
        <v>74</v>
      </c>
      <c r="Z907" s="1" t="s">
        <v>74</v>
      </c>
      <c r="AA907" s="1" t="s">
        <v>8443</v>
      </c>
      <c r="AB907" s="1" t="s">
        <v>8146</v>
      </c>
      <c r="AC907" s="1" t="s">
        <v>74</v>
      </c>
      <c r="AD907" s="1" t="s">
        <v>74</v>
      </c>
      <c r="AE907" s="1" t="s">
        <v>74</v>
      </c>
      <c r="AF907" s="1" t="s">
        <v>74</v>
      </c>
      <c r="AG907" s="1" t="s">
        <v>74</v>
      </c>
      <c r="AH907" s="1" t="s">
        <v>74</v>
      </c>
      <c r="AI907" s="1" t="s">
        <v>74</v>
      </c>
      <c r="AJ907" s="1" t="s">
        <v>74</v>
      </c>
      <c r="AK907" s="1" t="s">
        <v>74</v>
      </c>
      <c r="AL907" s="1" t="s">
        <v>74</v>
      </c>
      <c r="AM907" s="1" t="s">
        <v>74</v>
      </c>
      <c r="AN907" s="1" t="s">
        <v>74</v>
      </c>
      <c r="AO907" s="1" t="s">
        <v>7453</v>
      </c>
      <c r="AP907" s="1" t="s">
        <v>7454</v>
      </c>
      <c r="AQ907" s="1" t="s">
        <v>74</v>
      </c>
      <c r="AR907" s="1" t="s">
        <v>74</v>
      </c>
      <c r="AS907" s="1" t="s">
        <v>74</v>
      </c>
      <c r="AT907" s="1" t="s">
        <v>1666</v>
      </c>
      <c r="AU907" s="1">
        <v>2017.0</v>
      </c>
      <c r="AV907" s="1">
        <v>426.0</v>
      </c>
      <c r="AW907" s="1" t="s">
        <v>74</v>
      </c>
      <c r="AX907" s="1" t="s">
        <v>74</v>
      </c>
      <c r="AY907" s="1" t="s">
        <v>74</v>
      </c>
      <c r="AZ907" s="1" t="s">
        <v>74</v>
      </c>
      <c r="BA907" s="1" t="s">
        <v>74</v>
      </c>
      <c r="BB907" s="1">
        <v>767.0</v>
      </c>
      <c r="BC907" s="1">
        <v>770.0</v>
      </c>
      <c r="BD907" s="1" t="s">
        <v>74</v>
      </c>
      <c r="BE907" s="1" t="s">
        <v>8444</v>
      </c>
      <c r="BF907" s="2" t="str">
        <f>HYPERLINK("http://dx.doi.org/10.1016/j.jmmm.2016.10.121","http://dx.doi.org/10.1016/j.jmmm.2016.10.121")</f>
        <v>http://dx.doi.org/10.1016/j.jmmm.2016.10.121</v>
      </c>
      <c r="BG907" s="1" t="s">
        <v>74</v>
      </c>
      <c r="BH907" s="1" t="s">
        <v>74</v>
      </c>
      <c r="BI907" s="1" t="s">
        <v>74</v>
      </c>
      <c r="BJ907" s="1" t="s">
        <v>74</v>
      </c>
      <c r="BK907" s="1" t="s">
        <v>74</v>
      </c>
      <c r="BL907" s="1" t="s">
        <v>74</v>
      </c>
      <c r="BM907" s="1" t="s">
        <v>74</v>
      </c>
      <c r="BN907" s="1" t="s">
        <v>74</v>
      </c>
      <c r="BO907" s="1" t="s">
        <v>74</v>
      </c>
      <c r="BP907" s="1" t="s">
        <v>74</v>
      </c>
      <c r="BQ907" s="1" t="s">
        <v>74</v>
      </c>
      <c r="BR907" s="1" t="s">
        <v>74</v>
      </c>
      <c r="BS907" s="1" t="s">
        <v>8445</v>
      </c>
      <c r="BT907" s="1" t="str">
        <f>HYPERLINK("https%3A%2F%2Fwww.webofscience.com%2Fwos%2Fwoscc%2Ffull-record%2FWOS:000397198500117","View Full Record in Web of Science")</f>
        <v>View Full Record in Web of Science</v>
      </c>
    </row>
    <row r="908" ht="12.75" customHeight="1">
      <c r="A908" s="1" t="s">
        <v>72</v>
      </c>
      <c r="B908" s="1" t="s">
        <v>8446</v>
      </c>
      <c r="C908" s="1" t="s">
        <v>74</v>
      </c>
      <c r="D908" s="1" t="s">
        <v>74</v>
      </c>
      <c r="E908" s="1" t="s">
        <v>74</v>
      </c>
      <c r="F908" s="1" t="s">
        <v>8447</v>
      </c>
      <c r="G908" s="1" t="s">
        <v>74</v>
      </c>
      <c r="H908" s="1" t="s">
        <v>74</v>
      </c>
      <c r="I908" s="1" t="s">
        <v>8448</v>
      </c>
      <c r="J908" s="1" t="s">
        <v>8449</v>
      </c>
      <c r="K908" s="1" t="s">
        <v>74</v>
      </c>
      <c r="L908" s="1" t="s">
        <v>74</v>
      </c>
      <c r="M908" s="1" t="s">
        <v>74</v>
      </c>
      <c r="N908" s="1" t="s">
        <v>74</v>
      </c>
      <c r="O908" s="1" t="s">
        <v>74</v>
      </c>
      <c r="P908" s="1" t="s">
        <v>74</v>
      </c>
      <c r="Q908" s="1" t="s">
        <v>74</v>
      </c>
      <c r="R908" s="1" t="s">
        <v>74</v>
      </c>
      <c r="S908" s="1" t="s">
        <v>74</v>
      </c>
      <c r="T908" s="1" t="s">
        <v>74</v>
      </c>
      <c r="U908" s="1" t="s">
        <v>74</v>
      </c>
      <c r="V908" s="1" t="s">
        <v>8450</v>
      </c>
      <c r="W908" s="1" t="s">
        <v>74</v>
      </c>
      <c r="X908" s="1" t="s">
        <v>74</v>
      </c>
      <c r="Y908" s="1" t="s">
        <v>74</v>
      </c>
      <c r="Z908" s="1" t="s">
        <v>74</v>
      </c>
      <c r="AA908" s="1" t="s">
        <v>74</v>
      </c>
      <c r="AB908" s="1" t="s">
        <v>74</v>
      </c>
      <c r="AC908" s="1" t="s">
        <v>74</v>
      </c>
      <c r="AD908" s="1" t="s">
        <v>74</v>
      </c>
      <c r="AE908" s="1" t="s">
        <v>74</v>
      </c>
      <c r="AF908" s="1" t="s">
        <v>74</v>
      </c>
      <c r="AG908" s="1" t="s">
        <v>74</v>
      </c>
      <c r="AH908" s="1" t="s">
        <v>74</v>
      </c>
      <c r="AI908" s="1" t="s">
        <v>74</v>
      </c>
      <c r="AJ908" s="1" t="s">
        <v>74</v>
      </c>
      <c r="AK908" s="1" t="s">
        <v>74</v>
      </c>
      <c r="AL908" s="1" t="s">
        <v>74</v>
      </c>
      <c r="AM908" s="1" t="s">
        <v>74</v>
      </c>
      <c r="AN908" s="1" t="s">
        <v>74</v>
      </c>
      <c r="AO908" s="1" t="s">
        <v>8451</v>
      </c>
      <c r="AP908" s="1" t="s">
        <v>8452</v>
      </c>
      <c r="AQ908" s="1" t="s">
        <v>74</v>
      </c>
      <c r="AR908" s="1" t="s">
        <v>74</v>
      </c>
      <c r="AS908" s="1" t="s">
        <v>74</v>
      </c>
      <c r="AT908" s="1" t="s">
        <v>144</v>
      </c>
      <c r="AU908" s="1">
        <v>2017.0</v>
      </c>
      <c r="AV908" s="1">
        <v>35.0</v>
      </c>
      <c r="AW908" s="1">
        <v>1.0</v>
      </c>
      <c r="AX908" s="1" t="s">
        <v>74</v>
      </c>
      <c r="AY908" s="1" t="s">
        <v>74</v>
      </c>
      <c r="AZ908" s="1" t="s">
        <v>74</v>
      </c>
      <c r="BA908" s="1" t="s">
        <v>74</v>
      </c>
      <c r="BB908" s="1">
        <v>85.0</v>
      </c>
      <c r="BC908" s="1">
        <v>91.0</v>
      </c>
      <c r="BD908" s="1" t="s">
        <v>74</v>
      </c>
      <c r="BE908" s="1" t="s">
        <v>74</v>
      </c>
      <c r="BF908" s="1" t="s">
        <v>74</v>
      </c>
      <c r="BG908" s="1" t="s">
        <v>74</v>
      </c>
      <c r="BH908" s="1" t="s">
        <v>74</v>
      </c>
      <c r="BI908" s="1" t="s">
        <v>74</v>
      </c>
      <c r="BJ908" s="1" t="s">
        <v>74</v>
      </c>
      <c r="BK908" s="1" t="s">
        <v>74</v>
      </c>
      <c r="BL908" s="1" t="s">
        <v>74</v>
      </c>
      <c r="BM908" s="1" t="s">
        <v>74</v>
      </c>
      <c r="BN908" s="1" t="s">
        <v>74</v>
      </c>
      <c r="BO908" s="1" t="s">
        <v>74</v>
      </c>
      <c r="BP908" s="1" t="s">
        <v>74</v>
      </c>
      <c r="BQ908" s="1" t="s">
        <v>74</v>
      </c>
      <c r="BR908" s="1" t="s">
        <v>74</v>
      </c>
      <c r="BS908" s="1" t="s">
        <v>8453</v>
      </c>
      <c r="BT908" s="1" t="str">
        <f>HYPERLINK("https%3A%2F%2Fwww.webofscience.com%2Fwos%2Fwoscc%2Ffull-record%2FWOS:000400464600015","View Full Record in Web of Science")</f>
        <v>View Full Record in Web of Science</v>
      </c>
    </row>
    <row r="909" ht="12.75" customHeight="1">
      <c r="A909" s="1" t="s">
        <v>72</v>
      </c>
      <c r="B909" s="1" t="s">
        <v>8454</v>
      </c>
      <c r="C909" s="1" t="s">
        <v>74</v>
      </c>
      <c r="D909" s="1" t="s">
        <v>74</v>
      </c>
      <c r="E909" s="1" t="s">
        <v>74</v>
      </c>
      <c r="F909" s="1" t="s">
        <v>8455</v>
      </c>
      <c r="G909" s="1" t="s">
        <v>74</v>
      </c>
      <c r="H909" s="1" t="s">
        <v>74</v>
      </c>
      <c r="I909" s="1" t="s">
        <v>8456</v>
      </c>
      <c r="J909" s="1" t="s">
        <v>7516</v>
      </c>
      <c r="K909" s="1" t="s">
        <v>74</v>
      </c>
      <c r="L909" s="1" t="s">
        <v>74</v>
      </c>
      <c r="M909" s="1" t="s">
        <v>74</v>
      </c>
      <c r="N909" s="1" t="s">
        <v>74</v>
      </c>
      <c r="O909" s="1" t="s">
        <v>74</v>
      </c>
      <c r="P909" s="1" t="s">
        <v>74</v>
      </c>
      <c r="Q909" s="1" t="s">
        <v>74</v>
      </c>
      <c r="R909" s="1" t="s">
        <v>74</v>
      </c>
      <c r="S909" s="1" t="s">
        <v>74</v>
      </c>
      <c r="T909" s="1" t="s">
        <v>74</v>
      </c>
      <c r="U909" s="1" t="s">
        <v>74</v>
      </c>
      <c r="V909" s="1" t="s">
        <v>8457</v>
      </c>
      <c r="W909" s="1" t="s">
        <v>74</v>
      </c>
      <c r="X909" s="1" t="s">
        <v>74</v>
      </c>
      <c r="Y909" s="1" t="s">
        <v>74</v>
      </c>
      <c r="Z909" s="1" t="s">
        <v>74</v>
      </c>
      <c r="AA909" s="1" t="s">
        <v>7518</v>
      </c>
      <c r="AB909" s="1" t="s">
        <v>8458</v>
      </c>
      <c r="AC909" s="1" t="s">
        <v>74</v>
      </c>
      <c r="AD909" s="1" t="s">
        <v>74</v>
      </c>
      <c r="AE909" s="1" t="s">
        <v>74</v>
      </c>
      <c r="AF909" s="1" t="s">
        <v>74</v>
      </c>
      <c r="AG909" s="1" t="s">
        <v>74</v>
      </c>
      <c r="AH909" s="1" t="s">
        <v>74</v>
      </c>
      <c r="AI909" s="1" t="s">
        <v>74</v>
      </c>
      <c r="AJ909" s="1" t="s">
        <v>74</v>
      </c>
      <c r="AK909" s="1" t="s">
        <v>74</v>
      </c>
      <c r="AL909" s="1" t="s">
        <v>74</v>
      </c>
      <c r="AM909" s="1" t="s">
        <v>74</v>
      </c>
      <c r="AN909" s="1" t="s">
        <v>74</v>
      </c>
      <c r="AO909" s="1" t="s">
        <v>7520</v>
      </c>
      <c r="AP909" s="1" t="s">
        <v>74</v>
      </c>
      <c r="AQ909" s="1" t="s">
        <v>74</v>
      </c>
      <c r="AR909" s="1" t="s">
        <v>74</v>
      </c>
      <c r="AS909" s="1" t="s">
        <v>74</v>
      </c>
      <c r="AT909" s="1" t="s">
        <v>74</v>
      </c>
      <c r="AU909" s="1">
        <v>2017.0</v>
      </c>
      <c r="AV909" s="1">
        <v>22.0</v>
      </c>
      <c r="AW909" s="1">
        <v>2.0</v>
      </c>
      <c r="AX909" s="1" t="s">
        <v>74</v>
      </c>
      <c r="AY909" s="1" t="s">
        <v>74</v>
      </c>
      <c r="AZ909" s="1" t="s">
        <v>74</v>
      </c>
      <c r="BA909" s="1" t="s">
        <v>74</v>
      </c>
      <c r="BB909" s="1" t="s">
        <v>74</v>
      </c>
      <c r="BC909" s="1" t="s">
        <v>74</v>
      </c>
      <c r="BD909" s="1" t="s">
        <v>8459</v>
      </c>
      <c r="BE909" s="1" t="s">
        <v>8460</v>
      </c>
      <c r="BF909" s="2" t="str">
        <f>HYPERLINK("http://dx.doi.org/10.1590/S1517-707620170002.0142","http://dx.doi.org/10.1590/S1517-707620170002.0142")</f>
        <v>http://dx.doi.org/10.1590/S1517-707620170002.0142</v>
      </c>
      <c r="BG909" s="1" t="s">
        <v>74</v>
      </c>
      <c r="BH909" s="1" t="s">
        <v>74</v>
      </c>
      <c r="BI909" s="1" t="s">
        <v>74</v>
      </c>
      <c r="BJ909" s="1" t="s">
        <v>74</v>
      </c>
      <c r="BK909" s="1" t="s">
        <v>74</v>
      </c>
      <c r="BL909" s="1" t="s">
        <v>74</v>
      </c>
      <c r="BM909" s="1" t="s">
        <v>74</v>
      </c>
      <c r="BN909" s="1" t="s">
        <v>74</v>
      </c>
      <c r="BO909" s="1" t="s">
        <v>74</v>
      </c>
      <c r="BP909" s="1" t="s">
        <v>74</v>
      </c>
      <c r="BQ909" s="1" t="s">
        <v>74</v>
      </c>
      <c r="BR909" s="1" t="s">
        <v>74</v>
      </c>
      <c r="BS909" s="1" t="s">
        <v>8461</v>
      </c>
      <c r="BT909" s="1" t="str">
        <f>HYPERLINK("https%3A%2F%2Fwww.webofscience.com%2Fwos%2Fwoscc%2Ffull-record%2FWOS:000404484000005","View Full Record in Web of Science")</f>
        <v>View Full Record in Web of Science</v>
      </c>
    </row>
    <row r="910" ht="12.75" customHeight="1">
      <c r="A910" s="1" t="s">
        <v>72</v>
      </c>
      <c r="B910" s="1" t="s">
        <v>8462</v>
      </c>
      <c r="C910" s="1" t="s">
        <v>74</v>
      </c>
      <c r="D910" s="1" t="s">
        <v>74</v>
      </c>
      <c r="E910" s="1" t="s">
        <v>74</v>
      </c>
      <c r="F910" s="1" t="s">
        <v>8463</v>
      </c>
      <c r="G910" s="1" t="s">
        <v>74</v>
      </c>
      <c r="H910" s="1" t="s">
        <v>74</v>
      </c>
      <c r="I910" s="1" t="s">
        <v>8464</v>
      </c>
      <c r="J910" s="1" t="s">
        <v>8465</v>
      </c>
      <c r="K910" s="1" t="s">
        <v>74</v>
      </c>
      <c r="L910" s="1" t="s">
        <v>74</v>
      </c>
      <c r="M910" s="1" t="s">
        <v>74</v>
      </c>
      <c r="N910" s="1" t="s">
        <v>74</v>
      </c>
      <c r="O910" s="1" t="s">
        <v>74</v>
      </c>
      <c r="P910" s="1" t="s">
        <v>74</v>
      </c>
      <c r="Q910" s="1" t="s">
        <v>74</v>
      </c>
      <c r="R910" s="1" t="s">
        <v>74</v>
      </c>
      <c r="S910" s="1" t="s">
        <v>74</v>
      </c>
      <c r="T910" s="1" t="s">
        <v>74</v>
      </c>
      <c r="U910" s="1" t="s">
        <v>74</v>
      </c>
      <c r="V910" s="1" t="s">
        <v>8466</v>
      </c>
      <c r="W910" s="1" t="s">
        <v>74</v>
      </c>
      <c r="X910" s="1" t="s">
        <v>74</v>
      </c>
      <c r="Y910" s="1" t="s">
        <v>74</v>
      </c>
      <c r="Z910" s="1" t="s">
        <v>74</v>
      </c>
      <c r="AA910" s="1" t="s">
        <v>8467</v>
      </c>
      <c r="AB910" s="1" t="s">
        <v>8468</v>
      </c>
      <c r="AC910" s="1" t="s">
        <v>74</v>
      </c>
      <c r="AD910" s="1" t="s">
        <v>74</v>
      </c>
      <c r="AE910" s="1" t="s">
        <v>74</v>
      </c>
      <c r="AF910" s="1" t="s">
        <v>74</v>
      </c>
      <c r="AG910" s="1" t="s">
        <v>74</v>
      </c>
      <c r="AH910" s="1" t="s">
        <v>74</v>
      </c>
      <c r="AI910" s="1" t="s">
        <v>74</v>
      </c>
      <c r="AJ910" s="1" t="s">
        <v>74</v>
      </c>
      <c r="AK910" s="1" t="s">
        <v>74</v>
      </c>
      <c r="AL910" s="1" t="s">
        <v>74</v>
      </c>
      <c r="AM910" s="1" t="s">
        <v>74</v>
      </c>
      <c r="AN910" s="1" t="s">
        <v>74</v>
      </c>
      <c r="AO910" s="1" t="s">
        <v>8469</v>
      </c>
      <c r="AP910" s="1" t="s">
        <v>8470</v>
      </c>
      <c r="AQ910" s="1" t="s">
        <v>74</v>
      </c>
      <c r="AR910" s="1" t="s">
        <v>74</v>
      </c>
      <c r="AS910" s="1" t="s">
        <v>74</v>
      </c>
      <c r="AT910" s="1" t="s">
        <v>363</v>
      </c>
      <c r="AU910" s="1">
        <v>2016.0</v>
      </c>
      <c r="AV910" s="1">
        <v>68.0</v>
      </c>
      <c r="AW910" s="1">
        <v>4.0</v>
      </c>
      <c r="AX910" s="1" t="s">
        <v>74</v>
      </c>
      <c r="AY910" s="1" t="s">
        <v>74</v>
      </c>
      <c r="AZ910" s="1" t="s">
        <v>74</v>
      </c>
      <c r="BA910" s="1" t="s">
        <v>74</v>
      </c>
      <c r="BB910" s="1">
        <v>329.0</v>
      </c>
      <c r="BC910" s="1">
        <v>347.0</v>
      </c>
      <c r="BD910" s="1" t="s">
        <v>74</v>
      </c>
      <c r="BE910" s="1" t="s">
        <v>8471</v>
      </c>
      <c r="BF910" s="2" t="str">
        <f>HYPERLINK("http://dx.doi.org/10.1111/boer.12056","http://dx.doi.org/10.1111/boer.12056")</f>
        <v>http://dx.doi.org/10.1111/boer.12056</v>
      </c>
      <c r="BG910" s="1" t="s">
        <v>74</v>
      </c>
      <c r="BH910" s="1" t="s">
        <v>74</v>
      </c>
      <c r="BI910" s="1" t="s">
        <v>74</v>
      </c>
      <c r="BJ910" s="1" t="s">
        <v>74</v>
      </c>
      <c r="BK910" s="1" t="s">
        <v>74</v>
      </c>
      <c r="BL910" s="1" t="s">
        <v>74</v>
      </c>
      <c r="BM910" s="1" t="s">
        <v>74</v>
      </c>
      <c r="BN910" s="1" t="s">
        <v>74</v>
      </c>
      <c r="BO910" s="1" t="s">
        <v>74</v>
      </c>
      <c r="BP910" s="1" t="s">
        <v>74</v>
      </c>
      <c r="BQ910" s="1" t="s">
        <v>74</v>
      </c>
      <c r="BR910" s="1" t="s">
        <v>74</v>
      </c>
      <c r="BS910" s="1" t="s">
        <v>8472</v>
      </c>
      <c r="BT910" s="1" t="str">
        <f>HYPERLINK("https%3A%2F%2Fwww.webofscience.com%2Fwos%2Fwoscc%2Ffull-record%2FWOS:000385671200002","View Full Record in Web of Science")</f>
        <v>View Full Record in Web of Science</v>
      </c>
    </row>
    <row r="911" ht="12.75" customHeight="1">
      <c r="A911" s="1" t="s">
        <v>72</v>
      </c>
      <c r="B911" s="1" t="s">
        <v>8473</v>
      </c>
      <c r="C911" s="1" t="s">
        <v>74</v>
      </c>
      <c r="D911" s="1" t="s">
        <v>74</v>
      </c>
      <c r="E911" s="1" t="s">
        <v>74</v>
      </c>
      <c r="F911" s="1" t="s">
        <v>8474</v>
      </c>
      <c r="G911" s="1" t="s">
        <v>74</v>
      </c>
      <c r="H911" s="1" t="s">
        <v>74</v>
      </c>
      <c r="I911" s="1" t="s">
        <v>8475</v>
      </c>
      <c r="J911" s="1" t="s">
        <v>8476</v>
      </c>
      <c r="K911" s="1" t="s">
        <v>74</v>
      </c>
      <c r="L911" s="1" t="s">
        <v>74</v>
      </c>
      <c r="M911" s="1" t="s">
        <v>74</v>
      </c>
      <c r="N911" s="1" t="s">
        <v>74</v>
      </c>
      <c r="O911" s="1" t="s">
        <v>74</v>
      </c>
      <c r="P911" s="1" t="s">
        <v>74</v>
      </c>
      <c r="Q911" s="1" t="s">
        <v>74</v>
      </c>
      <c r="R911" s="1" t="s">
        <v>74</v>
      </c>
      <c r="S911" s="1" t="s">
        <v>74</v>
      </c>
      <c r="T911" s="1" t="s">
        <v>74</v>
      </c>
      <c r="U911" s="1" t="s">
        <v>74</v>
      </c>
      <c r="V911" s="1" t="s">
        <v>8477</v>
      </c>
      <c r="W911" s="1" t="s">
        <v>74</v>
      </c>
      <c r="X911" s="1" t="s">
        <v>74</v>
      </c>
      <c r="Y911" s="1" t="s">
        <v>74</v>
      </c>
      <c r="Z911" s="1" t="s">
        <v>74</v>
      </c>
      <c r="AA911" s="1" t="s">
        <v>8478</v>
      </c>
      <c r="AB911" s="1" t="s">
        <v>8479</v>
      </c>
      <c r="AC911" s="1" t="s">
        <v>74</v>
      </c>
      <c r="AD911" s="1" t="s">
        <v>74</v>
      </c>
      <c r="AE911" s="1" t="s">
        <v>74</v>
      </c>
      <c r="AF911" s="1" t="s">
        <v>74</v>
      </c>
      <c r="AG911" s="1" t="s">
        <v>74</v>
      </c>
      <c r="AH911" s="1" t="s">
        <v>74</v>
      </c>
      <c r="AI911" s="1" t="s">
        <v>74</v>
      </c>
      <c r="AJ911" s="1" t="s">
        <v>74</v>
      </c>
      <c r="AK911" s="1" t="s">
        <v>74</v>
      </c>
      <c r="AL911" s="1" t="s">
        <v>74</v>
      </c>
      <c r="AM911" s="1" t="s">
        <v>74</v>
      </c>
      <c r="AN911" s="1" t="s">
        <v>74</v>
      </c>
      <c r="AO911" s="1" t="s">
        <v>8480</v>
      </c>
      <c r="AP911" s="1" t="s">
        <v>8481</v>
      </c>
      <c r="AQ911" s="1" t="s">
        <v>74</v>
      </c>
      <c r="AR911" s="1" t="s">
        <v>74</v>
      </c>
      <c r="AS911" s="1" t="s">
        <v>74</v>
      </c>
      <c r="AT911" s="1" t="s">
        <v>7433</v>
      </c>
      <c r="AU911" s="1">
        <v>2016.0</v>
      </c>
      <c r="AV911" s="1">
        <v>8.0</v>
      </c>
      <c r="AW911" s="1">
        <v>12.0</v>
      </c>
      <c r="AX911" s="1" t="s">
        <v>74</v>
      </c>
      <c r="AY911" s="1" t="s">
        <v>74</v>
      </c>
      <c r="AZ911" s="1" t="s">
        <v>74</v>
      </c>
      <c r="BA911" s="1" t="s">
        <v>74</v>
      </c>
      <c r="BB911" s="1">
        <v>2015.0</v>
      </c>
      <c r="BC911" s="1">
        <v>2018.0</v>
      </c>
      <c r="BD911" s="1" t="s">
        <v>74</v>
      </c>
      <c r="BE911" s="1" t="s">
        <v>8482</v>
      </c>
      <c r="BF911" s="2" t="str">
        <f>HYPERLINK("http://dx.doi.org/10.1002/cctc.201600254","http://dx.doi.org/10.1002/cctc.201600254")</f>
        <v>http://dx.doi.org/10.1002/cctc.201600254</v>
      </c>
      <c r="BG911" s="1" t="s">
        <v>74</v>
      </c>
      <c r="BH911" s="1" t="s">
        <v>74</v>
      </c>
      <c r="BI911" s="1" t="s">
        <v>74</v>
      </c>
      <c r="BJ911" s="1" t="s">
        <v>74</v>
      </c>
      <c r="BK911" s="1" t="s">
        <v>74</v>
      </c>
      <c r="BL911" s="1" t="s">
        <v>74</v>
      </c>
      <c r="BM911" s="1" t="s">
        <v>74</v>
      </c>
      <c r="BN911" s="1" t="s">
        <v>74</v>
      </c>
      <c r="BO911" s="1" t="s">
        <v>74</v>
      </c>
      <c r="BP911" s="1" t="s">
        <v>74</v>
      </c>
      <c r="BQ911" s="1" t="s">
        <v>74</v>
      </c>
      <c r="BR911" s="1" t="s">
        <v>74</v>
      </c>
      <c r="BS911" s="1" t="s">
        <v>8483</v>
      </c>
      <c r="BT911" s="1" t="str">
        <f>HYPERLINK("https%3A%2F%2Fwww.webofscience.com%2Fwos%2Fwoscc%2Ffull-record%2FWOS:000379533600003","View Full Record in Web of Science")</f>
        <v>View Full Record in Web of Science</v>
      </c>
    </row>
    <row r="912" ht="12.75" customHeight="1">
      <c r="A912" s="1" t="s">
        <v>72</v>
      </c>
      <c r="B912" s="1" t="s">
        <v>7197</v>
      </c>
      <c r="C912" s="1" t="s">
        <v>74</v>
      </c>
      <c r="D912" s="1" t="s">
        <v>74</v>
      </c>
      <c r="E912" s="1" t="s">
        <v>74</v>
      </c>
      <c r="F912" s="1" t="s">
        <v>7198</v>
      </c>
      <c r="G912" s="1" t="s">
        <v>74</v>
      </c>
      <c r="H912" s="1" t="s">
        <v>74</v>
      </c>
      <c r="I912" s="1" t="s">
        <v>8484</v>
      </c>
      <c r="J912" s="1" t="s">
        <v>7803</v>
      </c>
      <c r="K912" s="1" t="s">
        <v>74</v>
      </c>
      <c r="L912" s="1" t="s">
        <v>74</v>
      </c>
      <c r="M912" s="1" t="s">
        <v>74</v>
      </c>
      <c r="N912" s="1" t="s">
        <v>74</v>
      </c>
      <c r="O912" s="1" t="s">
        <v>74</v>
      </c>
      <c r="P912" s="1" t="s">
        <v>74</v>
      </c>
      <c r="Q912" s="1" t="s">
        <v>74</v>
      </c>
      <c r="R912" s="1" t="s">
        <v>74</v>
      </c>
      <c r="S912" s="1" t="s">
        <v>74</v>
      </c>
      <c r="T912" s="1" t="s">
        <v>74</v>
      </c>
      <c r="U912" s="1" t="s">
        <v>74</v>
      </c>
      <c r="V912" s="1" t="s">
        <v>8485</v>
      </c>
      <c r="W912" s="1" t="s">
        <v>74</v>
      </c>
      <c r="X912" s="1" t="s">
        <v>74</v>
      </c>
      <c r="Y912" s="1" t="s">
        <v>74</v>
      </c>
      <c r="Z912" s="1" t="s">
        <v>74</v>
      </c>
      <c r="AA912" s="1" t="s">
        <v>7201</v>
      </c>
      <c r="AB912" s="1" t="s">
        <v>7202</v>
      </c>
      <c r="AC912" s="1" t="s">
        <v>74</v>
      </c>
      <c r="AD912" s="1" t="s">
        <v>74</v>
      </c>
      <c r="AE912" s="1" t="s">
        <v>74</v>
      </c>
      <c r="AF912" s="1" t="s">
        <v>74</v>
      </c>
      <c r="AG912" s="1" t="s">
        <v>74</v>
      </c>
      <c r="AH912" s="1" t="s">
        <v>74</v>
      </c>
      <c r="AI912" s="1" t="s">
        <v>74</v>
      </c>
      <c r="AJ912" s="1" t="s">
        <v>74</v>
      </c>
      <c r="AK912" s="1" t="s">
        <v>74</v>
      </c>
      <c r="AL912" s="1" t="s">
        <v>74</v>
      </c>
      <c r="AM912" s="1" t="s">
        <v>74</v>
      </c>
      <c r="AN912" s="1" t="s">
        <v>74</v>
      </c>
      <c r="AO912" s="1" t="s">
        <v>7807</v>
      </c>
      <c r="AP912" s="1" t="s">
        <v>7808</v>
      </c>
      <c r="AQ912" s="1" t="s">
        <v>74</v>
      </c>
      <c r="AR912" s="1" t="s">
        <v>74</v>
      </c>
      <c r="AS912" s="1" t="s">
        <v>74</v>
      </c>
      <c r="AT912" s="1" t="s">
        <v>621</v>
      </c>
      <c r="AU912" s="1">
        <v>2015.0</v>
      </c>
      <c r="AV912" s="1">
        <v>157.0</v>
      </c>
      <c r="AW912" s="1" t="s">
        <v>74</v>
      </c>
      <c r="AX912" s="1" t="s">
        <v>74</v>
      </c>
      <c r="AY912" s="1" t="s">
        <v>74</v>
      </c>
      <c r="AZ912" s="1" t="s">
        <v>74</v>
      </c>
      <c r="BA912" s="1" t="s">
        <v>74</v>
      </c>
      <c r="BB912" s="1">
        <v>70.0</v>
      </c>
      <c r="BC912" s="1">
        <v>76.0</v>
      </c>
      <c r="BD912" s="1" t="s">
        <v>74</v>
      </c>
      <c r="BE912" s="1" t="s">
        <v>8486</v>
      </c>
      <c r="BF912" s="2" t="str">
        <f>HYPERLINK("http://dx.doi.org/10.1016/j.jfoodeng.2015.02.017","http://dx.doi.org/10.1016/j.jfoodeng.2015.02.017")</f>
        <v>http://dx.doi.org/10.1016/j.jfoodeng.2015.02.017</v>
      </c>
      <c r="BG912" s="1" t="s">
        <v>74</v>
      </c>
      <c r="BH912" s="1" t="s">
        <v>74</v>
      </c>
      <c r="BI912" s="1" t="s">
        <v>74</v>
      </c>
      <c r="BJ912" s="1" t="s">
        <v>74</v>
      </c>
      <c r="BK912" s="1" t="s">
        <v>74</v>
      </c>
      <c r="BL912" s="1" t="s">
        <v>74</v>
      </c>
      <c r="BM912" s="1" t="s">
        <v>74</v>
      </c>
      <c r="BN912" s="1" t="s">
        <v>74</v>
      </c>
      <c r="BO912" s="1" t="s">
        <v>74</v>
      </c>
      <c r="BP912" s="1" t="s">
        <v>74</v>
      </c>
      <c r="BQ912" s="1" t="s">
        <v>74</v>
      </c>
      <c r="BR912" s="1" t="s">
        <v>74</v>
      </c>
      <c r="BS912" s="1" t="s">
        <v>8487</v>
      </c>
      <c r="BT912" s="1" t="str">
        <f>HYPERLINK("https%3A%2F%2Fwww.webofscience.com%2Fwos%2Fwoscc%2Ffull-record%2FWOS:000353010600010","View Full Record in Web of Science")</f>
        <v>View Full Record in Web of Science</v>
      </c>
    </row>
    <row r="913" ht="12.75" customHeight="1">
      <c r="A913" s="1" t="s">
        <v>72</v>
      </c>
      <c r="B913" s="1" t="s">
        <v>8488</v>
      </c>
      <c r="C913" s="1" t="s">
        <v>74</v>
      </c>
      <c r="D913" s="1" t="s">
        <v>74</v>
      </c>
      <c r="E913" s="1" t="s">
        <v>74</v>
      </c>
      <c r="F913" s="1" t="s">
        <v>8489</v>
      </c>
      <c r="G913" s="1" t="s">
        <v>74</v>
      </c>
      <c r="H913" s="1" t="s">
        <v>74</v>
      </c>
      <c r="I913" s="1" t="s">
        <v>8490</v>
      </c>
      <c r="J913" s="1" t="s">
        <v>8491</v>
      </c>
      <c r="K913" s="1" t="s">
        <v>74</v>
      </c>
      <c r="L913" s="1" t="s">
        <v>74</v>
      </c>
      <c r="M913" s="1" t="s">
        <v>74</v>
      </c>
      <c r="N913" s="1" t="s">
        <v>74</v>
      </c>
      <c r="O913" s="1" t="s">
        <v>74</v>
      </c>
      <c r="P913" s="1" t="s">
        <v>74</v>
      </c>
      <c r="Q913" s="1" t="s">
        <v>74</v>
      </c>
      <c r="R913" s="1" t="s">
        <v>74</v>
      </c>
      <c r="S913" s="1" t="s">
        <v>74</v>
      </c>
      <c r="T913" s="1" t="s">
        <v>74</v>
      </c>
      <c r="U913" s="1" t="s">
        <v>74</v>
      </c>
      <c r="V913" s="1" t="s">
        <v>8492</v>
      </c>
      <c r="W913" s="1" t="s">
        <v>74</v>
      </c>
      <c r="X913" s="1" t="s">
        <v>74</v>
      </c>
      <c r="Y913" s="1" t="s">
        <v>74</v>
      </c>
      <c r="Z913" s="1" t="s">
        <v>74</v>
      </c>
      <c r="AA913" s="1" t="s">
        <v>8493</v>
      </c>
      <c r="AB913" s="1" t="s">
        <v>8494</v>
      </c>
      <c r="AC913" s="1" t="s">
        <v>74</v>
      </c>
      <c r="AD913" s="1" t="s">
        <v>74</v>
      </c>
      <c r="AE913" s="1" t="s">
        <v>74</v>
      </c>
      <c r="AF913" s="1" t="s">
        <v>74</v>
      </c>
      <c r="AG913" s="1" t="s">
        <v>74</v>
      </c>
      <c r="AH913" s="1" t="s">
        <v>74</v>
      </c>
      <c r="AI913" s="1" t="s">
        <v>74</v>
      </c>
      <c r="AJ913" s="1" t="s">
        <v>74</v>
      </c>
      <c r="AK913" s="1" t="s">
        <v>74</v>
      </c>
      <c r="AL913" s="1" t="s">
        <v>74</v>
      </c>
      <c r="AM913" s="1" t="s">
        <v>74</v>
      </c>
      <c r="AN913" s="1" t="s">
        <v>74</v>
      </c>
      <c r="AO913" s="1" t="s">
        <v>8495</v>
      </c>
      <c r="AP913" s="1" t="s">
        <v>8496</v>
      </c>
      <c r="AQ913" s="1" t="s">
        <v>74</v>
      </c>
      <c r="AR913" s="1" t="s">
        <v>74</v>
      </c>
      <c r="AS913" s="1" t="s">
        <v>74</v>
      </c>
      <c r="AT913" s="1" t="s">
        <v>421</v>
      </c>
      <c r="AU913" s="1">
        <v>2015.0</v>
      </c>
      <c r="AV913" s="1">
        <v>108.0</v>
      </c>
      <c r="AW913" s="1">
        <v>5.0</v>
      </c>
      <c r="AX913" s="1" t="s">
        <v>74</v>
      </c>
      <c r="AY913" s="1" t="s">
        <v>74</v>
      </c>
      <c r="AZ913" s="1" t="s">
        <v>74</v>
      </c>
      <c r="BA913" s="1" t="s">
        <v>74</v>
      </c>
      <c r="BB913" s="1">
        <v>711.0</v>
      </c>
      <c r="BC913" s="1">
        <v>729.0</v>
      </c>
      <c r="BD913" s="1" t="s">
        <v>74</v>
      </c>
      <c r="BE913" s="1" t="s">
        <v>8497</v>
      </c>
      <c r="BF913" s="2" t="str">
        <f>HYPERLINK("http://dx.doi.org/10.1037/pspi0000014","http://dx.doi.org/10.1037/pspi0000014")</f>
        <v>http://dx.doi.org/10.1037/pspi0000014</v>
      </c>
      <c r="BG913" s="1" t="s">
        <v>74</v>
      </c>
      <c r="BH913" s="1" t="s">
        <v>74</v>
      </c>
      <c r="BI913" s="1" t="s">
        <v>74</v>
      </c>
      <c r="BJ913" s="1" t="s">
        <v>74</v>
      </c>
      <c r="BK913" s="1" t="s">
        <v>74</v>
      </c>
      <c r="BL913" s="1" t="s">
        <v>74</v>
      </c>
      <c r="BM913" s="1" t="s">
        <v>74</v>
      </c>
      <c r="BN913" s="1">
        <v>2.5822033E7</v>
      </c>
      <c r="BO913" s="1" t="s">
        <v>74</v>
      </c>
      <c r="BP913" s="1" t="s">
        <v>74</v>
      </c>
      <c r="BQ913" s="1" t="s">
        <v>74</v>
      </c>
      <c r="BR913" s="1" t="s">
        <v>74</v>
      </c>
      <c r="BS913" s="1" t="s">
        <v>8498</v>
      </c>
      <c r="BT913" s="1" t="str">
        <f>HYPERLINK("https%3A%2F%2Fwww.webofscience.com%2Fwos%2Fwoscc%2Ffull-record%2FWOS:000353578700004","View Full Record in Web of Science")</f>
        <v>View Full Record in Web of Science</v>
      </c>
    </row>
    <row r="914" ht="12.75" customHeight="1">
      <c r="A914" s="1" t="s">
        <v>72</v>
      </c>
      <c r="B914" s="1" t="s">
        <v>8499</v>
      </c>
      <c r="C914" s="1" t="s">
        <v>74</v>
      </c>
      <c r="D914" s="1" t="s">
        <v>74</v>
      </c>
      <c r="E914" s="1" t="s">
        <v>74</v>
      </c>
      <c r="F914" s="1" t="s">
        <v>8500</v>
      </c>
      <c r="G914" s="1" t="s">
        <v>74</v>
      </c>
      <c r="H914" s="1" t="s">
        <v>74</v>
      </c>
      <c r="I914" s="1" t="s">
        <v>8501</v>
      </c>
      <c r="J914" s="1" t="s">
        <v>8502</v>
      </c>
      <c r="K914" s="1" t="s">
        <v>74</v>
      </c>
      <c r="L914" s="1" t="s">
        <v>74</v>
      </c>
      <c r="M914" s="1" t="s">
        <v>74</v>
      </c>
      <c r="N914" s="1" t="s">
        <v>74</v>
      </c>
      <c r="O914" s="1" t="s">
        <v>74</v>
      </c>
      <c r="P914" s="1" t="s">
        <v>74</v>
      </c>
      <c r="Q914" s="1" t="s">
        <v>74</v>
      </c>
      <c r="R914" s="1" t="s">
        <v>74</v>
      </c>
      <c r="S914" s="1" t="s">
        <v>74</v>
      </c>
      <c r="T914" s="1" t="s">
        <v>74</v>
      </c>
      <c r="U914" s="1" t="s">
        <v>74</v>
      </c>
      <c r="V914" s="1" t="s">
        <v>8503</v>
      </c>
      <c r="W914" s="1" t="s">
        <v>74</v>
      </c>
      <c r="X914" s="1" t="s">
        <v>74</v>
      </c>
      <c r="Y914" s="1" t="s">
        <v>74</v>
      </c>
      <c r="Z914" s="1" t="s">
        <v>74</v>
      </c>
      <c r="AA914" s="1" t="s">
        <v>5529</v>
      </c>
      <c r="AB914" s="1" t="s">
        <v>8504</v>
      </c>
      <c r="AC914" s="1" t="s">
        <v>74</v>
      </c>
      <c r="AD914" s="1" t="s">
        <v>74</v>
      </c>
      <c r="AE914" s="1" t="s">
        <v>74</v>
      </c>
      <c r="AF914" s="1" t="s">
        <v>74</v>
      </c>
      <c r="AG914" s="1" t="s">
        <v>74</v>
      </c>
      <c r="AH914" s="1" t="s">
        <v>74</v>
      </c>
      <c r="AI914" s="1" t="s">
        <v>74</v>
      </c>
      <c r="AJ914" s="1" t="s">
        <v>74</v>
      </c>
      <c r="AK914" s="1" t="s">
        <v>74</v>
      </c>
      <c r="AL914" s="1" t="s">
        <v>74</v>
      </c>
      <c r="AM914" s="1" t="s">
        <v>74</v>
      </c>
      <c r="AN914" s="1" t="s">
        <v>74</v>
      </c>
      <c r="AO914" s="1" t="s">
        <v>8505</v>
      </c>
      <c r="AP914" s="1" t="s">
        <v>8506</v>
      </c>
      <c r="AQ914" s="1" t="s">
        <v>74</v>
      </c>
      <c r="AR914" s="1" t="s">
        <v>74</v>
      </c>
      <c r="AS914" s="1" t="s">
        <v>74</v>
      </c>
      <c r="AT914" s="1" t="s">
        <v>277</v>
      </c>
      <c r="AU914" s="1">
        <v>2014.0</v>
      </c>
      <c r="AV914" s="1">
        <v>14.0</v>
      </c>
      <c r="AW914" s="1">
        <v>1.0</v>
      </c>
      <c r="AX914" s="1" t="s">
        <v>74</v>
      </c>
      <c r="AY914" s="1" t="s">
        <v>74</v>
      </c>
      <c r="AZ914" s="1" t="s">
        <v>74</v>
      </c>
      <c r="BA914" s="1" t="s">
        <v>74</v>
      </c>
      <c r="BB914" s="1">
        <v>76.0</v>
      </c>
      <c r="BC914" s="1">
        <v>82.0</v>
      </c>
      <c r="BD914" s="1" t="s">
        <v>74</v>
      </c>
      <c r="BE914" s="1" t="s">
        <v>8507</v>
      </c>
      <c r="BF914" s="2" t="str">
        <f>HYPERLINK("http://dx.doi.org/10.1016/S1697-2600(14)70039-0","http://dx.doi.org/10.1016/S1697-2600(14)70039-0")</f>
        <v>http://dx.doi.org/10.1016/S1697-2600(14)70039-0</v>
      </c>
      <c r="BG914" s="1" t="s">
        <v>74</v>
      </c>
      <c r="BH914" s="1" t="s">
        <v>74</v>
      </c>
      <c r="BI914" s="1" t="s">
        <v>74</v>
      </c>
      <c r="BJ914" s="1" t="s">
        <v>74</v>
      </c>
      <c r="BK914" s="1" t="s">
        <v>74</v>
      </c>
      <c r="BL914" s="1" t="s">
        <v>74</v>
      </c>
      <c r="BM914" s="1" t="s">
        <v>74</v>
      </c>
      <c r="BN914" s="1" t="s">
        <v>74</v>
      </c>
      <c r="BO914" s="1" t="s">
        <v>74</v>
      </c>
      <c r="BP914" s="1" t="s">
        <v>74</v>
      </c>
      <c r="BQ914" s="1" t="s">
        <v>74</v>
      </c>
      <c r="BR914" s="1" t="s">
        <v>74</v>
      </c>
      <c r="BS914" s="1" t="s">
        <v>8508</v>
      </c>
      <c r="BT914" s="1" t="str">
        <f>HYPERLINK("https%3A%2F%2Fwww.webofscience.com%2Fwos%2Fwoscc%2Ffull-record%2FWOS:000328809900009","View Full Record in Web of Science")</f>
        <v>View Full Record in Web of Science</v>
      </c>
    </row>
    <row r="915" ht="12.75" customHeight="1">
      <c r="A915" s="1" t="s">
        <v>147</v>
      </c>
      <c r="B915" s="1" t="s">
        <v>8509</v>
      </c>
      <c r="C915" s="1" t="s">
        <v>74</v>
      </c>
      <c r="D915" s="1" t="s">
        <v>74</v>
      </c>
      <c r="E915" s="1" t="s">
        <v>8510</v>
      </c>
      <c r="F915" s="1" t="s">
        <v>8511</v>
      </c>
      <c r="G915" s="1" t="s">
        <v>74</v>
      </c>
      <c r="H915" s="1" t="s">
        <v>74</v>
      </c>
      <c r="I915" s="1" t="s">
        <v>8512</v>
      </c>
      <c r="J915" s="1" t="s">
        <v>8513</v>
      </c>
      <c r="K915" s="1" t="s">
        <v>8514</v>
      </c>
      <c r="L915" s="1" t="s">
        <v>74</v>
      </c>
      <c r="M915" s="1" t="s">
        <v>74</v>
      </c>
      <c r="N915" s="1" t="s">
        <v>74</v>
      </c>
      <c r="O915" s="1" t="s">
        <v>8515</v>
      </c>
      <c r="P915" s="1" t="s">
        <v>8516</v>
      </c>
      <c r="Q915" s="1" t="s">
        <v>2522</v>
      </c>
      <c r="R915" s="1" t="s">
        <v>8517</v>
      </c>
      <c r="S915" s="1" t="s">
        <v>74</v>
      </c>
      <c r="T915" s="1" t="s">
        <v>74</v>
      </c>
      <c r="U915" s="1" t="s">
        <v>74</v>
      </c>
      <c r="V915" s="1" t="s">
        <v>8518</v>
      </c>
      <c r="W915" s="1" t="s">
        <v>74</v>
      </c>
      <c r="X915" s="1" t="s">
        <v>74</v>
      </c>
      <c r="Y915" s="1" t="s">
        <v>74</v>
      </c>
      <c r="Z915" s="1" t="s">
        <v>74</v>
      </c>
      <c r="AA915" s="1" t="s">
        <v>8519</v>
      </c>
      <c r="AB915" s="1" t="s">
        <v>74</v>
      </c>
      <c r="AC915" s="1" t="s">
        <v>74</v>
      </c>
      <c r="AD915" s="1" t="s">
        <v>74</v>
      </c>
      <c r="AE915" s="1" t="s">
        <v>74</v>
      </c>
      <c r="AF915" s="1" t="s">
        <v>74</v>
      </c>
      <c r="AG915" s="1" t="s">
        <v>74</v>
      </c>
      <c r="AH915" s="1" t="s">
        <v>74</v>
      </c>
      <c r="AI915" s="1" t="s">
        <v>74</v>
      </c>
      <c r="AJ915" s="1" t="s">
        <v>74</v>
      </c>
      <c r="AK915" s="1" t="s">
        <v>74</v>
      </c>
      <c r="AL915" s="1" t="s">
        <v>74</v>
      </c>
      <c r="AM915" s="1" t="s">
        <v>74</v>
      </c>
      <c r="AN915" s="1" t="s">
        <v>74</v>
      </c>
      <c r="AO915" s="1" t="s">
        <v>8520</v>
      </c>
      <c r="AP915" s="1" t="s">
        <v>8521</v>
      </c>
      <c r="AQ915" s="1" t="s">
        <v>74</v>
      </c>
      <c r="AR915" s="1" t="s">
        <v>74</v>
      </c>
      <c r="AS915" s="1" t="s">
        <v>74</v>
      </c>
      <c r="AT915" s="1" t="s">
        <v>74</v>
      </c>
      <c r="AU915" s="1">
        <v>2014.0</v>
      </c>
      <c r="AV915" s="1">
        <v>511.0</v>
      </c>
      <c r="AW915" s="1" t="s">
        <v>74</v>
      </c>
      <c r="AX915" s="1" t="s">
        <v>74</v>
      </c>
      <c r="AY915" s="1" t="s">
        <v>74</v>
      </c>
      <c r="AZ915" s="1" t="s">
        <v>74</v>
      </c>
      <c r="BA915" s="1" t="s">
        <v>74</v>
      </c>
      <c r="BB915" s="1" t="s">
        <v>74</v>
      </c>
      <c r="BC915" s="1" t="s">
        <v>74</v>
      </c>
      <c r="BD915" s="1">
        <v>12032.0</v>
      </c>
      <c r="BE915" s="1" t="s">
        <v>8522</v>
      </c>
      <c r="BF915" s="2" t="str">
        <f>HYPERLINK("http://dx.doi.org/10.1088/1742-6596/511/1/012032","http://dx.doi.org/10.1088/1742-6596/511/1/012032")</f>
        <v>http://dx.doi.org/10.1088/1742-6596/511/1/012032</v>
      </c>
      <c r="BG915" s="1" t="s">
        <v>74</v>
      </c>
      <c r="BH915" s="1" t="s">
        <v>74</v>
      </c>
      <c r="BI915" s="1" t="s">
        <v>74</v>
      </c>
      <c r="BJ915" s="1" t="s">
        <v>74</v>
      </c>
      <c r="BK915" s="1" t="s">
        <v>74</v>
      </c>
      <c r="BL915" s="1" t="s">
        <v>74</v>
      </c>
      <c r="BM915" s="1" t="s">
        <v>74</v>
      </c>
      <c r="BN915" s="1" t="s">
        <v>74</v>
      </c>
      <c r="BO915" s="1" t="s">
        <v>74</v>
      </c>
      <c r="BP915" s="1" t="s">
        <v>74</v>
      </c>
      <c r="BQ915" s="1" t="s">
        <v>74</v>
      </c>
      <c r="BR915" s="1" t="s">
        <v>74</v>
      </c>
      <c r="BS915" s="1" t="s">
        <v>8523</v>
      </c>
      <c r="BT915" s="1" t="str">
        <f>HYPERLINK("https%3A%2F%2Fwww.webofscience.com%2Fwos%2Fwoscc%2Ffull-record%2FWOS:000337223400032","View Full Record in Web of Science")</f>
        <v>View Full Record in Web of Science</v>
      </c>
    </row>
    <row r="916" ht="12.75" customHeight="1">
      <c r="A916" s="1" t="s">
        <v>72</v>
      </c>
      <c r="B916" s="1" t="s">
        <v>7574</v>
      </c>
      <c r="C916" s="1" t="s">
        <v>74</v>
      </c>
      <c r="D916" s="1" t="s">
        <v>74</v>
      </c>
      <c r="E916" s="1" t="s">
        <v>74</v>
      </c>
      <c r="F916" s="1" t="s">
        <v>8524</v>
      </c>
      <c r="G916" s="1" t="s">
        <v>74</v>
      </c>
      <c r="H916" s="1" t="s">
        <v>74</v>
      </c>
      <c r="I916" s="1" t="s">
        <v>8525</v>
      </c>
      <c r="J916" s="1" t="s">
        <v>8526</v>
      </c>
      <c r="K916" s="1" t="s">
        <v>74</v>
      </c>
      <c r="L916" s="1" t="s">
        <v>74</v>
      </c>
      <c r="M916" s="1" t="s">
        <v>74</v>
      </c>
      <c r="N916" s="1" t="s">
        <v>74</v>
      </c>
      <c r="O916" s="1" t="s">
        <v>74</v>
      </c>
      <c r="P916" s="1" t="s">
        <v>74</v>
      </c>
      <c r="Q916" s="1" t="s">
        <v>74</v>
      </c>
      <c r="R916" s="1" t="s">
        <v>74</v>
      </c>
      <c r="S916" s="1" t="s">
        <v>74</v>
      </c>
      <c r="T916" s="1" t="s">
        <v>74</v>
      </c>
      <c r="U916" s="1" t="s">
        <v>74</v>
      </c>
      <c r="V916" s="1" t="s">
        <v>8527</v>
      </c>
      <c r="W916" s="1" t="s">
        <v>74</v>
      </c>
      <c r="X916" s="1" t="s">
        <v>74</v>
      </c>
      <c r="Y916" s="1" t="s">
        <v>74</v>
      </c>
      <c r="Z916" s="1" t="s">
        <v>74</v>
      </c>
      <c r="AA916" s="1" t="s">
        <v>6470</v>
      </c>
      <c r="AB916" s="1" t="s">
        <v>7579</v>
      </c>
      <c r="AC916" s="1" t="s">
        <v>74</v>
      </c>
      <c r="AD916" s="1" t="s">
        <v>74</v>
      </c>
      <c r="AE916" s="1" t="s">
        <v>74</v>
      </c>
      <c r="AF916" s="1" t="s">
        <v>74</v>
      </c>
      <c r="AG916" s="1" t="s">
        <v>74</v>
      </c>
      <c r="AH916" s="1" t="s">
        <v>74</v>
      </c>
      <c r="AI916" s="1" t="s">
        <v>74</v>
      </c>
      <c r="AJ916" s="1" t="s">
        <v>74</v>
      </c>
      <c r="AK916" s="1" t="s">
        <v>74</v>
      </c>
      <c r="AL916" s="1" t="s">
        <v>74</v>
      </c>
      <c r="AM916" s="1" t="s">
        <v>74</v>
      </c>
      <c r="AN916" s="1" t="s">
        <v>74</v>
      </c>
      <c r="AO916" s="1" t="s">
        <v>8528</v>
      </c>
      <c r="AP916" s="1" t="s">
        <v>8529</v>
      </c>
      <c r="AQ916" s="1" t="s">
        <v>74</v>
      </c>
      <c r="AR916" s="1" t="s">
        <v>74</v>
      </c>
      <c r="AS916" s="1" t="s">
        <v>74</v>
      </c>
      <c r="AT916" s="1" t="s">
        <v>609</v>
      </c>
      <c r="AU916" s="1">
        <v>2013.0</v>
      </c>
      <c r="AV916" s="1">
        <v>50.0</v>
      </c>
      <c r="AW916" s="1">
        <v>13.0</v>
      </c>
      <c r="AX916" s="1" t="s">
        <v>74</v>
      </c>
      <c r="AY916" s="1" t="s">
        <v>74</v>
      </c>
      <c r="AZ916" s="1" t="s">
        <v>74</v>
      </c>
      <c r="BA916" s="1" t="s">
        <v>74</v>
      </c>
      <c r="BB916" s="1">
        <v>2050.0</v>
      </c>
      <c r="BC916" s="1">
        <v>2060.0</v>
      </c>
      <c r="BD916" s="1" t="s">
        <v>74</v>
      </c>
      <c r="BE916" s="1" t="s">
        <v>8530</v>
      </c>
      <c r="BF916" s="2" t="str">
        <f>HYPERLINK("http://dx.doi.org/10.1016/j.ijsolstr.2013.03.003","http://dx.doi.org/10.1016/j.ijsolstr.2013.03.003")</f>
        <v>http://dx.doi.org/10.1016/j.ijsolstr.2013.03.003</v>
      </c>
      <c r="BG916" s="1" t="s">
        <v>74</v>
      </c>
      <c r="BH916" s="1" t="s">
        <v>74</v>
      </c>
      <c r="BI916" s="1" t="s">
        <v>74</v>
      </c>
      <c r="BJ916" s="1" t="s">
        <v>74</v>
      </c>
      <c r="BK916" s="1" t="s">
        <v>74</v>
      </c>
      <c r="BL916" s="1" t="s">
        <v>74</v>
      </c>
      <c r="BM916" s="1" t="s">
        <v>74</v>
      </c>
      <c r="BN916" s="1" t="s">
        <v>74</v>
      </c>
      <c r="BO916" s="1" t="s">
        <v>74</v>
      </c>
      <c r="BP916" s="1" t="s">
        <v>74</v>
      </c>
      <c r="BQ916" s="1" t="s">
        <v>74</v>
      </c>
      <c r="BR916" s="1" t="s">
        <v>74</v>
      </c>
      <c r="BS916" s="1" t="s">
        <v>8531</v>
      </c>
      <c r="BT916" s="1" t="str">
        <f>HYPERLINK("https%3A%2F%2Fwww.webofscience.com%2Fwos%2Fwoscc%2Ffull-record%2FWOS:000319309900005","View Full Record in Web of Science")</f>
        <v>View Full Record in Web of Science</v>
      </c>
    </row>
    <row r="917" ht="12.75" customHeight="1">
      <c r="A917" s="1" t="s">
        <v>72</v>
      </c>
      <c r="B917" s="1" t="s">
        <v>8532</v>
      </c>
      <c r="C917" s="1" t="s">
        <v>74</v>
      </c>
      <c r="D917" s="1" t="s">
        <v>74</v>
      </c>
      <c r="E917" s="1" t="s">
        <v>74</v>
      </c>
      <c r="F917" s="1" t="s">
        <v>8533</v>
      </c>
      <c r="G917" s="1" t="s">
        <v>74</v>
      </c>
      <c r="H917" s="1" t="s">
        <v>74</v>
      </c>
      <c r="I917" s="1" t="s">
        <v>8534</v>
      </c>
      <c r="J917" s="1" t="s">
        <v>1827</v>
      </c>
      <c r="K917" s="1" t="s">
        <v>74</v>
      </c>
      <c r="L917" s="1" t="s">
        <v>74</v>
      </c>
      <c r="M917" s="1" t="s">
        <v>74</v>
      </c>
      <c r="N917" s="1" t="s">
        <v>74</v>
      </c>
      <c r="O917" s="1" t="s">
        <v>74</v>
      </c>
      <c r="P917" s="1" t="s">
        <v>74</v>
      </c>
      <c r="Q917" s="1" t="s">
        <v>74</v>
      </c>
      <c r="R917" s="1" t="s">
        <v>74</v>
      </c>
      <c r="S917" s="1" t="s">
        <v>74</v>
      </c>
      <c r="T917" s="1" t="s">
        <v>74</v>
      </c>
      <c r="U917" s="1" t="s">
        <v>74</v>
      </c>
      <c r="V917" s="1" t="s">
        <v>8535</v>
      </c>
      <c r="W917" s="1" t="s">
        <v>74</v>
      </c>
      <c r="X917" s="1" t="s">
        <v>74</v>
      </c>
      <c r="Y917" s="1" t="s">
        <v>74</v>
      </c>
      <c r="Z917" s="1" t="s">
        <v>74</v>
      </c>
      <c r="AA917" s="1" t="s">
        <v>498</v>
      </c>
      <c r="AB917" s="1" t="s">
        <v>8536</v>
      </c>
      <c r="AC917" s="1" t="s">
        <v>74</v>
      </c>
      <c r="AD917" s="1" t="s">
        <v>74</v>
      </c>
      <c r="AE917" s="1" t="s">
        <v>74</v>
      </c>
      <c r="AF917" s="1" t="s">
        <v>74</v>
      </c>
      <c r="AG917" s="1" t="s">
        <v>74</v>
      </c>
      <c r="AH917" s="1" t="s">
        <v>74</v>
      </c>
      <c r="AI917" s="1" t="s">
        <v>74</v>
      </c>
      <c r="AJ917" s="1" t="s">
        <v>74</v>
      </c>
      <c r="AK917" s="1" t="s">
        <v>74</v>
      </c>
      <c r="AL917" s="1" t="s">
        <v>74</v>
      </c>
      <c r="AM917" s="1" t="s">
        <v>74</v>
      </c>
      <c r="AN917" s="1" t="s">
        <v>74</v>
      </c>
      <c r="AO917" s="1" t="s">
        <v>1830</v>
      </c>
      <c r="AP917" s="1" t="s">
        <v>8537</v>
      </c>
      <c r="AQ917" s="1" t="s">
        <v>74</v>
      </c>
      <c r="AR917" s="1" t="s">
        <v>74</v>
      </c>
      <c r="AS917" s="1" t="s">
        <v>74</v>
      </c>
      <c r="AT917" s="1" t="s">
        <v>74</v>
      </c>
      <c r="AU917" s="1">
        <v>2012.0</v>
      </c>
      <c r="AV917" s="1" t="s">
        <v>74</v>
      </c>
      <c r="AW917" s="1" t="s">
        <v>74</v>
      </c>
      <c r="AX917" s="1" t="s">
        <v>74</v>
      </c>
      <c r="AY917" s="1" t="s">
        <v>74</v>
      </c>
      <c r="AZ917" s="1" t="s">
        <v>74</v>
      </c>
      <c r="BA917" s="1" t="s">
        <v>74</v>
      </c>
      <c r="BB917" s="1" t="s">
        <v>74</v>
      </c>
      <c r="BC917" s="1" t="s">
        <v>74</v>
      </c>
      <c r="BD917" s="1">
        <v>647103.0</v>
      </c>
      <c r="BE917" s="1" t="s">
        <v>8538</v>
      </c>
      <c r="BF917" s="2" t="str">
        <f>HYPERLINK("http://dx.doi.org/10.1155/2012/647103","http://dx.doi.org/10.1155/2012/647103")</f>
        <v>http://dx.doi.org/10.1155/2012/647103</v>
      </c>
      <c r="BG917" s="1" t="s">
        <v>74</v>
      </c>
      <c r="BH917" s="1" t="s">
        <v>74</v>
      </c>
      <c r="BI917" s="1" t="s">
        <v>74</v>
      </c>
      <c r="BJ917" s="1" t="s">
        <v>74</v>
      </c>
      <c r="BK917" s="1" t="s">
        <v>74</v>
      </c>
      <c r="BL917" s="1" t="s">
        <v>74</v>
      </c>
      <c r="BM917" s="1" t="s">
        <v>74</v>
      </c>
      <c r="BN917" s="1" t="s">
        <v>74</v>
      </c>
      <c r="BO917" s="1" t="s">
        <v>74</v>
      </c>
      <c r="BP917" s="1" t="s">
        <v>74</v>
      </c>
      <c r="BQ917" s="1" t="s">
        <v>74</v>
      </c>
      <c r="BR917" s="1" t="s">
        <v>74</v>
      </c>
      <c r="BS917" s="1" t="s">
        <v>8539</v>
      </c>
      <c r="BT917" s="1" t="str">
        <f>HYPERLINK("https%3A%2F%2Fwww.webofscience.com%2Fwos%2Fwoscc%2Ffull-record%2FWOS:000313435500001","View Full Record in Web of Science")</f>
        <v>View Full Record in Web of Science</v>
      </c>
    </row>
    <row r="918" ht="12.75" customHeight="1">
      <c r="A918" s="1" t="s">
        <v>72</v>
      </c>
      <c r="B918" s="1" t="s">
        <v>8540</v>
      </c>
      <c r="C918" s="1" t="s">
        <v>74</v>
      </c>
      <c r="D918" s="1" t="s">
        <v>74</v>
      </c>
      <c r="E918" s="1" t="s">
        <v>74</v>
      </c>
      <c r="F918" s="1" t="s">
        <v>8541</v>
      </c>
      <c r="G918" s="1" t="s">
        <v>74</v>
      </c>
      <c r="H918" s="1" t="s">
        <v>74</v>
      </c>
      <c r="I918" s="1" t="s">
        <v>8542</v>
      </c>
      <c r="J918" s="1" t="s">
        <v>846</v>
      </c>
      <c r="K918" s="1" t="s">
        <v>74</v>
      </c>
      <c r="L918" s="1" t="s">
        <v>74</v>
      </c>
      <c r="M918" s="1" t="s">
        <v>74</v>
      </c>
      <c r="N918" s="1" t="s">
        <v>74</v>
      </c>
      <c r="O918" s="1" t="s">
        <v>74</v>
      </c>
      <c r="P918" s="1" t="s">
        <v>74</v>
      </c>
      <c r="Q918" s="1" t="s">
        <v>74</v>
      </c>
      <c r="R918" s="1" t="s">
        <v>74</v>
      </c>
      <c r="S918" s="1" t="s">
        <v>74</v>
      </c>
      <c r="T918" s="1" t="s">
        <v>74</v>
      </c>
      <c r="U918" s="1" t="s">
        <v>74</v>
      </c>
      <c r="V918" s="1" t="s">
        <v>8543</v>
      </c>
      <c r="W918" s="1" t="s">
        <v>74</v>
      </c>
      <c r="X918" s="1" t="s">
        <v>74</v>
      </c>
      <c r="Y918" s="1" t="s">
        <v>74</v>
      </c>
      <c r="Z918" s="1" t="s">
        <v>74</v>
      </c>
      <c r="AA918" s="1" t="s">
        <v>8544</v>
      </c>
      <c r="AB918" s="1" t="s">
        <v>74</v>
      </c>
      <c r="AC918" s="1" t="s">
        <v>74</v>
      </c>
      <c r="AD918" s="1" t="s">
        <v>74</v>
      </c>
      <c r="AE918" s="1" t="s">
        <v>74</v>
      </c>
      <c r="AF918" s="1" t="s">
        <v>74</v>
      </c>
      <c r="AG918" s="1" t="s">
        <v>74</v>
      </c>
      <c r="AH918" s="1" t="s">
        <v>74</v>
      </c>
      <c r="AI918" s="1" t="s">
        <v>74</v>
      </c>
      <c r="AJ918" s="1" t="s">
        <v>74</v>
      </c>
      <c r="AK918" s="1" t="s">
        <v>74</v>
      </c>
      <c r="AL918" s="1" t="s">
        <v>74</v>
      </c>
      <c r="AM918" s="1" t="s">
        <v>74</v>
      </c>
      <c r="AN918" s="1" t="s">
        <v>74</v>
      </c>
      <c r="AO918" s="1" t="s">
        <v>850</v>
      </c>
      <c r="AP918" s="1" t="s">
        <v>74</v>
      </c>
      <c r="AQ918" s="1" t="s">
        <v>74</v>
      </c>
      <c r="AR918" s="1" t="s">
        <v>74</v>
      </c>
      <c r="AS918" s="1" t="s">
        <v>74</v>
      </c>
      <c r="AT918" s="1" t="s">
        <v>5826</v>
      </c>
      <c r="AU918" s="1">
        <v>2011.0</v>
      </c>
      <c r="AV918" s="1">
        <v>6.0</v>
      </c>
      <c r="AW918" s="1">
        <v>1.0</v>
      </c>
      <c r="AX918" s="1" t="s">
        <v>74</v>
      </c>
      <c r="AY918" s="1" t="s">
        <v>74</v>
      </c>
      <c r="AZ918" s="1" t="s">
        <v>74</v>
      </c>
      <c r="BA918" s="1" t="s">
        <v>74</v>
      </c>
      <c r="BB918" s="1" t="s">
        <v>74</v>
      </c>
      <c r="BC918" s="1" t="s">
        <v>74</v>
      </c>
      <c r="BD918" s="1" t="s">
        <v>8545</v>
      </c>
      <c r="BE918" s="1" t="s">
        <v>8546</v>
      </c>
      <c r="BF918" s="2" t="str">
        <f>HYPERLINK("http://dx.doi.org/10.1371/journal.pone.0015979","http://dx.doi.org/10.1371/journal.pone.0015979")</f>
        <v>http://dx.doi.org/10.1371/journal.pone.0015979</v>
      </c>
      <c r="BG918" s="1" t="s">
        <v>74</v>
      </c>
      <c r="BH918" s="1" t="s">
        <v>74</v>
      </c>
      <c r="BI918" s="1" t="s">
        <v>74</v>
      </c>
      <c r="BJ918" s="1" t="s">
        <v>74</v>
      </c>
      <c r="BK918" s="1" t="s">
        <v>74</v>
      </c>
      <c r="BL918" s="1" t="s">
        <v>74</v>
      </c>
      <c r="BM918" s="1" t="s">
        <v>74</v>
      </c>
      <c r="BN918" s="1" t="s">
        <v>74</v>
      </c>
      <c r="BO918" s="1" t="s">
        <v>74</v>
      </c>
      <c r="BP918" s="1" t="s">
        <v>74</v>
      </c>
      <c r="BQ918" s="1" t="s">
        <v>74</v>
      </c>
      <c r="BR918" s="1" t="s">
        <v>74</v>
      </c>
      <c r="BS918" s="1" t="s">
        <v>8547</v>
      </c>
      <c r="BT918" s="1" t="str">
        <f>HYPERLINK("https%3A%2F%2Fwww.webofscience.com%2Fwos%2Fwoscc%2Ffull-record%2FWOS:000286513100022","View Full Record in Web of Science")</f>
        <v>View Full Record in Web of Science</v>
      </c>
    </row>
    <row r="919" ht="12.75" customHeight="1">
      <c r="A919" s="1" t="s">
        <v>72</v>
      </c>
      <c r="B919" s="1" t="s">
        <v>8548</v>
      </c>
      <c r="C919" s="1" t="s">
        <v>74</v>
      </c>
      <c r="D919" s="1" t="s">
        <v>74</v>
      </c>
      <c r="E919" s="1" t="s">
        <v>74</v>
      </c>
      <c r="F919" s="1" t="s">
        <v>8549</v>
      </c>
      <c r="G919" s="1" t="s">
        <v>74</v>
      </c>
      <c r="H919" s="1" t="s">
        <v>74</v>
      </c>
      <c r="I919" s="1" t="s">
        <v>8550</v>
      </c>
      <c r="J919" s="1" t="s">
        <v>8551</v>
      </c>
      <c r="K919" s="1" t="s">
        <v>74</v>
      </c>
      <c r="L919" s="1" t="s">
        <v>74</v>
      </c>
      <c r="M919" s="1" t="s">
        <v>74</v>
      </c>
      <c r="N919" s="1" t="s">
        <v>74</v>
      </c>
      <c r="O919" s="1" t="s">
        <v>74</v>
      </c>
      <c r="P919" s="1" t="s">
        <v>74</v>
      </c>
      <c r="Q919" s="1" t="s">
        <v>74</v>
      </c>
      <c r="R919" s="1" t="s">
        <v>74</v>
      </c>
      <c r="S919" s="1" t="s">
        <v>74</v>
      </c>
      <c r="T919" s="1" t="s">
        <v>74</v>
      </c>
      <c r="U919" s="1" t="s">
        <v>74</v>
      </c>
      <c r="V919" s="1" t="s">
        <v>8552</v>
      </c>
      <c r="W919" s="1" t="s">
        <v>74</v>
      </c>
      <c r="X919" s="1" t="s">
        <v>74</v>
      </c>
      <c r="Y919" s="1" t="s">
        <v>74</v>
      </c>
      <c r="Z919" s="1" t="s">
        <v>74</v>
      </c>
      <c r="AA919" s="1" t="s">
        <v>7859</v>
      </c>
      <c r="AB919" s="1" t="s">
        <v>8553</v>
      </c>
      <c r="AC919" s="1" t="s">
        <v>74</v>
      </c>
      <c r="AD919" s="1" t="s">
        <v>74</v>
      </c>
      <c r="AE919" s="1" t="s">
        <v>74</v>
      </c>
      <c r="AF919" s="1" t="s">
        <v>74</v>
      </c>
      <c r="AG919" s="1" t="s">
        <v>74</v>
      </c>
      <c r="AH919" s="1" t="s">
        <v>74</v>
      </c>
      <c r="AI919" s="1" t="s">
        <v>74</v>
      </c>
      <c r="AJ919" s="1" t="s">
        <v>74</v>
      </c>
      <c r="AK919" s="1" t="s">
        <v>74</v>
      </c>
      <c r="AL919" s="1" t="s">
        <v>74</v>
      </c>
      <c r="AM919" s="1" t="s">
        <v>74</v>
      </c>
      <c r="AN919" s="1" t="s">
        <v>74</v>
      </c>
      <c r="AO919" s="1" t="s">
        <v>8554</v>
      </c>
      <c r="AP919" s="1" t="s">
        <v>74</v>
      </c>
      <c r="AQ919" s="1" t="s">
        <v>74</v>
      </c>
      <c r="AR919" s="1" t="s">
        <v>74</v>
      </c>
      <c r="AS919" s="1" t="s">
        <v>74</v>
      </c>
      <c r="AT919" s="1" t="s">
        <v>379</v>
      </c>
      <c r="AU919" s="1">
        <v>2009.0</v>
      </c>
      <c r="AV919" s="1">
        <v>9.0</v>
      </c>
      <c r="AW919" s="1" t="s">
        <v>3395</v>
      </c>
      <c r="AX919" s="1" t="s">
        <v>74</v>
      </c>
      <c r="AY919" s="1" t="s">
        <v>74</v>
      </c>
      <c r="AZ919" s="1" t="s">
        <v>74</v>
      </c>
      <c r="BA919" s="1" t="s">
        <v>74</v>
      </c>
      <c r="BB919" s="1">
        <v>126.0</v>
      </c>
      <c r="BC919" s="1">
        <v>130.0</v>
      </c>
      <c r="BD919" s="1" t="s">
        <v>74</v>
      </c>
      <c r="BE919" s="1" t="s">
        <v>8555</v>
      </c>
      <c r="BF919" s="2" t="str">
        <f>HYPERLINK("http://dx.doi.org/10.5004/dwt.2009.761","http://dx.doi.org/10.5004/dwt.2009.761")</f>
        <v>http://dx.doi.org/10.5004/dwt.2009.761</v>
      </c>
      <c r="BG919" s="1" t="s">
        <v>74</v>
      </c>
      <c r="BH919" s="1" t="s">
        <v>74</v>
      </c>
      <c r="BI919" s="1" t="s">
        <v>74</v>
      </c>
      <c r="BJ919" s="1" t="s">
        <v>74</v>
      </c>
      <c r="BK919" s="1" t="s">
        <v>74</v>
      </c>
      <c r="BL919" s="1" t="s">
        <v>74</v>
      </c>
      <c r="BM919" s="1" t="s">
        <v>74</v>
      </c>
      <c r="BN919" s="1" t="s">
        <v>74</v>
      </c>
      <c r="BO919" s="1" t="s">
        <v>74</v>
      </c>
      <c r="BP919" s="1" t="s">
        <v>74</v>
      </c>
      <c r="BQ919" s="1" t="s">
        <v>74</v>
      </c>
      <c r="BR919" s="1" t="s">
        <v>74</v>
      </c>
      <c r="BS919" s="1" t="s">
        <v>8556</v>
      </c>
      <c r="BT919" s="1" t="str">
        <f>HYPERLINK("https%3A%2F%2Fwww.webofscience.com%2Fwos%2Fwoscc%2Ffull-record%2FWOS:000271042800020","View Full Record in Web of Science")</f>
        <v>View Full Record in Web of Science</v>
      </c>
    </row>
    <row r="920" ht="12.75" customHeight="1">
      <c r="A920" s="1" t="s">
        <v>72</v>
      </c>
      <c r="B920" s="1" t="s">
        <v>8557</v>
      </c>
      <c r="C920" s="1" t="s">
        <v>74</v>
      </c>
      <c r="D920" s="1" t="s">
        <v>74</v>
      </c>
      <c r="E920" s="1" t="s">
        <v>74</v>
      </c>
      <c r="F920" s="1" t="s">
        <v>8557</v>
      </c>
      <c r="G920" s="1" t="s">
        <v>74</v>
      </c>
      <c r="H920" s="1" t="s">
        <v>74</v>
      </c>
      <c r="I920" s="1" t="s">
        <v>8558</v>
      </c>
      <c r="J920" s="1" t="s">
        <v>4379</v>
      </c>
      <c r="K920" s="1" t="s">
        <v>74</v>
      </c>
      <c r="L920" s="1" t="s">
        <v>74</v>
      </c>
      <c r="M920" s="1" t="s">
        <v>74</v>
      </c>
      <c r="N920" s="1" t="s">
        <v>74</v>
      </c>
      <c r="O920" s="1" t="s">
        <v>74</v>
      </c>
      <c r="P920" s="1" t="s">
        <v>74</v>
      </c>
      <c r="Q920" s="1" t="s">
        <v>74</v>
      </c>
      <c r="R920" s="1" t="s">
        <v>74</v>
      </c>
      <c r="S920" s="1" t="s">
        <v>74</v>
      </c>
      <c r="T920" s="1" t="s">
        <v>74</v>
      </c>
      <c r="U920" s="1" t="s">
        <v>74</v>
      </c>
      <c r="V920" s="1" t="s">
        <v>8559</v>
      </c>
      <c r="W920" s="1" t="s">
        <v>74</v>
      </c>
      <c r="X920" s="1" t="s">
        <v>74</v>
      </c>
      <c r="Y920" s="1" t="s">
        <v>74</v>
      </c>
      <c r="Z920" s="1" t="s">
        <v>74</v>
      </c>
      <c r="AA920" s="1" t="s">
        <v>8560</v>
      </c>
      <c r="AB920" s="1" t="s">
        <v>8561</v>
      </c>
      <c r="AC920" s="1" t="s">
        <v>74</v>
      </c>
      <c r="AD920" s="1" t="s">
        <v>74</v>
      </c>
      <c r="AE920" s="1" t="s">
        <v>74</v>
      </c>
      <c r="AF920" s="1" t="s">
        <v>74</v>
      </c>
      <c r="AG920" s="1" t="s">
        <v>74</v>
      </c>
      <c r="AH920" s="1" t="s">
        <v>74</v>
      </c>
      <c r="AI920" s="1" t="s">
        <v>74</v>
      </c>
      <c r="AJ920" s="1" t="s">
        <v>74</v>
      </c>
      <c r="AK920" s="1" t="s">
        <v>74</v>
      </c>
      <c r="AL920" s="1" t="s">
        <v>74</v>
      </c>
      <c r="AM920" s="1" t="s">
        <v>74</v>
      </c>
      <c r="AN920" s="1" t="s">
        <v>74</v>
      </c>
      <c r="AO920" s="1" t="s">
        <v>4381</v>
      </c>
      <c r="AP920" s="1" t="s">
        <v>4382</v>
      </c>
      <c r="AQ920" s="1" t="s">
        <v>74</v>
      </c>
      <c r="AR920" s="1" t="s">
        <v>74</v>
      </c>
      <c r="AS920" s="1" t="s">
        <v>74</v>
      </c>
      <c r="AT920" s="1" t="s">
        <v>379</v>
      </c>
      <c r="AU920" s="1">
        <v>2004.0</v>
      </c>
      <c r="AV920" s="1">
        <v>38.0</v>
      </c>
      <c r="AW920" s="1">
        <v>29.0</v>
      </c>
      <c r="AX920" s="1" t="s">
        <v>74</v>
      </c>
      <c r="AY920" s="1" t="s">
        <v>74</v>
      </c>
      <c r="AZ920" s="1" t="s">
        <v>74</v>
      </c>
      <c r="BA920" s="1" t="s">
        <v>74</v>
      </c>
      <c r="BB920" s="1">
        <v>4931.0</v>
      </c>
      <c r="BC920" s="1">
        <v>4939.0</v>
      </c>
      <c r="BD920" s="1" t="s">
        <v>74</v>
      </c>
      <c r="BE920" s="1" t="s">
        <v>8562</v>
      </c>
      <c r="BF920" s="2" t="str">
        <f>HYPERLINK("http://dx.doi.org/10.1016/j.atmosenv.2004.05.051","http://dx.doi.org/10.1016/j.atmosenv.2004.05.051")</f>
        <v>http://dx.doi.org/10.1016/j.atmosenv.2004.05.051</v>
      </c>
      <c r="BG920" s="1" t="s">
        <v>74</v>
      </c>
      <c r="BH920" s="1" t="s">
        <v>74</v>
      </c>
      <c r="BI920" s="1" t="s">
        <v>74</v>
      </c>
      <c r="BJ920" s="1" t="s">
        <v>74</v>
      </c>
      <c r="BK920" s="1" t="s">
        <v>74</v>
      </c>
      <c r="BL920" s="1" t="s">
        <v>74</v>
      </c>
      <c r="BM920" s="1" t="s">
        <v>74</v>
      </c>
      <c r="BN920" s="1" t="s">
        <v>74</v>
      </c>
      <c r="BO920" s="1" t="s">
        <v>74</v>
      </c>
      <c r="BP920" s="1" t="s">
        <v>74</v>
      </c>
      <c r="BQ920" s="1" t="s">
        <v>74</v>
      </c>
      <c r="BR920" s="1" t="s">
        <v>74</v>
      </c>
      <c r="BS920" s="1" t="s">
        <v>8563</v>
      </c>
      <c r="BT920" s="1" t="str">
        <f>HYPERLINK("https%3A%2F%2Fwww.webofscience.com%2Fwos%2Fwoscc%2Ffull-record%2FWOS:000223646300013","View Full Record in Web of Science")</f>
        <v>View Full Record in Web of Science</v>
      </c>
    </row>
    <row r="921" ht="12.75" customHeight="1">
      <c r="A921" s="1" t="s">
        <v>72</v>
      </c>
      <c r="B921" s="1" t="s">
        <v>7276</v>
      </c>
      <c r="C921" s="1" t="s">
        <v>74</v>
      </c>
      <c r="D921" s="1" t="s">
        <v>74</v>
      </c>
      <c r="E921" s="1" t="s">
        <v>74</v>
      </c>
      <c r="F921" s="1" t="s">
        <v>7276</v>
      </c>
      <c r="G921" s="1" t="s">
        <v>74</v>
      </c>
      <c r="H921" s="1" t="s">
        <v>74</v>
      </c>
      <c r="I921" s="1" t="s">
        <v>8564</v>
      </c>
      <c r="J921" s="1" t="s">
        <v>4341</v>
      </c>
      <c r="K921" s="1" t="s">
        <v>74</v>
      </c>
      <c r="L921" s="1" t="s">
        <v>74</v>
      </c>
      <c r="M921" s="1" t="s">
        <v>74</v>
      </c>
      <c r="N921" s="1" t="s">
        <v>74</v>
      </c>
      <c r="O921" s="1" t="s">
        <v>74</v>
      </c>
      <c r="P921" s="1" t="s">
        <v>74</v>
      </c>
      <c r="Q921" s="1" t="s">
        <v>74</v>
      </c>
      <c r="R921" s="1" t="s">
        <v>74</v>
      </c>
      <c r="S921" s="1" t="s">
        <v>74</v>
      </c>
      <c r="T921" s="1" t="s">
        <v>74</v>
      </c>
      <c r="U921" s="1" t="s">
        <v>74</v>
      </c>
      <c r="V921" s="1" t="s">
        <v>8565</v>
      </c>
      <c r="W921" s="1" t="s">
        <v>74</v>
      </c>
      <c r="X921" s="1" t="s">
        <v>74</v>
      </c>
      <c r="Y921" s="1" t="s">
        <v>74</v>
      </c>
      <c r="Z921" s="1" t="s">
        <v>74</v>
      </c>
      <c r="AA921" s="1" t="s">
        <v>498</v>
      </c>
      <c r="AB921" s="1" t="s">
        <v>197</v>
      </c>
      <c r="AC921" s="1" t="s">
        <v>74</v>
      </c>
      <c r="AD921" s="1" t="s">
        <v>74</v>
      </c>
      <c r="AE921" s="1" t="s">
        <v>74</v>
      </c>
      <c r="AF921" s="1" t="s">
        <v>74</v>
      </c>
      <c r="AG921" s="1" t="s">
        <v>74</v>
      </c>
      <c r="AH921" s="1" t="s">
        <v>74</v>
      </c>
      <c r="AI921" s="1" t="s">
        <v>74</v>
      </c>
      <c r="AJ921" s="1" t="s">
        <v>74</v>
      </c>
      <c r="AK921" s="1" t="s">
        <v>74</v>
      </c>
      <c r="AL921" s="1" t="s">
        <v>74</v>
      </c>
      <c r="AM921" s="1" t="s">
        <v>74</v>
      </c>
      <c r="AN921" s="1" t="s">
        <v>74</v>
      </c>
      <c r="AO921" s="1" t="s">
        <v>4342</v>
      </c>
      <c r="AP921" s="1" t="s">
        <v>74</v>
      </c>
      <c r="AQ921" s="1" t="s">
        <v>74</v>
      </c>
      <c r="AR921" s="1" t="s">
        <v>74</v>
      </c>
      <c r="AS921" s="1" t="s">
        <v>74</v>
      </c>
      <c r="AT921" s="1" t="s">
        <v>289</v>
      </c>
      <c r="AU921" s="1">
        <v>2004.0</v>
      </c>
      <c r="AV921" s="1">
        <v>69.0</v>
      </c>
      <c r="AW921" s="1" t="s">
        <v>74</v>
      </c>
      <c r="AX921" s="1">
        <v>3.0</v>
      </c>
      <c r="AY921" s="1" t="s">
        <v>74</v>
      </c>
      <c r="AZ921" s="1" t="s">
        <v>74</v>
      </c>
      <c r="BA921" s="1" t="s">
        <v>74</v>
      </c>
      <c r="BB921" s="1">
        <v>737.0</v>
      </c>
      <c r="BC921" s="1">
        <v>750.0</v>
      </c>
      <c r="BD921" s="1" t="s">
        <v>74</v>
      </c>
      <c r="BE921" s="1" t="s">
        <v>8566</v>
      </c>
      <c r="BF921" s="2" t="str">
        <f>HYPERLINK("http://dx.doi.org/10.1112/S0024610704005198","http://dx.doi.org/10.1112/S0024610704005198")</f>
        <v>http://dx.doi.org/10.1112/S0024610704005198</v>
      </c>
      <c r="BG921" s="1" t="s">
        <v>74</v>
      </c>
      <c r="BH921" s="1" t="s">
        <v>74</v>
      </c>
      <c r="BI921" s="1" t="s">
        <v>74</v>
      </c>
      <c r="BJ921" s="1" t="s">
        <v>74</v>
      </c>
      <c r="BK921" s="1" t="s">
        <v>74</v>
      </c>
      <c r="BL921" s="1" t="s">
        <v>74</v>
      </c>
      <c r="BM921" s="1" t="s">
        <v>74</v>
      </c>
      <c r="BN921" s="1" t="s">
        <v>74</v>
      </c>
      <c r="BO921" s="1" t="s">
        <v>74</v>
      </c>
      <c r="BP921" s="1" t="s">
        <v>74</v>
      </c>
      <c r="BQ921" s="1" t="s">
        <v>74</v>
      </c>
      <c r="BR921" s="1" t="s">
        <v>74</v>
      </c>
      <c r="BS921" s="1" t="s">
        <v>8567</v>
      </c>
      <c r="BT921" s="1" t="str">
        <f>HYPERLINK("https%3A%2F%2Fwww.webofscience.com%2Fwos%2Fwoscc%2Ffull-record%2FWOS:000222287400012","View Full Record in Web of Science")</f>
        <v>View Full Record in Web of Science</v>
      </c>
    </row>
    <row r="922" ht="12.75" customHeight="1">
      <c r="A922" s="1" t="s">
        <v>72</v>
      </c>
      <c r="B922" s="1" t="s">
        <v>8568</v>
      </c>
      <c r="C922" s="1" t="s">
        <v>74</v>
      </c>
      <c r="D922" s="1" t="s">
        <v>74</v>
      </c>
      <c r="E922" s="1" t="s">
        <v>74</v>
      </c>
      <c r="F922" s="1" t="s">
        <v>8568</v>
      </c>
      <c r="G922" s="1" t="s">
        <v>74</v>
      </c>
      <c r="H922" s="1" t="s">
        <v>74</v>
      </c>
      <c r="I922" s="1" t="s">
        <v>8569</v>
      </c>
      <c r="J922" s="1" t="s">
        <v>8570</v>
      </c>
      <c r="K922" s="1" t="s">
        <v>74</v>
      </c>
      <c r="L922" s="1" t="s">
        <v>74</v>
      </c>
      <c r="M922" s="1" t="s">
        <v>74</v>
      </c>
      <c r="N922" s="1" t="s">
        <v>74</v>
      </c>
      <c r="O922" s="1" t="s">
        <v>74</v>
      </c>
      <c r="P922" s="1" t="s">
        <v>74</v>
      </c>
      <c r="Q922" s="1" t="s">
        <v>74</v>
      </c>
      <c r="R922" s="1" t="s">
        <v>74</v>
      </c>
      <c r="S922" s="1" t="s">
        <v>74</v>
      </c>
      <c r="T922" s="1" t="s">
        <v>74</v>
      </c>
      <c r="U922" s="1" t="s">
        <v>74</v>
      </c>
      <c r="V922" s="1" t="s">
        <v>8571</v>
      </c>
      <c r="W922" s="1" t="s">
        <v>74</v>
      </c>
      <c r="X922" s="1" t="s">
        <v>74</v>
      </c>
      <c r="Y922" s="1" t="s">
        <v>74</v>
      </c>
      <c r="Z922" s="1" t="s">
        <v>74</v>
      </c>
      <c r="AA922" s="1" t="s">
        <v>8572</v>
      </c>
      <c r="AB922" s="1" t="s">
        <v>8573</v>
      </c>
      <c r="AC922" s="1" t="s">
        <v>74</v>
      </c>
      <c r="AD922" s="1" t="s">
        <v>74</v>
      </c>
      <c r="AE922" s="1" t="s">
        <v>74</v>
      </c>
      <c r="AF922" s="1" t="s">
        <v>74</v>
      </c>
      <c r="AG922" s="1" t="s">
        <v>74</v>
      </c>
      <c r="AH922" s="1" t="s">
        <v>74</v>
      </c>
      <c r="AI922" s="1" t="s">
        <v>74</v>
      </c>
      <c r="AJ922" s="1" t="s">
        <v>74</v>
      </c>
      <c r="AK922" s="1" t="s">
        <v>74</v>
      </c>
      <c r="AL922" s="1" t="s">
        <v>74</v>
      </c>
      <c r="AM922" s="1" t="s">
        <v>74</v>
      </c>
      <c r="AN922" s="1" t="s">
        <v>74</v>
      </c>
      <c r="AO922" s="1" t="s">
        <v>8574</v>
      </c>
      <c r="AP922" s="1" t="s">
        <v>8575</v>
      </c>
      <c r="AQ922" s="1" t="s">
        <v>74</v>
      </c>
      <c r="AR922" s="1" t="s">
        <v>74</v>
      </c>
      <c r="AS922" s="1" t="s">
        <v>74</v>
      </c>
      <c r="AT922" s="1" t="s">
        <v>112</v>
      </c>
      <c r="AU922" s="1">
        <v>2003.0</v>
      </c>
      <c r="AV922" s="1">
        <v>49.0</v>
      </c>
      <c r="AW922" s="1">
        <v>11.0</v>
      </c>
      <c r="AX922" s="1" t="s">
        <v>74</v>
      </c>
      <c r="AY922" s="1" t="s">
        <v>74</v>
      </c>
      <c r="AZ922" s="1" t="s">
        <v>74</v>
      </c>
      <c r="BA922" s="1" t="s">
        <v>74</v>
      </c>
      <c r="BB922" s="1">
        <v>2783.0</v>
      </c>
      <c r="BC922" s="1">
        <v>2792.0</v>
      </c>
      <c r="BD922" s="1" t="s">
        <v>74</v>
      </c>
      <c r="BE922" s="1" t="s">
        <v>8576</v>
      </c>
      <c r="BF922" s="2" t="str">
        <f>HYPERLINK("http://dx.doi.org/10.1002/aic.690491111","http://dx.doi.org/10.1002/aic.690491111")</f>
        <v>http://dx.doi.org/10.1002/aic.690491111</v>
      </c>
      <c r="BG922" s="1" t="s">
        <v>74</v>
      </c>
      <c r="BH922" s="1" t="s">
        <v>74</v>
      </c>
      <c r="BI922" s="1" t="s">
        <v>74</v>
      </c>
      <c r="BJ922" s="1" t="s">
        <v>74</v>
      </c>
      <c r="BK922" s="1" t="s">
        <v>74</v>
      </c>
      <c r="BL922" s="1" t="s">
        <v>74</v>
      </c>
      <c r="BM922" s="1" t="s">
        <v>74</v>
      </c>
      <c r="BN922" s="1" t="s">
        <v>74</v>
      </c>
      <c r="BO922" s="1" t="s">
        <v>74</v>
      </c>
      <c r="BP922" s="1" t="s">
        <v>74</v>
      </c>
      <c r="BQ922" s="1" t="s">
        <v>74</v>
      </c>
      <c r="BR922" s="1" t="s">
        <v>74</v>
      </c>
      <c r="BS922" s="1" t="s">
        <v>8577</v>
      </c>
      <c r="BT922" s="1" t="str">
        <f>HYPERLINK("https%3A%2F%2Fwww.webofscience.com%2Fwos%2Fwoscc%2Ffull-record%2FWOS:000186664000010","View Full Record in Web of Science")</f>
        <v>View Full Record in Web of Science</v>
      </c>
    </row>
    <row r="923" ht="12.75" customHeight="1">
      <c r="A923" s="1" t="s">
        <v>72</v>
      </c>
      <c r="B923" s="1" t="s">
        <v>7840</v>
      </c>
      <c r="C923" s="1" t="s">
        <v>74</v>
      </c>
      <c r="D923" s="1" t="s">
        <v>74</v>
      </c>
      <c r="E923" s="1" t="s">
        <v>74</v>
      </c>
      <c r="F923" s="1" t="s">
        <v>7840</v>
      </c>
      <c r="G923" s="1" t="s">
        <v>74</v>
      </c>
      <c r="H923" s="1" t="s">
        <v>74</v>
      </c>
      <c r="I923" s="1" t="s">
        <v>8578</v>
      </c>
      <c r="J923" s="1" t="s">
        <v>8579</v>
      </c>
      <c r="K923" s="1" t="s">
        <v>74</v>
      </c>
      <c r="L923" s="1" t="s">
        <v>74</v>
      </c>
      <c r="M923" s="1" t="s">
        <v>74</v>
      </c>
      <c r="N923" s="1" t="s">
        <v>74</v>
      </c>
      <c r="O923" s="1" t="s">
        <v>8580</v>
      </c>
      <c r="P923" s="1" t="s">
        <v>8581</v>
      </c>
      <c r="Q923" s="1" t="s">
        <v>8582</v>
      </c>
      <c r="R923" s="1" t="s">
        <v>8583</v>
      </c>
      <c r="S923" s="1" t="s">
        <v>74</v>
      </c>
      <c r="T923" s="1" t="s">
        <v>74</v>
      </c>
      <c r="U923" s="1" t="s">
        <v>74</v>
      </c>
      <c r="V923" s="1" t="s">
        <v>8584</v>
      </c>
      <c r="W923" s="1" t="s">
        <v>74</v>
      </c>
      <c r="X923" s="1" t="s">
        <v>74</v>
      </c>
      <c r="Y923" s="1" t="s">
        <v>74</v>
      </c>
      <c r="Z923" s="1" t="s">
        <v>74</v>
      </c>
      <c r="AA923" s="1" t="s">
        <v>74</v>
      </c>
      <c r="AB923" s="1" t="s">
        <v>74</v>
      </c>
      <c r="AC923" s="1" t="s">
        <v>74</v>
      </c>
      <c r="AD923" s="1" t="s">
        <v>74</v>
      </c>
      <c r="AE923" s="1" t="s">
        <v>74</v>
      </c>
      <c r="AF923" s="1" t="s">
        <v>74</v>
      </c>
      <c r="AG923" s="1" t="s">
        <v>74</v>
      </c>
      <c r="AH923" s="1" t="s">
        <v>74</v>
      </c>
      <c r="AI923" s="1" t="s">
        <v>74</v>
      </c>
      <c r="AJ923" s="1" t="s">
        <v>74</v>
      </c>
      <c r="AK923" s="1" t="s">
        <v>74</v>
      </c>
      <c r="AL923" s="1" t="s">
        <v>74</v>
      </c>
      <c r="AM923" s="1" t="s">
        <v>74</v>
      </c>
      <c r="AN923" s="1" t="s">
        <v>74</v>
      </c>
      <c r="AO923" s="1" t="s">
        <v>8585</v>
      </c>
      <c r="AP923" s="1" t="s">
        <v>74</v>
      </c>
      <c r="AQ923" s="1" t="s">
        <v>74</v>
      </c>
      <c r="AR923" s="1" t="s">
        <v>74</v>
      </c>
      <c r="AS923" s="1" t="s">
        <v>74</v>
      </c>
      <c r="AT923" s="1" t="s">
        <v>379</v>
      </c>
      <c r="AU923" s="1">
        <v>2003.0</v>
      </c>
      <c r="AV923" s="1">
        <v>28.0</v>
      </c>
      <c r="AW923" s="1">
        <v>3.0</v>
      </c>
      <c r="AX923" s="1" t="s">
        <v>74</v>
      </c>
      <c r="AY923" s="1" t="s">
        <v>74</v>
      </c>
      <c r="AZ923" s="1" t="s">
        <v>74</v>
      </c>
      <c r="BA923" s="1" t="s">
        <v>74</v>
      </c>
      <c r="BB923" s="1">
        <v>404.0</v>
      </c>
      <c r="BC923" s="1">
        <v>419.0</v>
      </c>
      <c r="BD923" s="1" t="s">
        <v>74</v>
      </c>
      <c r="BE923" s="1" t="s">
        <v>8586</v>
      </c>
      <c r="BF923" s="2" t="str">
        <f>HYPERLINK("http://dx.doi.org/10.1016/S1055-7903(03)00123-4","http://dx.doi.org/10.1016/S1055-7903(03)00123-4")</f>
        <v>http://dx.doi.org/10.1016/S1055-7903(03)00123-4</v>
      </c>
      <c r="BG923" s="1" t="s">
        <v>74</v>
      </c>
      <c r="BH923" s="1" t="s">
        <v>74</v>
      </c>
      <c r="BI923" s="1" t="s">
        <v>74</v>
      </c>
      <c r="BJ923" s="1" t="s">
        <v>74</v>
      </c>
      <c r="BK923" s="1" t="s">
        <v>74</v>
      </c>
      <c r="BL923" s="1" t="s">
        <v>74</v>
      </c>
      <c r="BM923" s="1" t="s">
        <v>74</v>
      </c>
      <c r="BN923" s="1">
        <v>1.2927127E7</v>
      </c>
      <c r="BO923" s="1" t="s">
        <v>74</v>
      </c>
      <c r="BP923" s="1" t="s">
        <v>74</v>
      </c>
      <c r="BQ923" s="1" t="s">
        <v>74</v>
      </c>
      <c r="BR923" s="1" t="s">
        <v>74</v>
      </c>
      <c r="BS923" s="1" t="s">
        <v>8587</v>
      </c>
      <c r="BT923" s="1" t="str">
        <f>HYPERLINK("https%3A%2F%2Fwww.webofscience.com%2Fwos%2Fwoscc%2Ffull-record%2FWOS:000184974800003","View Full Record in Web of Science")</f>
        <v>View Full Record in Web of Science</v>
      </c>
    </row>
    <row r="924" ht="12.75" customHeight="1">
      <c r="A924" s="1" t="s">
        <v>72</v>
      </c>
      <c r="B924" s="1" t="s">
        <v>8588</v>
      </c>
      <c r="C924" s="1" t="s">
        <v>74</v>
      </c>
      <c r="D924" s="1" t="s">
        <v>74</v>
      </c>
      <c r="E924" s="1" t="s">
        <v>74</v>
      </c>
      <c r="F924" s="1" t="s">
        <v>8588</v>
      </c>
      <c r="G924" s="1" t="s">
        <v>74</v>
      </c>
      <c r="H924" s="1" t="s">
        <v>74</v>
      </c>
      <c r="I924" s="1" t="s">
        <v>8589</v>
      </c>
      <c r="J924" s="1" t="s">
        <v>413</v>
      </c>
      <c r="K924" s="1" t="s">
        <v>74</v>
      </c>
      <c r="L924" s="1" t="s">
        <v>74</v>
      </c>
      <c r="M924" s="1" t="s">
        <v>74</v>
      </c>
      <c r="N924" s="1" t="s">
        <v>74</v>
      </c>
      <c r="O924" s="1" t="s">
        <v>74</v>
      </c>
      <c r="P924" s="1" t="s">
        <v>74</v>
      </c>
      <c r="Q924" s="1" t="s">
        <v>74</v>
      </c>
      <c r="R924" s="1" t="s">
        <v>74</v>
      </c>
      <c r="S924" s="1" t="s">
        <v>74</v>
      </c>
      <c r="T924" s="1" t="s">
        <v>74</v>
      </c>
      <c r="U924" s="1" t="s">
        <v>74</v>
      </c>
      <c r="V924" s="1" t="s">
        <v>8590</v>
      </c>
      <c r="W924" s="1" t="s">
        <v>74</v>
      </c>
      <c r="X924" s="1" t="s">
        <v>74</v>
      </c>
      <c r="Y924" s="1" t="s">
        <v>74</v>
      </c>
      <c r="Z924" s="1" t="s">
        <v>74</v>
      </c>
      <c r="AA924" s="1" t="s">
        <v>8591</v>
      </c>
      <c r="AB924" s="1" t="s">
        <v>8592</v>
      </c>
      <c r="AC924" s="1" t="s">
        <v>74</v>
      </c>
      <c r="AD924" s="1" t="s">
        <v>74</v>
      </c>
      <c r="AE924" s="1" t="s">
        <v>74</v>
      </c>
      <c r="AF924" s="1" t="s">
        <v>74</v>
      </c>
      <c r="AG924" s="1" t="s">
        <v>74</v>
      </c>
      <c r="AH924" s="1" t="s">
        <v>74</v>
      </c>
      <c r="AI924" s="1" t="s">
        <v>74</v>
      </c>
      <c r="AJ924" s="1" t="s">
        <v>74</v>
      </c>
      <c r="AK924" s="1" t="s">
        <v>74</v>
      </c>
      <c r="AL924" s="1" t="s">
        <v>74</v>
      </c>
      <c r="AM924" s="1" t="s">
        <v>74</v>
      </c>
      <c r="AN924" s="1" t="s">
        <v>74</v>
      </c>
      <c r="AO924" s="1" t="s">
        <v>414</v>
      </c>
      <c r="AP924" s="1" t="s">
        <v>74</v>
      </c>
      <c r="AQ924" s="1" t="s">
        <v>74</v>
      </c>
      <c r="AR924" s="1" t="s">
        <v>74</v>
      </c>
      <c r="AS924" s="1" t="s">
        <v>74</v>
      </c>
      <c r="AT924" s="1" t="s">
        <v>379</v>
      </c>
      <c r="AU924" s="1">
        <v>2001.0</v>
      </c>
      <c r="AV924" s="1">
        <v>46.0</v>
      </c>
      <c r="AW924" s="1">
        <v>3.0</v>
      </c>
      <c r="AX924" s="1" t="s">
        <v>74</v>
      </c>
      <c r="AY924" s="1" t="s">
        <v>74</v>
      </c>
      <c r="AZ924" s="1" t="s">
        <v>74</v>
      </c>
      <c r="BA924" s="1" t="s">
        <v>74</v>
      </c>
      <c r="BB924" s="1">
        <v>363.0</v>
      </c>
      <c r="BC924" s="1">
        <v>372.0</v>
      </c>
      <c r="BD924" s="1" t="s">
        <v>74</v>
      </c>
      <c r="BE924" s="1" t="s">
        <v>74</v>
      </c>
      <c r="BF924" s="1" t="s">
        <v>74</v>
      </c>
      <c r="BG924" s="1" t="s">
        <v>74</v>
      </c>
      <c r="BH924" s="1" t="s">
        <v>74</v>
      </c>
      <c r="BI924" s="1" t="s">
        <v>74</v>
      </c>
      <c r="BJ924" s="1" t="s">
        <v>74</v>
      </c>
      <c r="BK924" s="1" t="s">
        <v>74</v>
      </c>
      <c r="BL924" s="1" t="s">
        <v>74</v>
      </c>
      <c r="BM924" s="1" t="s">
        <v>74</v>
      </c>
      <c r="BN924" s="1" t="s">
        <v>74</v>
      </c>
      <c r="BO924" s="1" t="s">
        <v>74</v>
      </c>
      <c r="BP924" s="1" t="s">
        <v>74</v>
      </c>
      <c r="BQ924" s="1" t="s">
        <v>74</v>
      </c>
      <c r="BR924" s="1" t="s">
        <v>74</v>
      </c>
      <c r="BS924" s="1" t="s">
        <v>8593</v>
      </c>
      <c r="BT924" s="1" t="str">
        <f>HYPERLINK("https%3A%2F%2Fwww.webofscience.com%2Fwos%2Fwoscc%2Ffull-record%2FWOS:000172210200015","View Full Record in Web of Science")</f>
        <v>View Full Record in Web of Science</v>
      </c>
    </row>
    <row r="925" ht="12.75" customHeight="1">
      <c r="A925" s="1" t="s">
        <v>72</v>
      </c>
      <c r="B925" s="1" t="s">
        <v>7312</v>
      </c>
      <c r="C925" s="1" t="s">
        <v>74</v>
      </c>
      <c r="D925" s="1" t="s">
        <v>74</v>
      </c>
      <c r="E925" s="1" t="s">
        <v>74</v>
      </c>
      <c r="F925" s="1" t="s">
        <v>7312</v>
      </c>
      <c r="G925" s="1" t="s">
        <v>74</v>
      </c>
      <c r="H925" s="1" t="s">
        <v>74</v>
      </c>
      <c r="I925" s="1" t="s">
        <v>8594</v>
      </c>
      <c r="J925" s="1" t="s">
        <v>2811</v>
      </c>
      <c r="K925" s="1" t="s">
        <v>74</v>
      </c>
      <c r="L925" s="1" t="s">
        <v>74</v>
      </c>
      <c r="M925" s="1" t="s">
        <v>74</v>
      </c>
      <c r="N925" s="1" t="s">
        <v>74</v>
      </c>
      <c r="O925" s="1" t="s">
        <v>74</v>
      </c>
      <c r="P925" s="1" t="s">
        <v>74</v>
      </c>
      <c r="Q925" s="1" t="s">
        <v>74</v>
      </c>
      <c r="R925" s="1" t="s">
        <v>74</v>
      </c>
      <c r="S925" s="1" t="s">
        <v>74</v>
      </c>
      <c r="T925" s="1" t="s">
        <v>74</v>
      </c>
      <c r="U925" s="1" t="s">
        <v>74</v>
      </c>
      <c r="V925" s="1" t="s">
        <v>8595</v>
      </c>
      <c r="W925" s="1" t="s">
        <v>74</v>
      </c>
      <c r="X925" s="1" t="s">
        <v>74</v>
      </c>
      <c r="Y925" s="1" t="s">
        <v>74</v>
      </c>
      <c r="Z925" s="1" t="s">
        <v>74</v>
      </c>
      <c r="AA925" s="1" t="s">
        <v>74</v>
      </c>
      <c r="AB925" s="1" t="s">
        <v>74</v>
      </c>
      <c r="AC925" s="1" t="s">
        <v>74</v>
      </c>
      <c r="AD925" s="1" t="s">
        <v>74</v>
      </c>
      <c r="AE925" s="1" t="s">
        <v>74</v>
      </c>
      <c r="AF925" s="1" t="s">
        <v>74</v>
      </c>
      <c r="AG925" s="1" t="s">
        <v>74</v>
      </c>
      <c r="AH925" s="1" t="s">
        <v>74</v>
      </c>
      <c r="AI925" s="1" t="s">
        <v>74</v>
      </c>
      <c r="AJ925" s="1" t="s">
        <v>74</v>
      </c>
      <c r="AK925" s="1" t="s">
        <v>74</v>
      </c>
      <c r="AL925" s="1" t="s">
        <v>74</v>
      </c>
      <c r="AM925" s="1" t="s">
        <v>74</v>
      </c>
      <c r="AN925" s="1" t="s">
        <v>74</v>
      </c>
      <c r="AO925" s="1" t="s">
        <v>2813</v>
      </c>
      <c r="AP925" s="1" t="s">
        <v>74</v>
      </c>
      <c r="AQ925" s="1" t="s">
        <v>74</v>
      </c>
      <c r="AR925" s="1" t="s">
        <v>74</v>
      </c>
      <c r="AS925" s="1" t="s">
        <v>74</v>
      </c>
      <c r="AT925" s="1" t="s">
        <v>8596</v>
      </c>
      <c r="AU925" s="1">
        <v>2001.0</v>
      </c>
      <c r="AV925" s="1">
        <v>606.0</v>
      </c>
      <c r="AW925" s="1">
        <v>3.0</v>
      </c>
      <c r="AX925" s="1" t="s">
        <v>74</v>
      </c>
      <c r="AY925" s="1" t="s">
        <v>74</v>
      </c>
      <c r="AZ925" s="1" t="s">
        <v>74</v>
      </c>
      <c r="BA925" s="1" t="s">
        <v>74</v>
      </c>
      <c r="BB925" s="1">
        <v>583.0</v>
      </c>
      <c r="BC925" s="1">
        <v>612.0</v>
      </c>
      <c r="BD925" s="1" t="s">
        <v>74</v>
      </c>
      <c r="BE925" s="1" t="s">
        <v>8597</v>
      </c>
      <c r="BF925" s="2" t="str">
        <f>HYPERLINK("http://dx.doi.org/10.1016/S0550-3213(01)00197-3","http://dx.doi.org/10.1016/S0550-3213(01)00197-3")</f>
        <v>http://dx.doi.org/10.1016/S0550-3213(01)00197-3</v>
      </c>
      <c r="BG925" s="1" t="s">
        <v>74</v>
      </c>
      <c r="BH925" s="1" t="s">
        <v>74</v>
      </c>
      <c r="BI925" s="1" t="s">
        <v>74</v>
      </c>
      <c r="BJ925" s="1" t="s">
        <v>74</v>
      </c>
      <c r="BK925" s="1" t="s">
        <v>74</v>
      </c>
      <c r="BL925" s="1" t="s">
        <v>74</v>
      </c>
      <c r="BM925" s="1" t="s">
        <v>74</v>
      </c>
      <c r="BN925" s="1" t="s">
        <v>74</v>
      </c>
      <c r="BO925" s="1" t="s">
        <v>74</v>
      </c>
      <c r="BP925" s="1" t="s">
        <v>74</v>
      </c>
      <c r="BQ925" s="1" t="s">
        <v>74</v>
      </c>
      <c r="BR925" s="1" t="s">
        <v>74</v>
      </c>
      <c r="BS925" s="1" t="s">
        <v>8598</v>
      </c>
      <c r="BT925" s="1" t="str">
        <f>HYPERLINK("https%3A%2F%2Fwww.webofscience.com%2Fwos%2Fwoscc%2Ffull-record%2FWOS:000170463000002","View Full Record in Web of Science")</f>
        <v>View Full Record in Web of Science</v>
      </c>
    </row>
    <row r="926" ht="12.75" customHeight="1">
      <c r="A926" s="1" t="s">
        <v>72</v>
      </c>
      <c r="B926" s="1" t="s">
        <v>8599</v>
      </c>
      <c r="C926" s="1" t="s">
        <v>74</v>
      </c>
      <c r="D926" s="1" t="s">
        <v>74</v>
      </c>
      <c r="E926" s="1" t="s">
        <v>74</v>
      </c>
      <c r="F926" s="1" t="s">
        <v>8599</v>
      </c>
      <c r="G926" s="1" t="s">
        <v>74</v>
      </c>
      <c r="H926" s="1" t="s">
        <v>74</v>
      </c>
      <c r="I926" s="1" t="s">
        <v>8600</v>
      </c>
      <c r="J926" s="1" t="s">
        <v>8601</v>
      </c>
      <c r="K926" s="1" t="s">
        <v>74</v>
      </c>
      <c r="L926" s="1" t="s">
        <v>74</v>
      </c>
      <c r="M926" s="1" t="s">
        <v>74</v>
      </c>
      <c r="N926" s="1" t="s">
        <v>74</v>
      </c>
      <c r="O926" s="1" t="s">
        <v>74</v>
      </c>
      <c r="P926" s="1" t="s">
        <v>74</v>
      </c>
      <c r="Q926" s="1" t="s">
        <v>74</v>
      </c>
      <c r="R926" s="1" t="s">
        <v>74</v>
      </c>
      <c r="S926" s="1" t="s">
        <v>74</v>
      </c>
      <c r="T926" s="1" t="s">
        <v>74</v>
      </c>
      <c r="U926" s="1" t="s">
        <v>74</v>
      </c>
      <c r="V926" s="1" t="s">
        <v>8602</v>
      </c>
      <c r="W926" s="1" t="s">
        <v>74</v>
      </c>
      <c r="X926" s="1" t="s">
        <v>74</v>
      </c>
      <c r="Y926" s="1" t="s">
        <v>74</v>
      </c>
      <c r="Z926" s="1" t="s">
        <v>74</v>
      </c>
      <c r="AA926" s="1" t="s">
        <v>8603</v>
      </c>
      <c r="AB926" s="1" t="s">
        <v>8604</v>
      </c>
      <c r="AC926" s="1" t="s">
        <v>74</v>
      </c>
      <c r="AD926" s="1" t="s">
        <v>74</v>
      </c>
      <c r="AE926" s="1" t="s">
        <v>74</v>
      </c>
      <c r="AF926" s="1" t="s">
        <v>74</v>
      </c>
      <c r="AG926" s="1" t="s">
        <v>74</v>
      </c>
      <c r="AH926" s="1" t="s">
        <v>74</v>
      </c>
      <c r="AI926" s="1" t="s">
        <v>74</v>
      </c>
      <c r="AJ926" s="1" t="s">
        <v>74</v>
      </c>
      <c r="AK926" s="1" t="s">
        <v>74</v>
      </c>
      <c r="AL926" s="1" t="s">
        <v>74</v>
      </c>
      <c r="AM926" s="1" t="s">
        <v>74</v>
      </c>
      <c r="AN926" s="1" t="s">
        <v>74</v>
      </c>
      <c r="AO926" s="1" t="s">
        <v>8605</v>
      </c>
      <c r="AP926" s="1" t="s">
        <v>8606</v>
      </c>
      <c r="AQ926" s="1" t="s">
        <v>74</v>
      </c>
      <c r="AR926" s="1" t="s">
        <v>74</v>
      </c>
      <c r="AS926" s="1" t="s">
        <v>74</v>
      </c>
      <c r="AT926" s="1" t="s">
        <v>421</v>
      </c>
      <c r="AU926" s="1">
        <v>2001.0</v>
      </c>
      <c r="AV926" s="1">
        <v>57.0</v>
      </c>
      <c r="AW926" s="1">
        <v>6.0</v>
      </c>
      <c r="AX926" s="1" t="s">
        <v>74</v>
      </c>
      <c r="AY926" s="1" t="s">
        <v>74</v>
      </c>
      <c r="AZ926" s="1" t="s">
        <v>74</v>
      </c>
      <c r="BA926" s="1" t="s">
        <v>74</v>
      </c>
      <c r="BB926" s="1">
        <v>1183.0</v>
      </c>
      <c r="BC926" s="1">
        <v>1190.0</v>
      </c>
      <c r="BD926" s="1" t="s">
        <v>74</v>
      </c>
      <c r="BE926" s="1" t="s">
        <v>8607</v>
      </c>
      <c r="BF926" s="2" t="str">
        <f>HYPERLINK("http://dx.doi.org/10.1016/S1386-1425(00)00461-3","http://dx.doi.org/10.1016/S1386-1425(00)00461-3")</f>
        <v>http://dx.doi.org/10.1016/S1386-1425(00)00461-3</v>
      </c>
      <c r="BG926" s="1" t="s">
        <v>74</v>
      </c>
      <c r="BH926" s="1" t="s">
        <v>74</v>
      </c>
      <c r="BI926" s="1" t="s">
        <v>74</v>
      </c>
      <c r="BJ926" s="1" t="s">
        <v>74</v>
      </c>
      <c r="BK926" s="1" t="s">
        <v>74</v>
      </c>
      <c r="BL926" s="1" t="s">
        <v>74</v>
      </c>
      <c r="BM926" s="1" t="s">
        <v>74</v>
      </c>
      <c r="BN926" s="1">
        <v>1.1419461E7</v>
      </c>
      <c r="BO926" s="1" t="s">
        <v>74</v>
      </c>
      <c r="BP926" s="1" t="s">
        <v>74</v>
      </c>
      <c r="BQ926" s="1" t="s">
        <v>74</v>
      </c>
      <c r="BR926" s="1" t="s">
        <v>74</v>
      </c>
      <c r="BS926" s="1" t="s">
        <v>8608</v>
      </c>
      <c r="BT926" s="1" t="str">
        <f>HYPERLINK("https%3A%2F%2Fwww.webofscience.com%2Fwos%2Fwoscc%2Ffull-record%2FWOS:000168783600005","View Full Record in Web of Science")</f>
        <v>View Full Record in Web of Science</v>
      </c>
    </row>
    <row r="927" ht="12.75" customHeight="1">
      <c r="A927" s="1" t="s">
        <v>72</v>
      </c>
      <c r="B927" s="1" t="s">
        <v>8609</v>
      </c>
      <c r="C927" s="1" t="s">
        <v>74</v>
      </c>
      <c r="D927" s="1" t="s">
        <v>74</v>
      </c>
      <c r="E927" s="1" t="s">
        <v>74</v>
      </c>
      <c r="F927" s="1" t="s">
        <v>8609</v>
      </c>
      <c r="G927" s="1" t="s">
        <v>74</v>
      </c>
      <c r="H927" s="1" t="s">
        <v>74</v>
      </c>
      <c r="I927" s="1" t="s">
        <v>8610</v>
      </c>
      <c r="J927" s="1" t="s">
        <v>8611</v>
      </c>
      <c r="K927" s="1" t="s">
        <v>74</v>
      </c>
      <c r="L927" s="1" t="s">
        <v>74</v>
      </c>
      <c r="M927" s="1" t="s">
        <v>74</v>
      </c>
      <c r="N927" s="1" t="s">
        <v>74</v>
      </c>
      <c r="O927" s="1" t="s">
        <v>74</v>
      </c>
      <c r="P927" s="1" t="s">
        <v>74</v>
      </c>
      <c r="Q927" s="1" t="s">
        <v>74</v>
      </c>
      <c r="R927" s="1" t="s">
        <v>74</v>
      </c>
      <c r="S927" s="1" t="s">
        <v>74</v>
      </c>
      <c r="T927" s="1" t="s">
        <v>74</v>
      </c>
      <c r="U927" s="1" t="s">
        <v>74</v>
      </c>
      <c r="V927" s="1" t="s">
        <v>8612</v>
      </c>
      <c r="W927" s="1" t="s">
        <v>74</v>
      </c>
      <c r="X927" s="1" t="s">
        <v>74</v>
      </c>
      <c r="Y927" s="1" t="s">
        <v>74</v>
      </c>
      <c r="Z927" s="1" t="s">
        <v>74</v>
      </c>
      <c r="AA927" s="1" t="s">
        <v>8613</v>
      </c>
      <c r="AB927" s="1" t="s">
        <v>8614</v>
      </c>
      <c r="AC927" s="1" t="s">
        <v>74</v>
      </c>
      <c r="AD927" s="1" t="s">
        <v>74</v>
      </c>
      <c r="AE927" s="1" t="s">
        <v>74</v>
      </c>
      <c r="AF927" s="1" t="s">
        <v>74</v>
      </c>
      <c r="AG927" s="1" t="s">
        <v>74</v>
      </c>
      <c r="AH927" s="1" t="s">
        <v>74</v>
      </c>
      <c r="AI927" s="1" t="s">
        <v>74</v>
      </c>
      <c r="AJ927" s="1" t="s">
        <v>74</v>
      </c>
      <c r="AK927" s="1" t="s">
        <v>74</v>
      </c>
      <c r="AL927" s="1" t="s">
        <v>74</v>
      </c>
      <c r="AM927" s="1" t="s">
        <v>74</v>
      </c>
      <c r="AN927" s="1" t="s">
        <v>74</v>
      </c>
      <c r="AO927" s="1" t="s">
        <v>8615</v>
      </c>
      <c r="AP927" s="1" t="s">
        <v>74</v>
      </c>
      <c r="AQ927" s="1" t="s">
        <v>74</v>
      </c>
      <c r="AR927" s="1" t="s">
        <v>74</v>
      </c>
      <c r="AS927" s="1" t="s">
        <v>74</v>
      </c>
      <c r="AT927" s="1" t="s">
        <v>8616</v>
      </c>
      <c r="AU927" s="1">
        <v>2001.0</v>
      </c>
      <c r="AV927" s="1">
        <v>282.0</v>
      </c>
      <c r="AW927" s="1">
        <v>2.0</v>
      </c>
      <c r="AX927" s="1" t="s">
        <v>74</v>
      </c>
      <c r="AY927" s="1" t="s">
        <v>74</v>
      </c>
      <c r="AZ927" s="1" t="s">
        <v>74</v>
      </c>
      <c r="BA927" s="1" t="s">
        <v>74</v>
      </c>
      <c r="BB927" s="1">
        <v>221.0</v>
      </c>
      <c r="BC927" s="1">
        <v>229.0</v>
      </c>
      <c r="BD927" s="1" t="s">
        <v>74</v>
      </c>
      <c r="BE927" s="1" t="s">
        <v>8617</v>
      </c>
      <c r="BF927" s="2" t="str">
        <f>HYPERLINK("http://dx.doi.org/10.1006/viro.2001.0825","http://dx.doi.org/10.1006/viro.2001.0825")</f>
        <v>http://dx.doi.org/10.1006/viro.2001.0825</v>
      </c>
      <c r="BG927" s="1" t="s">
        <v>74</v>
      </c>
      <c r="BH927" s="1" t="s">
        <v>74</v>
      </c>
      <c r="BI927" s="1" t="s">
        <v>74</v>
      </c>
      <c r="BJ927" s="1" t="s">
        <v>74</v>
      </c>
      <c r="BK927" s="1" t="s">
        <v>74</v>
      </c>
      <c r="BL927" s="1" t="s">
        <v>74</v>
      </c>
      <c r="BM927" s="1" t="s">
        <v>74</v>
      </c>
      <c r="BN927" s="1">
        <v>1.1289804E7</v>
      </c>
      <c r="BO927" s="1" t="s">
        <v>74</v>
      </c>
      <c r="BP927" s="1" t="s">
        <v>74</v>
      </c>
      <c r="BQ927" s="1" t="s">
        <v>74</v>
      </c>
      <c r="BR927" s="1" t="s">
        <v>74</v>
      </c>
      <c r="BS927" s="1" t="s">
        <v>8618</v>
      </c>
      <c r="BT927" s="1" t="str">
        <f>HYPERLINK("https%3A%2F%2Fwww.webofscience.com%2Fwos%2Fwoscc%2Ffull-record%2FWOS:000168260100002","View Full Record in Web of Science")</f>
        <v>View Full Record in Web of Science</v>
      </c>
    </row>
    <row r="928" ht="12.75" customHeight="1">
      <c r="A928" s="1" t="s">
        <v>72</v>
      </c>
      <c r="B928" s="1" t="s">
        <v>8619</v>
      </c>
      <c r="C928" s="1" t="s">
        <v>74</v>
      </c>
      <c r="D928" s="1" t="s">
        <v>74</v>
      </c>
      <c r="E928" s="1" t="s">
        <v>74</v>
      </c>
      <c r="F928" s="1" t="s">
        <v>8619</v>
      </c>
      <c r="G928" s="1" t="s">
        <v>74</v>
      </c>
      <c r="H928" s="1" t="s">
        <v>74</v>
      </c>
      <c r="I928" s="1" t="s">
        <v>8620</v>
      </c>
      <c r="J928" s="1" t="s">
        <v>413</v>
      </c>
      <c r="K928" s="1" t="s">
        <v>74</v>
      </c>
      <c r="L928" s="1" t="s">
        <v>74</v>
      </c>
      <c r="M928" s="1" t="s">
        <v>74</v>
      </c>
      <c r="N928" s="1" t="s">
        <v>74</v>
      </c>
      <c r="O928" s="1" t="s">
        <v>74</v>
      </c>
      <c r="P928" s="1" t="s">
        <v>74</v>
      </c>
      <c r="Q928" s="1" t="s">
        <v>74</v>
      </c>
      <c r="R928" s="1" t="s">
        <v>74</v>
      </c>
      <c r="S928" s="1" t="s">
        <v>74</v>
      </c>
      <c r="T928" s="1" t="s">
        <v>74</v>
      </c>
      <c r="U928" s="1" t="s">
        <v>74</v>
      </c>
      <c r="V928" s="1" t="s">
        <v>8621</v>
      </c>
      <c r="W928" s="1" t="s">
        <v>74</v>
      </c>
      <c r="X928" s="1" t="s">
        <v>74</v>
      </c>
      <c r="Y928" s="1" t="s">
        <v>74</v>
      </c>
      <c r="Z928" s="1" t="s">
        <v>74</v>
      </c>
      <c r="AA928" s="1" t="s">
        <v>74</v>
      </c>
      <c r="AB928" s="1" t="s">
        <v>74</v>
      </c>
      <c r="AC928" s="1" t="s">
        <v>74</v>
      </c>
      <c r="AD928" s="1" t="s">
        <v>74</v>
      </c>
      <c r="AE928" s="1" t="s">
        <v>74</v>
      </c>
      <c r="AF928" s="1" t="s">
        <v>74</v>
      </c>
      <c r="AG928" s="1" t="s">
        <v>74</v>
      </c>
      <c r="AH928" s="1" t="s">
        <v>74</v>
      </c>
      <c r="AI928" s="1" t="s">
        <v>74</v>
      </c>
      <c r="AJ928" s="1" t="s">
        <v>74</v>
      </c>
      <c r="AK928" s="1" t="s">
        <v>74</v>
      </c>
      <c r="AL928" s="1" t="s">
        <v>74</v>
      </c>
      <c r="AM928" s="1" t="s">
        <v>74</v>
      </c>
      <c r="AN928" s="1" t="s">
        <v>74</v>
      </c>
      <c r="AO928" s="1" t="s">
        <v>414</v>
      </c>
      <c r="AP928" s="1" t="s">
        <v>74</v>
      </c>
      <c r="AQ928" s="1" t="s">
        <v>74</v>
      </c>
      <c r="AR928" s="1" t="s">
        <v>74</v>
      </c>
      <c r="AS928" s="1" t="s">
        <v>74</v>
      </c>
      <c r="AT928" s="1" t="s">
        <v>144</v>
      </c>
      <c r="AU928" s="1">
        <v>2001.0</v>
      </c>
      <c r="AV928" s="1">
        <v>46.0</v>
      </c>
      <c r="AW928" s="1">
        <v>1.0</v>
      </c>
      <c r="AX928" s="1" t="s">
        <v>74</v>
      </c>
      <c r="AY928" s="1" t="s">
        <v>74</v>
      </c>
      <c r="AZ928" s="1" t="s">
        <v>74</v>
      </c>
      <c r="BA928" s="1" t="s">
        <v>74</v>
      </c>
      <c r="BB928" s="1">
        <v>3.0</v>
      </c>
      <c r="BC928" s="1">
        <v>8.0</v>
      </c>
      <c r="BD928" s="1" t="s">
        <v>74</v>
      </c>
      <c r="BE928" s="1" t="s">
        <v>74</v>
      </c>
      <c r="BF928" s="1" t="s">
        <v>74</v>
      </c>
      <c r="BG928" s="1" t="s">
        <v>74</v>
      </c>
      <c r="BH928" s="1" t="s">
        <v>74</v>
      </c>
      <c r="BI928" s="1" t="s">
        <v>74</v>
      </c>
      <c r="BJ928" s="1" t="s">
        <v>74</v>
      </c>
      <c r="BK928" s="1" t="s">
        <v>74</v>
      </c>
      <c r="BL928" s="1" t="s">
        <v>74</v>
      </c>
      <c r="BM928" s="1" t="s">
        <v>74</v>
      </c>
      <c r="BN928" s="1" t="s">
        <v>74</v>
      </c>
      <c r="BO928" s="1" t="s">
        <v>74</v>
      </c>
      <c r="BP928" s="1" t="s">
        <v>74</v>
      </c>
      <c r="BQ928" s="1" t="s">
        <v>74</v>
      </c>
      <c r="BR928" s="1" t="s">
        <v>74</v>
      </c>
      <c r="BS928" s="1" t="s">
        <v>8622</v>
      </c>
      <c r="BT928" s="1" t="str">
        <f>HYPERLINK("https%3A%2F%2Fwww.webofscience.com%2Fwos%2Fwoscc%2Ffull-record%2FWOS:000168175900002","View Full Record in Web of Science")</f>
        <v>View Full Record in Web of Science</v>
      </c>
    </row>
    <row r="929" ht="12.75" customHeight="1">
      <c r="A929" s="1" t="s">
        <v>72</v>
      </c>
      <c r="B929" s="1" t="s">
        <v>8623</v>
      </c>
      <c r="C929" s="1" t="s">
        <v>74</v>
      </c>
      <c r="D929" s="1" t="s">
        <v>74</v>
      </c>
      <c r="E929" s="1" t="s">
        <v>74</v>
      </c>
      <c r="F929" s="1" t="s">
        <v>8623</v>
      </c>
      <c r="G929" s="1" t="s">
        <v>74</v>
      </c>
      <c r="H929" s="1" t="s">
        <v>74</v>
      </c>
      <c r="I929" s="1" t="s">
        <v>8624</v>
      </c>
      <c r="J929" s="1" t="s">
        <v>8625</v>
      </c>
      <c r="K929" s="1" t="s">
        <v>74</v>
      </c>
      <c r="L929" s="1" t="s">
        <v>74</v>
      </c>
      <c r="M929" s="1" t="s">
        <v>74</v>
      </c>
      <c r="N929" s="1" t="s">
        <v>74</v>
      </c>
      <c r="O929" s="1" t="s">
        <v>74</v>
      </c>
      <c r="P929" s="1" t="s">
        <v>74</v>
      </c>
      <c r="Q929" s="1" t="s">
        <v>74</v>
      </c>
      <c r="R929" s="1" t="s">
        <v>74</v>
      </c>
      <c r="S929" s="1" t="s">
        <v>74</v>
      </c>
      <c r="T929" s="1" t="s">
        <v>74</v>
      </c>
      <c r="U929" s="1" t="s">
        <v>74</v>
      </c>
      <c r="V929" s="1" t="s">
        <v>8626</v>
      </c>
      <c r="W929" s="1" t="s">
        <v>74</v>
      </c>
      <c r="X929" s="1" t="s">
        <v>74</v>
      </c>
      <c r="Y929" s="1" t="s">
        <v>74</v>
      </c>
      <c r="Z929" s="1" t="s">
        <v>74</v>
      </c>
      <c r="AA929" s="1" t="s">
        <v>74</v>
      </c>
      <c r="AB929" s="1" t="s">
        <v>8627</v>
      </c>
      <c r="AC929" s="1" t="s">
        <v>74</v>
      </c>
      <c r="AD929" s="1" t="s">
        <v>74</v>
      </c>
      <c r="AE929" s="1" t="s">
        <v>74</v>
      </c>
      <c r="AF929" s="1" t="s">
        <v>74</v>
      </c>
      <c r="AG929" s="1" t="s">
        <v>74</v>
      </c>
      <c r="AH929" s="1" t="s">
        <v>74</v>
      </c>
      <c r="AI929" s="1" t="s">
        <v>74</v>
      </c>
      <c r="AJ929" s="1" t="s">
        <v>74</v>
      </c>
      <c r="AK929" s="1" t="s">
        <v>74</v>
      </c>
      <c r="AL929" s="1" t="s">
        <v>74</v>
      </c>
      <c r="AM929" s="1" t="s">
        <v>74</v>
      </c>
      <c r="AN929" s="1" t="s">
        <v>74</v>
      </c>
      <c r="AO929" s="1" t="s">
        <v>8628</v>
      </c>
      <c r="AP929" s="1" t="s">
        <v>74</v>
      </c>
      <c r="AQ929" s="1" t="s">
        <v>74</v>
      </c>
      <c r="AR929" s="1" t="s">
        <v>74</v>
      </c>
      <c r="AS929" s="1" t="s">
        <v>74</v>
      </c>
      <c r="AT929" s="1" t="s">
        <v>8629</v>
      </c>
      <c r="AU929" s="1">
        <v>1999.0</v>
      </c>
      <c r="AV929" s="1">
        <v>82.0</v>
      </c>
      <c r="AW929" s="1" t="s">
        <v>3395</v>
      </c>
      <c r="AX929" s="1" t="s">
        <v>74</v>
      </c>
      <c r="AY929" s="1" t="s">
        <v>74</v>
      </c>
      <c r="AZ929" s="1" t="s">
        <v>74</v>
      </c>
      <c r="BA929" s="1" t="s">
        <v>74</v>
      </c>
      <c r="BB929" s="1">
        <v>189.0</v>
      </c>
      <c r="BC929" s="1">
        <v>252.0</v>
      </c>
      <c r="BD929" s="1" t="s">
        <v>74</v>
      </c>
      <c r="BE929" s="1" t="s">
        <v>8630</v>
      </c>
      <c r="BF929" s="2" t="str">
        <f>HYPERLINK("http://dx.doi.org/10.1016/S0001-8686(99)00018-4","http://dx.doi.org/10.1016/S0001-8686(99)00018-4")</f>
        <v>http://dx.doi.org/10.1016/S0001-8686(99)00018-4</v>
      </c>
      <c r="BG929" s="1" t="s">
        <v>74</v>
      </c>
      <c r="BH929" s="1" t="s">
        <v>74</v>
      </c>
      <c r="BI929" s="1" t="s">
        <v>74</v>
      </c>
      <c r="BJ929" s="1" t="s">
        <v>74</v>
      </c>
      <c r="BK929" s="1" t="s">
        <v>74</v>
      </c>
      <c r="BL929" s="1" t="s">
        <v>74</v>
      </c>
      <c r="BM929" s="1" t="s">
        <v>74</v>
      </c>
      <c r="BN929" s="1" t="s">
        <v>74</v>
      </c>
      <c r="BO929" s="1" t="s">
        <v>74</v>
      </c>
      <c r="BP929" s="1" t="s">
        <v>74</v>
      </c>
      <c r="BQ929" s="1" t="s">
        <v>74</v>
      </c>
      <c r="BR929" s="1" t="s">
        <v>74</v>
      </c>
      <c r="BS929" s="1" t="s">
        <v>8631</v>
      </c>
      <c r="BT929" s="1" t="str">
        <f>HYPERLINK("https%3A%2F%2Fwww.webofscience.com%2Fwos%2Fwoscc%2Ffull-record%2FWOS:000082737100005","View Full Record in Web of Science")</f>
        <v>View Full Record in Web of Science</v>
      </c>
    </row>
    <row r="930" ht="12.75" customHeight="1">
      <c r="A930" s="1" t="s">
        <v>72</v>
      </c>
      <c r="B930" s="1" t="s">
        <v>8632</v>
      </c>
      <c r="C930" s="1" t="s">
        <v>74</v>
      </c>
      <c r="D930" s="1" t="s">
        <v>74</v>
      </c>
      <c r="E930" s="1" t="s">
        <v>74</v>
      </c>
      <c r="F930" s="1" t="s">
        <v>8632</v>
      </c>
      <c r="G930" s="1" t="s">
        <v>74</v>
      </c>
      <c r="H930" s="1" t="s">
        <v>74</v>
      </c>
      <c r="I930" s="1" t="s">
        <v>8633</v>
      </c>
      <c r="J930" s="1" t="s">
        <v>8634</v>
      </c>
      <c r="K930" s="1" t="s">
        <v>74</v>
      </c>
      <c r="L930" s="1" t="s">
        <v>74</v>
      </c>
      <c r="M930" s="1" t="s">
        <v>74</v>
      </c>
      <c r="N930" s="1" t="s">
        <v>74</v>
      </c>
      <c r="O930" s="1" t="s">
        <v>74</v>
      </c>
      <c r="P930" s="1" t="s">
        <v>74</v>
      </c>
      <c r="Q930" s="1" t="s">
        <v>74</v>
      </c>
      <c r="R930" s="1" t="s">
        <v>74</v>
      </c>
      <c r="S930" s="1" t="s">
        <v>74</v>
      </c>
      <c r="T930" s="1" t="s">
        <v>74</v>
      </c>
      <c r="U930" s="1" t="s">
        <v>74</v>
      </c>
      <c r="V930" s="1" t="s">
        <v>8635</v>
      </c>
      <c r="W930" s="1" t="s">
        <v>74</v>
      </c>
      <c r="X930" s="1" t="s">
        <v>74</v>
      </c>
      <c r="Y930" s="1" t="s">
        <v>74</v>
      </c>
      <c r="Z930" s="1" t="s">
        <v>74</v>
      </c>
      <c r="AA930" s="1" t="s">
        <v>3508</v>
      </c>
      <c r="AB930" s="1" t="s">
        <v>8636</v>
      </c>
      <c r="AC930" s="1" t="s">
        <v>74</v>
      </c>
      <c r="AD930" s="1" t="s">
        <v>74</v>
      </c>
      <c r="AE930" s="1" t="s">
        <v>74</v>
      </c>
      <c r="AF930" s="1" t="s">
        <v>74</v>
      </c>
      <c r="AG930" s="1" t="s">
        <v>74</v>
      </c>
      <c r="AH930" s="1" t="s">
        <v>74</v>
      </c>
      <c r="AI930" s="1" t="s">
        <v>74</v>
      </c>
      <c r="AJ930" s="1" t="s">
        <v>74</v>
      </c>
      <c r="AK930" s="1" t="s">
        <v>74</v>
      </c>
      <c r="AL930" s="1" t="s">
        <v>74</v>
      </c>
      <c r="AM930" s="1" t="s">
        <v>74</v>
      </c>
      <c r="AN930" s="1" t="s">
        <v>74</v>
      </c>
      <c r="AO930" s="1" t="s">
        <v>8637</v>
      </c>
      <c r="AP930" s="1" t="s">
        <v>74</v>
      </c>
      <c r="AQ930" s="1" t="s">
        <v>74</v>
      </c>
      <c r="AR930" s="1" t="s">
        <v>74</v>
      </c>
      <c r="AS930" s="1" t="s">
        <v>74</v>
      </c>
      <c r="AT930" s="1" t="s">
        <v>379</v>
      </c>
      <c r="AU930" s="1">
        <v>1999.0</v>
      </c>
      <c r="AV930" s="1">
        <v>28.0</v>
      </c>
      <c r="AW930" s="1">
        <v>9.0</v>
      </c>
      <c r="AX930" s="1" t="s">
        <v>74</v>
      </c>
      <c r="AY930" s="1" t="s">
        <v>74</v>
      </c>
      <c r="AZ930" s="1" t="s">
        <v>74</v>
      </c>
      <c r="BA930" s="1" t="s">
        <v>74</v>
      </c>
      <c r="BB930" s="1">
        <v>1107.0</v>
      </c>
      <c r="BC930" s="1">
        <v>1112.0</v>
      </c>
      <c r="BD930" s="1" t="s">
        <v>74</v>
      </c>
      <c r="BE930" s="1" t="s">
        <v>8638</v>
      </c>
      <c r="BF930" s="2" t="str">
        <f>HYPERLINK("http://dx.doi.org/10.1023/A:1022629411310","http://dx.doi.org/10.1023/A:1022629411310")</f>
        <v>http://dx.doi.org/10.1023/A:1022629411310</v>
      </c>
      <c r="BG930" s="1" t="s">
        <v>74</v>
      </c>
      <c r="BH930" s="1" t="s">
        <v>74</v>
      </c>
      <c r="BI930" s="1" t="s">
        <v>74</v>
      </c>
      <c r="BJ930" s="1" t="s">
        <v>74</v>
      </c>
      <c r="BK930" s="1" t="s">
        <v>74</v>
      </c>
      <c r="BL930" s="1" t="s">
        <v>74</v>
      </c>
      <c r="BM930" s="1" t="s">
        <v>74</v>
      </c>
      <c r="BN930" s="1" t="s">
        <v>74</v>
      </c>
      <c r="BO930" s="1" t="s">
        <v>74</v>
      </c>
      <c r="BP930" s="1" t="s">
        <v>74</v>
      </c>
      <c r="BQ930" s="1" t="s">
        <v>74</v>
      </c>
      <c r="BR930" s="1" t="s">
        <v>74</v>
      </c>
      <c r="BS930" s="1" t="s">
        <v>8639</v>
      </c>
      <c r="BT930" s="1" t="str">
        <f>HYPERLINK("https%3A%2F%2Fwww.webofscience.com%2Fwos%2Fwoscc%2Ffull-record%2FWOS:000082876500004","View Full Record in Web of Science")</f>
        <v>View Full Record in Web of Science</v>
      </c>
    </row>
    <row r="931" ht="12.75" customHeight="1">
      <c r="A931" s="1" t="s">
        <v>72</v>
      </c>
      <c r="B931" s="1" t="s">
        <v>8640</v>
      </c>
      <c r="C931" s="1" t="s">
        <v>74</v>
      </c>
      <c r="D931" s="1" t="s">
        <v>74</v>
      </c>
      <c r="E931" s="1" t="s">
        <v>74</v>
      </c>
      <c r="F931" s="1" t="s">
        <v>8640</v>
      </c>
      <c r="G931" s="1" t="s">
        <v>74</v>
      </c>
      <c r="H931" s="1" t="s">
        <v>74</v>
      </c>
      <c r="I931" s="1" t="s">
        <v>8641</v>
      </c>
      <c r="J931" s="1" t="s">
        <v>3822</v>
      </c>
      <c r="K931" s="1" t="s">
        <v>74</v>
      </c>
      <c r="L931" s="1" t="s">
        <v>74</v>
      </c>
      <c r="M931" s="1" t="s">
        <v>74</v>
      </c>
      <c r="N931" s="1" t="s">
        <v>74</v>
      </c>
      <c r="O931" s="1" t="s">
        <v>74</v>
      </c>
      <c r="P931" s="1" t="s">
        <v>74</v>
      </c>
      <c r="Q931" s="1" t="s">
        <v>74</v>
      </c>
      <c r="R931" s="1" t="s">
        <v>74</v>
      </c>
      <c r="S931" s="1" t="s">
        <v>74</v>
      </c>
      <c r="T931" s="1" t="s">
        <v>74</v>
      </c>
      <c r="U931" s="1" t="s">
        <v>74</v>
      </c>
      <c r="V931" s="1" t="s">
        <v>8642</v>
      </c>
      <c r="W931" s="1" t="s">
        <v>74</v>
      </c>
      <c r="X931" s="1" t="s">
        <v>74</v>
      </c>
      <c r="Y931" s="1" t="s">
        <v>74</v>
      </c>
      <c r="Z931" s="1" t="s">
        <v>74</v>
      </c>
      <c r="AA931" s="1" t="s">
        <v>74</v>
      </c>
      <c r="AB931" s="1" t="s">
        <v>6944</v>
      </c>
      <c r="AC931" s="1" t="s">
        <v>74</v>
      </c>
      <c r="AD931" s="1" t="s">
        <v>74</v>
      </c>
      <c r="AE931" s="1" t="s">
        <v>74</v>
      </c>
      <c r="AF931" s="1" t="s">
        <v>74</v>
      </c>
      <c r="AG931" s="1" t="s">
        <v>74</v>
      </c>
      <c r="AH931" s="1" t="s">
        <v>74</v>
      </c>
      <c r="AI931" s="1" t="s">
        <v>74</v>
      </c>
      <c r="AJ931" s="1" t="s">
        <v>74</v>
      </c>
      <c r="AK931" s="1" t="s">
        <v>74</v>
      </c>
      <c r="AL931" s="1" t="s">
        <v>74</v>
      </c>
      <c r="AM931" s="1" t="s">
        <v>74</v>
      </c>
      <c r="AN931" s="1" t="s">
        <v>74</v>
      </c>
      <c r="AO931" s="1" t="s">
        <v>3825</v>
      </c>
      <c r="AP931" s="1" t="s">
        <v>74</v>
      </c>
      <c r="AQ931" s="1" t="s">
        <v>74</v>
      </c>
      <c r="AR931" s="1" t="s">
        <v>74</v>
      </c>
      <c r="AS931" s="1" t="s">
        <v>74</v>
      </c>
      <c r="AT931" s="1" t="s">
        <v>122</v>
      </c>
      <c r="AU931" s="1">
        <v>1996.0</v>
      </c>
      <c r="AV931" s="1">
        <v>42.0</v>
      </c>
      <c r="AW931" s="1">
        <v>1.0</v>
      </c>
      <c r="AX931" s="1" t="s">
        <v>74</v>
      </c>
      <c r="AY931" s="1" t="s">
        <v>74</v>
      </c>
      <c r="AZ931" s="1" t="s">
        <v>74</v>
      </c>
      <c r="BA931" s="1" t="s">
        <v>74</v>
      </c>
      <c r="BB931" s="1">
        <v>13.0</v>
      </c>
      <c r="BC931" s="1">
        <v>20.0</v>
      </c>
      <c r="BD931" s="1" t="s">
        <v>74</v>
      </c>
      <c r="BE931" s="1" t="s">
        <v>8643</v>
      </c>
      <c r="BF931" s="2" t="str">
        <f>HYPERLINK("http://dx.doi.org/10.1016/0304-386X(95)00078-U","http://dx.doi.org/10.1016/0304-386X(95)00078-U")</f>
        <v>http://dx.doi.org/10.1016/0304-386X(95)00078-U</v>
      </c>
      <c r="BG931" s="1" t="s">
        <v>74</v>
      </c>
      <c r="BH931" s="1" t="s">
        <v>74</v>
      </c>
      <c r="BI931" s="1" t="s">
        <v>74</v>
      </c>
      <c r="BJ931" s="1" t="s">
        <v>74</v>
      </c>
      <c r="BK931" s="1" t="s">
        <v>74</v>
      </c>
      <c r="BL931" s="1" t="s">
        <v>74</v>
      </c>
      <c r="BM931" s="1" t="s">
        <v>74</v>
      </c>
      <c r="BN931" s="1" t="s">
        <v>74</v>
      </c>
      <c r="BO931" s="1" t="s">
        <v>74</v>
      </c>
      <c r="BP931" s="1" t="s">
        <v>74</v>
      </c>
      <c r="BQ931" s="1" t="s">
        <v>74</v>
      </c>
      <c r="BR931" s="1" t="s">
        <v>74</v>
      </c>
      <c r="BS931" s="1" t="s">
        <v>8644</v>
      </c>
      <c r="BT931" s="1" t="str">
        <f>HYPERLINK("https%3A%2F%2Fwww.webofscience.com%2Fwos%2Fwoscc%2Ffull-record%2FWOS:A1996VD23600002","View Full Record in Web of Science")</f>
        <v>View Full Record in Web of Science</v>
      </c>
    </row>
    <row r="932" ht="12.75" customHeight="1">
      <c r="A932" s="1" t="s">
        <v>72</v>
      </c>
      <c r="B932" s="1" t="s">
        <v>8645</v>
      </c>
      <c r="C932" s="1" t="s">
        <v>74</v>
      </c>
      <c r="D932" s="1" t="s">
        <v>74</v>
      </c>
      <c r="E932" s="1" t="s">
        <v>74</v>
      </c>
      <c r="F932" s="1" t="s">
        <v>8645</v>
      </c>
      <c r="G932" s="1" t="s">
        <v>74</v>
      </c>
      <c r="H932" s="1" t="s">
        <v>74</v>
      </c>
      <c r="I932" s="1" t="s">
        <v>8646</v>
      </c>
      <c r="J932" s="1" t="s">
        <v>432</v>
      </c>
      <c r="K932" s="1" t="s">
        <v>74</v>
      </c>
      <c r="L932" s="1" t="s">
        <v>74</v>
      </c>
      <c r="M932" s="1" t="s">
        <v>74</v>
      </c>
      <c r="N932" s="1" t="s">
        <v>74</v>
      </c>
      <c r="O932" s="1" t="s">
        <v>74</v>
      </c>
      <c r="P932" s="1" t="s">
        <v>74</v>
      </c>
      <c r="Q932" s="1" t="s">
        <v>74</v>
      </c>
      <c r="R932" s="1" t="s">
        <v>74</v>
      </c>
      <c r="S932" s="1" t="s">
        <v>74</v>
      </c>
      <c r="T932" s="1" t="s">
        <v>74</v>
      </c>
      <c r="U932" s="1" t="s">
        <v>74</v>
      </c>
      <c r="V932" s="1" t="s">
        <v>8647</v>
      </c>
      <c r="W932" s="1" t="s">
        <v>74</v>
      </c>
      <c r="X932" s="1" t="s">
        <v>74</v>
      </c>
      <c r="Y932" s="1" t="s">
        <v>74</v>
      </c>
      <c r="Z932" s="1" t="s">
        <v>74</v>
      </c>
      <c r="AA932" s="1" t="s">
        <v>8648</v>
      </c>
      <c r="AB932" s="1" t="s">
        <v>74</v>
      </c>
      <c r="AC932" s="1" t="s">
        <v>74</v>
      </c>
      <c r="AD932" s="1" t="s">
        <v>74</v>
      </c>
      <c r="AE932" s="1" t="s">
        <v>74</v>
      </c>
      <c r="AF932" s="1" t="s">
        <v>74</v>
      </c>
      <c r="AG932" s="1" t="s">
        <v>74</v>
      </c>
      <c r="AH932" s="1" t="s">
        <v>74</v>
      </c>
      <c r="AI932" s="1" t="s">
        <v>74</v>
      </c>
      <c r="AJ932" s="1" t="s">
        <v>74</v>
      </c>
      <c r="AK932" s="1" t="s">
        <v>74</v>
      </c>
      <c r="AL932" s="1" t="s">
        <v>74</v>
      </c>
      <c r="AM932" s="1" t="s">
        <v>74</v>
      </c>
      <c r="AN932" s="1" t="s">
        <v>74</v>
      </c>
      <c r="AO932" s="1" t="s">
        <v>434</v>
      </c>
      <c r="AP932" s="1" t="s">
        <v>74</v>
      </c>
      <c r="AQ932" s="1" t="s">
        <v>74</v>
      </c>
      <c r="AR932" s="1" t="s">
        <v>74</v>
      </c>
      <c r="AS932" s="1" t="s">
        <v>74</v>
      </c>
      <c r="AT932" s="1" t="s">
        <v>1214</v>
      </c>
      <c r="AU932" s="1">
        <v>1991.0</v>
      </c>
      <c r="AV932" s="1">
        <v>54.0</v>
      </c>
      <c r="AW932" s="1">
        <v>2.0</v>
      </c>
      <c r="AX932" s="1" t="s">
        <v>74</v>
      </c>
      <c r="AY932" s="1" t="s">
        <v>74</v>
      </c>
      <c r="AZ932" s="1" t="s">
        <v>74</v>
      </c>
      <c r="BA932" s="1" t="s">
        <v>74</v>
      </c>
      <c r="BB932" s="1">
        <v>588.0</v>
      </c>
      <c r="BC932" s="1">
        <v>590.0</v>
      </c>
      <c r="BD932" s="1" t="s">
        <v>74</v>
      </c>
      <c r="BE932" s="1" t="s">
        <v>8649</v>
      </c>
      <c r="BF932" s="2" t="str">
        <f>HYPERLINK("http://dx.doi.org/10.1021/np50074a039","http://dx.doi.org/10.1021/np50074a039")</f>
        <v>http://dx.doi.org/10.1021/np50074a039</v>
      </c>
      <c r="BG932" s="1" t="s">
        <v>74</v>
      </c>
      <c r="BH932" s="1" t="s">
        <v>74</v>
      </c>
      <c r="BI932" s="1" t="s">
        <v>74</v>
      </c>
      <c r="BJ932" s="1" t="s">
        <v>74</v>
      </c>
      <c r="BK932" s="1" t="s">
        <v>74</v>
      </c>
      <c r="BL932" s="1" t="s">
        <v>74</v>
      </c>
      <c r="BM932" s="1" t="s">
        <v>74</v>
      </c>
      <c r="BN932" s="1" t="s">
        <v>74</v>
      </c>
      <c r="BO932" s="1" t="s">
        <v>74</v>
      </c>
      <c r="BP932" s="1" t="s">
        <v>74</v>
      </c>
      <c r="BQ932" s="1" t="s">
        <v>74</v>
      </c>
      <c r="BR932" s="1" t="s">
        <v>74</v>
      </c>
      <c r="BS932" s="1" t="s">
        <v>8650</v>
      </c>
      <c r="BT932" s="1" t="str">
        <f>HYPERLINK("https%3A%2F%2Fwww.webofscience.com%2Fwos%2Fwoscc%2Ffull-record%2FWOS:A1991FN15400039","View Full Record in Web of Science")</f>
        <v>View Full Record in Web of Science</v>
      </c>
    </row>
    <row r="933" ht="12.75" customHeight="1">
      <c r="A933" s="1" t="s">
        <v>72</v>
      </c>
      <c r="B933" s="1" t="s">
        <v>8651</v>
      </c>
      <c r="C933" s="1" t="s">
        <v>74</v>
      </c>
      <c r="D933" s="1" t="s">
        <v>74</v>
      </c>
      <c r="E933" s="1" t="s">
        <v>74</v>
      </c>
      <c r="F933" s="1" t="s">
        <v>8652</v>
      </c>
      <c r="G933" s="1" t="s">
        <v>74</v>
      </c>
      <c r="H933" s="1" t="s">
        <v>74</v>
      </c>
      <c r="I933" s="1" t="s">
        <v>8653</v>
      </c>
      <c r="J933" s="1" t="s">
        <v>3083</v>
      </c>
      <c r="K933" s="1" t="s">
        <v>74</v>
      </c>
      <c r="L933" s="1" t="s">
        <v>74</v>
      </c>
      <c r="M933" s="1" t="s">
        <v>74</v>
      </c>
      <c r="N933" s="1" t="s">
        <v>74</v>
      </c>
      <c r="O933" s="1" t="s">
        <v>74</v>
      </c>
      <c r="P933" s="1" t="s">
        <v>74</v>
      </c>
      <c r="Q933" s="1" t="s">
        <v>74</v>
      </c>
      <c r="R933" s="1" t="s">
        <v>74</v>
      </c>
      <c r="S933" s="1" t="s">
        <v>74</v>
      </c>
      <c r="T933" s="1" t="s">
        <v>74</v>
      </c>
      <c r="U933" s="1" t="s">
        <v>74</v>
      </c>
      <c r="V933" s="1" t="s">
        <v>8654</v>
      </c>
      <c r="W933" s="1" t="s">
        <v>74</v>
      </c>
      <c r="X933" s="1" t="s">
        <v>74</v>
      </c>
      <c r="Y933" s="1" t="s">
        <v>74</v>
      </c>
      <c r="Z933" s="1" t="s">
        <v>74</v>
      </c>
      <c r="AA933" s="1" t="s">
        <v>8655</v>
      </c>
      <c r="AB933" s="1" t="s">
        <v>74</v>
      </c>
      <c r="AC933" s="1" t="s">
        <v>74</v>
      </c>
      <c r="AD933" s="1" t="s">
        <v>74</v>
      </c>
      <c r="AE933" s="1" t="s">
        <v>74</v>
      </c>
      <c r="AF933" s="1" t="s">
        <v>74</v>
      </c>
      <c r="AG933" s="1" t="s">
        <v>74</v>
      </c>
      <c r="AH933" s="1" t="s">
        <v>74</v>
      </c>
      <c r="AI933" s="1" t="s">
        <v>74</v>
      </c>
      <c r="AJ933" s="1" t="s">
        <v>74</v>
      </c>
      <c r="AK933" s="1" t="s">
        <v>74</v>
      </c>
      <c r="AL933" s="1" t="s">
        <v>74</v>
      </c>
      <c r="AM933" s="1" t="s">
        <v>74</v>
      </c>
      <c r="AN933" s="1" t="s">
        <v>74</v>
      </c>
      <c r="AO933" s="1" t="s">
        <v>3087</v>
      </c>
      <c r="AP933" s="1" t="s">
        <v>3088</v>
      </c>
      <c r="AQ933" s="1" t="s">
        <v>74</v>
      </c>
      <c r="AR933" s="1" t="s">
        <v>74</v>
      </c>
      <c r="AS933" s="1" t="s">
        <v>74</v>
      </c>
      <c r="AT933" s="1" t="s">
        <v>7443</v>
      </c>
      <c r="AU933" s="1">
        <v>2025.0</v>
      </c>
      <c r="AV933" s="1">
        <v>58.0</v>
      </c>
      <c r="AW933" s="1">
        <v>1.0</v>
      </c>
      <c r="AX933" s="1" t="s">
        <v>74</v>
      </c>
      <c r="AY933" s="1" t="s">
        <v>74</v>
      </c>
      <c r="AZ933" s="1" t="s">
        <v>74</v>
      </c>
      <c r="BA933" s="1" t="s">
        <v>74</v>
      </c>
      <c r="BB933" s="1" t="s">
        <v>74</v>
      </c>
      <c r="BC933" s="1" t="s">
        <v>74</v>
      </c>
      <c r="BD933" s="1">
        <v>21.0</v>
      </c>
      <c r="BE933" s="1" t="s">
        <v>8656</v>
      </c>
      <c r="BF933" s="2" t="str">
        <f>HYPERLINK("http://dx.doi.org/10.1186/s40659-024-00582-2","http://dx.doi.org/10.1186/s40659-024-00582-2")</f>
        <v>http://dx.doi.org/10.1186/s40659-024-00582-2</v>
      </c>
      <c r="BG933" s="1" t="s">
        <v>74</v>
      </c>
      <c r="BH933" s="1" t="s">
        <v>74</v>
      </c>
      <c r="BI933" s="1" t="s">
        <v>74</v>
      </c>
      <c r="BJ933" s="1" t="s">
        <v>74</v>
      </c>
      <c r="BK933" s="1" t="s">
        <v>74</v>
      </c>
      <c r="BL933" s="1" t="s">
        <v>74</v>
      </c>
      <c r="BM933" s="1" t="s">
        <v>74</v>
      </c>
      <c r="BN933" s="1">
        <v>4.0275427E7</v>
      </c>
      <c r="BO933" s="1" t="s">
        <v>74</v>
      </c>
      <c r="BP933" s="1" t="s">
        <v>74</v>
      </c>
      <c r="BQ933" s="1" t="s">
        <v>74</v>
      </c>
      <c r="BR933" s="1" t="s">
        <v>74</v>
      </c>
      <c r="BS933" s="1" t="s">
        <v>8657</v>
      </c>
      <c r="BT933" s="1" t="str">
        <f>HYPERLINK("https%3A%2F%2Fwww.webofscience.com%2Fwos%2Fwoscc%2Ffull-record%2FWOS:001474337900001","View Full Record in Web of Science")</f>
        <v>View Full Record in Web of Science</v>
      </c>
    </row>
    <row r="934" ht="12.75" customHeight="1">
      <c r="A934" s="1" t="s">
        <v>72</v>
      </c>
      <c r="B934" s="1" t="s">
        <v>8658</v>
      </c>
      <c r="C934" s="1" t="s">
        <v>74</v>
      </c>
      <c r="D934" s="1" t="s">
        <v>74</v>
      </c>
      <c r="E934" s="1" t="s">
        <v>74</v>
      </c>
      <c r="F934" s="1" t="s">
        <v>8659</v>
      </c>
      <c r="G934" s="1" t="s">
        <v>74</v>
      </c>
      <c r="H934" s="1" t="s">
        <v>74</v>
      </c>
      <c r="I934" s="1" t="s">
        <v>8660</v>
      </c>
      <c r="J934" s="1" t="s">
        <v>8661</v>
      </c>
      <c r="K934" s="1" t="s">
        <v>74</v>
      </c>
      <c r="L934" s="1" t="s">
        <v>74</v>
      </c>
      <c r="M934" s="1" t="s">
        <v>74</v>
      </c>
      <c r="N934" s="1" t="s">
        <v>74</v>
      </c>
      <c r="O934" s="1" t="s">
        <v>74</v>
      </c>
      <c r="P934" s="1" t="s">
        <v>74</v>
      </c>
      <c r="Q934" s="1" t="s">
        <v>74</v>
      </c>
      <c r="R934" s="1" t="s">
        <v>74</v>
      </c>
      <c r="S934" s="1" t="s">
        <v>74</v>
      </c>
      <c r="T934" s="1" t="s">
        <v>74</v>
      </c>
      <c r="U934" s="1" t="s">
        <v>74</v>
      </c>
      <c r="V934" s="1" t="s">
        <v>8662</v>
      </c>
      <c r="W934" s="1" t="s">
        <v>74</v>
      </c>
      <c r="X934" s="1" t="s">
        <v>74</v>
      </c>
      <c r="Y934" s="1" t="s">
        <v>74</v>
      </c>
      <c r="Z934" s="1" t="s">
        <v>74</v>
      </c>
      <c r="AA934" s="1" t="s">
        <v>8663</v>
      </c>
      <c r="AB934" s="1" t="s">
        <v>74</v>
      </c>
      <c r="AC934" s="1" t="s">
        <v>74</v>
      </c>
      <c r="AD934" s="1" t="s">
        <v>74</v>
      </c>
      <c r="AE934" s="1" t="s">
        <v>74</v>
      </c>
      <c r="AF934" s="1" t="s">
        <v>74</v>
      </c>
      <c r="AG934" s="1" t="s">
        <v>74</v>
      </c>
      <c r="AH934" s="1" t="s">
        <v>74</v>
      </c>
      <c r="AI934" s="1" t="s">
        <v>74</v>
      </c>
      <c r="AJ934" s="1" t="s">
        <v>74</v>
      </c>
      <c r="AK934" s="1" t="s">
        <v>74</v>
      </c>
      <c r="AL934" s="1" t="s">
        <v>74</v>
      </c>
      <c r="AM934" s="1" t="s">
        <v>74</v>
      </c>
      <c r="AN934" s="1" t="s">
        <v>74</v>
      </c>
      <c r="AO934" s="1" t="s">
        <v>74</v>
      </c>
      <c r="AP934" s="1" t="s">
        <v>8664</v>
      </c>
      <c r="AQ934" s="1" t="s">
        <v>74</v>
      </c>
      <c r="AR934" s="1" t="s">
        <v>74</v>
      </c>
      <c r="AS934" s="1" t="s">
        <v>74</v>
      </c>
      <c r="AT934" s="1" t="s">
        <v>6514</v>
      </c>
      <c r="AU934" s="1">
        <v>2024.0</v>
      </c>
      <c r="AV934" s="1">
        <v>4.0</v>
      </c>
      <c r="AW934" s="1">
        <v>4.0</v>
      </c>
      <c r="AX934" s="1" t="s">
        <v>74</v>
      </c>
      <c r="AY934" s="1" t="s">
        <v>74</v>
      </c>
      <c r="AZ934" s="1" t="s">
        <v>74</v>
      </c>
      <c r="BA934" s="1" t="s">
        <v>74</v>
      </c>
      <c r="BB934" s="1">
        <v>966.0</v>
      </c>
      <c r="BC934" s="1">
        <v>982.0</v>
      </c>
      <c r="BD934" s="1" t="s">
        <v>74</v>
      </c>
      <c r="BE934" s="1" t="s">
        <v>8665</v>
      </c>
      <c r="BF934" s="2" t="str">
        <f>HYPERLINK("http://dx.doi.org/10.3390/mining4040054","http://dx.doi.org/10.3390/mining4040054")</f>
        <v>http://dx.doi.org/10.3390/mining4040054</v>
      </c>
      <c r="BG934" s="1" t="s">
        <v>74</v>
      </c>
      <c r="BH934" s="1" t="s">
        <v>74</v>
      </c>
      <c r="BI934" s="1" t="s">
        <v>74</v>
      </c>
      <c r="BJ934" s="1" t="s">
        <v>74</v>
      </c>
      <c r="BK934" s="1" t="s">
        <v>74</v>
      </c>
      <c r="BL934" s="1" t="s">
        <v>74</v>
      </c>
      <c r="BM934" s="1" t="s">
        <v>74</v>
      </c>
      <c r="BN934" s="1" t="s">
        <v>74</v>
      </c>
      <c r="BO934" s="1" t="s">
        <v>74</v>
      </c>
      <c r="BP934" s="1" t="s">
        <v>74</v>
      </c>
      <c r="BQ934" s="1" t="s">
        <v>74</v>
      </c>
      <c r="BR934" s="1" t="s">
        <v>74</v>
      </c>
      <c r="BS934" s="1" t="s">
        <v>8666</v>
      </c>
      <c r="BT934" s="1" t="str">
        <f>HYPERLINK("https%3A%2F%2Fwww.webofscience.com%2Fwos%2Fwoscc%2Ffull-record%2FWOS:001467183500001","View Full Record in Web of Science")</f>
        <v>View Full Record in Web of Science</v>
      </c>
    </row>
    <row r="935" ht="12.75" customHeight="1">
      <c r="A935" s="1" t="s">
        <v>72</v>
      </c>
      <c r="B935" s="1" t="s">
        <v>8667</v>
      </c>
      <c r="C935" s="1" t="s">
        <v>74</v>
      </c>
      <c r="D935" s="1" t="s">
        <v>74</v>
      </c>
      <c r="E935" s="1" t="s">
        <v>74</v>
      </c>
      <c r="F935" s="1" t="s">
        <v>8668</v>
      </c>
      <c r="G935" s="1" t="s">
        <v>74</v>
      </c>
      <c r="H935" s="1" t="s">
        <v>74</v>
      </c>
      <c r="I935" s="1" t="s">
        <v>8669</v>
      </c>
      <c r="J935" s="1" t="s">
        <v>459</v>
      </c>
      <c r="K935" s="1" t="s">
        <v>74</v>
      </c>
      <c r="L935" s="1" t="s">
        <v>74</v>
      </c>
      <c r="M935" s="1" t="s">
        <v>74</v>
      </c>
      <c r="N935" s="1" t="s">
        <v>74</v>
      </c>
      <c r="O935" s="1" t="s">
        <v>74</v>
      </c>
      <c r="P935" s="1" t="s">
        <v>74</v>
      </c>
      <c r="Q935" s="1" t="s">
        <v>74</v>
      </c>
      <c r="R935" s="1" t="s">
        <v>74</v>
      </c>
      <c r="S935" s="1" t="s">
        <v>74</v>
      </c>
      <c r="T935" s="1" t="s">
        <v>74</v>
      </c>
      <c r="U935" s="1" t="s">
        <v>74</v>
      </c>
      <c r="V935" s="1" t="s">
        <v>8670</v>
      </c>
      <c r="W935" s="1" t="s">
        <v>74</v>
      </c>
      <c r="X935" s="1" t="s">
        <v>74</v>
      </c>
      <c r="Y935" s="1" t="s">
        <v>74</v>
      </c>
      <c r="Z935" s="1" t="s">
        <v>74</v>
      </c>
      <c r="AA935" s="1" t="s">
        <v>8671</v>
      </c>
      <c r="AB935" s="1" t="s">
        <v>8672</v>
      </c>
      <c r="AC935" s="1" t="s">
        <v>74</v>
      </c>
      <c r="AD935" s="1" t="s">
        <v>74</v>
      </c>
      <c r="AE935" s="1" t="s">
        <v>74</v>
      </c>
      <c r="AF935" s="1" t="s">
        <v>74</v>
      </c>
      <c r="AG935" s="1" t="s">
        <v>74</v>
      </c>
      <c r="AH935" s="1" t="s">
        <v>74</v>
      </c>
      <c r="AI935" s="1" t="s">
        <v>74</v>
      </c>
      <c r="AJ935" s="1" t="s">
        <v>74</v>
      </c>
      <c r="AK935" s="1" t="s">
        <v>74</v>
      </c>
      <c r="AL935" s="1" t="s">
        <v>74</v>
      </c>
      <c r="AM935" s="1" t="s">
        <v>74</v>
      </c>
      <c r="AN935" s="1" t="s">
        <v>74</v>
      </c>
      <c r="AO935" s="1" t="s">
        <v>463</v>
      </c>
      <c r="AP935" s="1" t="s">
        <v>464</v>
      </c>
      <c r="AQ935" s="1" t="s">
        <v>74</v>
      </c>
      <c r="AR935" s="1" t="s">
        <v>74</v>
      </c>
      <c r="AS935" s="1" t="s">
        <v>74</v>
      </c>
      <c r="AT935" s="1" t="s">
        <v>8629</v>
      </c>
      <c r="AU935" s="1">
        <v>2023.0</v>
      </c>
      <c r="AV935" s="1">
        <v>140.0</v>
      </c>
      <c r="AW935" s="1">
        <v>38.0</v>
      </c>
      <c r="AX935" s="1" t="s">
        <v>74</v>
      </c>
      <c r="AY935" s="1" t="s">
        <v>74</v>
      </c>
      <c r="AZ935" s="1" t="s">
        <v>74</v>
      </c>
      <c r="BA935" s="1" t="s">
        <v>74</v>
      </c>
      <c r="BB935" s="1" t="s">
        <v>74</v>
      </c>
      <c r="BC935" s="1" t="s">
        <v>74</v>
      </c>
      <c r="BD935" s="1" t="s">
        <v>74</v>
      </c>
      <c r="BE935" s="1" t="s">
        <v>8673</v>
      </c>
      <c r="BF935" s="2" t="str">
        <f>HYPERLINK("http://dx.doi.org/10.1002/app.54425","http://dx.doi.org/10.1002/app.54425")</f>
        <v>http://dx.doi.org/10.1002/app.54425</v>
      </c>
      <c r="BG935" s="1" t="s">
        <v>74</v>
      </c>
      <c r="BH935" s="1" t="s">
        <v>2170</v>
      </c>
      <c r="BI935" s="1" t="s">
        <v>74</v>
      </c>
      <c r="BJ935" s="1" t="s">
        <v>74</v>
      </c>
      <c r="BK935" s="1" t="s">
        <v>74</v>
      </c>
      <c r="BL935" s="1" t="s">
        <v>74</v>
      </c>
      <c r="BM935" s="1" t="s">
        <v>74</v>
      </c>
      <c r="BN935" s="1" t="s">
        <v>74</v>
      </c>
      <c r="BO935" s="1" t="s">
        <v>74</v>
      </c>
      <c r="BP935" s="1" t="s">
        <v>74</v>
      </c>
      <c r="BQ935" s="1" t="s">
        <v>74</v>
      </c>
      <c r="BR935" s="1" t="s">
        <v>74</v>
      </c>
      <c r="BS935" s="1" t="s">
        <v>8674</v>
      </c>
      <c r="BT935" s="1" t="str">
        <f>HYPERLINK("https%3A%2F%2Fwww.webofscience.com%2Fwos%2Fwoscc%2Ffull-record%2FWOS:001030980200001","View Full Record in Web of Science")</f>
        <v>View Full Record in Web of Science</v>
      </c>
    </row>
    <row r="936" ht="12.75" customHeight="1">
      <c r="A936" s="1" t="s">
        <v>72</v>
      </c>
      <c r="B936" s="1" t="s">
        <v>8675</v>
      </c>
      <c r="C936" s="1" t="s">
        <v>74</v>
      </c>
      <c r="D936" s="1" t="s">
        <v>74</v>
      </c>
      <c r="E936" s="1" t="s">
        <v>74</v>
      </c>
      <c r="F936" s="1" t="s">
        <v>8676</v>
      </c>
      <c r="G936" s="1" t="s">
        <v>74</v>
      </c>
      <c r="H936" s="1" t="s">
        <v>74</v>
      </c>
      <c r="I936" s="1" t="s">
        <v>8677</v>
      </c>
      <c r="J936" s="1" t="s">
        <v>8433</v>
      </c>
      <c r="K936" s="1" t="s">
        <v>74</v>
      </c>
      <c r="L936" s="1" t="s">
        <v>74</v>
      </c>
      <c r="M936" s="1" t="s">
        <v>74</v>
      </c>
      <c r="N936" s="1" t="s">
        <v>74</v>
      </c>
      <c r="O936" s="1" t="s">
        <v>74</v>
      </c>
      <c r="P936" s="1" t="s">
        <v>74</v>
      </c>
      <c r="Q936" s="1" t="s">
        <v>74</v>
      </c>
      <c r="R936" s="1" t="s">
        <v>74</v>
      </c>
      <c r="S936" s="1" t="s">
        <v>74</v>
      </c>
      <c r="T936" s="1" t="s">
        <v>74</v>
      </c>
      <c r="U936" s="1" t="s">
        <v>74</v>
      </c>
      <c r="V936" s="1" t="s">
        <v>8678</v>
      </c>
      <c r="W936" s="1" t="s">
        <v>74</v>
      </c>
      <c r="X936" s="1" t="s">
        <v>74</v>
      </c>
      <c r="Y936" s="1" t="s">
        <v>74</v>
      </c>
      <c r="Z936" s="1" t="s">
        <v>74</v>
      </c>
      <c r="AA936" s="1" t="s">
        <v>74</v>
      </c>
      <c r="AB936" s="1" t="s">
        <v>8679</v>
      </c>
      <c r="AC936" s="1" t="s">
        <v>74</v>
      </c>
      <c r="AD936" s="1" t="s">
        <v>74</v>
      </c>
      <c r="AE936" s="1" t="s">
        <v>74</v>
      </c>
      <c r="AF936" s="1" t="s">
        <v>74</v>
      </c>
      <c r="AG936" s="1" t="s">
        <v>74</v>
      </c>
      <c r="AH936" s="1" t="s">
        <v>74</v>
      </c>
      <c r="AI936" s="1" t="s">
        <v>74</v>
      </c>
      <c r="AJ936" s="1" t="s">
        <v>74</v>
      </c>
      <c r="AK936" s="1" t="s">
        <v>74</v>
      </c>
      <c r="AL936" s="1" t="s">
        <v>74</v>
      </c>
      <c r="AM936" s="1" t="s">
        <v>74</v>
      </c>
      <c r="AN936" s="1" t="s">
        <v>74</v>
      </c>
      <c r="AO936" s="1" t="s">
        <v>74</v>
      </c>
      <c r="AP936" s="1" t="s">
        <v>8436</v>
      </c>
      <c r="AQ936" s="1" t="s">
        <v>74</v>
      </c>
      <c r="AR936" s="1" t="s">
        <v>74</v>
      </c>
      <c r="AS936" s="1" t="s">
        <v>74</v>
      </c>
      <c r="AT936" s="1" t="s">
        <v>8680</v>
      </c>
      <c r="AU936" s="1">
        <v>2023.0</v>
      </c>
      <c r="AV936" s="1">
        <v>14.0</v>
      </c>
      <c r="AW936" s="1" t="s">
        <v>74</v>
      </c>
      <c r="AX936" s="1" t="s">
        <v>74</v>
      </c>
      <c r="AY936" s="1" t="s">
        <v>74</v>
      </c>
      <c r="AZ936" s="1" t="s">
        <v>74</v>
      </c>
      <c r="BA936" s="1" t="s">
        <v>74</v>
      </c>
      <c r="BB936" s="1" t="s">
        <v>74</v>
      </c>
      <c r="BC936" s="1" t="s">
        <v>74</v>
      </c>
      <c r="BD936" s="1">
        <v>1161850.0</v>
      </c>
      <c r="BE936" s="1" t="s">
        <v>8681</v>
      </c>
      <c r="BF936" s="2" t="str">
        <f>HYPERLINK("http://dx.doi.org/10.3389/fphar.2023.1161850","http://dx.doi.org/10.3389/fphar.2023.1161850")</f>
        <v>http://dx.doi.org/10.3389/fphar.2023.1161850</v>
      </c>
      <c r="BG936" s="1" t="s">
        <v>74</v>
      </c>
      <c r="BH936" s="1" t="s">
        <v>74</v>
      </c>
      <c r="BI936" s="1" t="s">
        <v>74</v>
      </c>
      <c r="BJ936" s="1" t="s">
        <v>74</v>
      </c>
      <c r="BK936" s="1" t="s">
        <v>74</v>
      </c>
      <c r="BL936" s="1" t="s">
        <v>74</v>
      </c>
      <c r="BM936" s="1" t="s">
        <v>74</v>
      </c>
      <c r="BN936" s="1">
        <v>3.7361208E7</v>
      </c>
      <c r="BO936" s="1" t="s">
        <v>74</v>
      </c>
      <c r="BP936" s="1" t="s">
        <v>74</v>
      </c>
      <c r="BQ936" s="1" t="s">
        <v>74</v>
      </c>
      <c r="BR936" s="1" t="s">
        <v>74</v>
      </c>
      <c r="BS936" s="1" t="s">
        <v>8682</v>
      </c>
      <c r="BT936" s="1" t="str">
        <f>HYPERLINK("https%3A%2F%2Fwww.webofscience.com%2Fwos%2Fwoscc%2Ffull-record%2FWOS:001020088800001","View Full Record in Web of Science")</f>
        <v>View Full Record in Web of Science</v>
      </c>
    </row>
    <row r="937" ht="12.75" customHeight="1">
      <c r="A937" s="1" t="s">
        <v>72</v>
      </c>
      <c r="B937" s="1" t="s">
        <v>8683</v>
      </c>
      <c r="C937" s="1" t="s">
        <v>74</v>
      </c>
      <c r="D937" s="1" t="s">
        <v>74</v>
      </c>
      <c r="E937" s="1" t="s">
        <v>74</v>
      </c>
      <c r="F937" s="1" t="s">
        <v>8684</v>
      </c>
      <c r="G937" s="1" t="s">
        <v>74</v>
      </c>
      <c r="H937" s="1" t="s">
        <v>74</v>
      </c>
      <c r="I937" s="1" t="s">
        <v>8685</v>
      </c>
      <c r="J937" s="1" t="s">
        <v>8686</v>
      </c>
      <c r="K937" s="1" t="s">
        <v>74</v>
      </c>
      <c r="L937" s="1" t="s">
        <v>74</v>
      </c>
      <c r="M937" s="1" t="s">
        <v>74</v>
      </c>
      <c r="N937" s="1" t="s">
        <v>74</v>
      </c>
      <c r="O937" s="1" t="s">
        <v>74</v>
      </c>
      <c r="P937" s="1" t="s">
        <v>74</v>
      </c>
      <c r="Q937" s="1" t="s">
        <v>74</v>
      </c>
      <c r="R937" s="1" t="s">
        <v>74</v>
      </c>
      <c r="S937" s="1" t="s">
        <v>74</v>
      </c>
      <c r="T937" s="1" t="s">
        <v>74</v>
      </c>
      <c r="U937" s="1" t="s">
        <v>74</v>
      </c>
      <c r="V937" s="1" t="s">
        <v>8687</v>
      </c>
      <c r="W937" s="1" t="s">
        <v>74</v>
      </c>
      <c r="X937" s="1" t="s">
        <v>74</v>
      </c>
      <c r="Y937" s="1" t="s">
        <v>74</v>
      </c>
      <c r="Z937" s="1" t="s">
        <v>74</v>
      </c>
      <c r="AA937" s="1" t="s">
        <v>8688</v>
      </c>
      <c r="AB937" s="1" t="s">
        <v>8689</v>
      </c>
      <c r="AC937" s="1" t="s">
        <v>74</v>
      </c>
      <c r="AD937" s="1" t="s">
        <v>74</v>
      </c>
      <c r="AE937" s="1" t="s">
        <v>74</v>
      </c>
      <c r="AF937" s="1" t="s">
        <v>74</v>
      </c>
      <c r="AG937" s="1" t="s">
        <v>74</v>
      </c>
      <c r="AH937" s="1" t="s">
        <v>74</v>
      </c>
      <c r="AI937" s="1" t="s">
        <v>74</v>
      </c>
      <c r="AJ937" s="1" t="s">
        <v>74</v>
      </c>
      <c r="AK937" s="1" t="s">
        <v>74</v>
      </c>
      <c r="AL937" s="1" t="s">
        <v>74</v>
      </c>
      <c r="AM937" s="1" t="s">
        <v>74</v>
      </c>
      <c r="AN937" s="1" t="s">
        <v>74</v>
      </c>
      <c r="AO937" s="1" t="s">
        <v>74</v>
      </c>
      <c r="AP937" s="1" t="s">
        <v>8690</v>
      </c>
      <c r="AQ937" s="1" t="s">
        <v>74</v>
      </c>
      <c r="AR937" s="1" t="s">
        <v>74</v>
      </c>
      <c r="AS937" s="1" t="s">
        <v>74</v>
      </c>
      <c r="AT937" s="1" t="s">
        <v>277</v>
      </c>
      <c r="AU937" s="1">
        <v>2023.0</v>
      </c>
      <c r="AV937" s="1">
        <v>15.0</v>
      </c>
      <c r="AW937" s="1">
        <v>1.0</v>
      </c>
      <c r="AX937" s="1" t="s">
        <v>74</v>
      </c>
      <c r="AY937" s="1" t="s">
        <v>74</v>
      </c>
      <c r="AZ937" s="1" t="s">
        <v>74</v>
      </c>
      <c r="BA937" s="1" t="s">
        <v>74</v>
      </c>
      <c r="BB937" s="1" t="s">
        <v>74</v>
      </c>
      <c r="BC937" s="1" t="s">
        <v>74</v>
      </c>
      <c r="BD937" s="1">
        <v>43.0</v>
      </c>
      <c r="BE937" s="1" t="s">
        <v>8691</v>
      </c>
      <c r="BF937" s="2" t="str">
        <f>HYPERLINK("http://dx.doi.org/10.3390/pharmaceutics15010043","http://dx.doi.org/10.3390/pharmaceutics15010043")</f>
        <v>http://dx.doi.org/10.3390/pharmaceutics15010043</v>
      </c>
      <c r="BG937" s="1" t="s">
        <v>74</v>
      </c>
      <c r="BH937" s="1" t="s">
        <v>74</v>
      </c>
      <c r="BI937" s="1" t="s">
        <v>74</v>
      </c>
      <c r="BJ937" s="1" t="s">
        <v>74</v>
      </c>
      <c r="BK937" s="1" t="s">
        <v>74</v>
      </c>
      <c r="BL937" s="1" t="s">
        <v>74</v>
      </c>
      <c r="BM937" s="1" t="s">
        <v>74</v>
      </c>
      <c r="BN937" s="1">
        <v>3.6678672E7</v>
      </c>
      <c r="BO937" s="1" t="s">
        <v>74</v>
      </c>
      <c r="BP937" s="1" t="s">
        <v>74</v>
      </c>
      <c r="BQ937" s="1" t="s">
        <v>74</v>
      </c>
      <c r="BR937" s="1" t="s">
        <v>74</v>
      </c>
      <c r="BS937" s="1" t="s">
        <v>8692</v>
      </c>
      <c r="BT937" s="1" t="str">
        <f>HYPERLINK("https%3A%2F%2Fwww.webofscience.com%2Fwos%2Fwoscc%2Ffull-record%2FWOS:000918943600001","View Full Record in Web of Science")</f>
        <v>View Full Record in Web of Science</v>
      </c>
    </row>
    <row r="938" ht="12.75" customHeight="1">
      <c r="A938" s="1" t="s">
        <v>72</v>
      </c>
      <c r="B938" s="1" t="s">
        <v>8693</v>
      </c>
      <c r="C938" s="1" t="s">
        <v>74</v>
      </c>
      <c r="D938" s="1" t="s">
        <v>74</v>
      </c>
      <c r="E938" s="1" t="s">
        <v>74</v>
      </c>
      <c r="F938" s="1" t="s">
        <v>8694</v>
      </c>
      <c r="G938" s="1" t="s">
        <v>74</v>
      </c>
      <c r="H938" s="1" t="s">
        <v>74</v>
      </c>
      <c r="I938" s="1" t="s">
        <v>8695</v>
      </c>
      <c r="J938" s="1" t="s">
        <v>553</v>
      </c>
      <c r="K938" s="1" t="s">
        <v>74</v>
      </c>
      <c r="L938" s="1" t="s">
        <v>74</v>
      </c>
      <c r="M938" s="1" t="s">
        <v>74</v>
      </c>
      <c r="N938" s="1" t="s">
        <v>74</v>
      </c>
      <c r="O938" s="1" t="s">
        <v>74</v>
      </c>
      <c r="P938" s="1" t="s">
        <v>74</v>
      </c>
      <c r="Q938" s="1" t="s">
        <v>74</v>
      </c>
      <c r="R938" s="1" t="s">
        <v>74</v>
      </c>
      <c r="S938" s="1" t="s">
        <v>74</v>
      </c>
      <c r="T938" s="1" t="s">
        <v>74</v>
      </c>
      <c r="U938" s="1" t="s">
        <v>74</v>
      </c>
      <c r="V938" s="1" t="s">
        <v>8696</v>
      </c>
      <c r="W938" s="1" t="s">
        <v>74</v>
      </c>
      <c r="X938" s="1" t="s">
        <v>74</v>
      </c>
      <c r="Y938" s="1" t="s">
        <v>74</v>
      </c>
      <c r="Z938" s="1" t="s">
        <v>74</v>
      </c>
      <c r="AA938" s="1" t="s">
        <v>8697</v>
      </c>
      <c r="AB938" s="1" t="s">
        <v>8698</v>
      </c>
      <c r="AC938" s="1" t="s">
        <v>74</v>
      </c>
      <c r="AD938" s="1" t="s">
        <v>74</v>
      </c>
      <c r="AE938" s="1" t="s">
        <v>74</v>
      </c>
      <c r="AF938" s="1" t="s">
        <v>74</v>
      </c>
      <c r="AG938" s="1" t="s">
        <v>74</v>
      </c>
      <c r="AH938" s="1" t="s">
        <v>74</v>
      </c>
      <c r="AI938" s="1" t="s">
        <v>74</v>
      </c>
      <c r="AJ938" s="1" t="s">
        <v>74</v>
      </c>
      <c r="AK938" s="1" t="s">
        <v>74</v>
      </c>
      <c r="AL938" s="1" t="s">
        <v>74</v>
      </c>
      <c r="AM938" s="1" t="s">
        <v>74</v>
      </c>
      <c r="AN938" s="1" t="s">
        <v>74</v>
      </c>
      <c r="AO938" s="1" t="s">
        <v>74</v>
      </c>
      <c r="AP938" s="1" t="s">
        <v>557</v>
      </c>
      <c r="AQ938" s="1" t="s">
        <v>74</v>
      </c>
      <c r="AR938" s="1" t="s">
        <v>74</v>
      </c>
      <c r="AS938" s="1" t="s">
        <v>74</v>
      </c>
      <c r="AT938" s="1" t="s">
        <v>621</v>
      </c>
      <c r="AU938" s="1">
        <v>2021.0</v>
      </c>
      <c r="AV938" s="1">
        <v>13.0</v>
      </c>
      <c r="AW938" s="1">
        <v>14.0</v>
      </c>
      <c r="AX938" s="1" t="s">
        <v>74</v>
      </c>
      <c r="AY938" s="1" t="s">
        <v>74</v>
      </c>
      <c r="AZ938" s="1" t="s">
        <v>74</v>
      </c>
      <c r="BA938" s="1" t="s">
        <v>74</v>
      </c>
      <c r="BB938" s="1" t="s">
        <v>74</v>
      </c>
      <c r="BC938" s="1" t="s">
        <v>74</v>
      </c>
      <c r="BD938" s="1">
        <v>2304.0</v>
      </c>
      <c r="BE938" s="1" t="s">
        <v>8699</v>
      </c>
      <c r="BF938" s="2" t="str">
        <f>HYPERLINK("http://dx.doi.org/10.3390/polym13142304","http://dx.doi.org/10.3390/polym13142304")</f>
        <v>http://dx.doi.org/10.3390/polym13142304</v>
      </c>
      <c r="BG938" s="1" t="s">
        <v>74</v>
      </c>
      <c r="BH938" s="1" t="s">
        <v>74</v>
      </c>
      <c r="BI938" s="1" t="s">
        <v>74</v>
      </c>
      <c r="BJ938" s="1" t="s">
        <v>74</v>
      </c>
      <c r="BK938" s="1" t="s">
        <v>74</v>
      </c>
      <c r="BL938" s="1" t="s">
        <v>74</v>
      </c>
      <c r="BM938" s="1" t="s">
        <v>74</v>
      </c>
      <c r="BN938" s="1">
        <v>3.430106E7</v>
      </c>
      <c r="BO938" s="1" t="s">
        <v>74</v>
      </c>
      <c r="BP938" s="1" t="s">
        <v>74</v>
      </c>
      <c r="BQ938" s="1" t="s">
        <v>74</v>
      </c>
      <c r="BR938" s="1" t="s">
        <v>74</v>
      </c>
      <c r="BS938" s="1" t="s">
        <v>8700</v>
      </c>
      <c r="BT938" s="1" t="str">
        <f>HYPERLINK("https%3A%2F%2Fwww.webofscience.com%2Fwos%2Fwoscc%2Ffull-record%2FWOS:000676900000001","View Full Record in Web of Science")</f>
        <v>View Full Record in Web of Science</v>
      </c>
    </row>
    <row r="939" ht="12.75" customHeight="1">
      <c r="A939" s="1" t="s">
        <v>72</v>
      </c>
      <c r="B939" s="1" t="s">
        <v>8701</v>
      </c>
      <c r="C939" s="1" t="s">
        <v>74</v>
      </c>
      <c r="D939" s="1" t="s">
        <v>74</v>
      </c>
      <c r="E939" s="1" t="s">
        <v>74</v>
      </c>
      <c r="F939" s="1" t="s">
        <v>8702</v>
      </c>
      <c r="G939" s="1" t="s">
        <v>74</v>
      </c>
      <c r="H939" s="1" t="s">
        <v>74</v>
      </c>
      <c r="I939" s="1" t="s">
        <v>8703</v>
      </c>
      <c r="J939" s="1" t="s">
        <v>7642</v>
      </c>
      <c r="K939" s="1" t="s">
        <v>74</v>
      </c>
      <c r="L939" s="1" t="s">
        <v>74</v>
      </c>
      <c r="M939" s="1" t="s">
        <v>74</v>
      </c>
      <c r="N939" s="1" t="s">
        <v>74</v>
      </c>
      <c r="O939" s="1" t="s">
        <v>74</v>
      </c>
      <c r="P939" s="1" t="s">
        <v>74</v>
      </c>
      <c r="Q939" s="1" t="s">
        <v>74</v>
      </c>
      <c r="R939" s="1" t="s">
        <v>74</v>
      </c>
      <c r="S939" s="1" t="s">
        <v>74</v>
      </c>
      <c r="T939" s="1" t="s">
        <v>74</v>
      </c>
      <c r="U939" s="1" t="s">
        <v>74</v>
      </c>
      <c r="V939" s="1" t="s">
        <v>8704</v>
      </c>
      <c r="W939" s="1" t="s">
        <v>74</v>
      </c>
      <c r="X939" s="1" t="s">
        <v>74</v>
      </c>
      <c r="Y939" s="1" t="s">
        <v>74</v>
      </c>
      <c r="Z939" s="1" t="s">
        <v>74</v>
      </c>
      <c r="AA939" s="1" t="s">
        <v>8705</v>
      </c>
      <c r="AB939" s="1" t="s">
        <v>8706</v>
      </c>
      <c r="AC939" s="1" t="s">
        <v>74</v>
      </c>
      <c r="AD939" s="1" t="s">
        <v>74</v>
      </c>
      <c r="AE939" s="1" t="s">
        <v>74</v>
      </c>
      <c r="AF939" s="1" t="s">
        <v>74</v>
      </c>
      <c r="AG939" s="1" t="s">
        <v>74</v>
      </c>
      <c r="AH939" s="1" t="s">
        <v>74</v>
      </c>
      <c r="AI939" s="1" t="s">
        <v>74</v>
      </c>
      <c r="AJ939" s="1" t="s">
        <v>74</v>
      </c>
      <c r="AK939" s="1" t="s">
        <v>74</v>
      </c>
      <c r="AL939" s="1" t="s">
        <v>74</v>
      </c>
      <c r="AM939" s="1" t="s">
        <v>74</v>
      </c>
      <c r="AN939" s="1" t="s">
        <v>74</v>
      </c>
      <c r="AO939" s="1" t="s">
        <v>74</v>
      </c>
      <c r="AP939" s="1" t="s">
        <v>7645</v>
      </c>
      <c r="AQ939" s="1" t="s">
        <v>74</v>
      </c>
      <c r="AR939" s="1" t="s">
        <v>74</v>
      </c>
      <c r="AS939" s="1" t="s">
        <v>74</v>
      </c>
      <c r="AT939" s="1" t="s">
        <v>841</v>
      </c>
      <c r="AU939" s="1">
        <v>2021.0</v>
      </c>
      <c r="AV939" s="1">
        <v>10.0</v>
      </c>
      <c r="AW939" s="1">
        <v>4.0</v>
      </c>
      <c r="AX939" s="1" t="s">
        <v>74</v>
      </c>
      <c r="AY939" s="1" t="s">
        <v>74</v>
      </c>
      <c r="AZ939" s="1" t="s">
        <v>74</v>
      </c>
      <c r="BA939" s="1" t="s">
        <v>74</v>
      </c>
      <c r="BB939" s="1" t="s">
        <v>74</v>
      </c>
      <c r="BC939" s="1" t="s">
        <v>74</v>
      </c>
      <c r="BD939" s="1">
        <v>905.0</v>
      </c>
      <c r="BE939" s="1" t="s">
        <v>8707</v>
      </c>
      <c r="BF939" s="2" t="str">
        <f>HYPERLINK("http://dx.doi.org/10.3390/foods10040905","http://dx.doi.org/10.3390/foods10040905")</f>
        <v>http://dx.doi.org/10.3390/foods10040905</v>
      </c>
      <c r="BG939" s="1" t="s">
        <v>74</v>
      </c>
      <c r="BH939" s="1" t="s">
        <v>74</v>
      </c>
      <c r="BI939" s="1" t="s">
        <v>74</v>
      </c>
      <c r="BJ939" s="1" t="s">
        <v>74</v>
      </c>
      <c r="BK939" s="1" t="s">
        <v>74</v>
      </c>
      <c r="BL939" s="1" t="s">
        <v>74</v>
      </c>
      <c r="BM939" s="1" t="s">
        <v>74</v>
      </c>
      <c r="BN939" s="1">
        <v>3.3924125E7</v>
      </c>
      <c r="BO939" s="1" t="s">
        <v>74</v>
      </c>
      <c r="BP939" s="1" t="s">
        <v>74</v>
      </c>
      <c r="BQ939" s="1" t="s">
        <v>74</v>
      </c>
      <c r="BR939" s="1" t="s">
        <v>74</v>
      </c>
      <c r="BS939" s="1" t="s">
        <v>8708</v>
      </c>
      <c r="BT939" s="1" t="str">
        <f>HYPERLINK("https%3A%2F%2Fwww.webofscience.com%2Fwos%2Fwoscc%2Ffull-record%2FWOS:000643044100001","View Full Record in Web of Science")</f>
        <v>View Full Record in Web of Science</v>
      </c>
    </row>
    <row r="940" ht="12.75" customHeight="1">
      <c r="A940" s="1" t="s">
        <v>72</v>
      </c>
      <c r="B940" s="1" t="s">
        <v>8709</v>
      </c>
      <c r="C940" s="1" t="s">
        <v>74</v>
      </c>
      <c r="D940" s="1" t="s">
        <v>74</v>
      </c>
      <c r="E940" s="1" t="s">
        <v>74</v>
      </c>
      <c r="F940" s="1" t="s">
        <v>8710</v>
      </c>
      <c r="G940" s="1" t="s">
        <v>74</v>
      </c>
      <c r="H940" s="1" t="s">
        <v>74</v>
      </c>
      <c r="I940" s="1" t="s">
        <v>8711</v>
      </c>
      <c r="J940" s="1" t="s">
        <v>553</v>
      </c>
      <c r="K940" s="1" t="s">
        <v>74</v>
      </c>
      <c r="L940" s="1" t="s">
        <v>74</v>
      </c>
      <c r="M940" s="1" t="s">
        <v>74</v>
      </c>
      <c r="N940" s="1" t="s">
        <v>74</v>
      </c>
      <c r="O940" s="1" t="s">
        <v>74</v>
      </c>
      <c r="P940" s="1" t="s">
        <v>74</v>
      </c>
      <c r="Q940" s="1" t="s">
        <v>74</v>
      </c>
      <c r="R940" s="1" t="s">
        <v>74</v>
      </c>
      <c r="S940" s="1" t="s">
        <v>74</v>
      </c>
      <c r="T940" s="1" t="s">
        <v>74</v>
      </c>
      <c r="U940" s="1" t="s">
        <v>74</v>
      </c>
      <c r="V940" s="1" t="s">
        <v>8712</v>
      </c>
      <c r="W940" s="1" t="s">
        <v>74</v>
      </c>
      <c r="X940" s="1" t="s">
        <v>74</v>
      </c>
      <c r="Y940" s="1" t="s">
        <v>74</v>
      </c>
      <c r="Z940" s="1" t="s">
        <v>74</v>
      </c>
      <c r="AA940" s="1" t="s">
        <v>8713</v>
      </c>
      <c r="AB940" s="1" t="s">
        <v>8714</v>
      </c>
      <c r="AC940" s="1" t="s">
        <v>74</v>
      </c>
      <c r="AD940" s="1" t="s">
        <v>74</v>
      </c>
      <c r="AE940" s="1" t="s">
        <v>74</v>
      </c>
      <c r="AF940" s="1" t="s">
        <v>74</v>
      </c>
      <c r="AG940" s="1" t="s">
        <v>74</v>
      </c>
      <c r="AH940" s="1" t="s">
        <v>74</v>
      </c>
      <c r="AI940" s="1" t="s">
        <v>74</v>
      </c>
      <c r="AJ940" s="1" t="s">
        <v>74</v>
      </c>
      <c r="AK940" s="1" t="s">
        <v>74</v>
      </c>
      <c r="AL940" s="1" t="s">
        <v>74</v>
      </c>
      <c r="AM940" s="1" t="s">
        <v>74</v>
      </c>
      <c r="AN940" s="1" t="s">
        <v>74</v>
      </c>
      <c r="AO940" s="1" t="s">
        <v>74</v>
      </c>
      <c r="AP940" s="1" t="s">
        <v>557</v>
      </c>
      <c r="AQ940" s="1" t="s">
        <v>74</v>
      </c>
      <c r="AR940" s="1" t="s">
        <v>74</v>
      </c>
      <c r="AS940" s="1" t="s">
        <v>74</v>
      </c>
      <c r="AT940" s="1" t="s">
        <v>841</v>
      </c>
      <c r="AU940" s="1">
        <v>2021.0</v>
      </c>
      <c r="AV940" s="1">
        <v>13.0</v>
      </c>
      <c r="AW940" s="1">
        <v>8.0</v>
      </c>
      <c r="AX940" s="1" t="s">
        <v>74</v>
      </c>
      <c r="AY940" s="1" t="s">
        <v>74</v>
      </c>
      <c r="AZ940" s="1" t="s">
        <v>74</v>
      </c>
      <c r="BA940" s="1" t="s">
        <v>74</v>
      </c>
      <c r="BB940" s="1" t="s">
        <v>74</v>
      </c>
      <c r="BC940" s="1" t="s">
        <v>74</v>
      </c>
      <c r="BD940" s="1">
        <v>1288.0</v>
      </c>
      <c r="BE940" s="1" t="s">
        <v>8715</v>
      </c>
      <c r="BF940" s="2" t="str">
        <f>HYPERLINK("http://dx.doi.org/10.3390/polym13081288","http://dx.doi.org/10.3390/polym13081288")</f>
        <v>http://dx.doi.org/10.3390/polym13081288</v>
      </c>
      <c r="BG940" s="1" t="s">
        <v>74</v>
      </c>
      <c r="BH940" s="1" t="s">
        <v>74</v>
      </c>
      <c r="BI940" s="1" t="s">
        <v>74</v>
      </c>
      <c r="BJ940" s="1" t="s">
        <v>74</v>
      </c>
      <c r="BK940" s="1" t="s">
        <v>74</v>
      </c>
      <c r="BL940" s="1" t="s">
        <v>74</v>
      </c>
      <c r="BM940" s="1" t="s">
        <v>74</v>
      </c>
      <c r="BN940" s="1">
        <v>3.3920864E7</v>
      </c>
      <c r="BO940" s="1" t="s">
        <v>74</v>
      </c>
      <c r="BP940" s="1" t="s">
        <v>74</v>
      </c>
      <c r="BQ940" s="1" t="s">
        <v>74</v>
      </c>
      <c r="BR940" s="1" t="s">
        <v>74</v>
      </c>
      <c r="BS940" s="1" t="s">
        <v>8716</v>
      </c>
      <c r="BT940" s="1" t="str">
        <f>HYPERLINK("https%3A%2F%2Fwww.webofscience.com%2Fwos%2Fwoscc%2Ffull-record%2FWOS:000644614400001","View Full Record in Web of Science")</f>
        <v>View Full Record in Web of Science</v>
      </c>
    </row>
    <row r="941" ht="12.75" customHeight="1">
      <c r="A941" s="1" t="s">
        <v>72</v>
      </c>
      <c r="B941" s="1" t="s">
        <v>8717</v>
      </c>
      <c r="C941" s="1" t="s">
        <v>74</v>
      </c>
      <c r="D941" s="1" t="s">
        <v>74</v>
      </c>
      <c r="E941" s="1" t="s">
        <v>74</v>
      </c>
      <c r="F941" s="1" t="s">
        <v>8718</v>
      </c>
      <c r="G941" s="1" t="s">
        <v>74</v>
      </c>
      <c r="H941" s="1" t="s">
        <v>74</v>
      </c>
      <c r="I941" s="1" t="s">
        <v>8719</v>
      </c>
      <c r="J941" s="1" t="s">
        <v>8720</v>
      </c>
      <c r="K941" s="1" t="s">
        <v>74</v>
      </c>
      <c r="L941" s="1" t="s">
        <v>74</v>
      </c>
      <c r="M941" s="1" t="s">
        <v>74</v>
      </c>
      <c r="N941" s="1" t="s">
        <v>74</v>
      </c>
      <c r="O941" s="1" t="s">
        <v>74</v>
      </c>
      <c r="P941" s="1" t="s">
        <v>74</v>
      </c>
      <c r="Q941" s="1" t="s">
        <v>74</v>
      </c>
      <c r="R941" s="1" t="s">
        <v>74</v>
      </c>
      <c r="S941" s="1" t="s">
        <v>74</v>
      </c>
      <c r="T941" s="1" t="s">
        <v>74</v>
      </c>
      <c r="U941" s="1" t="s">
        <v>74</v>
      </c>
      <c r="V941" s="1" t="s">
        <v>8721</v>
      </c>
      <c r="W941" s="1" t="s">
        <v>74</v>
      </c>
      <c r="X941" s="1" t="s">
        <v>74</v>
      </c>
      <c r="Y941" s="1" t="s">
        <v>74</v>
      </c>
      <c r="Z941" s="1" t="s">
        <v>74</v>
      </c>
      <c r="AA941" s="1" t="s">
        <v>8722</v>
      </c>
      <c r="AB941" s="1" t="s">
        <v>8723</v>
      </c>
      <c r="AC941" s="1" t="s">
        <v>74</v>
      </c>
      <c r="AD941" s="1" t="s">
        <v>74</v>
      </c>
      <c r="AE941" s="1" t="s">
        <v>74</v>
      </c>
      <c r="AF941" s="1" t="s">
        <v>74</v>
      </c>
      <c r="AG941" s="1" t="s">
        <v>74</v>
      </c>
      <c r="AH941" s="1" t="s">
        <v>74</v>
      </c>
      <c r="AI941" s="1" t="s">
        <v>74</v>
      </c>
      <c r="AJ941" s="1" t="s">
        <v>74</v>
      </c>
      <c r="AK941" s="1" t="s">
        <v>74</v>
      </c>
      <c r="AL941" s="1" t="s">
        <v>74</v>
      </c>
      <c r="AM941" s="1" t="s">
        <v>74</v>
      </c>
      <c r="AN941" s="1" t="s">
        <v>74</v>
      </c>
      <c r="AO941" s="1" t="s">
        <v>8724</v>
      </c>
      <c r="AP941" s="1" t="s">
        <v>8725</v>
      </c>
      <c r="AQ941" s="1" t="s">
        <v>74</v>
      </c>
      <c r="AR941" s="1" t="s">
        <v>74</v>
      </c>
      <c r="AS941" s="1" t="s">
        <v>74</v>
      </c>
      <c r="AT941" s="1" t="s">
        <v>8726</v>
      </c>
      <c r="AU941" s="1">
        <v>2020.0</v>
      </c>
      <c r="AV941" s="1">
        <v>24.0</v>
      </c>
      <c r="AW941" s="1">
        <v>68.0</v>
      </c>
      <c r="AX941" s="1" t="s">
        <v>74</v>
      </c>
      <c r="AY941" s="1" t="s">
        <v>74</v>
      </c>
      <c r="AZ941" s="1" t="s">
        <v>74</v>
      </c>
      <c r="BA941" s="1" t="s">
        <v>74</v>
      </c>
      <c r="BB941" s="1">
        <v>117.0</v>
      </c>
      <c r="BC941" s="1">
        <v>134.0</v>
      </c>
      <c r="BD941" s="1" t="s">
        <v>74</v>
      </c>
      <c r="BE941" s="1" t="s">
        <v>8727</v>
      </c>
      <c r="BF941" s="2" t="str">
        <f>HYPERLINK("http://dx.doi.org/10.17141/iconos.68.2020.4043","http://dx.doi.org/10.17141/iconos.68.2020.4043")</f>
        <v>http://dx.doi.org/10.17141/iconos.68.2020.4043</v>
      </c>
      <c r="BG941" s="1" t="s">
        <v>74</v>
      </c>
      <c r="BH941" s="1" t="s">
        <v>74</v>
      </c>
      <c r="BI941" s="1" t="s">
        <v>74</v>
      </c>
      <c r="BJ941" s="1" t="s">
        <v>74</v>
      </c>
      <c r="BK941" s="1" t="s">
        <v>74</v>
      </c>
      <c r="BL941" s="1" t="s">
        <v>74</v>
      </c>
      <c r="BM941" s="1" t="s">
        <v>74</v>
      </c>
      <c r="BN941" s="1" t="s">
        <v>74</v>
      </c>
      <c r="BO941" s="1" t="s">
        <v>74</v>
      </c>
      <c r="BP941" s="1" t="s">
        <v>74</v>
      </c>
      <c r="BQ941" s="1" t="s">
        <v>74</v>
      </c>
      <c r="BR941" s="1" t="s">
        <v>74</v>
      </c>
      <c r="BS941" s="1" t="s">
        <v>8728</v>
      </c>
      <c r="BT941" s="1" t="str">
        <f>HYPERLINK("https%3A%2F%2Fwww.webofscience.com%2Fwos%2Fwoscc%2Ffull-record%2FWOS:000565177900007","View Full Record in Web of Science")</f>
        <v>View Full Record in Web of Science</v>
      </c>
    </row>
    <row r="942" ht="12.75" customHeight="1">
      <c r="A942" s="1" t="s">
        <v>72</v>
      </c>
      <c r="B942" s="1" t="s">
        <v>8729</v>
      </c>
      <c r="C942" s="1" t="s">
        <v>74</v>
      </c>
      <c r="D942" s="1" t="s">
        <v>74</v>
      </c>
      <c r="E942" s="1" t="s">
        <v>74</v>
      </c>
      <c r="F942" s="1" t="s">
        <v>8730</v>
      </c>
      <c r="G942" s="1" t="s">
        <v>74</v>
      </c>
      <c r="H942" s="1" t="s">
        <v>74</v>
      </c>
      <c r="I942" s="1" t="s">
        <v>8731</v>
      </c>
      <c r="J942" s="1" t="s">
        <v>1898</v>
      </c>
      <c r="K942" s="1" t="s">
        <v>74</v>
      </c>
      <c r="L942" s="1" t="s">
        <v>74</v>
      </c>
      <c r="M942" s="1" t="s">
        <v>74</v>
      </c>
      <c r="N942" s="1" t="s">
        <v>74</v>
      </c>
      <c r="O942" s="1" t="s">
        <v>74</v>
      </c>
      <c r="P942" s="1" t="s">
        <v>74</v>
      </c>
      <c r="Q942" s="1" t="s">
        <v>74</v>
      </c>
      <c r="R942" s="1" t="s">
        <v>74</v>
      </c>
      <c r="S942" s="1" t="s">
        <v>74</v>
      </c>
      <c r="T942" s="1" t="s">
        <v>74</v>
      </c>
      <c r="U942" s="1" t="s">
        <v>74</v>
      </c>
      <c r="V942" s="1" t="s">
        <v>8732</v>
      </c>
      <c r="W942" s="1" t="s">
        <v>74</v>
      </c>
      <c r="X942" s="1" t="s">
        <v>74</v>
      </c>
      <c r="Y942" s="1" t="s">
        <v>74</v>
      </c>
      <c r="Z942" s="1" t="s">
        <v>74</v>
      </c>
      <c r="AA942" s="1" t="s">
        <v>8733</v>
      </c>
      <c r="AB942" s="1" t="s">
        <v>8734</v>
      </c>
      <c r="AC942" s="1" t="s">
        <v>74</v>
      </c>
      <c r="AD942" s="1" t="s">
        <v>74</v>
      </c>
      <c r="AE942" s="1" t="s">
        <v>74</v>
      </c>
      <c r="AF942" s="1" t="s">
        <v>74</v>
      </c>
      <c r="AG942" s="1" t="s">
        <v>74</v>
      </c>
      <c r="AH942" s="1" t="s">
        <v>74</v>
      </c>
      <c r="AI942" s="1" t="s">
        <v>74</v>
      </c>
      <c r="AJ942" s="1" t="s">
        <v>74</v>
      </c>
      <c r="AK942" s="1" t="s">
        <v>74</v>
      </c>
      <c r="AL942" s="1" t="s">
        <v>74</v>
      </c>
      <c r="AM942" s="1" t="s">
        <v>74</v>
      </c>
      <c r="AN942" s="1" t="s">
        <v>74</v>
      </c>
      <c r="AO942" s="1" t="s">
        <v>1902</v>
      </c>
      <c r="AP942" s="1" t="s">
        <v>74</v>
      </c>
      <c r="AQ942" s="1" t="s">
        <v>74</v>
      </c>
      <c r="AR942" s="1" t="s">
        <v>74</v>
      </c>
      <c r="AS942" s="1" t="s">
        <v>74</v>
      </c>
      <c r="AT942" s="1" t="s">
        <v>1361</v>
      </c>
      <c r="AU942" s="1">
        <v>2020.0</v>
      </c>
      <c r="AV942" s="1">
        <v>146.0</v>
      </c>
      <c r="AW942" s="1" t="s">
        <v>74</v>
      </c>
      <c r="AX942" s="1" t="s">
        <v>74</v>
      </c>
      <c r="AY942" s="1" t="s">
        <v>74</v>
      </c>
      <c r="AZ942" s="1" t="s">
        <v>74</v>
      </c>
      <c r="BA942" s="1" t="s">
        <v>74</v>
      </c>
      <c r="BB942" s="1" t="s">
        <v>74</v>
      </c>
      <c r="BC942" s="1" t="s">
        <v>74</v>
      </c>
      <c r="BD942" s="1">
        <v>106096.0</v>
      </c>
      <c r="BE942" s="1" t="s">
        <v>8735</v>
      </c>
      <c r="BF942" s="2" t="str">
        <f>HYPERLINK("http://dx.doi.org/10.1016/j.mineng.2019.106096","http://dx.doi.org/10.1016/j.mineng.2019.106096")</f>
        <v>http://dx.doi.org/10.1016/j.mineng.2019.106096</v>
      </c>
      <c r="BG942" s="1" t="s">
        <v>74</v>
      </c>
      <c r="BH942" s="1" t="s">
        <v>74</v>
      </c>
      <c r="BI942" s="1" t="s">
        <v>74</v>
      </c>
      <c r="BJ942" s="1" t="s">
        <v>74</v>
      </c>
      <c r="BK942" s="1" t="s">
        <v>74</v>
      </c>
      <c r="BL942" s="1" t="s">
        <v>74</v>
      </c>
      <c r="BM942" s="1" t="s">
        <v>74</v>
      </c>
      <c r="BN942" s="1" t="s">
        <v>74</v>
      </c>
      <c r="BO942" s="1" t="s">
        <v>74</v>
      </c>
      <c r="BP942" s="1" t="s">
        <v>74</v>
      </c>
      <c r="BQ942" s="1" t="s">
        <v>74</v>
      </c>
      <c r="BR942" s="1" t="s">
        <v>74</v>
      </c>
      <c r="BS942" s="1" t="s">
        <v>8736</v>
      </c>
      <c r="BT942" s="1" t="str">
        <f>HYPERLINK("https%3A%2F%2Fwww.webofscience.com%2Fwos%2Fwoscc%2Ffull-record%2FWOS:000509630400015","View Full Record in Web of Science")</f>
        <v>View Full Record in Web of Science</v>
      </c>
    </row>
    <row r="943" ht="12.75" customHeight="1">
      <c r="A943" s="1" t="s">
        <v>147</v>
      </c>
      <c r="B943" s="1" t="s">
        <v>8737</v>
      </c>
      <c r="C943" s="1" t="s">
        <v>74</v>
      </c>
      <c r="D943" s="1" t="s">
        <v>8738</v>
      </c>
      <c r="E943" s="1" t="s">
        <v>74</v>
      </c>
      <c r="F943" s="1" t="s">
        <v>8739</v>
      </c>
      <c r="G943" s="1" t="s">
        <v>74</v>
      </c>
      <c r="H943" s="1" t="s">
        <v>74</v>
      </c>
      <c r="I943" s="1" t="s">
        <v>8740</v>
      </c>
      <c r="J943" s="1" t="s">
        <v>8741</v>
      </c>
      <c r="K943" s="1" t="s">
        <v>8742</v>
      </c>
      <c r="L943" s="1" t="s">
        <v>74</v>
      </c>
      <c r="M943" s="1" t="s">
        <v>74</v>
      </c>
      <c r="N943" s="1" t="s">
        <v>74</v>
      </c>
      <c r="O943" s="1" t="s">
        <v>8743</v>
      </c>
      <c r="P943" s="1" t="s">
        <v>8744</v>
      </c>
      <c r="Q943" s="1" t="s">
        <v>1499</v>
      </c>
      <c r="R943" s="1" t="s">
        <v>8745</v>
      </c>
      <c r="S943" s="1" t="s">
        <v>74</v>
      </c>
      <c r="T943" s="1" t="s">
        <v>74</v>
      </c>
      <c r="U943" s="1" t="s">
        <v>74</v>
      </c>
      <c r="V943" s="1" t="s">
        <v>8746</v>
      </c>
      <c r="W943" s="1" t="s">
        <v>74</v>
      </c>
      <c r="X943" s="1" t="s">
        <v>74</v>
      </c>
      <c r="Y943" s="1" t="s">
        <v>74</v>
      </c>
      <c r="Z943" s="1" t="s">
        <v>74</v>
      </c>
      <c r="AA943" s="1" t="s">
        <v>8747</v>
      </c>
      <c r="AB943" s="1" t="s">
        <v>8748</v>
      </c>
      <c r="AC943" s="1" t="s">
        <v>74</v>
      </c>
      <c r="AD943" s="1" t="s">
        <v>74</v>
      </c>
      <c r="AE943" s="1" t="s">
        <v>74</v>
      </c>
      <c r="AF943" s="1" t="s">
        <v>74</v>
      </c>
      <c r="AG943" s="1" t="s">
        <v>74</v>
      </c>
      <c r="AH943" s="1" t="s">
        <v>74</v>
      </c>
      <c r="AI943" s="1" t="s">
        <v>74</v>
      </c>
      <c r="AJ943" s="1" t="s">
        <v>74</v>
      </c>
      <c r="AK943" s="1" t="s">
        <v>74</v>
      </c>
      <c r="AL943" s="1" t="s">
        <v>74</v>
      </c>
      <c r="AM943" s="1" t="s">
        <v>74</v>
      </c>
      <c r="AN943" s="1" t="s">
        <v>74</v>
      </c>
      <c r="AO943" s="1" t="s">
        <v>8749</v>
      </c>
      <c r="AP943" s="1" t="s">
        <v>74</v>
      </c>
      <c r="AQ943" s="1" t="s">
        <v>8750</v>
      </c>
      <c r="AR943" s="1" t="s">
        <v>74</v>
      </c>
      <c r="AS943" s="1" t="s">
        <v>74</v>
      </c>
      <c r="AT943" s="1" t="s">
        <v>74</v>
      </c>
      <c r="AU943" s="1">
        <v>2020.0</v>
      </c>
      <c r="AV943" s="1" t="s">
        <v>8751</v>
      </c>
      <c r="AW943" s="1" t="s">
        <v>74</v>
      </c>
      <c r="AX943" s="1" t="s">
        <v>74</v>
      </c>
      <c r="AY943" s="1" t="s">
        <v>74</v>
      </c>
      <c r="AZ943" s="1" t="s">
        <v>74</v>
      </c>
      <c r="BA943" s="1" t="s">
        <v>74</v>
      </c>
      <c r="BB943" s="1" t="s">
        <v>74</v>
      </c>
      <c r="BC943" s="1" t="s">
        <v>74</v>
      </c>
      <c r="BD943" s="1" t="s">
        <v>74</v>
      </c>
      <c r="BE943" s="1" t="s">
        <v>74</v>
      </c>
      <c r="BF943" s="1" t="s">
        <v>74</v>
      </c>
      <c r="BG943" s="1" t="s">
        <v>74</v>
      </c>
      <c r="BH943" s="1" t="s">
        <v>74</v>
      </c>
      <c r="BI943" s="1" t="s">
        <v>74</v>
      </c>
      <c r="BJ943" s="1" t="s">
        <v>74</v>
      </c>
      <c r="BK943" s="1" t="s">
        <v>74</v>
      </c>
      <c r="BL943" s="1" t="s">
        <v>74</v>
      </c>
      <c r="BM943" s="1" t="s">
        <v>74</v>
      </c>
      <c r="BN943" s="1" t="s">
        <v>74</v>
      </c>
      <c r="BO943" s="1" t="s">
        <v>74</v>
      </c>
      <c r="BP943" s="1" t="s">
        <v>74</v>
      </c>
      <c r="BQ943" s="1" t="s">
        <v>74</v>
      </c>
      <c r="BR943" s="1" t="s">
        <v>74</v>
      </c>
      <c r="BS943" s="1" t="s">
        <v>8752</v>
      </c>
      <c r="BT943" s="1" t="str">
        <f>HYPERLINK("https%3A%2F%2Fwww.webofscience.com%2Fwos%2Fwoscc%2Ffull-record%2FWOS:000682778600026","View Full Record in Web of Science")</f>
        <v>View Full Record in Web of Science</v>
      </c>
    </row>
    <row r="944" ht="12.75" customHeight="1">
      <c r="A944" s="1" t="s">
        <v>72</v>
      </c>
      <c r="B944" s="1" t="s">
        <v>8753</v>
      </c>
      <c r="C944" s="1" t="s">
        <v>74</v>
      </c>
      <c r="D944" s="1" t="s">
        <v>74</v>
      </c>
      <c r="E944" s="1" t="s">
        <v>74</v>
      </c>
      <c r="F944" s="1" t="s">
        <v>8754</v>
      </c>
      <c r="G944" s="1" t="s">
        <v>74</v>
      </c>
      <c r="H944" s="1" t="s">
        <v>74</v>
      </c>
      <c r="I944" s="1" t="s">
        <v>8755</v>
      </c>
      <c r="J944" s="1" t="s">
        <v>8756</v>
      </c>
      <c r="K944" s="1" t="s">
        <v>74</v>
      </c>
      <c r="L944" s="1" t="s">
        <v>74</v>
      </c>
      <c r="M944" s="1" t="s">
        <v>74</v>
      </c>
      <c r="N944" s="1" t="s">
        <v>74</v>
      </c>
      <c r="O944" s="1" t="s">
        <v>74</v>
      </c>
      <c r="P944" s="1" t="s">
        <v>74</v>
      </c>
      <c r="Q944" s="1" t="s">
        <v>74</v>
      </c>
      <c r="R944" s="1" t="s">
        <v>74</v>
      </c>
      <c r="S944" s="1" t="s">
        <v>74</v>
      </c>
      <c r="T944" s="1" t="s">
        <v>74</v>
      </c>
      <c r="U944" s="1" t="s">
        <v>74</v>
      </c>
      <c r="V944" s="1" t="s">
        <v>8757</v>
      </c>
      <c r="W944" s="1" t="s">
        <v>74</v>
      </c>
      <c r="X944" s="1" t="s">
        <v>74</v>
      </c>
      <c r="Y944" s="1" t="s">
        <v>74</v>
      </c>
      <c r="Z944" s="1" t="s">
        <v>74</v>
      </c>
      <c r="AA944" s="1" t="s">
        <v>8758</v>
      </c>
      <c r="AB944" s="1" t="s">
        <v>8759</v>
      </c>
      <c r="AC944" s="1" t="s">
        <v>74</v>
      </c>
      <c r="AD944" s="1" t="s">
        <v>74</v>
      </c>
      <c r="AE944" s="1" t="s">
        <v>74</v>
      </c>
      <c r="AF944" s="1" t="s">
        <v>74</v>
      </c>
      <c r="AG944" s="1" t="s">
        <v>74</v>
      </c>
      <c r="AH944" s="1" t="s">
        <v>74</v>
      </c>
      <c r="AI944" s="1" t="s">
        <v>74</v>
      </c>
      <c r="AJ944" s="1" t="s">
        <v>74</v>
      </c>
      <c r="AK944" s="1" t="s">
        <v>74</v>
      </c>
      <c r="AL944" s="1" t="s">
        <v>74</v>
      </c>
      <c r="AM944" s="1" t="s">
        <v>74</v>
      </c>
      <c r="AN944" s="1" t="s">
        <v>74</v>
      </c>
      <c r="AO944" s="1" t="s">
        <v>8760</v>
      </c>
      <c r="AP944" s="1" t="s">
        <v>8761</v>
      </c>
      <c r="AQ944" s="1" t="s">
        <v>74</v>
      </c>
      <c r="AR944" s="1" t="s">
        <v>74</v>
      </c>
      <c r="AS944" s="1" t="s">
        <v>74</v>
      </c>
      <c r="AT944" s="1" t="s">
        <v>916</v>
      </c>
      <c r="AU944" s="1">
        <v>2019.0</v>
      </c>
      <c r="AV944" s="1">
        <v>15.0</v>
      </c>
      <c r="AW944" s="1">
        <v>42.0</v>
      </c>
      <c r="AX944" s="1" t="s">
        <v>74</v>
      </c>
      <c r="AY944" s="1" t="s">
        <v>74</v>
      </c>
      <c r="AZ944" s="1" t="s">
        <v>74</v>
      </c>
      <c r="BA944" s="1" t="s">
        <v>74</v>
      </c>
      <c r="BB944" s="1">
        <v>8621.0</v>
      </c>
      <c r="BC944" s="1">
        <v>8626.0</v>
      </c>
      <c r="BD944" s="1" t="s">
        <v>74</v>
      </c>
      <c r="BE944" s="1" t="s">
        <v>8762</v>
      </c>
      <c r="BF944" s="2" t="str">
        <f>HYPERLINK("http://dx.doi.org/10.1039/c9sm01091b","http://dx.doi.org/10.1039/c9sm01091b")</f>
        <v>http://dx.doi.org/10.1039/c9sm01091b</v>
      </c>
      <c r="BG944" s="1" t="s">
        <v>74</v>
      </c>
      <c r="BH944" s="1" t="s">
        <v>74</v>
      </c>
      <c r="BI944" s="1" t="s">
        <v>74</v>
      </c>
      <c r="BJ944" s="1" t="s">
        <v>74</v>
      </c>
      <c r="BK944" s="1" t="s">
        <v>74</v>
      </c>
      <c r="BL944" s="1" t="s">
        <v>74</v>
      </c>
      <c r="BM944" s="1" t="s">
        <v>74</v>
      </c>
      <c r="BN944" s="1">
        <v>3.1624811E7</v>
      </c>
      <c r="BO944" s="1" t="s">
        <v>74</v>
      </c>
      <c r="BP944" s="1" t="s">
        <v>74</v>
      </c>
      <c r="BQ944" s="1" t="s">
        <v>74</v>
      </c>
      <c r="BR944" s="1" t="s">
        <v>74</v>
      </c>
      <c r="BS944" s="1" t="s">
        <v>8763</v>
      </c>
      <c r="BT944" s="1" t="str">
        <f>HYPERLINK("https%3A%2F%2Fwww.webofscience.com%2Fwos%2Fwoscc%2Ffull-record%2FWOS:000493519700016","View Full Record in Web of Science")</f>
        <v>View Full Record in Web of Science</v>
      </c>
    </row>
    <row r="945" ht="12.75" customHeight="1">
      <c r="A945" s="1" t="s">
        <v>86</v>
      </c>
      <c r="B945" s="1" t="s">
        <v>8764</v>
      </c>
      <c r="C945" s="1" t="s">
        <v>74</v>
      </c>
      <c r="D945" s="1" t="s">
        <v>8765</v>
      </c>
      <c r="E945" s="1" t="s">
        <v>74</v>
      </c>
      <c r="F945" s="1" t="s">
        <v>8766</v>
      </c>
      <c r="G945" s="1" t="s">
        <v>74</v>
      </c>
      <c r="H945" s="1" t="s">
        <v>74</v>
      </c>
      <c r="I945" s="1" t="s">
        <v>8767</v>
      </c>
      <c r="J945" s="1" t="s">
        <v>8768</v>
      </c>
      <c r="K945" s="1" t="s">
        <v>74</v>
      </c>
      <c r="L945" s="1" t="s">
        <v>74</v>
      </c>
      <c r="M945" s="1" t="s">
        <v>74</v>
      </c>
      <c r="N945" s="1" t="s">
        <v>74</v>
      </c>
      <c r="O945" s="1" t="s">
        <v>74</v>
      </c>
      <c r="P945" s="1" t="s">
        <v>74</v>
      </c>
      <c r="Q945" s="1" t="s">
        <v>74</v>
      </c>
      <c r="R945" s="1" t="s">
        <v>74</v>
      </c>
      <c r="S945" s="1" t="s">
        <v>74</v>
      </c>
      <c r="T945" s="1" t="s">
        <v>74</v>
      </c>
      <c r="U945" s="1" t="s">
        <v>74</v>
      </c>
      <c r="V945" s="1" t="s">
        <v>8769</v>
      </c>
      <c r="W945" s="1" t="s">
        <v>74</v>
      </c>
      <c r="X945" s="1" t="s">
        <v>74</v>
      </c>
      <c r="Y945" s="1" t="s">
        <v>74</v>
      </c>
      <c r="Z945" s="1" t="s">
        <v>74</v>
      </c>
      <c r="AA945" s="1" t="s">
        <v>74</v>
      </c>
      <c r="AB945" s="1" t="s">
        <v>74</v>
      </c>
      <c r="AC945" s="1" t="s">
        <v>74</v>
      </c>
      <c r="AD945" s="1" t="s">
        <v>74</v>
      </c>
      <c r="AE945" s="1" t="s">
        <v>74</v>
      </c>
      <c r="AF945" s="1" t="s">
        <v>74</v>
      </c>
      <c r="AG945" s="1" t="s">
        <v>74</v>
      </c>
      <c r="AH945" s="1" t="s">
        <v>74</v>
      </c>
      <c r="AI945" s="1" t="s">
        <v>74</v>
      </c>
      <c r="AJ945" s="1" t="s">
        <v>74</v>
      </c>
      <c r="AK945" s="1" t="s">
        <v>74</v>
      </c>
      <c r="AL945" s="1" t="s">
        <v>74</v>
      </c>
      <c r="AM945" s="1" t="s">
        <v>74</v>
      </c>
      <c r="AN945" s="1" t="s">
        <v>74</v>
      </c>
      <c r="AO945" s="1" t="s">
        <v>74</v>
      </c>
      <c r="AP945" s="1" t="s">
        <v>74</v>
      </c>
      <c r="AQ945" s="1" t="s">
        <v>8770</v>
      </c>
      <c r="AR945" s="1" t="s">
        <v>74</v>
      </c>
      <c r="AS945" s="1" t="s">
        <v>74</v>
      </c>
      <c r="AT945" s="1" t="s">
        <v>74</v>
      </c>
      <c r="AU945" s="1">
        <v>2019.0</v>
      </c>
      <c r="AV945" s="1" t="s">
        <v>74</v>
      </c>
      <c r="AW945" s="1" t="s">
        <v>74</v>
      </c>
      <c r="AX945" s="1" t="s">
        <v>74</v>
      </c>
      <c r="AY945" s="1" t="s">
        <v>74</v>
      </c>
      <c r="AZ945" s="1" t="s">
        <v>74</v>
      </c>
      <c r="BA945" s="1" t="s">
        <v>74</v>
      </c>
      <c r="BB945" s="1">
        <v>2395.0</v>
      </c>
      <c r="BC945" s="1">
        <v>2406.0</v>
      </c>
      <c r="BD945" s="1" t="s">
        <v>74</v>
      </c>
      <c r="BE945" s="1" t="s">
        <v>8771</v>
      </c>
      <c r="BF945" s="2" t="str">
        <f>HYPERLINK("http://dx.doi.org/10.1201/9781351045636-140000239","http://dx.doi.org/10.1201/9781351045636-140000239")</f>
        <v>http://dx.doi.org/10.1201/9781351045636-140000239</v>
      </c>
      <c r="BG945" s="1" t="s">
        <v>8772</v>
      </c>
      <c r="BH945" s="1" t="s">
        <v>74</v>
      </c>
      <c r="BI945" s="1" t="s">
        <v>74</v>
      </c>
      <c r="BJ945" s="1" t="s">
        <v>74</v>
      </c>
      <c r="BK945" s="1" t="s">
        <v>74</v>
      </c>
      <c r="BL945" s="1" t="s">
        <v>74</v>
      </c>
      <c r="BM945" s="1" t="s">
        <v>74</v>
      </c>
      <c r="BN945" s="1" t="s">
        <v>74</v>
      </c>
      <c r="BO945" s="1" t="s">
        <v>74</v>
      </c>
      <c r="BP945" s="1" t="s">
        <v>74</v>
      </c>
      <c r="BQ945" s="1" t="s">
        <v>74</v>
      </c>
      <c r="BR945" s="1" t="s">
        <v>74</v>
      </c>
      <c r="BS945" s="1" t="s">
        <v>8773</v>
      </c>
      <c r="BT945" s="1" t="str">
        <f>HYPERLINK("https%3A%2F%2Fwww.webofscience.com%2Fwos%2Fwoscc%2Ffull-record%2FWOS:000670295800139","View Full Record in Web of Science")</f>
        <v>View Full Record in Web of Science</v>
      </c>
    </row>
    <row r="946" ht="12.75" customHeight="1">
      <c r="A946" s="1" t="s">
        <v>72</v>
      </c>
      <c r="B946" s="1" t="s">
        <v>8774</v>
      </c>
      <c r="C946" s="1" t="s">
        <v>74</v>
      </c>
      <c r="D946" s="1" t="s">
        <v>74</v>
      </c>
      <c r="E946" s="1" t="s">
        <v>74</v>
      </c>
      <c r="F946" s="1" t="s">
        <v>8775</v>
      </c>
      <c r="G946" s="1" t="s">
        <v>74</v>
      </c>
      <c r="H946" s="1" t="s">
        <v>74</v>
      </c>
      <c r="I946" s="1" t="s">
        <v>8776</v>
      </c>
      <c r="J946" s="1" t="s">
        <v>8777</v>
      </c>
      <c r="K946" s="1" t="s">
        <v>74</v>
      </c>
      <c r="L946" s="1" t="s">
        <v>74</v>
      </c>
      <c r="M946" s="1" t="s">
        <v>74</v>
      </c>
      <c r="N946" s="1" t="s">
        <v>74</v>
      </c>
      <c r="O946" s="1" t="s">
        <v>74</v>
      </c>
      <c r="P946" s="1" t="s">
        <v>74</v>
      </c>
      <c r="Q946" s="1" t="s">
        <v>74</v>
      </c>
      <c r="R946" s="1" t="s">
        <v>74</v>
      </c>
      <c r="S946" s="1" t="s">
        <v>74</v>
      </c>
      <c r="T946" s="1" t="s">
        <v>74</v>
      </c>
      <c r="U946" s="1" t="s">
        <v>74</v>
      </c>
      <c r="V946" s="1" t="s">
        <v>8778</v>
      </c>
      <c r="W946" s="1" t="s">
        <v>74</v>
      </c>
      <c r="X946" s="1" t="s">
        <v>74</v>
      </c>
      <c r="Y946" s="1" t="s">
        <v>74</v>
      </c>
      <c r="Z946" s="1" t="s">
        <v>74</v>
      </c>
      <c r="AA946" s="1" t="s">
        <v>8779</v>
      </c>
      <c r="AB946" s="1" t="s">
        <v>8780</v>
      </c>
      <c r="AC946" s="1" t="s">
        <v>74</v>
      </c>
      <c r="AD946" s="1" t="s">
        <v>74</v>
      </c>
      <c r="AE946" s="1" t="s">
        <v>74</v>
      </c>
      <c r="AF946" s="1" t="s">
        <v>74</v>
      </c>
      <c r="AG946" s="1" t="s">
        <v>74</v>
      </c>
      <c r="AH946" s="1" t="s">
        <v>74</v>
      </c>
      <c r="AI946" s="1" t="s">
        <v>74</v>
      </c>
      <c r="AJ946" s="1" t="s">
        <v>74</v>
      </c>
      <c r="AK946" s="1" t="s">
        <v>74</v>
      </c>
      <c r="AL946" s="1" t="s">
        <v>74</v>
      </c>
      <c r="AM946" s="1" t="s">
        <v>74</v>
      </c>
      <c r="AN946" s="1" t="s">
        <v>74</v>
      </c>
      <c r="AO946" s="1" t="s">
        <v>8781</v>
      </c>
      <c r="AP946" s="1" t="s">
        <v>8782</v>
      </c>
      <c r="AQ946" s="1" t="s">
        <v>74</v>
      </c>
      <c r="AR946" s="1" t="s">
        <v>74</v>
      </c>
      <c r="AS946" s="1" t="s">
        <v>74</v>
      </c>
      <c r="AT946" s="1" t="s">
        <v>277</v>
      </c>
      <c r="AU946" s="1">
        <v>2019.0</v>
      </c>
      <c r="AV946" s="1">
        <v>34.0</v>
      </c>
      <c r="AW946" s="1">
        <v>1.0</v>
      </c>
      <c r="AX946" s="1" t="s">
        <v>74</v>
      </c>
      <c r="AY946" s="1" t="s">
        <v>74</v>
      </c>
      <c r="AZ946" s="1" t="s">
        <v>74</v>
      </c>
      <c r="BA946" s="1" t="s">
        <v>74</v>
      </c>
      <c r="BB946" s="1">
        <v>51.0</v>
      </c>
      <c r="BC946" s="1">
        <v>62.0</v>
      </c>
      <c r="BD946" s="1" t="s">
        <v>74</v>
      </c>
      <c r="BE946" s="1" t="s">
        <v>8783</v>
      </c>
      <c r="BF946" s="2" t="str">
        <f>HYPERLINK("http://dx.doi.org/10.1007/s10980-018-0733-x","http://dx.doi.org/10.1007/s10980-018-0733-x")</f>
        <v>http://dx.doi.org/10.1007/s10980-018-0733-x</v>
      </c>
      <c r="BG946" s="1" t="s">
        <v>74</v>
      </c>
      <c r="BH946" s="1" t="s">
        <v>74</v>
      </c>
      <c r="BI946" s="1" t="s">
        <v>74</v>
      </c>
      <c r="BJ946" s="1" t="s">
        <v>74</v>
      </c>
      <c r="BK946" s="1" t="s">
        <v>74</v>
      </c>
      <c r="BL946" s="1" t="s">
        <v>74</v>
      </c>
      <c r="BM946" s="1" t="s">
        <v>74</v>
      </c>
      <c r="BN946" s="1" t="s">
        <v>74</v>
      </c>
      <c r="BO946" s="1" t="s">
        <v>74</v>
      </c>
      <c r="BP946" s="1" t="s">
        <v>74</v>
      </c>
      <c r="BQ946" s="1" t="s">
        <v>74</v>
      </c>
      <c r="BR946" s="1" t="s">
        <v>74</v>
      </c>
      <c r="BS946" s="1" t="s">
        <v>8784</v>
      </c>
      <c r="BT946" s="1" t="str">
        <f>HYPERLINK("https%3A%2F%2Fwww.webofscience.com%2Fwos%2Fwoscc%2Ffull-record%2FWOS:000458986300005","View Full Record in Web of Science")</f>
        <v>View Full Record in Web of Science</v>
      </c>
    </row>
    <row r="947" ht="12.75" customHeight="1">
      <c r="A947" s="1" t="s">
        <v>72</v>
      </c>
      <c r="B947" s="1" t="s">
        <v>8785</v>
      </c>
      <c r="C947" s="1" t="s">
        <v>74</v>
      </c>
      <c r="D947" s="1" t="s">
        <v>74</v>
      </c>
      <c r="E947" s="1" t="s">
        <v>74</v>
      </c>
      <c r="F947" s="1" t="s">
        <v>8786</v>
      </c>
      <c r="G947" s="1" t="s">
        <v>74</v>
      </c>
      <c r="H947" s="1" t="s">
        <v>74</v>
      </c>
      <c r="I947" s="1" t="s">
        <v>8787</v>
      </c>
      <c r="J947" s="1" t="s">
        <v>682</v>
      </c>
      <c r="K947" s="1" t="s">
        <v>74</v>
      </c>
      <c r="L947" s="1" t="s">
        <v>74</v>
      </c>
      <c r="M947" s="1" t="s">
        <v>74</v>
      </c>
      <c r="N947" s="1" t="s">
        <v>74</v>
      </c>
      <c r="O947" s="1" t="s">
        <v>74</v>
      </c>
      <c r="P947" s="1" t="s">
        <v>74</v>
      </c>
      <c r="Q947" s="1" t="s">
        <v>74</v>
      </c>
      <c r="R947" s="1" t="s">
        <v>74</v>
      </c>
      <c r="S947" s="1" t="s">
        <v>74</v>
      </c>
      <c r="T947" s="1" t="s">
        <v>74</v>
      </c>
      <c r="U947" s="1" t="s">
        <v>74</v>
      </c>
      <c r="V947" s="1" t="s">
        <v>8788</v>
      </c>
      <c r="W947" s="1" t="s">
        <v>74</v>
      </c>
      <c r="X947" s="1" t="s">
        <v>74</v>
      </c>
      <c r="Y947" s="1" t="s">
        <v>74</v>
      </c>
      <c r="Z947" s="1" t="s">
        <v>74</v>
      </c>
      <c r="AA947" s="1" t="s">
        <v>8789</v>
      </c>
      <c r="AB947" s="1" t="s">
        <v>8790</v>
      </c>
      <c r="AC947" s="1" t="s">
        <v>74</v>
      </c>
      <c r="AD947" s="1" t="s">
        <v>74</v>
      </c>
      <c r="AE947" s="1" t="s">
        <v>74</v>
      </c>
      <c r="AF947" s="1" t="s">
        <v>74</v>
      </c>
      <c r="AG947" s="1" t="s">
        <v>74</v>
      </c>
      <c r="AH947" s="1" t="s">
        <v>74</v>
      </c>
      <c r="AI947" s="1" t="s">
        <v>74</v>
      </c>
      <c r="AJ947" s="1" t="s">
        <v>74</v>
      </c>
      <c r="AK947" s="1" t="s">
        <v>74</v>
      </c>
      <c r="AL947" s="1" t="s">
        <v>74</v>
      </c>
      <c r="AM947" s="1" t="s">
        <v>74</v>
      </c>
      <c r="AN947" s="1" t="s">
        <v>74</v>
      </c>
      <c r="AO947" s="1" t="s">
        <v>686</v>
      </c>
      <c r="AP947" s="1" t="s">
        <v>687</v>
      </c>
      <c r="AQ947" s="1" t="s">
        <v>74</v>
      </c>
      <c r="AR947" s="1" t="s">
        <v>74</v>
      </c>
      <c r="AS947" s="1" t="s">
        <v>74</v>
      </c>
      <c r="AT947" s="1" t="s">
        <v>8791</v>
      </c>
      <c r="AU947" s="1">
        <v>2018.0</v>
      </c>
      <c r="AV947" s="1">
        <v>42.0</v>
      </c>
      <c r="AW947" s="1">
        <v>11.0</v>
      </c>
      <c r="AX947" s="1" t="s">
        <v>74</v>
      </c>
      <c r="AY947" s="1" t="s">
        <v>74</v>
      </c>
      <c r="AZ947" s="1" t="s">
        <v>74</v>
      </c>
      <c r="BA947" s="1" t="s">
        <v>74</v>
      </c>
      <c r="BB947" s="1">
        <v>8851.0</v>
      </c>
      <c r="BC947" s="1">
        <v>8863.0</v>
      </c>
      <c r="BD947" s="1" t="s">
        <v>74</v>
      </c>
      <c r="BE947" s="1" t="s">
        <v>8792</v>
      </c>
      <c r="BF947" s="2" t="str">
        <f>HYPERLINK("http://dx.doi.org/10.1039/c8nj00390d","http://dx.doi.org/10.1039/c8nj00390d")</f>
        <v>http://dx.doi.org/10.1039/c8nj00390d</v>
      </c>
      <c r="BG947" s="1" t="s">
        <v>74</v>
      </c>
      <c r="BH947" s="1" t="s">
        <v>74</v>
      </c>
      <c r="BI947" s="1" t="s">
        <v>74</v>
      </c>
      <c r="BJ947" s="1" t="s">
        <v>74</v>
      </c>
      <c r="BK947" s="1" t="s">
        <v>74</v>
      </c>
      <c r="BL947" s="1" t="s">
        <v>74</v>
      </c>
      <c r="BM947" s="1" t="s">
        <v>74</v>
      </c>
      <c r="BN947" s="1" t="s">
        <v>74</v>
      </c>
      <c r="BO947" s="1" t="s">
        <v>74</v>
      </c>
      <c r="BP947" s="1" t="s">
        <v>74</v>
      </c>
      <c r="BQ947" s="1" t="s">
        <v>74</v>
      </c>
      <c r="BR947" s="1" t="s">
        <v>74</v>
      </c>
      <c r="BS947" s="1" t="s">
        <v>8793</v>
      </c>
      <c r="BT947" s="1" t="str">
        <f>HYPERLINK("https%3A%2F%2Fwww.webofscience.com%2Fwos%2Fwoscc%2Ffull-record%2FWOS:000434246400066","View Full Record in Web of Science")</f>
        <v>View Full Record in Web of Science</v>
      </c>
    </row>
    <row r="948" ht="12.75" customHeight="1">
      <c r="A948" s="1" t="s">
        <v>72</v>
      </c>
      <c r="B948" s="1" t="s">
        <v>8794</v>
      </c>
      <c r="C948" s="1" t="s">
        <v>74</v>
      </c>
      <c r="D948" s="1" t="s">
        <v>74</v>
      </c>
      <c r="E948" s="1" t="s">
        <v>74</v>
      </c>
      <c r="F948" s="1" t="s">
        <v>8795</v>
      </c>
      <c r="G948" s="1" t="s">
        <v>74</v>
      </c>
      <c r="H948" s="1" t="s">
        <v>74</v>
      </c>
      <c r="I948" s="1" t="s">
        <v>8796</v>
      </c>
      <c r="J948" s="1" t="s">
        <v>8797</v>
      </c>
      <c r="K948" s="1" t="s">
        <v>74</v>
      </c>
      <c r="L948" s="1" t="s">
        <v>74</v>
      </c>
      <c r="M948" s="1" t="s">
        <v>74</v>
      </c>
      <c r="N948" s="1" t="s">
        <v>74</v>
      </c>
      <c r="O948" s="1" t="s">
        <v>74</v>
      </c>
      <c r="P948" s="1" t="s">
        <v>74</v>
      </c>
      <c r="Q948" s="1" t="s">
        <v>74</v>
      </c>
      <c r="R948" s="1" t="s">
        <v>74</v>
      </c>
      <c r="S948" s="1" t="s">
        <v>74</v>
      </c>
      <c r="T948" s="1" t="s">
        <v>74</v>
      </c>
      <c r="U948" s="1" t="s">
        <v>74</v>
      </c>
      <c r="V948" s="1" t="s">
        <v>8798</v>
      </c>
      <c r="W948" s="1" t="s">
        <v>74</v>
      </c>
      <c r="X948" s="1" t="s">
        <v>74</v>
      </c>
      <c r="Y948" s="1" t="s">
        <v>74</v>
      </c>
      <c r="Z948" s="1" t="s">
        <v>74</v>
      </c>
      <c r="AA948" s="1" t="s">
        <v>8799</v>
      </c>
      <c r="AB948" s="1" t="s">
        <v>1770</v>
      </c>
      <c r="AC948" s="1" t="s">
        <v>74</v>
      </c>
      <c r="AD948" s="1" t="s">
        <v>74</v>
      </c>
      <c r="AE948" s="1" t="s">
        <v>74</v>
      </c>
      <c r="AF948" s="1" t="s">
        <v>74</v>
      </c>
      <c r="AG948" s="1" t="s">
        <v>74</v>
      </c>
      <c r="AH948" s="1" t="s">
        <v>74</v>
      </c>
      <c r="AI948" s="1" t="s">
        <v>74</v>
      </c>
      <c r="AJ948" s="1" t="s">
        <v>74</v>
      </c>
      <c r="AK948" s="1" t="s">
        <v>74</v>
      </c>
      <c r="AL948" s="1" t="s">
        <v>74</v>
      </c>
      <c r="AM948" s="1" t="s">
        <v>74</v>
      </c>
      <c r="AN948" s="1" t="s">
        <v>74</v>
      </c>
      <c r="AO948" s="1" t="s">
        <v>8800</v>
      </c>
      <c r="AP948" s="1" t="s">
        <v>8801</v>
      </c>
      <c r="AQ948" s="1" t="s">
        <v>74</v>
      </c>
      <c r="AR948" s="1" t="s">
        <v>74</v>
      </c>
      <c r="AS948" s="1" t="s">
        <v>74</v>
      </c>
      <c r="AT948" s="1" t="s">
        <v>74</v>
      </c>
      <c r="AU948" s="1">
        <v>2017.0</v>
      </c>
      <c r="AV948" s="1">
        <v>24.0</v>
      </c>
      <c r="AW948" s="1">
        <v>3.0</v>
      </c>
      <c r="AX948" s="1" t="s">
        <v>74</v>
      </c>
      <c r="AY948" s="1" t="s">
        <v>74</v>
      </c>
      <c r="AZ948" s="1" t="s">
        <v>74</v>
      </c>
      <c r="BA948" s="1" t="s">
        <v>74</v>
      </c>
      <c r="BB948" s="1">
        <v>303.0</v>
      </c>
      <c r="BC948" s="1">
        <v>314.0</v>
      </c>
      <c r="BD948" s="1" t="s">
        <v>74</v>
      </c>
      <c r="BE948" s="1" t="s">
        <v>8802</v>
      </c>
      <c r="BF948" s="2" t="str">
        <f>HYPERLINK("http://dx.doi.org/10.1080/14029251.2017.1341694","http://dx.doi.org/10.1080/14029251.2017.1341694")</f>
        <v>http://dx.doi.org/10.1080/14029251.2017.1341694</v>
      </c>
      <c r="BG948" s="1" t="s">
        <v>74</v>
      </c>
      <c r="BH948" s="1" t="s">
        <v>74</v>
      </c>
      <c r="BI948" s="1" t="s">
        <v>74</v>
      </c>
      <c r="BJ948" s="1" t="s">
        <v>74</v>
      </c>
      <c r="BK948" s="1" t="s">
        <v>74</v>
      </c>
      <c r="BL948" s="1" t="s">
        <v>74</v>
      </c>
      <c r="BM948" s="1" t="s">
        <v>74</v>
      </c>
      <c r="BN948" s="1" t="s">
        <v>74</v>
      </c>
      <c r="BO948" s="1" t="s">
        <v>74</v>
      </c>
      <c r="BP948" s="1" t="s">
        <v>74</v>
      </c>
      <c r="BQ948" s="1" t="s">
        <v>74</v>
      </c>
      <c r="BR948" s="1" t="s">
        <v>74</v>
      </c>
      <c r="BS948" s="1" t="s">
        <v>8803</v>
      </c>
      <c r="BT948" s="1" t="str">
        <f>HYPERLINK("https%3A%2F%2Fwww.webofscience.com%2Fwos%2Fwoscc%2Ffull-record%2FWOS:000414996700001","View Full Record in Web of Science")</f>
        <v>View Full Record in Web of Science</v>
      </c>
    </row>
    <row r="949" ht="12.75" customHeight="1">
      <c r="A949" s="1" t="s">
        <v>72</v>
      </c>
      <c r="B949" s="1" t="s">
        <v>8804</v>
      </c>
      <c r="C949" s="1" t="s">
        <v>74</v>
      </c>
      <c r="D949" s="1" t="s">
        <v>74</v>
      </c>
      <c r="E949" s="1" t="s">
        <v>74</v>
      </c>
      <c r="F949" s="1" t="s">
        <v>8805</v>
      </c>
      <c r="G949" s="1" t="s">
        <v>74</v>
      </c>
      <c r="H949" s="1" t="s">
        <v>74</v>
      </c>
      <c r="I949" s="1" t="s">
        <v>8806</v>
      </c>
      <c r="J949" s="1" t="s">
        <v>8807</v>
      </c>
      <c r="K949" s="1" t="s">
        <v>74</v>
      </c>
      <c r="L949" s="1" t="s">
        <v>74</v>
      </c>
      <c r="M949" s="1" t="s">
        <v>74</v>
      </c>
      <c r="N949" s="1" t="s">
        <v>74</v>
      </c>
      <c r="O949" s="1" t="s">
        <v>74</v>
      </c>
      <c r="P949" s="1" t="s">
        <v>74</v>
      </c>
      <c r="Q949" s="1" t="s">
        <v>74</v>
      </c>
      <c r="R949" s="1" t="s">
        <v>74</v>
      </c>
      <c r="S949" s="1" t="s">
        <v>74</v>
      </c>
      <c r="T949" s="1" t="s">
        <v>74</v>
      </c>
      <c r="U949" s="1" t="s">
        <v>74</v>
      </c>
      <c r="V949" s="1" t="s">
        <v>8808</v>
      </c>
      <c r="W949" s="1" t="s">
        <v>74</v>
      </c>
      <c r="X949" s="1" t="s">
        <v>74</v>
      </c>
      <c r="Y949" s="1" t="s">
        <v>74</v>
      </c>
      <c r="Z949" s="1" t="s">
        <v>74</v>
      </c>
      <c r="AA949" s="1" t="s">
        <v>8809</v>
      </c>
      <c r="AB949" s="1" t="s">
        <v>8810</v>
      </c>
      <c r="AC949" s="1" t="s">
        <v>74</v>
      </c>
      <c r="AD949" s="1" t="s">
        <v>74</v>
      </c>
      <c r="AE949" s="1" t="s">
        <v>74</v>
      </c>
      <c r="AF949" s="1" t="s">
        <v>74</v>
      </c>
      <c r="AG949" s="1" t="s">
        <v>74</v>
      </c>
      <c r="AH949" s="1" t="s">
        <v>74</v>
      </c>
      <c r="AI949" s="1" t="s">
        <v>74</v>
      </c>
      <c r="AJ949" s="1" t="s">
        <v>74</v>
      </c>
      <c r="AK949" s="1" t="s">
        <v>74</v>
      </c>
      <c r="AL949" s="1" t="s">
        <v>74</v>
      </c>
      <c r="AM949" s="1" t="s">
        <v>74</v>
      </c>
      <c r="AN949" s="1" t="s">
        <v>74</v>
      </c>
      <c r="AO949" s="1" t="s">
        <v>8811</v>
      </c>
      <c r="AP949" s="1" t="s">
        <v>8812</v>
      </c>
      <c r="AQ949" s="1" t="s">
        <v>74</v>
      </c>
      <c r="AR949" s="1" t="s">
        <v>74</v>
      </c>
      <c r="AS949" s="1" t="s">
        <v>74</v>
      </c>
      <c r="AT949" s="1" t="s">
        <v>421</v>
      </c>
      <c r="AU949" s="1">
        <v>2016.0</v>
      </c>
      <c r="AV949" s="1">
        <v>11.0</v>
      </c>
      <c r="AW949" s="1">
        <v>2.0</v>
      </c>
      <c r="AX949" s="1" t="s">
        <v>74</v>
      </c>
      <c r="AY949" s="1" t="s">
        <v>74</v>
      </c>
      <c r="AZ949" s="1" t="s">
        <v>74</v>
      </c>
      <c r="BA949" s="1" t="s">
        <v>74</v>
      </c>
      <c r="BB949" s="1">
        <v>124.0</v>
      </c>
      <c r="BC949" s="1">
        <v>143.0</v>
      </c>
      <c r="BD949" s="1" t="s">
        <v>74</v>
      </c>
      <c r="BE949" s="1" t="s">
        <v>74</v>
      </c>
      <c r="BF949" s="1" t="s">
        <v>74</v>
      </c>
      <c r="BG949" s="1" t="s">
        <v>74</v>
      </c>
      <c r="BH949" s="1" t="s">
        <v>74</v>
      </c>
      <c r="BI949" s="1" t="s">
        <v>74</v>
      </c>
      <c r="BJ949" s="1" t="s">
        <v>74</v>
      </c>
      <c r="BK949" s="1" t="s">
        <v>74</v>
      </c>
      <c r="BL949" s="1" t="s">
        <v>74</v>
      </c>
      <c r="BM949" s="1" t="s">
        <v>74</v>
      </c>
      <c r="BN949" s="1" t="s">
        <v>74</v>
      </c>
      <c r="BO949" s="1" t="s">
        <v>74</v>
      </c>
      <c r="BP949" s="1" t="s">
        <v>74</v>
      </c>
      <c r="BQ949" s="1" t="s">
        <v>74</v>
      </c>
      <c r="BR949" s="1" t="s">
        <v>74</v>
      </c>
      <c r="BS949" s="1" t="s">
        <v>8813</v>
      </c>
      <c r="BT949" s="1" t="str">
        <f>HYPERLINK("https%3A%2F%2Fwww.webofscience.com%2Fwos%2Fwoscc%2Ffull-record%2FWOS:000392463600003","View Full Record in Web of Science")</f>
        <v>View Full Record in Web of Science</v>
      </c>
    </row>
    <row r="950" ht="12.75" customHeight="1">
      <c r="A950" s="1" t="s">
        <v>72</v>
      </c>
      <c r="B950" s="1" t="s">
        <v>8814</v>
      </c>
      <c r="C950" s="1" t="s">
        <v>74</v>
      </c>
      <c r="D950" s="1" t="s">
        <v>74</v>
      </c>
      <c r="E950" s="1" t="s">
        <v>74</v>
      </c>
      <c r="F950" s="1" t="s">
        <v>8815</v>
      </c>
      <c r="G950" s="1" t="s">
        <v>74</v>
      </c>
      <c r="H950" s="1" t="s">
        <v>74</v>
      </c>
      <c r="I950" s="1" t="s">
        <v>8816</v>
      </c>
      <c r="J950" s="1" t="s">
        <v>7189</v>
      </c>
      <c r="K950" s="1" t="s">
        <v>74</v>
      </c>
      <c r="L950" s="1" t="s">
        <v>74</v>
      </c>
      <c r="M950" s="1" t="s">
        <v>74</v>
      </c>
      <c r="N950" s="1" t="s">
        <v>74</v>
      </c>
      <c r="O950" s="1" t="s">
        <v>74</v>
      </c>
      <c r="P950" s="1" t="s">
        <v>74</v>
      </c>
      <c r="Q950" s="1" t="s">
        <v>74</v>
      </c>
      <c r="R950" s="1" t="s">
        <v>74</v>
      </c>
      <c r="S950" s="1" t="s">
        <v>74</v>
      </c>
      <c r="T950" s="1" t="s">
        <v>74</v>
      </c>
      <c r="U950" s="1" t="s">
        <v>74</v>
      </c>
      <c r="V950" s="1" t="s">
        <v>8817</v>
      </c>
      <c r="W950" s="1" t="s">
        <v>74</v>
      </c>
      <c r="X950" s="1" t="s">
        <v>74</v>
      </c>
      <c r="Y950" s="1" t="s">
        <v>74</v>
      </c>
      <c r="Z950" s="1" t="s">
        <v>74</v>
      </c>
      <c r="AA950" s="1" t="s">
        <v>8818</v>
      </c>
      <c r="AB950" s="1" t="s">
        <v>8819</v>
      </c>
      <c r="AC950" s="1" t="s">
        <v>74</v>
      </c>
      <c r="AD950" s="1" t="s">
        <v>74</v>
      </c>
      <c r="AE950" s="1" t="s">
        <v>74</v>
      </c>
      <c r="AF950" s="1" t="s">
        <v>74</v>
      </c>
      <c r="AG950" s="1" t="s">
        <v>74</v>
      </c>
      <c r="AH950" s="1" t="s">
        <v>74</v>
      </c>
      <c r="AI950" s="1" t="s">
        <v>74</v>
      </c>
      <c r="AJ950" s="1" t="s">
        <v>74</v>
      </c>
      <c r="AK950" s="1" t="s">
        <v>74</v>
      </c>
      <c r="AL950" s="1" t="s">
        <v>74</v>
      </c>
      <c r="AM950" s="1" t="s">
        <v>74</v>
      </c>
      <c r="AN950" s="1" t="s">
        <v>74</v>
      </c>
      <c r="AO950" s="1" t="s">
        <v>7193</v>
      </c>
      <c r="AP950" s="1" t="s">
        <v>7194</v>
      </c>
      <c r="AQ950" s="1" t="s">
        <v>74</v>
      </c>
      <c r="AR950" s="1" t="s">
        <v>74</v>
      </c>
      <c r="AS950" s="1" t="s">
        <v>74</v>
      </c>
      <c r="AT950" s="1" t="s">
        <v>841</v>
      </c>
      <c r="AU950" s="1">
        <v>2016.0</v>
      </c>
      <c r="AV950" s="1">
        <v>28.0</v>
      </c>
      <c r="AW950" s="1">
        <v>2.0</v>
      </c>
      <c r="AX950" s="1" t="s">
        <v>74</v>
      </c>
      <c r="AY950" s="1" t="s">
        <v>74</v>
      </c>
      <c r="AZ950" s="1" t="s">
        <v>74</v>
      </c>
      <c r="BA950" s="1" t="s">
        <v>74</v>
      </c>
      <c r="BB950" s="1">
        <v>1343.0</v>
      </c>
      <c r="BC950" s="1">
        <v>1351.0</v>
      </c>
      <c r="BD950" s="1" t="s">
        <v>74</v>
      </c>
      <c r="BE950" s="1" t="s">
        <v>8820</v>
      </c>
      <c r="BF950" s="2" t="str">
        <f>HYPERLINK("http://dx.doi.org/10.1007/s10811-015-0648-8","http://dx.doi.org/10.1007/s10811-015-0648-8")</f>
        <v>http://dx.doi.org/10.1007/s10811-015-0648-8</v>
      </c>
      <c r="BG950" s="1" t="s">
        <v>74</v>
      </c>
      <c r="BH950" s="1" t="s">
        <v>74</v>
      </c>
      <c r="BI950" s="1" t="s">
        <v>74</v>
      </c>
      <c r="BJ950" s="1" t="s">
        <v>74</v>
      </c>
      <c r="BK950" s="1" t="s">
        <v>74</v>
      </c>
      <c r="BL950" s="1" t="s">
        <v>74</v>
      </c>
      <c r="BM950" s="1" t="s">
        <v>74</v>
      </c>
      <c r="BN950" s="1" t="s">
        <v>74</v>
      </c>
      <c r="BO950" s="1" t="s">
        <v>74</v>
      </c>
      <c r="BP950" s="1" t="s">
        <v>74</v>
      </c>
      <c r="BQ950" s="1" t="s">
        <v>74</v>
      </c>
      <c r="BR950" s="1" t="s">
        <v>74</v>
      </c>
      <c r="BS950" s="1" t="s">
        <v>8821</v>
      </c>
      <c r="BT950" s="1" t="str">
        <f>HYPERLINK("https%3A%2F%2Fwww.webofscience.com%2Fwos%2Fwoscc%2Ffull-record%2FWOS:000372256900062","View Full Record in Web of Science")</f>
        <v>View Full Record in Web of Science</v>
      </c>
    </row>
    <row r="951" ht="12.75" customHeight="1">
      <c r="A951" s="1" t="s">
        <v>72</v>
      </c>
      <c r="B951" s="1" t="s">
        <v>8822</v>
      </c>
      <c r="C951" s="1" t="s">
        <v>74</v>
      </c>
      <c r="D951" s="1" t="s">
        <v>74</v>
      </c>
      <c r="E951" s="1" t="s">
        <v>74</v>
      </c>
      <c r="F951" s="1" t="s">
        <v>8823</v>
      </c>
      <c r="G951" s="1" t="s">
        <v>74</v>
      </c>
      <c r="H951" s="1" t="s">
        <v>74</v>
      </c>
      <c r="I951" s="1" t="s">
        <v>8824</v>
      </c>
      <c r="J951" s="1" t="s">
        <v>8825</v>
      </c>
      <c r="K951" s="1" t="s">
        <v>74</v>
      </c>
      <c r="L951" s="1" t="s">
        <v>74</v>
      </c>
      <c r="M951" s="1" t="s">
        <v>74</v>
      </c>
      <c r="N951" s="1" t="s">
        <v>74</v>
      </c>
      <c r="O951" s="1" t="s">
        <v>74</v>
      </c>
      <c r="P951" s="1" t="s">
        <v>74</v>
      </c>
      <c r="Q951" s="1" t="s">
        <v>74</v>
      </c>
      <c r="R951" s="1" t="s">
        <v>74</v>
      </c>
      <c r="S951" s="1" t="s">
        <v>74</v>
      </c>
      <c r="T951" s="1" t="s">
        <v>74</v>
      </c>
      <c r="U951" s="1" t="s">
        <v>74</v>
      </c>
      <c r="V951" s="1" t="s">
        <v>8826</v>
      </c>
      <c r="W951" s="1" t="s">
        <v>74</v>
      </c>
      <c r="X951" s="1" t="s">
        <v>74</v>
      </c>
      <c r="Y951" s="1" t="s">
        <v>74</v>
      </c>
      <c r="Z951" s="1" t="s">
        <v>74</v>
      </c>
      <c r="AA951" s="1" t="s">
        <v>8827</v>
      </c>
      <c r="AB951" s="1" t="s">
        <v>8828</v>
      </c>
      <c r="AC951" s="1" t="s">
        <v>74</v>
      </c>
      <c r="AD951" s="1" t="s">
        <v>74</v>
      </c>
      <c r="AE951" s="1" t="s">
        <v>74</v>
      </c>
      <c r="AF951" s="1" t="s">
        <v>74</v>
      </c>
      <c r="AG951" s="1" t="s">
        <v>74</v>
      </c>
      <c r="AH951" s="1" t="s">
        <v>74</v>
      </c>
      <c r="AI951" s="1" t="s">
        <v>74</v>
      </c>
      <c r="AJ951" s="1" t="s">
        <v>74</v>
      </c>
      <c r="AK951" s="1" t="s">
        <v>74</v>
      </c>
      <c r="AL951" s="1" t="s">
        <v>74</v>
      </c>
      <c r="AM951" s="1" t="s">
        <v>74</v>
      </c>
      <c r="AN951" s="1" t="s">
        <v>74</v>
      </c>
      <c r="AO951" s="1" t="s">
        <v>8829</v>
      </c>
      <c r="AP951" s="1" t="s">
        <v>8830</v>
      </c>
      <c r="AQ951" s="1" t="s">
        <v>74</v>
      </c>
      <c r="AR951" s="1" t="s">
        <v>74</v>
      </c>
      <c r="AS951" s="1" t="s">
        <v>74</v>
      </c>
      <c r="AT951" s="1" t="s">
        <v>2168</v>
      </c>
      <c r="AU951" s="1">
        <v>2015.0</v>
      </c>
      <c r="AV951" s="1">
        <v>291.0</v>
      </c>
      <c r="AW951" s="1" t="s">
        <v>74</v>
      </c>
      <c r="AX951" s="1" t="s">
        <v>74</v>
      </c>
      <c r="AY951" s="1" t="s">
        <v>74</v>
      </c>
      <c r="AZ951" s="1" t="s">
        <v>74</v>
      </c>
      <c r="BA951" s="1" t="s">
        <v>74</v>
      </c>
      <c r="BB951" s="1">
        <v>112.0</v>
      </c>
      <c r="BC951" s="1">
        <v>117.0</v>
      </c>
      <c r="BD951" s="1" t="s">
        <v>74</v>
      </c>
      <c r="BE951" s="1" t="s">
        <v>8831</v>
      </c>
      <c r="BF951" s="2" t="str">
        <f>HYPERLINK("http://dx.doi.org/10.1016/j.bbr.2015.05.009","http://dx.doi.org/10.1016/j.bbr.2015.05.009")</f>
        <v>http://dx.doi.org/10.1016/j.bbr.2015.05.009</v>
      </c>
      <c r="BG951" s="1" t="s">
        <v>74</v>
      </c>
      <c r="BH951" s="1" t="s">
        <v>74</v>
      </c>
      <c r="BI951" s="1" t="s">
        <v>74</v>
      </c>
      <c r="BJ951" s="1" t="s">
        <v>74</v>
      </c>
      <c r="BK951" s="1" t="s">
        <v>74</v>
      </c>
      <c r="BL951" s="1" t="s">
        <v>74</v>
      </c>
      <c r="BM951" s="1" t="s">
        <v>74</v>
      </c>
      <c r="BN951" s="1">
        <v>2.599758E7</v>
      </c>
      <c r="BO951" s="1" t="s">
        <v>74</v>
      </c>
      <c r="BP951" s="1" t="s">
        <v>74</v>
      </c>
      <c r="BQ951" s="1" t="s">
        <v>74</v>
      </c>
      <c r="BR951" s="1" t="s">
        <v>74</v>
      </c>
      <c r="BS951" s="1" t="s">
        <v>8832</v>
      </c>
      <c r="BT951" s="1" t="str">
        <f>HYPERLINK("https%3A%2F%2Fwww.webofscience.com%2Fwos%2Fwoscc%2Ffull-record%2FWOS:000358454800014","View Full Record in Web of Science")</f>
        <v>View Full Record in Web of Science</v>
      </c>
    </row>
    <row r="952" ht="12.75" customHeight="1">
      <c r="A952" s="1" t="s">
        <v>72</v>
      </c>
      <c r="B952" s="1" t="s">
        <v>8833</v>
      </c>
      <c r="C952" s="1" t="s">
        <v>74</v>
      </c>
      <c r="D952" s="1" t="s">
        <v>74</v>
      </c>
      <c r="E952" s="1" t="s">
        <v>74</v>
      </c>
      <c r="F952" s="1" t="s">
        <v>8834</v>
      </c>
      <c r="G952" s="1" t="s">
        <v>74</v>
      </c>
      <c r="H952" s="1" t="s">
        <v>74</v>
      </c>
      <c r="I952" s="1" t="s">
        <v>8835</v>
      </c>
      <c r="J952" s="1" t="s">
        <v>8836</v>
      </c>
      <c r="K952" s="1" t="s">
        <v>74</v>
      </c>
      <c r="L952" s="1" t="s">
        <v>74</v>
      </c>
      <c r="M952" s="1" t="s">
        <v>74</v>
      </c>
      <c r="N952" s="1" t="s">
        <v>74</v>
      </c>
      <c r="O952" s="1" t="s">
        <v>74</v>
      </c>
      <c r="P952" s="1" t="s">
        <v>74</v>
      </c>
      <c r="Q952" s="1" t="s">
        <v>74</v>
      </c>
      <c r="R952" s="1" t="s">
        <v>74</v>
      </c>
      <c r="S952" s="1" t="s">
        <v>74</v>
      </c>
      <c r="T952" s="1" t="s">
        <v>74</v>
      </c>
      <c r="U952" s="1" t="s">
        <v>74</v>
      </c>
      <c r="V952" s="1" t="s">
        <v>8837</v>
      </c>
      <c r="W952" s="1" t="s">
        <v>74</v>
      </c>
      <c r="X952" s="1" t="s">
        <v>74</v>
      </c>
      <c r="Y952" s="1" t="s">
        <v>74</v>
      </c>
      <c r="Z952" s="1" t="s">
        <v>74</v>
      </c>
      <c r="AA952" s="1" t="s">
        <v>8838</v>
      </c>
      <c r="AB952" s="1" t="s">
        <v>8839</v>
      </c>
      <c r="AC952" s="1" t="s">
        <v>74</v>
      </c>
      <c r="AD952" s="1" t="s">
        <v>74</v>
      </c>
      <c r="AE952" s="1" t="s">
        <v>74</v>
      </c>
      <c r="AF952" s="1" t="s">
        <v>74</v>
      </c>
      <c r="AG952" s="1" t="s">
        <v>74</v>
      </c>
      <c r="AH952" s="1" t="s">
        <v>74</v>
      </c>
      <c r="AI952" s="1" t="s">
        <v>74</v>
      </c>
      <c r="AJ952" s="1" t="s">
        <v>74</v>
      </c>
      <c r="AK952" s="1" t="s">
        <v>74</v>
      </c>
      <c r="AL952" s="1" t="s">
        <v>74</v>
      </c>
      <c r="AM952" s="1" t="s">
        <v>74</v>
      </c>
      <c r="AN952" s="1" t="s">
        <v>74</v>
      </c>
      <c r="AO952" s="1" t="s">
        <v>8840</v>
      </c>
      <c r="AP952" s="1" t="s">
        <v>8841</v>
      </c>
      <c r="AQ952" s="1" t="s">
        <v>74</v>
      </c>
      <c r="AR952" s="1" t="s">
        <v>74</v>
      </c>
      <c r="AS952" s="1" t="s">
        <v>74</v>
      </c>
      <c r="AT952" s="1" t="s">
        <v>6657</v>
      </c>
      <c r="AU952" s="1">
        <v>2013.0</v>
      </c>
      <c r="AV952" s="1">
        <v>570.0</v>
      </c>
      <c r="AW952" s="1" t="s">
        <v>74</v>
      </c>
      <c r="AX952" s="1" t="s">
        <v>74</v>
      </c>
      <c r="AY952" s="1" t="s">
        <v>74</v>
      </c>
      <c r="AZ952" s="1" t="s">
        <v>74</v>
      </c>
      <c r="BA952" s="1" t="s">
        <v>74</v>
      </c>
      <c r="BB952" s="1">
        <v>8.0</v>
      </c>
      <c r="BC952" s="1">
        <v>15.0</v>
      </c>
      <c r="BD952" s="1" t="s">
        <v>74</v>
      </c>
      <c r="BE952" s="1" t="s">
        <v>8842</v>
      </c>
      <c r="BF952" s="2" t="str">
        <f>HYPERLINK("http://dx.doi.org/10.1016/j.tca.2013.07.029","http://dx.doi.org/10.1016/j.tca.2013.07.029")</f>
        <v>http://dx.doi.org/10.1016/j.tca.2013.07.029</v>
      </c>
      <c r="BG952" s="1" t="s">
        <v>74</v>
      </c>
      <c r="BH952" s="1" t="s">
        <v>74</v>
      </c>
      <c r="BI952" s="1" t="s">
        <v>74</v>
      </c>
      <c r="BJ952" s="1" t="s">
        <v>74</v>
      </c>
      <c r="BK952" s="1" t="s">
        <v>74</v>
      </c>
      <c r="BL952" s="1" t="s">
        <v>74</v>
      </c>
      <c r="BM952" s="1" t="s">
        <v>74</v>
      </c>
      <c r="BN952" s="1" t="s">
        <v>74</v>
      </c>
      <c r="BO952" s="1" t="s">
        <v>74</v>
      </c>
      <c r="BP952" s="1" t="s">
        <v>74</v>
      </c>
      <c r="BQ952" s="1" t="s">
        <v>74</v>
      </c>
      <c r="BR952" s="1" t="s">
        <v>74</v>
      </c>
      <c r="BS952" s="1" t="s">
        <v>8843</v>
      </c>
      <c r="BT952" s="1" t="str">
        <f>HYPERLINK("https%3A%2F%2Fwww.webofscience.com%2Fwos%2Fwoscc%2Ffull-record%2FWOS:000325673600002","View Full Record in Web of Science")</f>
        <v>View Full Record in Web of Science</v>
      </c>
    </row>
    <row r="953" ht="12.75" customHeight="1">
      <c r="A953" s="1" t="s">
        <v>72</v>
      </c>
      <c r="B953" s="1" t="s">
        <v>8844</v>
      </c>
      <c r="C953" s="1" t="s">
        <v>74</v>
      </c>
      <c r="D953" s="1" t="s">
        <v>74</v>
      </c>
      <c r="E953" s="1" t="s">
        <v>74</v>
      </c>
      <c r="F953" s="1" t="s">
        <v>8845</v>
      </c>
      <c r="G953" s="1" t="s">
        <v>74</v>
      </c>
      <c r="H953" s="1" t="s">
        <v>74</v>
      </c>
      <c r="I953" s="1" t="s">
        <v>8846</v>
      </c>
      <c r="J953" s="1" t="s">
        <v>8847</v>
      </c>
      <c r="K953" s="1" t="s">
        <v>74</v>
      </c>
      <c r="L953" s="1" t="s">
        <v>74</v>
      </c>
      <c r="M953" s="1" t="s">
        <v>74</v>
      </c>
      <c r="N953" s="1" t="s">
        <v>74</v>
      </c>
      <c r="O953" s="1" t="s">
        <v>74</v>
      </c>
      <c r="P953" s="1" t="s">
        <v>74</v>
      </c>
      <c r="Q953" s="1" t="s">
        <v>74</v>
      </c>
      <c r="R953" s="1" t="s">
        <v>74</v>
      </c>
      <c r="S953" s="1" t="s">
        <v>74</v>
      </c>
      <c r="T953" s="1" t="s">
        <v>74</v>
      </c>
      <c r="U953" s="1" t="s">
        <v>74</v>
      </c>
      <c r="V953" s="1" t="s">
        <v>8848</v>
      </c>
      <c r="W953" s="1" t="s">
        <v>74</v>
      </c>
      <c r="X953" s="1" t="s">
        <v>74</v>
      </c>
      <c r="Y953" s="1" t="s">
        <v>74</v>
      </c>
      <c r="Z953" s="1" t="s">
        <v>74</v>
      </c>
      <c r="AA953" s="1" t="s">
        <v>8849</v>
      </c>
      <c r="AB953" s="1" t="s">
        <v>7579</v>
      </c>
      <c r="AC953" s="1" t="s">
        <v>74</v>
      </c>
      <c r="AD953" s="1" t="s">
        <v>74</v>
      </c>
      <c r="AE953" s="1" t="s">
        <v>74</v>
      </c>
      <c r="AF953" s="1" t="s">
        <v>74</v>
      </c>
      <c r="AG953" s="1" t="s">
        <v>74</v>
      </c>
      <c r="AH953" s="1" t="s">
        <v>74</v>
      </c>
      <c r="AI953" s="1" t="s">
        <v>74</v>
      </c>
      <c r="AJ953" s="1" t="s">
        <v>74</v>
      </c>
      <c r="AK953" s="1" t="s">
        <v>74</v>
      </c>
      <c r="AL953" s="1" t="s">
        <v>74</v>
      </c>
      <c r="AM953" s="1" t="s">
        <v>74</v>
      </c>
      <c r="AN953" s="1" t="s">
        <v>74</v>
      </c>
      <c r="AO953" s="1" t="s">
        <v>8850</v>
      </c>
      <c r="AP953" s="1" t="s">
        <v>8851</v>
      </c>
      <c r="AQ953" s="1" t="s">
        <v>74</v>
      </c>
      <c r="AR953" s="1" t="s">
        <v>74</v>
      </c>
      <c r="AS953" s="1" t="s">
        <v>74</v>
      </c>
      <c r="AT953" s="1" t="s">
        <v>379</v>
      </c>
      <c r="AU953" s="1">
        <v>2013.0</v>
      </c>
      <c r="AV953" s="1">
        <v>222.0</v>
      </c>
      <c r="AW953" s="1">
        <v>7.0</v>
      </c>
      <c r="AX953" s="1" t="s">
        <v>74</v>
      </c>
      <c r="AY953" s="1" t="s">
        <v>74</v>
      </c>
      <c r="AZ953" s="1" t="s">
        <v>74</v>
      </c>
      <c r="BA953" s="1" t="s">
        <v>74</v>
      </c>
      <c r="BB953" s="1">
        <v>1563.0</v>
      </c>
      <c r="BC953" s="1">
        <v>1573.0</v>
      </c>
      <c r="BD953" s="1" t="s">
        <v>74</v>
      </c>
      <c r="BE953" s="1" t="s">
        <v>8852</v>
      </c>
      <c r="BF953" s="2" t="str">
        <f>HYPERLINK("http://dx.doi.org/10.1140/epjst/e2013-01945-5","http://dx.doi.org/10.1140/epjst/e2013-01945-5")</f>
        <v>http://dx.doi.org/10.1140/epjst/e2013-01945-5</v>
      </c>
      <c r="BG953" s="1" t="s">
        <v>74</v>
      </c>
      <c r="BH953" s="1" t="s">
        <v>74</v>
      </c>
      <c r="BI953" s="1" t="s">
        <v>74</v>
      </c>
      <c r="BJ953" s="1" t="s">
        <v>74</v>
      </c>
      <c r="BK953" s="1" t="s">
        <v>74</v>
      </c>
      <c r="BL953" s="1" t="s">
        <v>74</v>
      </c>
      <c r="BM953" s="1" t="s">
        <v>74</v>
      </c>
      <c r="BN953" s="1" t="s">
        <v>74</v>
      </c>
      <c r="BO953" s="1" t="s">
        <v>74</v>
      </c>
      <c r="BP953" s="1" t="s">
        <v>74</v>
      </c>
      <c r="BQ953" s="1" t="s">
        <v>74</v>
      </c>
      <c r="BR953" s="1" t="s">
        <v>74</v>
      </c>
      <c r="BS953" s="1" t="s">
        <v>8853</v>
      </c>
      <c r="BT953" s="1" t="str">
        <f>HYPERLINK("https%3A%2F%2Fwww.webofscience.com%2Fwos%2Fwoscc%2Ffull-record%2FWOS:000324636900007","View Full Record in Web of Science")</f>
        <v>View Full Record in Web of Science</v>
      </c>
    </row>
    <row r="954" ht="12.75" customHeight="1">
      <c r="A954" s="1" t="s">
        <v>72</v>
      </c>
      <c r="B954" s="1" t="s">
        <v>8854</v>
      </c>
      <c r="C954" s="1" t="s">
        <v>74</v>
      </c>
      <c r="D954" s="1" t="s">
        <v>74</v>
      </c>
      <c r="E954" s="1" t="s">
        <v>74</v>
      </c>
      <c r="F954" s="1" t="s">
        <v>8855</v>
      </c>
      <c r="G954" s="1" t="s">
        <v>74</v>
      </c>
      <c r="H954" s="1" t="s">
        <v>74</v>
      </c>
      <c r="I954" s="1" t="s">
        <v>8856</v>
      </c>
      <c r="J954" s="1" t="s">
        <v>8857</v>
      </c>
      <c r="K954" s="1" t="s">
        <v>74</v>
      </c>
      <c r="L954" s="1" t="s">
        <v>74</v>
      </c>
      <c r="M954" s="1" t="s">
        <v>74</v>
      </c>
      <c r="N954" s="1" t="s">
        <v>74</v>
      </c>
      <c r="O954" s="1" t="s">
        <v>74</v>
      </c>
      <c r="P954" s="1" t="s">
        <v>74</v>
      </c>
      <c r="Q954" s="1" t="s">
        <v>74</v>
      </c>
      <c r="R954" s="1" t="s">
        <v>74</v>
      </c>
      <c r="S954" s="1" t="s">
        <v>74</v>
      </c>
      <c r="T954" s="1" t="s">
        <v>74</v>
      </c>
      <c r="U954" s="1" t="s">
        <v>74</v>
      </c>
      <c r="V954" s="1" t="s">
        <v>8858</v>
      </c>
      <c r="W954" s="1" t="s">
        <v>74</v>
      </c>
      <c r="X954" s="1" t="s">
        <v>74</v>
      </c>
      <c r="Y954" s="1" t="s">
        <v>74</v>
      </c>
      <c r="Z954" s="1" t="s">
        <v>74</v>
      </c>
      <c r="AA954" s="1" t="s">
        <v>8859</v>
      </c>
      <c r="AB954" s="1" t="s">
        <v>74</v>
      </c>
      <c r="AC954" s="1" t="s">
        <v>74</v>
      </c>
      <c r="AD954" s="1" t="s">
        <v>74</v>
      </c>
      <c r="AE954" s="1" t="s">
        <v>74</v>
      </c>
      <c r="AF954" s="1" t="s">
        <v>74</v>
      </c>
      <c r="AG954" s="1" t="s">
        <v>74</v>
      </c>
      <c r="AH954" s="1" t="s">
        <v>74</v>
      </c>
      <c r="AI954" s="1" t="s">
        <v>74</v>
      </c>
      <c r="AJ954" s="1" t="s">
        <v>74</v>
      </c>
      <c r="AK954" s="1" t="s">
        <v>74</v>
      </c>
      <c r="AL954" s="1" t="s">
        <v>74</v>
      </c>
      <c r="AM954" s="1" t="s">
        <v>74</v>
      </c>
      <c r="AN954" s="1" t="s">
        <v>74</v>
      </c>
      <c r="AO954" s="1" t="s">
        <v>8860</v>
      </c>
      <c r="AP954" s="1" t="s">
        <v>74</v>
      </c>
      <c r="AQ954" s="1" t="s">
        <v>74</v>
      </c>
      <c r="AR954" s="1" t="s">
        <v>74</v>
      </c>
      <c r="AS954" s="1" t="s">
        <v>74</v>
      </c>
      <c r="AT954" s="1" t="s">
        <v>74</v>
      </c>
      <c r="AU954" s="1">
        <v>2011.0</v>
      </c>
      <c r="AV954" s="1">
        <v>75.0</v>
      </c>
      <c r="AW954" s="1">
        <v>1.0</v>
      </c>
      <c r="AX954" s="1" t="s">
        <v>74</v>
      </c>
      <c r="AY954" s="1" t="s">
        <v>74</v>
      </c>
      <c r="AZ954" s="1" t="s">
        <v>74</v>
      </c>
      <c r="BA954" s="1" t="s">
        <v>74</v>
      </c>
      <c r="BB954" s="1">
        <v>26.0</v>
      </c>
      <c r="BC954" s="1">
        <v>38.0</v>
      </c>
      <c r="BD954" s="1" t="s">
        <v>74</v>
      </c>
      <c r="BE954" s="1" t="s">
        <v>8861</v>
      </c>
      <c r="BF954" s="2" t="str">
        <f>HYPERLINK("http://dx.doi.org/10.4067/S0717-65382011000100003","http://dx.doi.org/10.4067/S0717-65382011000100003")</f>
        <v>http://dx.doi.org/10.4067/S0717-65382011000100003</v>
      </c>
      <c r="BG954" s="1" t="s">
        <v>74</v>
      </c>
      <c r="BH954" s="1" t="s">
        <v>74</v>
      </c>
      <c r="BI954" s="1" t="s">
        <v>74</v>
      </c>
      <c r="BJ954" s="1" t="s">
        <v>74</v>
      </c>
      <c r="BK954" s="1" t="s">
        <v>74</v>
      </c>
      <c r="BL954" s="1" t="s">
        <v>74</v>
      </c>
      <c r="BM954" s="1" t="s">
        <v>74</v>
      </c>
      <c r="BN954" s="1" t="s">
        <v>74</v>
      </c>
      <c r="BO954" s="1" t="s">
        <v>74</v>
      </c>
      <c r="BP954" s="1" t="s">
        <v>74</v>
      </c>
      <c r="BQ954" s="1" t="s">
        <v>74</v>
      </c>
      <c r="BR954" s="1" t="s">
        <v>74</v>
      </c>
      <c r="BS954" s="1" t="s">
        <v>8862</v>
      </c>
      <c r="BT954" s="1" t="str">
        <f>HYPERLINK("https%3A%2F%2Fwww.webofscience.com%2Fwos%2Fwoscc%2Ffull-record%2FWOS:000291712100003","View Full Record in Web of Science")</f>
        <v>View Full Record in Web of Science</v>
      </c>
    </row>
    <row r="955" ht="12.75" customHeight="1">
      <c r="A955" s="1" t="s">
        <v>72</v>
      </c>
      <c r="B955" s="1" t="s">
        <v>8863</v>
      </c>
      <c r="C955" s="1" t="s">
        <v>74</v>
      </c>
      <c r="D955" s="1" t="s">
        <v>74</v>
      </c>
      <c r="E955" s="1" t="s">
        <v>74</v>
      </c>
      <c r="F955" s="1" t="s">
        <v>8864</v>
      </c>
      <c r="G955" s="1" t="s">
        <v>74</v>
      </c>
      <c r="H955" s="1" t="s">
        <v>74</v>
      </c>
      <c r="I955" s="1" t="s">
        <v>8865</v>
      </c>
      <c r="J955" s="1" t="s">
        <v>8866</v>
      </c>
      <c r="K955" s="1" t="s">
        <v>74</v>
      </c>
      <c r="L955" s="1" t="s">
        <v>74</v>
      </c>
      <c r="M955" s="1" t="s">
        <v>74</v>
      </c>
      <c r="N955" s="1" t="s">
        <v>74</v>
      </c>
      <c r="O955" s="1" t="s">
        <v>74</v>
      </c>
      <c r="P955" s="1" t="s">
        <v>74</v>
      </c>
      <c r="Q955" s="1" t="s">
        <v>74</v>
      </c>
      <c r="R955" s="1" t="s">
        <v>74</v>
      </c>
      <c r="S955" s="1" t="s">
        <v>74</v>
      </c>
      <c r="T955" s="1" t="s">
        <v>74</v>
      </c>
      <c r="U955" s="1" t="s">
        <v>74</v>
      </c>
      <c r="V955" s="1" t="s">
        <v>8867</v>
      </c>
      <c r="W955" s="1" t="s">
        <v>74</v>
      </c>
      <c r="X955" s="1" t="s">
        <v>74</v>
      </c>
      <c r="Y955" s="1" t="s">
        <v>74</v>
      </c>
      <c r="Z955" s="1" t="s">
        <v>74</v>
      </c>
      <c r="AA955" s="1" t="s">
        <v>8868</v>
      </c>
      <c r="AB955" s="1" t="s">
        <v>74</v>
      </c>
      <c r="AC955" s="1" t="s">
        <v>74</v>
      </c>
      <c r="AD955" s="1" t="s">
        <v>74</v>
      </c>
      <c r="AE955" s="1" t="s">
        <v>74</v>
      </c>
      <c r="AF955" s="1" t="s">
        <v>74</v>
      </c>
      <c r="AG955" s="1" t="s">
        <v>74</v>
      </c>
      <c r="AH955" s="1" t="s">
        <v>74</v>
      </c>
      <c r="AI955" s="1" t="s">
        <v>74</v>
      </c>
      <c r="AJ955" s="1" t="s">
        <v>74</v>
      </c>
      <c r="AK955" s="1" t="s">
        <v>74</v>
      </c>
      <c r="AL955" s="1" t="s">
        <v>74</v>
      </c>
      <c r="AM955" s="1" t="s">
        <v>74</v>
      </c>
      <c r="AN955" s="1" t="s">
        <v>74</v>
      </c>
      <c r="AO955" s="1" t="s">
        <v>8869</v>
      </c>
      <c r="AP955" s="1" t="s">
        <v>8870</v>
      </c>
      <c r="AQ955" s="1" t="s">
        <v>74</v>
      </c>
      <c r="AR955" s="1" t="s">
        <v>74</v>
      </c>
      <c r="AS955" s="1" t="s">
        <v>74</v>
      </c>
      <c r="AT955" s="1" t="s">
        <v>74</v>
      </c>
      <c r="AU955" s="1">
        <v>2007.0</v>
      </c>
      <c r="AV955" s="1">
        <v>52.0</v>
      </c>
      <c r="AW955" s="1">
        <v>3.0</v>
      </c>
      <c r="AX955" s="1" t="s">
        <v>74</v>
      </c>
      <c r="AY955" s="1" t="s">
        <v>74</v>
      </c>
      <c r="AZ955" s="1" t="s">
        <v>74</v>
      </c>
      <c r="BA955" s="1" t="s">
        <v>74</v>
      </c>
      <c r="BB955" s="1">
        <v>275.0</v>
      </c>
      <c r="BC955" s="1">
        <v>295.0</v>
      </c>
      <c r="BD955" s="1" t="s">
        <v>74</v>
      </c>
      <c r="BE955" s="1" t="s">
        <v>8871</v>
      </c>
      <c r="BF955" s="2" t="str">
        <f>HYPERLINK("http://dx.doi.org/10.1080/00397910601149942","http://dx.doi.org/10.1080/00397910601149942")</f>
        <v>http://dx.doi.org/10.1080/00397910601149942</v>
      </c>
      <c r="BG955" s="1" t="s">
        <v>74</v>
      </c>
      <c r="BH955" s="1" t="s">
        <v>74</v>
      </c>
      <c r="BI955" s="1" t="s">
        <v>74</v>
      </c>
      <c r="BJ955" s="1" t="s">
        <v>74</v>
      </c>
      <c r="BK955" s="1" t="s">
        <v>74</v>
      </c>
      <c r="BL955" s="1" t="s">
        <v>74</v>
      </c>
      <c r="BM955" s="1" t="s">
        <v>74</v>
      </c>
      <c r="BN955" s="1" t="s">
        <v>74</v>
      </c>
      <c r="BO955" s="1" t="s">
        <v>74</v>
      </c>
      <c r="BP955" s="1" t="s">
        <v>74</v>
      </c>
      <c r="BQ955" s="1" t="s">
        <v>74</v>
      </c>
      <c r="BR955" s="1" t="s">
        <v>74</v>
      </c>
      <c r="BS955" s="1" t="s">
        <v>8872</v>
      </c>
      <c r="BT955" s="1" t="str">
        <f>HYPERLINK("https%3A%2F%2Fwww.webofscience.com%2Fwos%2Fwoscc%2Ffull-record%2FWOS:000248114400005","View Full Record in Web of Science")</f>
        <v>View Full Record in Web of Science</v>
      </c>
    </row>
    <row r="956" ht="12.75" customHeight="1">
      <c r="A956" s="1" t="s">
        <v>72</v>
      </c>
      <c r="B956" s="1" t="s">
        <v>8873</v>
      </c>
      <c r="C956" s="1" t="s">
        <v>74</v>
      </c>
      <c r="D956" s="1" t="s">
        <v>74</v>
      </c>
      <c r="E956" s="1" t="s">
        <v>74</v>
      </c>
      <c r="F956" s="1" t="s">
        <v>8873</v>
      </c>
      <c r="G956" s="1" t="s">
        <v>74</v>
      </c>
      <c r="H956" s="1" t="s">
        <v>74</v>
      </c>
      <c r="I956" s="1" t="s">
        <v>8874</v>
      </c>
      <c r="J956" s="1" t="s">
        <v>7803</v>
      </c>
      <c r="K956" s="1" t="s">
        <v>74</v>
      </c>
      <c r="L956" s="1" t="s">
        <v>74</v>
      </c>
      <c r="M956" s="1" t="s">
        <v>74</v>
      </c>
      <c r="N956" s="1" t="s">
        <v>74</v>
      </c>
      <c r="O956" s="1" t="s">
        <v>74</v>
      </c>
      <c r="P956" s="1" t="s">
        <v>74</v>
      </c>
      <c r="Q956" s="1" t="s">
        <v>74</v>
      </c>
      <c r="R956" s="1" t="s">
        <v>74</v>
      </c>
      <c r="S956" s="1" t="s">
        <v>74</v>
      </c>
      <c r="T956" s="1" t="s">
        <v>74</v>
      </c>
      <c r="U956" s="1" t="s">
        <v>74</v>
      </c>
      <c r="V956" s="1" t="s">
        <v>8875</v>
      </c>
      <c r="W956" s="1" t="s">
        <v>74</v>
      </c>
      <c r="X956" s="1" t="s">
        <v>74</v>
      </c>
      <c r="Y956" s="1" t="s">
        <v>74</v>
      </c>
      <c r="Z956" s="1" t="s">
        <v>74</v>
      </c>
      <c r="AA956" s="1" t="s">
        <v>8876</v>
      </c>
      <c r="AB956" s="1" t="s">
        <v>8877</v>
      </c>
      <c r="AC956" s="1" t="s">
        <v>74</v>
      </c>
      <c r="AD956" s="1" t="s">
        <v>74</v>
      </c>
      <c r="AE956" s="1" t="s">
        <v>74</v>
      </c>
      <c r="AF956" s="1" t="s">
        <v>74</v>
      </c>
      <c r="AG956" s="1" t="s">
        <v>74</v>
      </c>
      <c r="AH956" s="1" t="s">
        <v>74</v>
      </c>
      <c r="AI956" s="1" t="s">
        <v>74</v>
      </c>
      <c r="AJ956" s="1" t="s">
        <v>74</v>
      </c>
      <c r="AK956" s="1" t="s">
        <v>74</v>
      </c>
      <c r="AL956" s="1" t="s">
        <v>74</v>
      </c>
      <c r="AM956" s="1" t="s">
        <v>74</v>
      </c>
      <c r="AN956" s="1" t="s">
        <v>74</v>
      </c>
      <c r="AO956" s="1" t="s">
        <v>7807</v>
      </c>
      <c r="AP956" s="1" t="s">
        <v>7808</v>
      </c>
      <c r="AQ956" s="1" t="s">
        <v>74</v>
      </c>
      <c r="AR956" s="1" t="s">
        <v>74</v>
      </c>
      <c r="AS956" s="1" t="s">
        <v>74</v>
      </c>
      <c r="AT956" s="1" t="s">
        <v>621</v>
      </c>
      <c r="AU956" s="1">
        <v>2005.0</v>
      </c>
      <c r="AV956" s="1">
        <v>69.0</v>
      </c>
      <c r="AW956" s="1">
        <v>2.0</v>
      </c>
      <c r="AX956" s="1" t="s">
        <v>74</v>
      </c>
      <c r="AY956" s="1" t="s">
        <v>74</v>
      </c>
      <c r="AZ956" s="1" t="s">
        <v>74</v>
      </c>
      <c r="BA956" s="1" t="s">
        <v>74</v>
      </c>
      <c r="BB956" s="1">
        <v>147.0</v>
      </c>
      <c r="BC956" s="1">
        <v>154.0</v>
      </c>
      <c r="BD956" s="1" t="s">
        <v>74</v>
      </c>
      <c r="BE956" s="1" t="s">
        <v>8878</v>
      </c>
      <c r="BF956" s="2" t="str">
        <f>HYPERLINK("http://dx.doi.org/10.1016/j.jfoodeng.2004.08.005","http://dx.doi.org/10.1016/j.jfoodeng.2004.08.005")</f>
        <v>http://dx.doi.org/10.1016/j.jfoodeng.2004.08.005</v>
      </c>
      <c r="BG956" s="1" t="s">
        <v>74</v>
      </c>
      <c r="BH956" s="1" t="s">
        <v>74</v>
      </c>
      <c r="BI956" s="1" t="s">
        <v>74</v>
      </c>
      <c r="BJ956" s="1" t="s">
        <v>74</v>
      </c>
      <c r="BK956" s="1" t="s">
        <v>74</v>
      </c>
      <c r="BL956" s="1" t="s">
        <v>74</v>
      </c>
      <c r="BM956" s="1" t="s">
        <v>74</v>
      </c>
      <c r="BN956" s="1" t="s">
        <v>74</v>
      </c>
      <c r="BO956" s="1" t="s">
        <v>74</v>
      </c>
      <c r="BP956" s="1" t="s">
        <v>74</v>
      </c>
      <c r="BQ956" s="1" t="s">
        <v>74</v>
      </c>
      <c r="BR956" s="1" t="s">
        <v>74</v>
      </c>
      <c r="BS956" s="1" t="s">
        <v>8879</v>
      </c>
      <c r="BT956" s="1" t="str">
        <f>HYPERLINK("https%3A%2F%2Fwww.webofscience.com%2Fwos%2Fwoscc%2Ffull-record%2FWOS:000228242400002","View Full Record in Web of Science")</f>
        <v>View Full Record in Web of Science</v>
      </c>
    </row>
    <row r="957" ht="12.75" customHeight="1">
      <c r="A957" s="1" t="s">
        <v>72</v>
      </c>
      <c r="B957" s="1" t="s">
        <v>8880</v>
      </c>
      <c r="C957" s="1" t="s">
        <v>74</v>
      </c>
      <c r="D957" s="1" t="s">
        <v>74</v>
      </c>
      <c r="E957" s="1" t="s">
        <v>74</v>
      </c>
      <c r="F957" s="1" t="s">
        <v>8880</v>
      </c>
      <c r="G957" s="1" t="s">
        <v>74</v>
      </c>
      <c r="H957" s="1" t="s">
        <v>74</v>
      </c>
      <c r="I957" s="1" t="s">
        <v>8881</v>
      </c>
      <c r="J957" s="1" t="s">
        <v>3358</v>
      </c>
      <c r="K957" s="1" t="s">
        <v>74</v>
      </c>
      <c r="L957" s="1" t="s">
        <v>74</v>
      </c>
      <c r="M957" s="1" t="s">
        <v>74</v>
      </c>
      <c r="N957" s="1" t="s">
        <v>74</v>
      </c>
      <c r="O957" s="1" t="s">
        <v>8882</v>
      </c>
      <c r="P957" s="1" t="s">
        <v>8883</v>
      </c>
      <c r="Q957" s="1" t="s">
        <v>7538</v>
      </c>
      <c r="R957" s="1" t="s">
        <v>74</v>
      </c>
      <c r="S957" s="1" t="s">
        <v>74</v>
      </c>
      <c r="T957" s="1" t="s">
        <v>74</v>
      </c>
      <c r="U957" s="1" t="s">
        <v>74</v>
      </c>
      <c r="V957" s="1" t="s">
        <v>8884</v>
      </c>
      <c r="W957" s="1" t="s">
        <v>74</v>
      </c>
      <c r="X957" s="1" t="s">
        <v>74</v>
      </c>
      <c r="Y957" s="1" t="s">
        <v>74</v>
      </c>
      <c r="Z957" s="1" t="s">
        <v>74</v>
      </c>
      <c r="AA957" s="1" t="s">
        <v>74</v>
      </c>
      <c r="AB957" s="1" t="s">
        <v>74</v>
      </c>
      <c r="AC957" s="1" t="s">
        <v>74</v>
      </c>
      <c r="AD957" s="1" t="s">
        <v>74</v>
      </c>
      <c r="AE957" s="1" t="s">
        <v>74</v>
      </c>
      <c r="AF957" s="1" t="s">
        <v>74</v>
      </c>
      <c r="AG957" s="1" t="s">
        <v>74</v>
      </c>
      <c r="AH957" s="1" t="s">
        <v>74</v>
      </c>
      <c r="AI957" s="1" t="s">
        <v>74</v>
      </c>
      <c r="AJ957" s="1" t="s">
        <v>74</v>
      </c>
      <c r="AK957" s="1" t="s">
        <v>74</v>
      </c>
      <c r="AL957" s="1" t="s">
        <v>74</v>
      </c>
      <c r="AM957" s="1" t="s">
        <v>74</v>
      </c>
      <c r="AN957" s="1" t="s">
        <v>74</v>
      </c>
      <c r="AO957" s="1" t="s">
        <v>3362</v>
      </c>
      <c r="AP957" s="1" t="s">
        <v>74</v>
      </c>
      <c r="AQ957" s="1" t="s">
        <v>74</v>
      </c>
      <c r="AR957" s="1" t="s">
        <v>74</v>
      </c>
      <c r="AS957" s="1" t="s">
        <v>74</v>
      </c>
      <c r="AT957" s="1" t="s">
        <v>74</v>
      </c>
      <c r="AU957" s="1">
        <v>2005.0</v>
      </c>
      <c r="AV957" s="1" t="s">
        <v>74</v>
      </c>
      <c r="AW957" s="1" t="s">
        <v>74</v>
      </c>
      <c r="AX957" s="1" t="s">
        <v>74</v>
      </c>
      <c r="AY957" s="1" t="s">
        <v>74</v>
      </c>
      <c r="AZ957" s="1" t="s">
        <v>1042</v>
      </c>
      <c r="BA957" s="1" t="s">
        <v>74</v>
      </c>
      <c r="BB957" s="1">
        <v>69.0</v>
      </c>
      <c r="BC957" s="1">
        <v>73.0</v>
      </c>
      <c r="BD957" s="1" t="s">
        <v>74</v>
      </c>
      <c r="BE957" s="1" t="s">
        <v>74</v>
      </c>
      <c r="BF957" s="1" t="s">
        <v>74</v>
      </c>
      <c r="BG957" s="1" t="s">
        <v>74</v>
      </c>
      <c r="BH957" s="1" t="s">
        <v>74</v>
      </c>
      <c r="BI957" s="1" t="s">
        <v>74</v>
      </c>
      <c r="BJ957" s="1" t="s">
        <v>74</v>
      </c>
      <c r="BK957" s="1" t="s">
        <v>74</v>
      </c>
      <c r="BL957" s="1" t="s">
        <v>74</v>
      </c>
      <c r="BM957" s="1" t="s">
        <v>74</v>
      </c>
      <c r="BN957" s="1" t="s">
        <v>74</v>
      </c>
      <c r="BO957" s="1" t="s">
        <v>74</v>
      </c>
      <c r="BP957" s="1" t="s">
        <v>74</v>
      </c>
      <c r="BQ957" s="1" t="s">
        <v>74</v>
      </c>
      <c r="BR957" s="1" t="s">
        <v>74</v>
      </c>
      <c r="BS957" s="1" t="s">
        <v>8885</v>
      </c>
      <c r="BT957" s="1" t="str">
        <f>HYPERLINK("https%3A%2F%2Fwww.webofscience.com%2Fwos%2Fwoscc%2Ffull-record%2FWOS:000237464800011","View Full Record in Web of Science")</f>
        <v>View Full Record in Web of Science</v>
      </c>
    </row>
    <row r="958" ht="12.75" customHeight="1">
      <c r="A958" s="1" t="s">
        <v>72</v>
      </c>
      <c r="B958" s="1" t="s">
        <v>8886</v>
      </c>
      <c r="C958" s="1" t="s">
        <v>74</v>
      </c>
      <c r="D958" s="1" t="s">
        <v>74</v>
      </c>
      <c r="E958" s="1" t="s">
        <v>74</v>
      </c>
      <c r="F958" s="1" t="s">
        <v>8886</v>
      </c>
      <c r="G958" s="1" t="s">
        <v>74</v>
      </c>
      <c r="H958" s="1" t="s">
        <v>74</v>
      </c>
      <c r="I958" s="1" t="s">
        <v>8887</v>
      </c>
      <c r="J958" s="1" t="s">
        <v>8888</v>
      </c>
      <c r="K958" s="1" t="s">
        <v>74</v>
      </c>
      <c r="L958" s="1" t="s">
        <v>74</v>
      </c>
      <c r="M958" s="1" t="s">
        <v>74</v>
      </c>
      <c r="N958" s="1" t="s">
        <v>74</v>
      </c>
      <c r="O958" s="1" t="s">
        <v>74</v>
      </c>
      <c r="P958" s="1" t="s">
        <v>74</v>
      </c>
      <c r="Q958" s="1" t="s">
        <v>74</v>
      </c>
      <c r="R958" s="1" t="s">
        <v>74</v>
      </c>
      <c r="S958" s="1" t="s">
        <v>74</v>
      </c>
      <c r="T958" s="1" t="s">
        <v>74</v>
      </c>
      <c r="U958" s="1" t="s">
        <v>74</v>
      </c>
      <c r="V958" s="1" t="s">
        <v>8889</v>
      </c>
      <c r="W958" s="1" t="s">
        <v>74</v>
      </c>
      <c r="X958" s="1" t="s">
        <v>74</v>
      </c>
      <c r="Y958" s="1" t="s">
        <v>74</v>
      </c>
      <c r="Z958" s="1" t="s">
        <v>74</v>
      </c>
      <c r="AA958" s="1" t="s">
        <v>8890</v>
      </c>
      <c r="AB958" s="1" t="s">
        <v>8891</v>
      </c>
      <c r="AC958" s="1" t="s">
        <v>74</v>
      </c>
      <c r="AD958" s="1" t="s">
        <v>74</v>
      </c>
      <c r="AE958" s="1" t="s">
        <v>74</v>
      </c>
      <c r="AF958" s="1" t="s">
        <v>74</v>
      </c>
      <c r="AG958" s="1" t="s">
        <v>74</v>
      </c>
      <c r="AH958" s="1" t="s">
        <v>74</v>
      </c>
      <c r="AI958" s="1" t="s">
        <v>74</v>
      </c>
      <c r="AJ958" s="1" t="s">
        <v>74</v>
      </c>
      <c r="AK958" s="1" t="s">
        <v>74</v>
      </c>
      <c r="AL958" s="1" t="s">
        <v>74</v>
      </c>
      <c r="AM958" s="1" t="s">
        <v>74</v>
      </c>
      <c r="AN958" s="1" t="s">
        <v>74</v>
      </c>
      <c r="AO958" s="1" t="s">
        <v>8892</v>
      </c>
      <c r="AP958" s="1" t="s">
        <v>8893</v>
      </c>
      <c r="AQ958" s="1" t="s">
        <v>74</v>
      </c>
      <c r="AR958" s="1" t="s">
        <v>74</v>
      </c>
      <c r="AS958" s="1" t="s">
        <v>74</v>
      </c>
      <c r="AT958" s="1" t="s">
        <v>7927</v>
      </c>
      <c r="AU958" s="1">
        <v>2003.0</v>
      </c>
      <c r="AV958" s="1">
        <v>338.0</v>
      </c>
      <c r="AW958" s="1">
        <v>15.0</v>
      </c>
      <c r="AX958" s="1" t="s">
        <v>74</v>
      </c>
      <c r="AY958" s="1" t="s">
        <v>74</v>
      </c>
      <c r="AZ958" s="1" t="s">
        <v>74</v>
      </c>
      <c r="BA958" s="1" t="s">
        <v>74</v>
      </c>
      <c r="BB958" s="1">
        <v>1535.0</v>
      </c>
      <c r="BC958" s="1">
        <v>1542.0</v>
      </c>
      <c r="BD958" s="1" t="s">
        <v>74</v>
      </c>
      <c r="BE958" s="1" t="s">
        <v>8894</v>
      </c>
      <c r="BF958" s="2" t="str">
        <f>HYPERLINK("http://dx.doi.org/10.1016/S0008-6215(03)00237-4","http://dx.doi.org/10.1016/S0008-6215(03)00237-4")</f>
        <v>http://dx.doi.org/10.1016/S0008-6215(03)00237-4</v>
      </c>
      <c r="BG958" s="1" t="s">
        <v>74</v>
      </c>
      <c r="BH958" s="1" t="s">
        <v>74</v>
      </c>
      <c r="BI958" s="1" t="s">
        <v>74</v>
      </c>
      <c r="BJ958" s="1" t="s">
        <v>74</v>
      </c>
      <c r="BK958" s="1" t="s">
        <v>74</v>
      </c>
      <c r="BL958" s="1" t="s">
        <v>74</v>
      </c>
      <c r="BM958" s="1" t="s">
        <v>74</v>
      </c>
      <c r="BN958" s="1">
        <v>1.2860424E7</v>
      </c>
      <c r="BO958" s="1" t="s">
        <v>74</v>
      </c>
      <c r="BP958" s="1" t="s">
        <v>74</v>
      </c>
      <c r="BQ958" s="1" t="s">
        <v>74</v>
      </c>
      <c r="BR958" s="1" t="s">
        <v>74</v>
      </c>
      <c r="BS958" s="1" t="s">
        <v>8895</v>
      </c>
      <c r="BT958" s="1" t="str">
        <f>HYPERLINK("https%3A%2F%2Fwww.webofscience.com%2Fwos%2Fwoscc%2Ffull-record%2FWOS:000184380600002","View Full Record in Web of Science")</f>
        <v>View Full Record in Web of Science</v>
      </c>
    </row>
    <row r="959" ht="12.75" customHeight="1">
      <c r="A959" s="1" t="s">
        <v>72</v>
      </c>
      <c r="B959" s="1" t="s">
        <v>8896</v>
      </c>
      <c r="C959" s="1" t="s">
        <v>74</v>
      </c>
      <c r="D959" s="1" t="s">
        <v>74</v>
      </c>
      <c r="E959" s="1" t="s">
        <v>74</v>
      </c>
      <c r="F959" s="1" t="s">
        <v>8896</v>
      </c>
      <c r="G959" s="1" t="s">
        <v>74</v>
      </c>
      <c r="H959" s="1" t="s">
        <v>74</v>
      </c>
      <c r="I959" s="1" t="s">
        <v>8897</v>
      </c>
      <c r="J959" s="1" t="s">
        <v>8898</v>
      </c>
      <c r="K959" s="1" t="s">
        <v>74</v>
      </c>
      <c r="L959" s="1" t="s">
        <v>74</v>
      </c>
      <c r="M959" s="1" t="s">
        <v>74</v>
      </c>
      <c r="N959" s="1" t="s">
        <v>74</v>
      </c>
      <c r="O959" s="1" t="s">
        <v>8899</v>
      </c>
      <c r="P959" s="1" t="s">
        <v>8900</v>
      </c>
      <c r="Q959" s="1" t="s">
        <v>8901</v>
      </c>
      <c r="R959" s="1" t="s">
        <v>74</v>
      </c>
      <c r="S959" s="1" t="s">
        <v>74</v>
      </c>
      <c r="T959" s="1" t="s">
        <v>74</v>
      </c>
      <c r="U959" s="1" t="s">
        <v>74</v>
      </c>
      <c r="V959" s="1" t="s">
        <v>8902</v>
      </c>
      <c r="W959" s="1" t="s">
        <v>74</v>
      </c>
      <c r="X959" s="1" t="s">
        <v>74</v>
      </c>
      <c r="Y959" s="1" t="s">
        <v>74</v>
      </c>
      <c r="Z959" s="1" t="s">
        <v>74</v>
      </c>
      <c r="AA959" s="1" t="s">
        <v>74</v>
      </c>
      <c r="AB959" s="1" t="s">
        <v>74</v>
      </c>
      <c r="AC959" s="1" t="s">
        <v>74</v>
      </c>
      <c r="AD959" s="1" t="s">
        <v>74</v>
      </c>
      <c r="AE959" s="1" t="s">
        <v>74</v>
      </c>
      <c r="AF959" s="1" t="s">
        <v>74</v>
      </c>
      <c r="AG959" s="1" t="s">
        <v>74</v>
      </c>
      <c r="AH959" s="1" t="s">
        <v>74</v>
      </c>
      <c r="AI959" s="1" t="s">
        <v>74</v>
      </c>
      <c r="AJ959" s="1" t="s">
        <v>74</v>
      </c>
      <c r="AK959" s="1" t="s">
        <v>74</v>
      </c>
      <c r="AL959" s="1" t="s">
        <v>74</v>
      </c>
      <c r="AM959" s="1" t="s">
        <v>74</v>
      </c>
      <c r="AN959" s="1" t="s">
        <v>74</v>
      </c>
      <c r="AO959" s="1" t="s">
        <v>8903</v>
      </c>
      <c r="AP959" s="1" t="s">
        <v>74</v>
      </c>
      <c r="AQ959" s="1" t="s">
        <v>74</v>
      </c>
      <c r="AR959" s="1" t="s">
        <v>74</v>
      </c>
      <c r="AS959" s="1" t="s">
        <v>74</v>
      </c>
      <c r="AT959" s="1" t="s">
        <v>415</v>
      </c>
      <c r="AU959" s="1">
        <v>2002.0</v>
      </c>
      <c r="AV959" s="1">
        <v>48.0</v>
      </c>
      <c r="AW959" s="1" t="s">
        <v>74</v>
      </c>
      <c r="AX959" s="1" t="s">
        <v>74</v>
      </c>
      <c r="AY959" s="1">
        <v>3.0</v>
      </c>
      <c r="AZ959" s="1" t="s">
        <v>74</v>
      </c>
      <c r="BA959" s="1" t="s">
        <v>74</v>
      </c>
      <c r="BB959" s="1">
        <v>10.0</v>
      </c>
      <c r="BC959" s="1">
        <v>12.0</v>
      </c>
      <c r="BD959" s="1" t="s">
        <v>74</v>
      </c>
      <c r="BE959" s="1" t="s">
        <v>74</v>
      </c>
      <c r="BF959" s="1" t="s">
        <v>74</v>
      </c>
      <c r="BG959" s="1" t="s">
        <v>74</v>
      </c>
      <c r="BH959" s="1" t="s">
        <v>74</v>
      </c>
      <c r="BI959" s="1" t="s">
        <v>74</v>
      </c>
      <c r="BJ959" s="1" t="s">
        <v>74</v>
      </c>
      <c r="BK959" s="1" t="s">
        <v>74</v>
      </c>
      <c r="BL959" s="1" t="s">
        <v>74</v>
      </c>
      <c r="BM959" s="1" t="s">
        <v>74</v>
      </c>
      <c r="BN959" s="1" t="s">
        <v>74</v>
      </c>
      <c r="BO959" s="1" t="s">
        <v>74</v>
      </c>
      <c r="BP959" s="1" t="s">
        <v>74</v>
      </c>
      <c r="BQ959" s="1" t="s">
        <v>74</v>
      </c>
      <c r="BR959" s="1" t="s">
        <v>74</v>
      </c>
      <c r="BS959" s="1" t="s">
        <v>8904</v>
      </c>
      <c r="BT959" s="1" t="str">
        <f>HYPERLINK("https%3A%2F%2Fwww.webofscience.com%2Fwos%2Fwoscc%2Ffull-record%2FWOS:000180065500003","View Full Record in Web of Science")</f>
        <v>View Full Record in Web of Science</v>
      </c>
    </row>
    <row r="960" ht="12.75" customHeight="1">
      <c r="A960" s="1" t="s">
        <v>72</v>
      </c>
      <c r="B960" s="1" t="s">
        <v>8905</v>
      </c>
      <c r="C960" s="1" t="s">
        <v>74</v>
      </c>
      <c r="D960" s="1" t="s">
        <v>74</v>
      </c>
      <c r="E960" s="1" t="s">
        <v>74</v>
      </c>
      <c r="F960" s="1" t="s">
        <v>8905</v>
      </c>
      <c r="G960" s="1" t="s">
        <v>74</v>
      </c>
      <c r="H960" s="1" t="s">
        <v>74</v>
      </c>
      <c r="I960" s="1" t="s">
        <v>8906</v>
      </c>
      <c r="J960" s="1" t="s">
        <v>8898</v>
      </c>
      <c r="K960" s="1" t="s">
        <v>74</v>
      </c>
      <c r="L960" s="1" t="s">
        <v>74</v>
      </c>
      <c r="M960" s="1" t="s">
        <v>74</v>
      </c>
      <c r="N960" s="1" t="s">
        <v>74</v>
      </c>
      <c r="O960" s="1" t="s">
        <v>8899</v>
      </c>
      <c r="P960" s="1" t="s">
        <v>8900</v>
      </c>
      <c r="Q960" s="1" t="s">
        <v>8901</v>
      </c>
      <c r="R960" s="1" t="s">
        <v>74</v>
      </c>
      <c r="S960" s="1" t="s">
        <v>74</v>
      </c>
      <c r="T960" s="1" t="s">
        <v>74</v>
      </c>
      <c r="U960" s="1" t="s">
        <v>74</v>
      </c>
      <c r="V960" s="1" t="s">
        <v>8907</v>
      </c>
      <c r="W960" s="1" t="s">
        <v>74</v>
      </c>
      <c r="X960" s="1" t="s">
        <v>74</v>
      </c>
      <c r="Y960" s="1" t="s">
        <v>74</v>
      </c>
      <c r="Z960" s="1" t="s">
        <v>74</v>
      </c>
      <c r="AA960" s="1" t="s">
        <v>8908</v>
      </c>
      <c r="AB960" s="1" t="s">
        <v>74</v>
      </c>
      <c r="AC960" s="1" t="s">
        <v>74</v>
      </c>
      <c r="AD960" s="1" t="s">
        <v>74</v>
      </c>
      <c r="AE960" s="1" t="s">
        <v>74</v>
      </c>
      <c r="AF960" s="1" t="s">
        <v>74</v>
      </c>
      <c r="AG960" s="1" t="s">
        <v>74</v>
      </c>
      <c r="AH960" s="1" t="s">
        <v>74</v>
      </c>
      <c r="AI960" s="1" t="s">
        <v>74</v>
      </c>
      <c r="AJ960" s="1" t="s">
        <v>74</v>
      </c>
      <c r="AK960" s="1" t="s">
        <v>74</v>
      </c>
      <c r="AL960" s="1" t="s">
        <v>74</v>
      </c>
      <c r="AM960" s="1" t="s">
        <v>74</v>
      </c>
      <c r="AN960" s="1" t="s">
        <v>74</v>
      </c>
      <c r="AO960" s="1" t="s">
        <v>8903</v>
      </c>
      <c r="AP960" s="1" t="s">
        <v>74</v>
      </c>
      <c r="AQ960" s="1" t="s">
        <v>74</v>
      </c>
      <c r="AR960" s="1" t="s">
        <v>74</v>
      </c>
      <c r="AS960" s="1" t="s">
        <v>74</v>
      </c>
      <c r="AT960" s="1" t="s">
        <v>415</v>
      </c>
      <c r="AU960" s="1">
        <v>2002.0</v>
      </c>
      <c r="AV960" s="1">
        <v>48.0</v>
      </c>
      <c r="AW960" s="1" t="s">
        <v>74</v>
      </c>
      <c r="AX960" s="1" t="s">
        <v>74</v>
      </c>
      <c r="AY960" s="1">
        <v>3.0</v>
      </c>
      <c r="AZ960" s="1" t="s">
        <v>74</v>
      </c>
      <c r="BA960" s="1" t="s">
        <v>74</v>
      </c>
      <c r="BB960" s="1">
        <v>77.0</v>
      </c>
      <c r="BC960" s="1">
        <v>79.0</v>
      </c>
      <c r="BD960" s="1" t="s">
        <v>74</v>
      </c>
      <c r="BE960" s="1" t="s">
        <v>74</v>
      </c>
      <c r="BF960" s="1" t="s">
        <v>74</v>
      </c>
      <c r="BG960" s="1" t="s">
        <v>74</v>
      </c>
      <c r="BH960" s="1" t="s">
        <v>74</v>
      </c>
      <c r="BI960" s="1" t="s">
        <v>74</v>
      </c>
      <c r="BJ960" s="1" t="s">
        <v>74</v>
      </c>
      <c r="BK960" s="1" t="s">
        <v>74</v>
      </c>
      <c r="BL960" s="1" t="s">
        <v>74</v>
      </c>
      <c r="BM960" s="1" t="s">
        <v>74</v>
      </c>
      <c r="BN960" s="1" t="s">
        <v>74</v>
      </c>
      <c r="BO960" s="1" t="s">
        <v>74</v>
      </c>
      <c r="BP960" s="1" t="s">
        <v>74</v>
      </c>
      <c r="BQ960" s="1" t="s">
        <v>74</v>
      </c>
      <c r="BR960" s="1" t="s">
        <v>74</v>
      </c>
      <c r="BS960" s="1" t="s">
        <v>8909</v>
      </c>
      <c r="BT960" s="1" t="str">
        <f>HYPERLINK("https%3A%2F%2Fwww.webofscience.com%2Fwos%2Fwoscc%2Ffull-record%2FWOS:000180065500027","View Full Record in Web of Science")</f>
        <v>View Full Record in Web of Science</v>
      </c>
    </row>
    <row r="961" ht="12.75" customHeight="1">
      <c r="A961" s="1" t="s">
        <v>72</v>
      </c>
      <c r="B961" s="1" t="s">
        <v>8910</v>
      </c>
      <c r="C961" s="1" t="s">
        <v>74</v>
      </c>
      <c r="D961" s="1" t="s">
        <v>74</v>
      </c>
      <c r="E961" s="1" t="s">
        <v>74</v>
      </c>
      <c r="F961" s="1" t="s">
        <v>8910</v>
      </c>
      <c r="G961" s="1" t="s">
        <v>74</v>
      </c>
      <c r="H961" s="1" t="s">
        <v>74</v>
      </c>
      <c r="I961" s="1" t="s">
        <v>8911</v>
      </c>
      <c r="J961" s="1" t="s">
        <v>401</v>
      </c>
      <c r="K961" s="1" t="s">
        <v>74</v>
      </c>
      <c r="L961" s="1" t="s">
        <v>74</v>
      </c>
      <c r="M961" s="1" t="s">
        <v>74</v>
      </c>
      <c r="N961" s="1" t="s">
        <v>74</v>
      </c>
      <c r="O961" s="1" t="s">
        <v>74</v>
      </c>
      <c r="P961" s="1" t="s">
        <v>74</v>
      </c>
      <c r="Q961" s="1" t="s">
        <v>74</v>
      </c>
      <c r="R961" s="1" t="s">
        <v>74</v>
      </c>
      <c r="S961" s="1" t="s">
        <v>74</v>
      </c>
      <c r="T961" s="1" t="s">
        <v>74</v>
      </c>
      <c r="U961" s="1" t="s">
        <v>74</v>
      </c>
      <c r="V961" s="1" t="s">
        <v>8912</v>
      </c>
      <c r="W961" s="1" t="s">
        <v>74</v>
      </c>
      <c r="X961" s="1" t="s">
        <v>74</v>
      </c>
      <c r="Y961" s="1" t="s">
        <v>74</v>
      </c>
      <c r="Z961" s="1" t="s">
        <v>74</v>
      </c>
      <c r="AA961" s="1" t="s">
        <v>74</v>
      </c>
      <c r="AB961" s="1" t="s">
        <v>8627</v>
      </c>
      <c r="AC961" s="1" t="s">
        <v>74</v>
      </c>
      <c r="AD961" s="1" t="s">
        <v>74</v>
      </c>
      <c r="AE961" s="1" t="s">
        <v>74</v>
      </c>
      <c r="AF961" s="1" t="s">
        <v>74</v>
      </c>
      <c r="AG961" s="1" t="s">
        <v>74</v>
      </c>
      <c r="AH961" s="1" t="s">
        <v>74</v>
      </c>
      <c r="AI961" s="1" t="s">
        <v>74</v>
      </c>
      <c r="AJ961" s="1" t="s">
        <v>74</v>
      </c>
      <c r="AK961" s="1" t="s">
        <v>74</v>
      </c>
      <c r="AL961" s="1" t="s">
        <v>74</v>
      </c>
      <c r="AM961" s="1" t="s">
        <v>74</v>
      </c>
      <c r="AN961" s="1" t="s">
        <v>74</v>
      </c>
      <c r="AO961" s="1" t="s">
        <v>404</v>
      </c>
      <c r="AP961" s="1" t="s">
        <v>74</v>
      </c>
      <c r="AQ961" s="1" t="s">
        <v>74</v>
      </c>
      <c r="AR961" s="1" t="s">
        <v>74</v>
      </c>
      <c r="AS961" s="1" t="s">
        <v>74</v>
      </c>
      <c r="AT961" s="1" t="s">
        <v>5259</v>
      </c>
      <c r="AU961" s="1">
        <v>2002.0</v>
      </c>
      <c r="AV961" s="1">
        <v>18.0</v>
      </c>
      <c r="AW961" s="1">
        <v>22.0</v>
      </c>
      <c r="AX961" s="1" t="s">
        <v>74</v>
      </c>
      <c r="AY961" s="1" t="s">
        <v>74</v>
      </c>
      <c r="AZ961" s="1" t="s">
        <v>74</v>
      </c>
      <c r="BA961" s="1" t="s">
        <v>74</v>
      </c>
      <c r="BB961" s="1">
        <v>8340.0</v>
      </c>
      <c r="BC961" s="1">
        <v>8344.0</v>
      </c>
      <c r="BD961" s="1" t="s">
        <v>74</v>
      </c>
      <c r="BE961" s="1" t="s">
        <v>8913</v>
      </c>
      <c r="BF961" s="2" t="str">
        <f>HYPERLINK("http://dx.doi.org/10.1021/la020492o","http://dx.doi.org/10.1021/la020492o")</f>
        <v>http://dx.doi.org/10.1021/la020492o</v>
      </c>
      <c r="BG961" s="1" t="s">
        <v>74</v>
      </c>
      <c r="BH961" s="1" t="s">
        <v>74</v>
      </c>
      <c r="BI961" s="1" t="s">
        <v>74</v>
      </c>
      <c r="BJ961" s="1" t="s">
        <v>74</v>
      </c>
      <c r="BK961" s="1" t="s">
        <v>74</v>
      </c>
      <c r="BL961" s="1" t="s">
        <v>74</v>
      </c>
      <c r="BM961" s="1" t="s">
        <v>74</v>
      </c>
      <c r="BN961" s="1" t="s">
        <v>74</v>
      </c>
      <c r="BO961" s="1" t="s">
        <v>74</v>
      </c>
      <c r="BP961" s="1" t="s">
        <v>74</v>
      </c>
      <c r="BQ961" s="1" t="s">
        <v>74</v>
      </c>
      <c r="BR961" s="1" t="s">
        <v>74</v>
      </c>
      <c r="BS961" s="1" t="s">
        <v>8914</v>
      </c>
      <c r="BT961" s="1" t="str">
        <f>HYPERLINK("https%3A%2F%2Fwww.webofscience.com%2Fwos%2Fwoscc%2Ffull-record%2FWOS:000178839300013","View Full Record in Web of Science")</f>
        <v>View Full Record in Web of Science</v>
      </c>
    </row>
    <row r="962" ht="12.75" customHeight="1">
      <c r="A962" s="1" t="s">
        <v>72</v>
      </c>
      <c r="B962" s="1" t="s">
        <v>8915</v>
      </c>
      <c r="C962" s="1" t="s">
        <v>74</v>
      </c>
      <c r="D962" s="1" t="s">
        <v>74</v>
      </c>
      <c r="E962" s="1" t="s">
        <v>74</v>
      </c>
      <c r="F962" s="1" t="s">
        <v>8915</v>
      </c>
      <c r="G962" s="1" t="s">
        <v>74</v>
      </c>
      <c r="H962" s="1" t="s">
        <v>74</v>
      </c>
      <c r="I962" s="1" t="s">
        <v>8916</v>
      </c>
      <c r="J962" s="1" t="s">
        <v>2042</v>
      </c>
      <c r="K962" s="1" t="s">
        <v>74</v>
      </c>
      <c r="L962" s="1" t="s">
        <v>74</v>
      </c>
      <c r="M962" s="1" t="s">
        <v>74</v>
      </c>
      <c r="N962" s="1" t="s">
        <v>74</v>
      </c>
      <c r="O962" s="1" t="s">
        <v>74</v>
      </c>
      <c r="P962" s="1" t="s">
        <v>74</v>
      </c>
      <c r="Q962" s="1" t="s">
        <v>74</v>
      </c>
      <c r="R962" s="1" t="s">
        <v>74</v>
      </c>
      <c r="S962" s="1" t="s">
        <v>74</v>
      </c>
      <c r="T962" s="1" t="s">
        <v>74</v>
      </c>
      <c r="U962" s="1" t="s">
        <v>74</v>
      </c>
      <c r="V962" s="1" t="s">
        <v>8917</v>
      </c>
      <c r="W962" s="1" t="s">
        <v>74</v>
      </c>
      <c r="X962" s="1" t="s">
        <v>74</v>
      </c>
      <c r="Y962" s="1" t="s">
        <v>74</v>
      </c>
      <c r="Z962" s="1" t="s">
        <v>74</v>
      </c>
      <c r="AA962" s="1" t="s">
        <v>2072</v>
      </c>
      <c r="AB962" s="1" t="s">
        <v>74</v>
      </c>
      <c r="AC962" s="1" t="s">
        <v>74</v>
      </c>
      <c r="AD962" s="1" t="s">
        <v>74</v>
      </c>
      <c r="AE962" s="1" t="s">
        <v>74</v>
      </c>
      <c r="AF962" s="1" t="s">
        <v>74</v>
      </c>
      <c r="AG962" s="1" t="s">
        <v>74</v>
      </c>
      <c r="AH962" s="1" t="s">
        <v>74</v>
      </c>
      <c r="AI962" s="1" t="s">
        <v>74</v>
      </c>
      <c r="AJ962" s="1" t="s">
        <v>74</v>
      </c>
      <c r="AK962" s="1" t="s">
        <v>74</v>
      </c>
      <c r="AL962" s="1" t="s">
        <v>74</v>
      </c>
      <c r="AM962" s="1" t="s">
        <v>74</v>
      </c>
      <c r="AN962" s="1" t="s">
        <v>74</v>
      </c>
      <c r="AO962" s="1" t="s">
        <v>2044</v>
      </c>
      <c r="AP962" s="1" t="s">
        <v>74</v>
      </c>
      <c r="AQ962" s="1" t="s">
        <v>74</v>
      </c>
      <c r="AR962" s="1" t="s">
        <v>74</v>
      </c>
      <c r="AS962" s="1" t="s">
        <v>74</v>
      </c>
      <c r="AT962" s="1" t="s">
        <v>6292</v>
      </c>
      <c r="AU962" s="1">
        <v>1996.0</v>
      </c>
      <c r="AV962" s="1">
        <v>327.0</v>
      </c>
      <c r="AW962" s="1">
        <v>1.0</v>
      </c>
      <c r="AX962" s="1" t="s">
        <v>74</v>
      </c>
      <c r="AY962" s="1" t="s">
        <v>74</v>
      </c>
      <c r="AZ962" s="1" t="s">
        <v>74</v>
      </c>
      <c r="BA962" s="1" t="s">
        <v>74</v>
      </c>
      <c r="BB962" s="1">
        <v>123.0</v>
      </c>
      <c r="BC962" s="1">
        <v>130.0</v>
      </c>
      <c r="BD962" s="1" t="s">
        <v>74</v>
      </c>
      <c r="BE962" s="1" t="s">
        <v>8918</v>
      </c>
      <c r="BF962" s="2" t="str">
        <f>HYPERLINK("http://dx.doi.org/10.1006/abbi.1996.0100","http://dx.doi.org/10.1006/abbi.1996.0100")</f>
        <v>http://dx.doi.org/10.1006/abbi.1996.0100</v>
      </c>
      <c r="BG962" s="1" t="s">
        <v>74</v>
      </c>
      <c r="BH962" s="1" t="s">
        <v>74</v>
      </c>
      <c r="BI962" s="1" t="s">
        <v>74</v>
      </c>
      <c r="BJ962" s="1" t="s">
        <v>74</v>
      </c>
      <c r="BK962" s="1" t="s">
        <v>74</v>
      </c>
      <c r="BL962" s="1" t="s">
        <v>74</v>
      </c>
      <c r="BM962" s="1" t="s">
        <v>74</v>
      </c>
      <c r="BN962" s="1">
        <v>8615682.0</v>
      </c>
      <c r="BO962" s="1" t="s">
        <v>74</v>
      </c>
      <c r="BP962" s="1" t="s">
        <v>74</v>
      </c>
      <c r="BQ962" s="1" t="s">
        <v>74</v>
      </c>
      <c r="BR962" s="1" t="s">
        <v>74</v>
      </c>
      <c r="BS962" s="1" t="s">
        <v>8919</v>
      </c>
      <c r="BT962" s="1" t="str">
        <f>HYPERLINK("https%3A%2F%2Fwww.webofscience.com%2Fwos%2Fwoscc%2Ffull-record%2FWOS:A1996TY71600016","View Full Record in Web of Science")</f>
        <v>View Full Record in Web of Science</v>
      </c>
    </row>
    <row r="963" ht="12.75" customHeight="1">
      <c r="A963" s="1" t="s">
        <v>72</v>
      </c>
      <c r="B963" s="1" t="s">
        <v>8920</v>
      </c>
      <c r="C963" s="1" t="s">
        <v>74</v>
      </c>
      <c r="D963" s="1" t="s">
        <v>74</v>
      </c>
      <c r="E963" s="1" t="s">
        <v>74</v>
      </c>
      <c r="F963" s="1" t="s">
        <v>8920</v>
      </c>
      <c r="G963" s="1" t="s">
        <v>74</v>
      </c>
      <c r="H963" s="1" t="s">
        <v>74</v>
      </c>
      <c r="I963" s="1" t="s">
        <v>8921</v>
      </c>
      <c r="J963" s="1" t="s">
        <v>413</v>
      </c>
      <c r="K963" s="1" t="s">
        <v>74</v>
      </c>
      <c r="L963" s="1" t="s">
        <v>74</v>
      </c>
      <c r="M963" s="1" t="s">
        <v>74</v>
      </c>
      <c r="N963" s="1" t="s">
        <v>74</v>
      </c>
      <c r="O963" s="1" t="s">
        <v>74</v>
      </c>
      <c r="P963" s="1" t="s">
        <v>74</v>
      </c>
      <c r="Q963" s="1" t="s">
        <v>74</v>
      </c>
      <c r="R963" s="1" t="s">
        <v>74</v>
      </c>
      <c r="S963" s="1" t="s">
        <v>74</v>
      </c>
      <c r="T963" s="1" t="s">
        <v>74</v>
      </c>
      <c r="U963" s="1" t="s">
        <v>74</v>
      </c>
      <c r="V963" s="1" t="s">
        <v>74</v>
      </c>
      <c r="W963" s="1" t="s">
        <v>74</v>
      </c>
      <c r="X963" s="1" t="s">
        <v>74</v>
      </c>
      <c r="Y963" s="1" t="s">
        <v>74</v>
      </c>
      <c r="Z963" s="1" t="s">
        <v>74</v>
      </c>
      <c r="AA963" s="1" t="s">
        <v>74</v>
      </c>
      <c r="AB963" s="1" t="s">
        <v>74</v>
      </c>
      <c r="AC963" s="1" t="s">
        <v>74</v>
      </c>
      <c r="AD963" s="1" t="s">
        <v>74</v>
      </c>
      <c r="AE963" s="1" t="s">
        <v>74</v>
      </c>
      <c r="AF963" s="1" t="s">
        <v>74</v>
      </c>
      <c r="AG963" s="1" t="s">
        <v>74</v>
      </c>
      <c r="AH963" s="1" t="s">
        <v>74</v>
      </c>
      <c r="AI963" s="1" t="s">
        <v>74</v>
      </c>
      <c r="AJ963" s="1" t="s">
        <v>74</v>
      </c>
      <c r="AK963" s="1" t="s">
        <v>74</v>
      </c>
      <c r="AL963" s="1" t="s">
        <v>74</v>
      </c>
      <c r="AM963" s="1" t="s">
        <v>74</v>
      </c>
      <c r="AN963" s="1" t="s">
        <v>74</v>
      </c>
      <c r="AO963" s="1" t="s">
        <v>414</v>
      </c>
      <c r="AP963" s="1" t="s">
        <v>74</v>
      </c>
      <c r="AQ963" s="1" t="s">
        <v>74</v>
      </c>
      <c r="AR963" s="1" t="s">
        <v>74</v>
      </c>
      <c r="AS963" s="1" t="s">
        <v>74</v>
      </c>
      <c r="AT963" s="1" t="s">
        <v>379</v>
      </c>
      <c r="AU963" s="1">
        <v>1990.0</v>
      </c>
      <c r="AV963" s="1">
        <v>35.0</v>
      </c>
      <c r="AW963" s="1">
        <v>3.0</v>
      </c>
      <c r="AX963" s="1" t="s">
        <v>74</v>
      </c>
      <c r="AY963" s="1" t="s">
        <v>74</v>
      </c>
      <c r="AZ963" s="1" t="s">
        <v>74</v>
      </c>
      <c r="BA963" s="1" t="s">
        <v>74</v>
      </c>
      <c r="BB963" s="1">
        <v>243.0</v>
      </c>
      <c r="BC963" s="1">
        <v>256.0</v>
      </c>
      <c r="BD963" s="1" t="s">
        <v>74</v>
      </c>
      <c r="BE963" s="1" t="s">
        <v>74</v>
      </c>
      <c r="BF963" s="1" t="s">
        <v>74</v>
      </c>
      <c r="BG963" s="1" t="s">
        <v>74</v>
      </c>
      <c r="BH963" s="1" t="s">
        <v>74</v>
      </c>
      <c r="BI963" s="1" t="s">
        <v>74</v>
      </c>
      <c r="BJ963" s="1" t="s">
        <v>74</v>
      </c>
      <c r="BK963" s="1" t="s">
        <v>74</v>
      </c>
      <c r="BL963" s="1" t="s">
        <v>74</v>
      </c>
      <c r="BM963" s="1" t="s">
        <v>74</v>
      </c>
      <c r="BN963" s="1" t="s">
        <v>74</v>
      </c>
      <c r="BO963" s="1" t="s">
        <v>74</v>
      </c>
      <c r="BP963" s="1" t="s">
        <v>74</v>
      </c>
      <c r="BQ963" s="1" t="s">
        <v>74</v>
      </c>
      <c r="BR963" s="1" t="s">
        <v>74</v>
      </c>
      <c r="BS963" s="1" t="s">
        <v>8922</v>
      </c>
      <c r="BT963" s="1" t="str">
        <f>HYPERLINK("https%3A%2F%2Fwww.webofscience.com%2Fwos%2Fwoscc%2Ffull-record%2FWOS:A1990DZ69900003","View Full Record in Web of Science")</f>
        <v>View Full Record in Web of Science</v>
      </c>
    </row>
    <row r="964" ht="12.75" customHeight="1">
      <c r="A964" s="1" t="s">
        <v>72</v>
      </c>
      <c r="B964" s="1" t="s">
        <v>6384</v>
      </c>
      <c r="C964" s="1" t="s">
        <v>74</v>
      </c>
      <c r="D964" s="1" t="s">
        <v>74</v>
      </c>
      <c r="E964" s="1" t="s">
        <v>74</v>
      </c>
      <c r="F964" s="1" t="s">
        <v>6384</v>
      </c>
      <c r="G964" s="1" t="s">
        <v>74</v>
      </c>
      <c r="H964" s="1" t="s">
        <v>74</v>
      </c>
      <c r="I964" s="1" t="s">
        <v>8923</v>
      </c>
      <c r="J964" s="1" t="s">
        <v>6386</v>
      </c>
      <c r="K964" s="1" t="s">
        <v>74</v>
      </c>
      <c r="L964" s="1" t="s">
        <v>74</v>
      </c>
      <c r="M964" s="1" t="s">
        <v>74</v>
      </c>
      <c r="N964" s="1" t="s">
        <v>74</v>
      </c>
      <c r="O964" s="1" t="s">
        <v>74</v>
      </c>
      <c r="P964" s="1" t="s">
        <v>74</v>
      </c>
      <c r="Q964" s="1" t="s">
        <v>74</v>
      </c>
      <c r="R964" s="1" t="s">
        <v>74</v>
      </c>
      <c r="S964" s="1" t="s">
        <v>74</v>
      </c>
      <c r="T964" s="1" t="s">
        <v>74</v>
      </c>
      <c r="U964" s="1" t="s">
        <v>74</v>
      </c>
      <c r="V964" s="1" t="s">
        <v>74</v>
      </c>
      <c r="W964" s="1" t="s">
        <v>74</v>
      </c>
      <c r="X964" s="1" t="s">
        <v>74</v>
      </c>
      <c r="Y964" s="1" t="s">
        <v>74</v>
      </c>
      <c r="Z964" s="1" t="s">
        <v>74</v>
      </c>
      <c r="AA964" s="1" t="s">
        <v>74</v>
      </c>
      <c r="AB964" s="1" t="s">
        <v>74</v>
      </c>
      <c r="AC964" s="1" t="s">
        <v>74</v>
      </c>
      <c r="AD964" s="1" t="s">
        <v>74</v>
      </c>
      <c r="AE964" s="1" t="s">
        <v>74</v>
      </c>
      <c r="AF964" s="1" t="s">
        <v>74</v>
      </c>
      <c r="AG964" s="1" t="s">
        <v>74</v>
      </c>
      <c r="AH964" s="1" t="s">
        <v>74</v>
      </c>
      <c r="AI964" s="1" t="s">
        <v>74</v>
      </c>
      <c r="AJ964" s="1" t="s">
        <v>74</v>
      </c>
      <c r="AK964" s="1" t="s">
        <v>74</v>
      </c>
      <c r="AL964" s="1" t="s">
        <v>74</v>
      </c>
      <c r="AM964" s="1" t="s">
        <v>74</v>
      </c>
      <c r="AN964" s="1" t="s">
        <v>74</v>
      </c>
      <c r="AO964" s="1" t="s">
        <v>6387</v>
      </c>
      <c r="AP964" s="1" t="s">
        <v>74</v>
      </c>
      <c r="AQ964" s="1" t="s">
        <v>74</v>
      </c>
      <c r="AR964" s="1" t="s">
        <v>74</v>
      </c>
      <c r="AS964" s="1" t="s">
        <v>74</v>
      </c>
      <c r="AT964" s="1" t="s">
        <v>74</v>
      </c>
      <c r="AU964" s="1">
        <v>1986.0</v>
      </c>
      <c r="AV964" s="1">
        <v>25.0</v>
      </c>
      <c r="AW964" s="1">
        <v>3.0</v>
      </c>
      <c r="AX964" s="1" t="s">
        <v>74</v>
      </c>
      <c r="AY964" s="1" t="s">
        <v>74</v>
      </c>
      <c r="AZ964" s="1" t="s">
        <v>74</v>
      </c>
      <c r="BA964" s="1" t="s">
        <v>74</v>
      </c>
      <c r="BB964" s="1">
        <v>337.0</v>
      </c>
      <c r="BC964" s="1">
        <v>352.0</v>
      </c>
      <c r="BD964" s="1" t="s">
        <v>74</v>
      </c>
      <c r="BE964" s="1" t="s">
        <v>8924</v>
      </c>
      <c r="BF964" s="2" t="str">
        <f>HYPERLINK("http://dx.doi.org/10.1016/0040-9383(86)90048-0","http://dx.doi.org/10.1016/0040-9383(86)90048-0")</f>
        <v>http://dx.doi.org/10.1016/0040-9383(86)90048-0</v>
      </c>
      <c r="BG964" s="1" t="s">
        <v>74</v>
      </c>
      <c r="BH964" s="1" t="s">
        <v>74</v>
      </c>
      <c r="BI964" s="1" t="s">
        <v>74</v>
      </c>
      <c r="BJ964" s="1" t="s">
        <v>74</v>
      </c>
      <c r="BK964" s="1" t="s">
        <v>74</v>
      </c>
      <c r="BL964" s="1" t="s">
        <v>74</v>
      </c>
      <c r="BM964" s="1" t="s">
        <v>74</v>
      </c>
      <c r="BN964" s="1" t="s">
        <v>74</v>
      </c>
      <c r="BO964" s="1" t="s">
        <v>74</v>
      </c>
      <c r="BP964" s="1" t="s">
        <v>74</v>
      </c>
      <c r="BQ964" s="1" t="s">
        <v>74</v>
      </c>
      <c r="BR964" s="1" t="s">
        <v>74</v>
      </c>
      <c r="BS964" s="1" t="s">
        <v>8925</v>
      </c>
      <c r="BT964" s="1" t="str">
        <f>HYPERLINK("https%3A%2F%2Fwww.webofscience.com%2Fwos%2Fwoscc%2Ffull-record%2FWOS:A1986C791500006","View Full Record in Web of Science")</f>
        <v>View Full Record in Web of Science</v>
      </c>
    </row>
    <row r="965" ht="12.75" customHeight="1">
      <c r="A965" s="1" t="s">
        <v>72</v>
      </c>
      <c r="B965" s="1" t="s">
        <v>8926</v>
      </c>
      <c r="C965" s="1" t="s">
        <v>74</v>
      </c>
      <c r="D965" s="1" t="s">
        <v>74</v>
      </c>
      <c r="E965" s="1" t="s">
        <v>74</v>
      </c>
      <c r="F965" s="1" t="s">
        <v>8927</v>
      </c>
      <c r="G965" s="1" t="s">
        <v>74</v>
      </c>
      <c r="H965" s="1" t="s">
        <v>74</v>
      </c>
      <c r="I965" s="1" t="s">
        <v>8928</v>
      </c>
      <c r="J965" s="1" t="s">
        <v>1355</v>
      </c>
      <c r="K965" s="1" t="s">
        <v>74</v>
      </c>
      <c r="L965" s="1" t="s">
        <v>74</v>
      </c>
      <c r="M965" s="1" t="s">
        <v>74</v>
      </c>
      <c r="N965" s="1" t="s">
        <v>74</v>
      </c>
      <c r="O965" s="1" t="s">
        <v>74</v>
      </c>
      <c r="P965" s="1" t="s">
        <v>74</v>
      </c>
      <c r="Q965" s="1" t="s">
        <v>74</v>
      </c>
      <c r="R965" s="1" t="s">
        <v>74</v>
      </c>
      <c r="S965" s="1" t="s">
        <v>74</v>
      </c>
      <c r="T965" s="1" t="s">
        <v>74</v>
      </c>
      <c r="U965" s="1" t="s">
        <v>74</v>
      </c>
      <c r="V965" s="1" t="s">
        <v>8929</v>
      </c>
      <c r="W965" s="1" t="s">
        <v>74</v>
      </c>
      <c r="X965" s="1" t="s">
        <v>74</v>
      </c>
      <c r="Y965" s="1" t="s">
        <v>74</v>
      </c>
      <c r="Z965" s="1" t="s">
        <v>74</v>
      </c>
      <c r="AA965" s="1" t="s">
        <v>2437</v>
      </c>
      <c r="AB965" s="1" t="s">
        <v>74</v>
      </c>
      <c r="AC965" s="1" t="s">
        <v>74</v>
      </c>
      <c r="AD965" s="1" t="s">
        <v>74</v>
      </c>
      <c r="AE965" s="1" t="s">
        <v>74</v>
      </c>
      <c r="AF965" s="1" t="s">
        <v>74</v>
      </c>
      <c r="AG965" s="1" t="s">
        <v>74</v>
      </c>
      <c r="AH965" s="1" t="s">
        <v>74</v>
      </c>
      <c r="AI965" s="1" t="s">
        <v>74</v>
      </c>
      <c r="AJ965" s="1" t="s">
        <v>74</v>
      </c>
      <c r="AK965" s="1" t="s">
        <v>74</v>
      </c>
      <c r="AL965" s="1" t="s">
        <v>74</v>
      </c>
      <c r="AM965" s="1" t="s">
        <v>74</v>
      </c>
      <c r="AN965" s="1" t="s">
        <v>74</v>
      </c>
      <c r="AO965" s="1" t="s">
        <v>1359</v>
      </c>
      <c r="AP965" s="1" t="s">
        <v>1360</v>
      </c>
      <c r="AQ965" s="1" t="s">
        <v>74</v>
      </c>
      <c r="AR965" s="1" t="s">
        <v>74</v>
      </c>
      <c r="AS965" s="1" t="s">
        <v>74</v>
      </c>
      <c r="AT965" s="1" t="s">
        <v>5869</v>
      </c>
      <c r="AU965" s="1">
        <v>2025.0</v>
      </c>
      <c r="AV965" s="1">
        <v>217.0</v>
      </c>
      <c r="AW965" s="1" t="s">
        <v>74</v>
      </c>
      <c r="AX965" s="1" t="s">
        <v>74</v>
      </c>
      <c r="AY965" s="1" t="s">
        <v>74</v>
      </c>
      <c r="AZ965" s="1" t="s">
        <v>74</v>
      </c>
      <c r="BA965" s="1" t="s">
        <v>74</v>
      </c>
      <c r="BB965" s="1" t="s">
        <v>74</v>
      </c>
      <c r="BC965" s="1" t="s">
        <v>74</v>
      </c>
      <c r="BD965" s="1">
        <v>117380.0</v>
      </c>
      <c r="BE965" s="1" t="s">
        <v>8930</v>
      </c>
      <c r="BF965" s="2" t="str">
        <f>HYPERLINK("http://dx.doi.org/10.1016/j.lwt.2025.117380","http://dx.doi.org/10.1016/j.lwt.2025.117380")</f>
        <v>http://dx.doi.org/10.1016/j.lwt.2025.117380</v>
      </c>
      <c r="BG965" s="1" t="s">
        <v>74</v>
      </c>
      <c r="BH965" s="1" t="s">
        <v>3537</v>
      </c>
      <c r="BI965" s="1" t="s">
        <v>74</v>
      </c>
      <c r="BJ965" s="1" t="s">
        <v>74</v>
      </c>
      <c r="BK965" s="1" t="s">
        <v>74</v>
      </c>
      <c r="BL965" s="1" t="s">
        <v>74</v>
      </c>
      <c r="BM965" s="1" t="s">
        <v>74</v>
      </c>
      <c r="BN965" s="1" t="s">
        <v>74</v>
      </c>
      <c r="BO965" s="1" t="s">
        <v>74</v>
      </c>
      <c r="BP965" s="1" t="s">
        <v>74</v>
      </c>
      <c r="BQ965" s="1" t="s">
        <v>74</v>
      </c>
      <c r="BR965" s="1" t="s">
        <v>74</v>
      </c>
      <c r="BS965" s="1" t="s">
        <v>8931</v>
      </c>
      <c r="BT965" s="1" t="str">
        <f>HYPERLINK("https%3A%2F%2Fwww.webofscience.com%2Fwos%2Fwoscc%2Ffull-record%2FWOS:001411376800001","View Full Record in Web of Science")</f>
        <v>View Full Record in Web of Science</v>
      </c>
    </row>
    <row r="966" ht="12.75" customHeight="1">
      <c r="A966" s="1" t="s">
        <v>72</v>
      </c>
      <c r="B966" s="1" t="s">
        <v>8932</v>
      </c>
      <c r="C966" s="1" t="s">
        <v>74</v>
      </c>
      <c r="D966" s="1" t="s">
        <v>74</v>
      </c>
      <c r="E966" s="1" t="s">
        <v>74</v>
      </c>
      <c r="F966" s="1" t="s">
        <v>8933</v>
      </c>
      <c r="G966" s="1" t="s">
        <v>74</v>
      </c>
      <c r="H966" s="1" t="s">
        <v>74</v>
      </c>
      <c r="I966" s="1" t="s">
        <v>8934</v>
      </c>
      <c r="J966" s="1" t="s">
        <v>360</v>
      </c>
      <c r="K966" s="1" t="s">
        <v>74</v>
      </c>
      <c r="L966" s="1" t="s">
        <v>74</v>
      </c>
      <c r="M966" s="1" t="s">
        <v>74</v>
      </c>
      <c r="N966" s="1" t="s">
        <v>74</v>
      </c>
      <c r="O966" s="1" t="s">
        <v>74</v>
      </c>
      <c r="P966" s="1" t="s">
        <v>74</v>
      </c>
      <c r="Q966" s="1" t="s">
        <v>74</v>
      </c>
      <c r="R966" s="1" t="s">
        <v>74</v>
      </c>
      <c r="S966" s="1" t="s">
        <v>74</v>
      </c>
      <c r="T966" s="1" t="s">
        <v>74</v>
      </c>
      <c r="U966" s="1" t="s">
        <v>74</v>
      </c>
      <c r="V966" s="1" t="s">
        <v>8935</v>
      </c>
      <c r="W966" s="1" t="s">
        <v>74</v>
      </c>
      <c r="X966" s="1" t="s">
        <v>74</v>
      </c>
      <c r="Y966" s="1" t="s">
        <v>74</v>
      </c>
      <c r="Z966" s="1" t="s">
        <v>74</v>
      </c>
      <c r="AA966" s="1" t="s">
        <v>8936</v>
      </c>
      <c r="AB966" s="1" t="s">
        <v>74</v>
      </c>
      <c r="AC966" s="1" t="s">
        <v>74</v>
      </c>
      <c r="AD966" s="1" t="s">
        <v>74</v>
      </c>
      <c r="AE966" s="1" t="s">
        <v>74</v>
      </c>
      <c r="AF966" s="1" t="s">
        <v>74</v>
      </c>
      <c r="AG966" s="1" t="s">
        <v>74</v>
      </c>
      <c r="AH966" s="1" t="s">
        <v>74</v>
      </c>
      <c r="AI966" s="1" t="s">
        <v>74</v>
      </c>
      <c r="AJ966" s="1" t="s">
        <v>74</v>
      </c>
      <c r="AK966" s="1" t="s">
        <v>74</v>
      </c>
      <c r="AL966" s="1" t="s">
        <v>74</v>
      </c>
      <c r="AM966" s="1" t="s">
        <v>74</v>
      </c>
      <c r="AN966" s="1" t="s">
        <v>74</v>
      </c>
      <c r="AO966" s="1" t="s">
        <v>362</v>
      </c>
      <c r="AP966" s="1" t="s">
        <v>833</v>
      </c>
      <c r="AQ966" s="1" t="s">
        <v>74</v>
      </c>
      <c r="AR966" s="1" t="s">
        <v>74</v>
      </c>
      <c r="AS966" s="1" t="s">
        <v>74</v>
      </c>
      <c r="AT966" s="1" t="s">
        <v>621</v>
      </c>
      <c r="AU966" s="1">
        <v>2024.0</v>
      </c>
      <c r="AV966" s="1">
        <v>152.0</v>
      </c>
      <c r="AW966" s="1">
        <v>7.0</v>
      </c>
      <c r="AX966" s="1" t="s">
        <v>74</v>
      </c>
      <c r="AY966" s="1" t="s">
        <v>74</v>
      </c>
      <c r="AZ966" s="1" t="s">
        <v>74</v>
      </c>
      <c r="BA966" s="1" t="s">
        <v>74</v>
      </c>
      <c r="BB966" s="1">
        <v>748.0</v>
      </c>
      <c r="BC966" s="1">
        <v>758.0</v>
      </c>
      <c r="BD966" s="1" t="s">
        <v>74</v>
      </c>
      <c r="BE966" s="1" t="s">
        <v>8937</v>
      </c>
      <c r="BF966" s="2" t="str">
        <f>HYPERLINK("http://dx.doi.org/10.4067/s0034-9887202400070","http://dx.doi.org/10.4067/s0034-9887202400070")</f>
        <v>http://dx.doi.org/10.4067/s0034-9887202400070</v>
      </c>
      <c r="BG966" s="1" t="s">
        <v>74</v>
      </c>
      <c r="BH966" s="1" t="s">
        <v>74</v>
      </c>
      <c r="BI966" s="1" t="s">
        <v>74</v>
      </c>
      <c r="BJ966" s="1" t="s">
        <v>74</v>
      </c>
      <c r="BK966" s="1" t="s">
        <v>74</v>
      </c>
      <c r="BL966" s="1" t="s">
        <v>74</v>
      </c>
      <c r="BM966" s="1" t="s">
        <v>74</v>
      </c>
      <c r="BN966" s="1">
        <v>3.9760544E7</v>
      </c>
      <c r="BO966" s="1" t="s">
        <v>74</v>
      </c>
      <c r="BP966" s="1" t="s">
        <v>74</v>
      </c>
      <c r="BQ966" s="1" t="s">
        <v>74</v>
      </c>
      <c r="BR966" s="1" t="s">
        <v>74</v>
      </c>
      <c r="BS966" s="1" t="s">
        <v>8938</v>
      </c>
      <c r="BT966" s="1" t="str">
        <f>HYPERLINK("https%3A%2F%2Fwww.webofscience.com%2Fwos%2Fwoscc%2Ffull-record%2FWOS:001358098900001","View Full Record in Web of Science")</f>
        <v>View Full Record in Web of Science</v>
      </c>
    </row>
    <row r="967" ht="12.75" customHeight="1">
      <c r="A967" s="1" t="s">
        <v>72</v>
      </c>
      <c r="B967" s="1" t="s">
        <v>8939</v>
      </c>
      <c r="C967" s="1" t="s">
        <v>74</v>
      </c>
      <c r="D967" s="1" t="s">
        <v>74</v>
      </c>
      <c r="E967" s="1" t="s">
        <v>74</v>
      </c>
      <c r="F967" s="1" t="s">
        <v>8940</v>
      </c>
      <c r="G967" s="1" t="s">
        <v>74</v>
      </c>
      <c r="H967" s="1" t="s">
        <v>74</v>
      </c>
      <c r="I967" s="1" t="s">
        <v>8941</v>
      </c>
      <c r="J967" s="1" t="s">
        <v>6581</v>
      </c>
      <c r="K967" s="1" t="s">
        <v>74</v>
      </c>
      <c r="L967" s="1" t="s">
        <v>74</v>
      </c>
      <c r="M967" s="1" t="s">
        <v>74</v>
      </c>
      <c r="N967" s="1" t="s">
        <v>74</v>
      </c>
      <c r="O967" s="1" t="s">
        <v>74</v>
      </c>
      <c r="P967" s="1" t="s">
        <v>74</v>
      </c>
      <c r="Q967" s="1" t="s">
        <v>74</v>
      </c>
      <c r="R967" s="1" t="s">
        <v>74</v>
      </c>
      <c r="S967" s="1" t="s">
        <v>74</v>
      </c>
      <c r="T967" s="1" t="s">
        <v>74</v>
      </c>
      <c r="U967" s="1" t="s">
        <v>74</v>
      </c>
      <c r="V967" s="1" t="s">
        <v>8942</v>
      </c>
      <c r="W967" s="1" t="s">
        <v>74</v>
      </c>
      <c r="X967" s="1" t="s">
        <v>74</v>
      </c>
      <c r="Y967" s="1" t="s">
        <v>74</v>
      </c>
      <c r="Z967" s="1" t="s">
        <v>74</v>
      </c>
      <c r="AA967" s="1" t="s">
        <v>8943</v>
      </c>
      <c r="AB967" s="1" t="s">
        <v>74</v>
      </c>
      <c r="AC967" s="1" t="s">
        <v>74</v>
      </c>
      <c r="AD967" s="1" t="s">
        <v>74</v>
      </c>
      <c r="AE967" s="1" t="s">
        <v>74</v>
      </c>
      <c r="AF967" s="1" t="s">
        <v>74</v>
      </c>
      <c r="AG967" s="1" t="s">
        <v>74</v>
      </c>
      <c r="AH967" s="1" t="s">
        <v>74</v>
      </c>
      <c r="AI967" s="1" t="s">
        <v>74</v>
      </c>
      <c r="AJ967" s="1" t="s">
        <v>74</v>
      </c>
      <c r="AK967" s="1" t="s">
        <v>74</v>
      </c>
      <c r="AL967" s="1" t="s">
        <v>74</v>
      </c>
      <c r="AM967" s="1" t="s">
        <v>74</v>
      </c>
      <c r="AN967" s="1" t="s">
        <v>74</v>
      </c>
      <c r="AO967" s="1" t="s">
        <v>6584</v>
      </c>
      <c r="AP967" s="1" t="s">
        <v>6585</v>
      </c>
      <c r="AQ967" s="1" t="s">
        <v>74</v>
      </c>
      <c r="AR967" s="1" t="s">
        <v>74</v>
      </c>
      <c r="AS967" s="1" t="s">
        <v>74</v>
      </c>
      <c r="AT967" s="1" t="s">
        <v>8944</v>
      </c>
      <c r="AU967" s="1">
        <v>2024.0</v>
      </c>
      <c r="AV967" s="1">
        <v>97.0</v>
      </c>
      <c r="AW967" s="1">
        <v>1.0</v>
      </c>
      <c r="AX967" s="1" t="s">
        <v>74</v>
      </c>
      <c r="AY967" s="1" t="s">
        <v>74</v>
      </c>
      <c r="AZ967" s="1" t="s">
        <v>74</v>
      </c>
      <c r="BA967" s="1" t="s">
        <v>74</v>
      </c>
      <c r="BB967" s="1" t="s">
        <v>74</v>
      </c>
      <c r="BC967" s="1" t="s">
        <v>74</v>
      </c>
      <c r="BD967" s="1">
        <v>5.0</v>
      </c>
      <c r="BE967" s="1" t="s">
        <v>8945</v>
      </c>
      <c r="BF967" s="2" t="str">
        <f>HYPERLINK("http://dx.doi.org/10.1186/s40693-024-00128-6","http://dx.doi.org/10.1186/s40693-024-00128-6")</f>
        <v>http://dx.doi.org/10.1186/s40693-024-00128-6</v>
      </c>
      <c r="BG967" s="1" t="s">
        <v>74</v>
      </c>
      <c r="BH967" s="1" t="s">
        <v>74</v>
      </c>
      <c r="BI967" s="1" t="s">
        <v>74</v>
      </c>
      <c r="BJ967" s="1" t="s">
        <v>74</v>
      </c>
      <c r="BK967" s="1" t="s">
        <v>74</v>
      </c>
      <c r="BL967" s="1" t="s">
        <v>74</v>
      </c>
      <c r="BM967" s="1" t="s">
        <v>74</v>
      </c>
      <c r="BN967" s="1" t="s">
        <v>74</v>
      </c>
      <c r="BO967" s="1" t="s">
        <v>74</v>
      </c>
      <c r="BP967" s="1" t="s">
        <v>74</v>
      </c>
      <c r="BQ967" s="1" t="s">
        <v>74</v>
      </c>
      <c r="BR967" s="1" t="s">
        <v>74</v>
      </c>
      <c r="BS967" s="1" t="s">
        <v>8946</v>
      </c>
      <c r="BT967" s="1" t="str">
        <f>HYPERLINK("https%3A%2F%2Fwww.webofscience.com%2Fwos%2Fwoscc%2Ffull-record%2FWOS:001335966300001","View Full Record in Web of Science")</f>
        <v>View Full Record in Web of Science</v>
      </c>
    </row>
    <row r="968" ht="12.75" customHeight="1">
      <c r="A968" s="1" t="s">
        <v>72</v>
      </c>
      <c r="B968" s="1" t="s">
        <v>8947</v>
      </c>
      <c r="C968" s="1" t="s">
        <v>74</v>
      </c>
      <c r="D968" s="1" t="s">
        <v>74</v>
      </c>
      <c r="E968" s="1" t="s">
        <v>74</v>
      </c>
      <c r="F968" s="1" t="s">
        <v>8948</v>
      </c>
      <c r="G968" s="1" t="s">
        <v>74</v>
      </c>
      <c r="H968" s="1" t="s">
        <v>74</v>
      </c>
      <c r="I968" s="1" t="s">
        <v>8949</v>
      </c>
      <c r="J968" s="1" t="s">
        <v>3968</v>
      </c>
      <c r="K968" s="1" t="s">
        <v>74</v>
      </c>
      <c r="L968" s="1" t="s">
        <v>74</v>
      </c>
      <c r="M968" s="1" t="s">
        <v>74</v>
      </c>
      <c r="N968" s="1" t="s">
        <v>74</v>
      </c>
      <c r="O968" s="1" t="s">
        <v>74</v>
      </c>
      <c r="P968" s="1" t="s">
        <v>74</v>
      </c>
      <c r="Q968" s="1" t="s">
        <v>74</v>
      </c>
      <c r="R968" s="1" t="s">
        <v>74</v>
      </c>
      <c r="S968" s="1" t="s">
        <v>74</v>
      </c>
      <c r="T968" s="1" t="s">
        <v>74</v>
      </c>
      <c r="U968" s="1" t="s">
        <v>74</v>
      </c>
      <c r="V968" s="1" t="s">
        <v>8950</v>
      </c>
      <c r="W968" s="1" t="s">
        <v>74</v>
      </c>
      <c r="X968" s="1" t="s">
        <v>74</v>
      </c>
      <c r="Y968" s="1" t="s">
        <v>74</v>
      </c>
      <c r="Z968" s="1" t="s">
        <v>74</v>
      </c>
      <c r="AA968" s="1" t="s">
        <v>8951</v>
      </c>
      <c r="AB968" s="1" t="s">
        <v>8952</v>
      </c>
      <c r="AC968" s="1" t="s">
        <v>74</v>
      </c>
      <c r="AD968" s="1" t="s">
        <v>74</v>
      </c>
      <c r="AE968" s="1" t="s">
        <v>74</v>
      </c>
      <c r="AF968" s="1" t="s">
        <v>74</v>
      </c>
      <c r="AG968" s="1" t="s">
        <v>74</v>
      </c>
      <c r="AH968" s="1" t="s">
        <v>74</v>
      </c>
      <c r="AI968" s="1" t="s">
        <v>74</v>
      </c>
      <c r="AJ968" s="1" t="s">
        <v>74</v>
      </c>
      <c r="AK968" s="1" t="s">
        <v>74</v>
      </c>
      <c r="AL968" s="1" t="s">
        <v>74</v>
      </c>
      <c r="AM968" s="1" t="s">
        <v>74</v>
      </c>
      <c r="AN968" s="1" t="s">
        <v>74</v>
      </c>
      <c r="AO968" s="1" t="s">
        <v>3971</v>
      </c>
      <c r="AP968" s="1" t="s">
        <v>3972</v>
      </c>
      <c r="AQ968" s="1" t="s">
        <v>74</v>
      </c>
      <c r="AR968" s="1" t="s">
        <v>74</v>
      </c>
      <c r="AS968" s="1" t="s">
        <v>74</v>
      </c>
      <c r="AT968" s="1" t="s">
        <v>144</v>
      </c>
      <c r="AU968" s="1">
        <v>2024.0</v>
      </c>
      <c r="AV968" s="1">
        <v>189.0</v>
      </c>
      <c r="AW968" s="1" t="s">
        <v>74</v>
      </c>
      <c r="AX968" s="1" t="s">
        <v>74</v>
      </c>
      <c r="AY968" s="1" t="s">
        <v>74</v>
      </c>
      <c r="AZ968" s="1" t="s">
        <v>74</v>
      </c>
      <c r="BA968" s="1" t="s">
        <v>74</v>
      </c>
      <c r="BB968" s="1" t="s">
        <v>74</v>
      </c>
      <c r="BC968" s="1" t="s">
        <v>74</v>
      </c>
      <c r="BD968" s="1">
        <v>109937.0</v>
      </c>
      <c r="BE968" s="1" t="s">
        <v>8953</v>
      </c>
      <c r="BF968" s="2" t="str">
        <f>HYPERLINK("http://dx.doi.org/10.1016/j.cie.2024.109937","http://dx.doi.org/10.1016/j.cie.2024.109937")</f>
        <v>http://dx.doi.org/10.1016/j.cie.2024.109937</v>
      </c>
      <c r="BG968" s="1" t="s">
        <v>74</v>
      </c>
      <c r="BH968" s="1" t="s">
        <v>7665</v>
      </c>
      <c r="BI968" s="1" t="s">
        <v>74</v>
      </c>
      <c r="BJ968" s="1" t="s">
        <v>74</v>
      </c>
      <c r="BK968" s="1" t="s">
        <v>74</v>
      </c>
      <c r="BL968" s="1" t="s">
        <v>74</v>
      </c>
      <c r="BM968" s="1" t="s">
        <v>74</v>
      </c>
      <c r="BN968" s="1" t="s">
        <v>74</v>
      </c>
      <c r="BO968" s="1" t="s">
        <v>74</v>
      </c>
      <c r="BP968" s="1" t="s">
        <v>74</v>
      </c>
      <c r="BQ968" s="1" t="s">
        <v>74</v>
      </c>
      <c r="BR968" s="1" t="s">
        <v>74</v>
      </c>
      <c r="BS968" s="1" t="s">
        <v>8954</v>
      </c>
      <c r="BT968" s="1" t="str">
        <f>HYPERLINK("https%3A%2F%2Fwww.webofscience.com%2Fwos%2Fwoscc%2Ffull-record%2FWOS:001202322400001","View Full Record in Web of Science")</f>
        <v>View Full Record in Web of Science</v>
      </c>
    </row>
    <row r="969" ht="12.75" customHeight="1">
      <c r="A969" s="1" t="s">
        <v>72</v>
      </c>
      <c r="B969" s="1" t="s">
        <v>8955</v>
      </c>
      <c r="C969" s="1" t="s">
        <v>74</v>
      </c>
      <c r="D969" s="1" t="s">
        <v>74</v>
      </c>
      <c r="E969" s="1" t="s">
        <v>74</v>
      </c>
      <c r="F969" s="1" t="s">
        <v>8956</v>
      </c>
      <c r="G969" s="1" t="s">
        <v>74</v>
      </c>
      <c r="H969" s="1" t="s">
        <v>74</v>
      </c>
      <c r="I969" s="1" t="s">
        <v>8957</v>
      </c>
      <c r="J969" s="1" t="s">
        <v>8958</v>
      </c>
      <c r="K969" s="1" t="s">
        <v>74</v>
      </c>
      <c r="L969" s="1" t="s">
        <v>74</v>
      </c>
      <c r="M969" s="1" t="s">
        <v>74</v>
      </c>
      <c r="N969" s="1" t="s">
        <v>74</v>
      </c>
      <c r="O969" s="1" t="s">
        <v>74</v>
      </c>
      <c r="P969" s="1" t="s">
        <v>74</v>
      </c>
      <c r="Q969" s="1" t="s">
        <v>74</v>
      </c>
      <c r="R969" s="1" t="s">
        <v>74</v>
      </c>
      <c r="S969" s="1" t="s">
        <v>74</v>
      </c>
      <c r="T969" s="1" t="s">
        <v>74</v>
      </c>
      <c r="U969" s="1" t="s">
        <v>74</v>
      </c>
      <c r="V969" s="1" t="s">
        <v>8959</v>
      </c>
      <c r="W969" s="1" t="s">
        <v>74</v>
      </c>
      <c r="X969" s="1" t="s">
        <v>74</v>
      </c>
      <c r="Y969" s="1" t="s">
        <v>74</v>
      </c>
      <c r="Z969" s="1" t="s">
        <v>74</v>
      </c>
      <c r="AA969" s="1" t="s">
        <v>8960</v>
      </c>
      <c r="AB969" s="1" t="s">
        <v>766</v>
      </c>
      <c r="AC969" s="1" t="s">
        <v>74</v>
      </c>
      <c r="AD969" s="1" t="s">
        <v>74</v>
      </c>
      <c r="AE969" s="1" t="s">
        <v>74</v>
      </c>
      <c r="AF969" s="1" t="s">
        <v>74</v>
      </c>
      <c r="AG969" s="1" t="s">
        <v>74</v>
      </c>
      <c r="AH969" s="1" t="s">
        <v>74</v>
      </c>
      <c r="AI969" s="1" t="s">
        <v>74</v>
      </c>
      <c r="AJ969" s="1" t="s">
        <v>74</v>
      </c>
      <c r="AK969" s="1" t="s">
        <v>74</v>
      </c>
      <c r="AL969" s="1" t="s">
        <v>74</v>
      </c>
      <c r="AM969" s="1" t="s">
        <v>74</v>
      </c>
      <c r="AN969" s="1" t="s">
        <v>74</v>
      </c>
      <c r="AO969" s="1" t="s">
        <v>74</v>
      </c>
      <c r="AP969" s="1" t="s">
        <v>8961</v>
      </c>
      <c r="AQ969" s="1" t="s">
        <v>74</v>
      </c>
      <c r="AR969" s="1" t="s">
        <v>74</v>
      </c>
      <c r="AS969" s="1" t="s">
        <v>74</v>
      </c>
      <c r="AT969" s="1" t="s">
        <v>8962</v>
      </c>
      <c r="AU969" s="1">
        <v>2023.0</v>
      </c>
      <c r="AV969" s="1">
        <v>9.0</v>
      </c>
      <c r="AW969" s="1" t="s">
        <v>74</v>
      </c>
      <c r="AX969" s="1" t="s">
        <v>74</v>
      </c>
      <c r="AY969" s="1" t="s">
        <v>74</v>
      </c>
      <c r="AZ969" s="1" t="s">
        <v>74</v>
      </c>
      <c r="BA969" s="1" t="s">
        <v>74</v>
      </c>
      <c r="BB969" s="1" t="s">
        <v>74</v>
      </c>
      <c r="BC969" s="1" t="s">
        <v>74</v>
      </c>
      <c r="BD969" s="1">
        <v>1255845.0</v>
      </c>
      <c r="BE969" s="1" t="s">
        <v>8963</v>
      </c>
      <c r="BF969" s="2" t="str">
        <f>HYPERLINK("http://dx.doi.org/10.3389/fbuil.2023.1255845","http://dx.doi.org/10.3389/fbuil.2023.1255845")</f>
        <v>http://dx.doi.org/10.3389/fbuil.2023.1255845</v>
      </c>
      <c r="BG969" s="1" t="s">
        <v>74</v>
      </c>
      <c r="BH969" s="1" t="s">
        <v>74</v>
      </c>
      <c r="BI969" s="1" t="s">
        <v>74</v>
      </c>
      <c r="BJ969" s="1" t="s">
        <v>74</v>
      </c>
      <c r="BK969" s="1" t="s">
        <v>74</v>
      </c>
      <c r="BL969" s="1" t="s">
        <v>74</v>
      </c>
      <c r="BM969" s="1" t="s">
        <v>74</v>
      </c>
      <c r="BN969" s="1" t="s">
        <v>74</v>
      </c>
      <c r="BO969" s="1" t="s">
        <v>74</v>
      </c>
      <c r="BP969" s="1" t="s">
        <v>74</v>
      </c>
      <c r="BQ969" s="1" t="s">
        <v>74</v>
      </c>
      <c r="BR969" s="1" t="s">
        <v>74</v>
      </c>
      <c r="BS969" s="1" t="s">
        <v>8964</v>
      </c>
      <c r="BT969" s="1" t="str">
        <f>HYPERLINK("https%3A%2F%2Fwww.webofscience.com%2Fwos%2Fwoscc%2Ffull-record%2FWOS:001134734000001","View Full Record in Web of Science")</f>
        <v>View Full Record in Web of Science</v>
      </c>
    </row>
    <row r="970" ht="12.75" customHeight="1">
      <c r="A970" s="1" t="s">
        <v>72</v>
      </c>
      <c r="B970" s="1" t="s">
        <v>8965</v>
      </c>
      <c r="C970" s="1" t="s">
        <v>74</v>
      </c>
      <c r="D970" s="1" t="s">
        <v>74</v>
      </c>
      <c r="E970" s="1" t="s">
        <v>74</v>
      </c>
      <c r="F970" s="1" t="s">
        <v>8966</v>
      </c>
      <c r="G970" s="1" t="s">
        <v>74</v>
      </c>
      <c r="H970" s="1" t="s">
        <v>74</v>
      </c>
      <c r="I970" s="1" t="s">
        <v>8967</v>
      </c>
      <c r="J970" s="1" t="s">
        <v>8968</v>
      </c>
      <c r="K970" s="1" t="s">
        <v>74</v>
      </c>
      <c r="L970" s="1" t="s">
        <v>74</v>
      </c>
      <c r="M970" s="1" t="s">
        <v>74</v>
      </c>
      <c r="N970" s="1" t="s">
        <v>74</v>
      </c>
      <c r="O970" s="1" t="s">
        <v>74</v>
      </c>
      <c r="P970" s="1" t="s">
        <v>74</v>
      </c>
      <c r="Q970" s="1" t="s">
        <v>74</v>
      </c>
      <c r="R970" s="1" t="s">
        <v>74</v>
      </c>
      <c r="S970" s="1" t="s">
        <v>74</v>
      </c>
      <c r="T970" s="1" t="s">
        <v>74</v>
      </c>
      <c r="U970" s="1" t="s">
        <v>74</v>
      </c>
      <c r="V970" s="1" t="s">
        <v>8969</v>
      </c>
      <c r="W970" s="1" t="s">
        <v>74</v>
      </c>
      <c r="X970" s="1" t="s">
        <v>74</v>
      </c>
      <c r="Y970" s="1" t="s">
        <v>74</v>
      </c>
      <c r="Z970" s="1" t="s">
        <v>74</v>
      </c>
      <c r="AA970" s="1" t="s">
        <v>6395</v>
      </c>
      <c r="AB970" s="1" t="s">
        <v>8970</v>
      </c>
      <c r="AC970" s="1" t="s">
        <v>74</v>
      </c>
      <c r="AD970" s="1" t="s">
        <v>74</v>
      </c>
      <c r="AE970" s="1" t="s">
        <v>74</v>
      </c>
      <c r="AF970" s="1" t="s">
        <v>74</v>
      </c>
      <c r="AG970" s="1" t="s">
        <v>74</v>
      </c>
      <c r="AH970" s="1" t="s">
        <v>74</v>
      </c>
      <c r="AI970" s="1" t="s">
        <v>74</v>
      </c>
      <c r="AJ970" s="1" t="s">
        <v>74</v>
      </c>
      <c r="AK970" s="1" t="s">
        <v>74</v>
      </c>
      <c r="AL970" s="1" t="s">
        <v>74</v>
      </c>
      <c r="AM970" s="1" t="s">
        <v>74</v>
      </c>
      <c r="AN970" s="1" t="s">
        <v>74</v>
      </c>
      <c r="AO970" s="1" t="s">
        <v>8971</v>
      </c>
      <c r="AP970" s="1" t="s">
        <v>8972</v>
      </c>
      <c r="AQ970" s="1" t="s">
        <v>74</v>
      </c>
      <c r="AR970" s="1" t="s">
        <v>74</v>
      </c>
      <c r="AS970" s="1" t="s">
        <v>74</v>
      </c>
      <c r="AT970" s="1" t="s">
        <v>277</v>
      </c>
      <c r="AU970" s="1">
        <v>2024.0</v>
      </c>
      <c r="AV970" s="1">
        <v>202.0</v>
      </c>
      <c r="AW970" s="1" t="s">
        <v>74</v>
      </c>
      <c r="AX970" s="1" t="s">
        <v>74</v>
      </c>
      <c r="AY970" s="1" t="s">
        <v>74</v>
      </c>
      <c r="AZ970" s="1" t="s">
        <v>74</v>
      </c>
      <c r="BA970" s="1" t="s">
        <v>74</v>
      </c>
      <c r="BB970" s="1" t="s">
        <v>74</v>
      </c>
      <c r="BC970" s="1" t="s">
        <v>74</v>
      </c>
      <c r="BD970" s="1">
        <v>107368.0</v>
      </c>
      <c r="BE970" s="1" t="s">
        <v>8973</v>
      </c>
      <c r="BF970" s="2" t="str">
        <f>HYPERLINK("http://dx.doi.org/10.1016/j.resconrec.2023.107368","http://dx.doi.org/10.1016/j.resconrec.2023.107368")</f>
        <v>http://dx.doi.org/10.1016/j.resconrec.2023.107368</v>
      </c>
      <c r="BG970" s="1" t="s">
        <v>74</v>
      </c>
      <c r="BH970" s="1" t="s">
        <v>2839</v>
      </c>
      <c r="BI970" s="1" t="s">
        <v>74</v>
      </c>
      <c r="BJ970" s="1" t="s">
        <v>74</v>
      </c>
      <c r="BK970" s="1" t="s">
        <v>74</v>
      </c>
      <c r="BL970" s="1" t="s">
        <v>74</v>
      </c>
      <c r="BM970" s="1" t="s">
        <v>74</v>
      </c>
      <c r="BN970" s="1" t="s">
        <v>74</v>
      </c>
      <c r="BO970" s="1" t="s">
        <v>74</v>
      </c>
      <c r="BP970" s="1" t="s">
        <v>74</v>
      </c>
      <c r="BQ970" s="1" t="s">
        <v>74</v>
      </c>
      <c r="BR970" s="1" t="s">
        <v>74</v>
      </c>
      <c r="BS970" s="1" t="s">
        <v>8974</v>
      </c>
      <c r="BT970" s="1" t="str">
        <f>HYPERLINK("https%3A%2F%2Fwww.webofscience.com%2Fwos%2Fwoscc%2Ffull-record%2FWOS:001143230700001","View Full Record in Web of Science")</f>
        <v>View Full Record in Web of Science</v>
      </c>
    </row>
    <row r="971" ht="12.75" customHeight="1">
      <c r="A971" s="1" t="s">
        <v>72</v>
      </c>
      <c r="B971" s="1" t="s">
        <v>8975</v>
      </c>
      <c r="C971" s="1" t="s">
        <v>74</v>
      </c>
      <c r="D971" s="1" t="s">
        <v>74</v>
      </c>
      <c r="E971" s="1" t="s">
        <v>74</v>
      </c>
      <c r="F971" s="1" t="s">
        <v>8976</v>
      </c>
      <c r="G971" s="1" t="s">
        <v>74</v>
      </c>
      <c r="H971" s="1" t="s">
        <v>74</v>
      </c>
      <c r="I971" s="1" t="s">
        <v>8977</v>
      </c>
      <c r="J971" s="1" t="s">
        <v>8978</v>
      </c>
      <c r="K971" s="1" t="s">
        <v>74</v>
      </c>
      <c r="L971" s="1" t="s">
        <v>74</v>
      </c>
      <c r="M971" s="1" t="s">
        <v>74</v>
      </c>
      <c r="N971" s="1" t="s">
        <v>74</v>
      </c>
      <c r="O971" s="1" t="s">
        <v>74</v>
      </c>
      <c r="P971" s="1" t="s">
        <v>74</v>
      </c>
      <c r="Q971" s="1" t="s">
        <v>74</v>
      </c>
      <c r="R971" s="1" t="s">
        <v>74</v>
      </c>
      <c r="S971" s="1" t="s">
        <v>74</v>
      </c>
      <c r="T971" s="1" t="s">
        <v>74</v>
      </c>
      <c r="U971" s="1" t="s">
        <v>74</v>
      </c>
      <c r="V971" s="1" t="s">
        <v>8979</v>
      </c>
      <c r="W971" s="1" t="s">
        <v>74</v>
      </c>
      <c r="X971" s="1" t="s">
        <v>74</v>
      </c>
      <c r="Y971" s="1" t="s">
        <v>74</v>
      </c>
      <c r="Z971" s="1" t="s">
        <v>74</v>
      </c>
      <c r="AA971" s="1" t="s">
        <v>8980</v>
      </c>
      <c r="AB971" s="1" t="s">
        <v>8981</v>
      </c>
      <c r="AC971" s="1" t="s">
        <v>74</v>
      </c>
      <c r="AD971" s="1" t="s">
        <v>74</v>
      </c>
      <c r="AE971" s="1" t="s">
        <v>74</v>
      </c>
      <c r="AF971" s="1" t="s">
        <v>74</v>
      </c>
      <c r="AG971" s="1" t="s">
        <v>74</v>
      </c>
      <c r="AH971" s="1" t="s">
        <v>74</v>
      </c>
      <c r="AI971" s="1" t="s">
        <v>74</v>
      </c>
      <c r="AJ971" s="1" t="s">
        <v>74</v>
      </c>
      <c r="AK971" s="1" t="s">
        <v>74</v>
      </c>
      <c r="AL971" s="1" t="s">
        <v>74</v>
      </c>
      <c r="AM971" s="1" t="s">
        <v>74</v>
      </c>
      <c r="AN971" s="1" t="s">
        <v>74</v>
      </c>
      <c r="AO971" s="1" t="s">
        <v>8982</v>
      </c>
      <c r="AP971" s="1" t="s">
        <v>8983</v>
      </c>
      <c r="AQ971" s="1" t="s">
        <v>74</v>
      </c>
      <c r="AR971" s="1" t="s">
        <v>74</v>
      </c>
      <c r="AS971" s="1" t="s">
        <v>74</v>
      </c>
      <c r="AT971" s="1" t="s">
        <v>621</v>
      </c>
      <c r="AU971" s="1">
        <v>2022.0</v>
      </c>
      <c r="AV971" s="1">
        <v>93.0</v>
      </c>
      <c r="AW971" s="1">
        <v>7.0</v>
      </c>
      <c r="AX971" s="1" t="s">
        <v>74</v>
      </c>
      <c r="AY971" s="1" t="s">
        <v>74</v>
      </c>
      <c r="AZ971" s="1" t="s">
        <v>74</v>
      </c>
      <c r="BA971" s="1" t="s">
        <v>74</v>
      </c>
      <c r="BB971" s="1" t="s">
        <v>74</v>
      </c>
      <c r="BC971" s="1" t="s">
        <v>74</v>
      </c>
      <c r="BD971" s="1">
        <v>74705.0</v>
      </c>
      <c r="BE971" s="1" t="s">
        <v>8984</v>
      </c>
      <c r="BF971" s="2" t="str">
        <f>HYPERLINK("http://dx.doi.org/10.1063/5.0088296","http://dx.doi.org/10.1063/5.0088296")</f>
        <v>http://dx.doi.org/10.1063/5.0088296</v>
      </c>
      <c r="BG971" s="1" t="s">
        <v>74</v>
      </c>
      <c r="BH971" s="1" t="s">
        <v>74</v>
      </c>
      <c r="BI971" s="1" t="s">
        <v>74</v>
      </c>
      <c r="BJ971" s="1" t="s">
        <v>74</v>
      </c>
      <c r="BK971" s="1" t="s">
        <v>74</v>
      </c>
      <c r="BL971" s="1" t="s">
        <v>74</v>
      </c>
      <c r="BM971" s="1" t="s">
        <v>74</v>
      </c>
      <c r="BN971" s="1">
        <v>3.5922304E7</v>
      </c>
      <c r="BO971" s="1" t="s">
        <v>74</v>
      </c>
      <c r="BP971" s="1" t="s">
        <v>74</v>
      </c>
      <c r="BQ971" s="1" t="s">
        <v>74</v>
      </c>
      <c r="BR971" s="1" t="s">
        <v>74</v>
      </c>
      <c r="BS971" s="1" t="s">
        <v>8985</v>
      </c>
      <c r="BT971" s="1" t="str">
        <f>HYPERLINK("https%3A%2F%2Fwww.webofscience.com%2Fwos%2Fwoscc%2Ffull-record%2FWOS:000851171900002","View Full Record in Web of Science")</f>
        <v>View Full Record in Web of Science</v>
      </c>
    </row>
    <row r="972" ht="12.75" customHeight="1">
      <c r="A972" s="1" t="s">
        <v>72</v>
      </c>
      <c r="B972" s="1" t="s">
        <v>8986</v>
      </c>
      <c r="C972" s="1" t="s">
        <v>74</v>
      </c>
      <c r="D972" s="1" t="s">
        <v>74</v>
      </c>
      <c r="E972" s="1" t="s">
        <v>74</v>
      </c>
      <c r="F972" s="1" t="s">
        <v>8987</v>
      </c>
      <c r="G972" s="1" t="s">
        <v>74</v>
      </c>
      <c r="H972" s="1" t="s">
        <v>74</v>
      </c>
      <c r="I972" s="1" t="s">
        <v>8988</v>
      </c>
      <c r="J972" s="1" t="s">
        <v>628</v>
      </c>
      <c r="K972" s="1" t="s">
        <v>74</v>
      </c>
      <c r="L972" s="1" t="s">
        <v>74</v>
      </c>
      <c r="M972" s="1" t="s">
        <v>74</v>
      </c>
      <c r="N972" s="1" t="s">
        <v>74</v>
      </c>
      <c r="O972" s="1" t="s">
        <v>74</v>
      </c>
      <c r="P972" s="1" t="s">
        <v>74</v>
      </c>
      <c r="Q972" s="1" t="s">
        <v>74</v>
      </c>
      <c r="R972" s="1" t="s">
        <v>74</v>
      </c>
      <c r="S972" s="1" t="s">
        <v>74</v>
      </c>
      <c r="T972" s="1" t="s">
        <v>74</v>
      </c>
      <c r="U972" s="1" t="s">
        <v>74</v>
      </c>
      <c r="V972" s="1" t="s">
        <v>8989</v>
      </c>
      <c r="W972" s="1" t="s">
        <v>74</v>
      </c>
      <c r="X972" s="1" t="s">
        <v>74</v>
      </c>
      <c r="Y972" s="1" t="s">
        <v>74</v>
      </c>
      <c r="Z972" s="1" t="s">
        <v>74</v>
      </c>
      <c r="AA972" s="1" t="s">
        <v>8990</v>
      </c>
      <c r="AB972" s="1" t="s">
        <v>8991</v>
      </c>
      <c r="AC972" s="1" t="s">
        <v>74</v>
      </c>
      <c r="AD972" s="1" t="s">
        <v>74</v>
      </c>
      <c r="AE972" s="1" t="s">
        <v>74</v>
      </c>
      <c r="AF972" s="1" t="s">
        <v>74</v>
      </c>
      <c r="AG972" s="1" t="s">
        <v>74</v>
      </c>
      <c r="AH972" s="1" t="s">
        <v>74</v>
      </c>
      <c r="AI972" s="1" t="s">
        <v>74</v>
      </c>
      <c r="AJ972" s="1" t="s">
        <v>74</v>
      </c>
      <c r="AK972" s="1" t="s">
        <v>74</v>
      </c>
      <c r="AL972" s="1" t="s">
        <v>74</v>
      </c>
      <c r="AM972" s="1" t="s">
        <v>74</v>
      </c>
      <c r="AN972" s="1" t="s">
        <v>74</v>
      </c>
      <c r="AO972" s="1" t="s">
        <v>632</v>
      </c>
      <c r="AP972" s="1" t="s">
        <v>74</v>
      </c>
      <c r="AQ972" s="1" t="s">
        <v>74</v>
      </c>
      <c r="AR972" s="1" t="s">
        <v>74</v>
      </c>
      <c r="AS972" s="1" t="s">
        <v>74</v>
      </c>
      <c r="AT972" s="1" t="s">
        <v>363</v>
      </c>
      <c r="AU972" s="1">
        <v>2022.0</v>
      </c>
      <c r="AV972" s="1">
        <v>35.0</v>
      </c>
      <c r="AW972" s="1" t="s">
        <v>74</v>
      </c>
      <c r="AX972" s="1" t="s">
        <v>74</v>
      </c>
      <c r="AY972" s="1" t="s">
        <v>74</v>
      </c>
      <c r="AZ972" s="1" t="s">
        <v>74</v>
      </c>
      <c r="BA972" s="1" t="s">
        <v>74</v>
      </c>
      <c r="BB972" s="1" t="s">
        <v>74</v>
      </c>
      <c r="BC972" s="1" t="s">
        <v>74</v>
      </c>
      <c r="BD972" s="1">
        <v>101020.0</v>
      </c>
      <c r="BE972" s="1" t="s">
        <v>8992</v>
      </c>
      <c r="BF972" s="2" t="str">
        <f>HYPERLINK("http://dx.doi.org/10.1016/j.coelec.2022.101020","http://dx.doi.org/10.1016/j.coelec.2022.101020")</f>
        <v>http://dx.doi.org/10.1016/j.coelec.2022.101020</v>
      </c>
      <c r="BG972" s="1" t="s">
        <v>74</v>
      </c>
      <c r="BH972" s="1" t="s">
        <v>7090</v>
      </c>
      <c r="BI972" s="1" t="s">
        <v>74</v>
      </c>
      <c r="BJ972" s="1" t="s">
        <v>74</v>
      </c>
      <c r="BK972" s="1" t="s">
        <v>74</v>
      </c>
      <c r="BL972" s="1" t="s">
        <v>74</v>
      </c>
      <c r="BM972" s="1" t="s">
        <v>74</v>
      </c>
      <c r="BN972" s="1" t="s">
        <v>74</v>
      </c>
      <c r="BO972" s="1" t="s">
        <v>74</v>
      </c>
      <c r="BP972" s="1" t="s">
        <v>74</v>
      </c>
      <c r="BQ972" s="1" t="s">
        <v>74</v>
      </c>
      <c r="BR972" s="1" t="s">
        <v>74</v>
      </c>
      <c r="BS972" s="1" t="s">
        <v>8993</v>
      </c>
      <c r="BT972" s="1" t="str">
        <f>HYPERLINK("https%3A%2F%2Fwww.webofscience.com%2Fwos%2Fwoscc%2Ffull-record%2FWOS:000891313300001","View Full Record in Web of Science")</f>
        <v>View Full Record in Web of Science</v>
      </c>
    </row>
    <row r="973" ht="12.75" customHeight="1">
      <c r="A973" s="1" t="s">
        <v>72</v>
      </c>
      <c r="B973" s="1" t="s">
        <v>8994</v>
      </c>
      <c r="C973" s="1" t="s">
        <v>74</v>
      </c>
      <c r="D973" s="1" t="s">
        <v>74</v>
      </c>
      <c r="E973" s="1" t="s">
        <v>74</v>
      </c>
      <c r="F973" s="1" t="s">
        <v>8995</v>
      </c>
      <c r="G973" s="1" t="s">
        <v>74</v>
      </c>
      <c r="H973" s="1" t="s">
        <v>74</v>
      </c>
      <c r="I973" s="1" t="s">
        <v>8996</v>
      </c>
      <c r="J973" s="1" t="s">
        <v>553</v>
      </c>
      <c r="K973" s="1" t="s">
        <v>74</v>
      </c>
      <c r="L973" s="1" t="s">
        <v>74</v>
      </c>
      <c r="M973" s="1" t="s">
        <v>74</v>
      </c>
      <c r="N973" s="1" t="s">
        <v>74</v>
      </c>
      <c r="O973" s="1" t="s">
        <v>74</v>
      </c>
      <c r="P973" s="1" t="s">
        <v>74</v>
      </c>
      <c r="Q973" s="1" t="s">
        <v>74</v>
      </c>
      <c r="R973" s="1" t="s">
        <v>74</v>
      </c>
      <c r="S973" s="1" t="s">
        <v>74</v>
      </c>
      <c r="T973" s="1" t="s">
        <v>74</v>
      </c>
      <c r="U973" s="1" t="s">
        <v>74</v>
      </c>
      <c r="V973" s="1" t="s">
        <v>8997</v>
      </c>
      <c r="W973" s="1" t="s">
        <v>74</v>
      </c>
      <c r="X973" s="1" t="s">
        <v>74</v>
      </c>
      <c r="Y973" s="1" t="s">
        <v>74</v>
      </c>
      <c r="Z973" s="1" t="s">
        <v>74</v>
      </c>
      <c r="AA973" s="1" t="s">
        <v>8998</v>
      </c>
      <c r="AB973" s="1" t="s">
        <v>8999</v>
      </c>
      <c r="AC973" s="1" t="s">
        <v>74</v>
      </c>
      <c r="AD973" s="1" t="s">
        <v>74</v>
      </c>
      <c r="AE973" s="1" t="s">
        <v>74</v>
      </c>
      <c r="AF973" s="1" t="s">
        <v>74</v>
      </c>
      <c r="AG973" s="1" t="s">
        <v>74</v>
      </c>
      <c r="AH973" s="1" t="s">
        <v>74</v>
      </c>
      <c r="AI973" s="1" t="s">
        <v>74</v>
      </c>
      <c r="AJ973" s="1" t="s">
        <v>74</v>
      </c>
      <c r="AK973" s="1" t="s">
        <v>74</v>
      </c>
      <c r="AL973" s="1" t="s">
        <v>74</v>
      </c>
      <c r="AM973" s="1" t="s">
        <v>74</v>
      </c>
      <c r="AN973" s="1" t="s">
        <v>74</v>
      </c>
      <c r="AO973" s="1" t="s">
        <v>74</v>
      </c>
      <c r="AP973" s="1" t="s">
        <v>557</v>
      </c>
      <c r="AQ973" s="1" t="s">
        <v>74</v>
      </c>
      <c r="AR973" s="1" t="s">
        <v>74</v>
      </c>
      <c r="AS973" s="1" t="s">
        <v>74</v>
      </c>
      <c r="AT973" s="1" t="s">
        <v>112</v>
      </c>
      <c r="AU973" s="1">
        <v>2021.0</v>
      </c>
      <c r="AV973" s="1">
        <v>13.0</v>
      </c>
      <c r="AW973" s="1">
        <v>22.0</v>
      </c>
      <c r="AX973" s="1" t="s">
        <v>74</v>
      </c>
      <c r="AY973" s="1" t="s">
        <v>74</v>
      </c>
      <c r="AZ973" s="1" t="s">
        <v>74</v>
      </c>
      <c r="BA973" s="1" t="s">
        <v>74</v>
      </c>
      <c r="BB973" s="1" t="s">
        <v>74</v>
      </c>
      <c r="BC973" s="1" t="s">
        <v>74</v>
      </c>
      <c r="BD973" s="1">
        <v>3968.0</v>
      </c>
      <c r="BE973" s="1" t="s">
        <v>9000</v>
      </c>
      <c r="BF973" s="2" t="str">
        <f>HYPERLINK("http://dx.doi.org/10.3390/polym13223968","http://dx.doi.org/10.3390/polym13223968")</f>
        <v>http://dx.doi.org/10.3390/polym13223968</v>
      </c>
      <c r="BG973" s="1" t="s">
        <v>74</v>
      </c>
      <c r="BH973" s="1" t="s">
        <v>74</v>
      </c>
      <c r="BI973" s="1" t="s">
        <v>74</v>
      </c>
      <c r="BJ973" s="1" t="s">
        <v>74</v>
      </c>
      <c r="BK973" s="1" t="s">
        <v>74</v>
      </c>
      <c r="BL973" s="1" t="s">
        <v>74</v>
      </c>
      <c r="BM973" s="1" t="s">
        <v>74</v>
      </c>
      <c r="BN973" s="1">
        <v>3.4833267E7</v>
      </c>
      <c r="BO973" s="1" t="s">
        <v>74</v>
      </c>
      <c r="BP973" s="1" t="s">
        <v>74</v>
      </c>
      <c r="BQ973" s="1" t="s">
        <v>74</v>
      </c>
      <c r="BR973" s="1" t="s">
        <v>74</v>
      </c>
      <c r="BS973" s="1" t="s">
        <v>9001</v>
      </c>
      <c r="BT973" s="1" t="str">
        <f>HYPERLINK("https%3A%2F%2Fwww.webofscience.com%2Fwos%2Fwoscc%2Ffull-record%2FWOS:000723345700001","View Full Record in Web of Science")</f>
        <v>View Full Record in Web of Science</v>
      </c>
    </row>
    <row r="974" ht="12.75" customHeight="1">
      <c r="A974" s="1" t="s">
        <v>147</v>
      </c>
      <c r="B974" s="1" t="s">
        <v>9002</v>
      </c>
      <c r="C974" s="1" t="s">
        <v>74</v>
      </c>
      <c r="D974" s="1" t="s">
        <v>9003</v>
      </c>
      <c r="E974" s="1" t="s">
        <v>74</v>
      </c>
      <c r="F974" s="1" t="s">
        <v>9004</v>
      </c>
      <c r="G974" s="1" t="s">
        <v>74</v>
      </c>
      <c r="H974" s="1" t="s">
        <v>74</v>
      </c>
      <c r="I974" s="1" t="s">
        <v>9005</v>
      </c>
      <c r="J974" s="1" t="s">
        <v>9006</v>
      </c>
      <c r="K974" s="1" t="s">
        <v>1022</v>
      </c>
      <c r="L974" s="1" t="s">
        <v>74</v>
      </c>
      <c r="M974" s="1" t="s">
        <v>74</v>
      </c>
      <c r="N974" s="1" t="s">
        <v>74</v>
      </c>
      <c r="O974" s="1" t="s">
        <v>9007</v>
      </c>
      <c r="P974" s="1" t="s">
        <v>9008</v>
      </c>
      <c r="Q974" s="1" t="s">
        <v>1499</v>
      </c>
      <c r="R974" s="1" t="s">
        <v>74</v>
      </c>
      <c r="S974" s="1" t="s">
        <v>74</v>
      </c>
      <c r="T974" s="1" t="s">
        <v>74</v>
      </c>
      <c r="U974" s="1" t="s">
        <v>74</v>
      </c>
      <c r="V974" s="1" t="s">
        <v>9009</v>
      </c>
      <c r="W974" s="1" t="s">
        <v>74</v>
      </c>
      <c r="X974" s="1" t="s">
        <v>74</v>
      </c>
      <c r="Y974" s="1" t="s">
        <v>74</v>
      </c>
      <c r="Z974" s="1" t="s">
        <v>74</v>
      </c>
      <c r="AA974" s="1" t="s">
        <v>9010</v>
      </c>
      <c r="AB974" s="1" t="s">
        <v>9011</v>
      </c>
      <c r="AC974" s="1" t="s">
        <v>74</v>
      </c>
      <c r="AD974" s="1" t="s">
        <v>74</v>
      </c>
      <c r="AE974" s="1" t="s">
        <v>74</v>
      </c>
      <c r="AF974" s="1" t="s">
        <v>74</v>
      </c>
      <c r="AG974" s="1" t="s">
        <v>74</v>
      </c>
      <c r="AH974" s="1" t="s">
        <v>74</v>
      </c>
      <c r="AI974" s="1" t="s">
        <v>74</v>
      </c>
      <c r="AJ974" s="1" t="s">
        <v>74</v>
      </c>
      <c r="AK974" s="1" t="s">
        <v>74</v>
      </c>
      <c r="AL974" s="1" t="s">
        <v>74</v>
      </c>
      <c r="AM974" s="1" t="s">
        <v>74</v>
      </c>
      <c r="AN974" s="1" t="s">
        <v>74</v>
      </c>
      <c r="AO974" s="1" t="s">
        <v>1029</v>
      </c>
      <c r="AP974" s="1" t="s">
        <v>1030</v>
      </c>
      <c r="AQ974" s="1" t="s">
        <v>9012</v>
      </c>
      <c r="AR974" s="1" t="s">
        <v>74</v>
      </c>
      <c r="AS974" s="1" t="s">
        <v>74</v>
      </c>
      <c r="AT974" s="1" t="s">
        <v>74</v>
      </c>
      <c r="AU974" s="1">
        <v>2021.0</v>
      </c>
      <c r="AV974" s="1">
        <v>1243.0</v>
      </c>
      <c r="AW974" s="1" t="s">
        <v>74</v>
      </c>
      <c r="AX974" s="1" t="s">
        <v>74</v>
      </c>
      <c r="AY974" s="1" t="s">
        <v>74</v>
      </c>
      <c r="AZ974" s="1" t="s">
        <v>74</v>
      </c>
      <c r="BA974" s="1" t="s">
        <v>74</v>
      </c>
      <c r="BB974" s="1">
        <v>304.0</v>
      </c>
      <c r="BC974" s="1">
        <v>312.0</v>
      </c>
      <c r="BD974" s="1" t="s">
        <v>74</v>
      </c>
      <c r="BE974" s="1" t="s">
        <v>9013</v>
      </c>
      <c r="BF974" s="2" t="str">
        <f>HYPERLINK("http://dx.doi.org/10.1007/978-3-030-53651-0_26","http://dx.doi.org/10.1007/978-3-030-53651-0_26")</f>
        <v>http://dx.doi.org/10.1007/978-3-030-53651-0_26</v>
      </c>
      <c r="BG974" s="1" t="s">
        <v>74</v>
      </c>
      <c r="BH974" s="1" t="s">
        <v>74</v>
      </c>
      <c r="BI974" s="1" t="s">
        <v>74</v>
      </c>
      <c r="BJ974" s="1" t="s">
        <v>74</v>
      </c>
      <c r="BK974" s="1" t="s">
        <v>74</v>
      </c>
      <c r="BL974" s="1" t="s">
        <v>74</v>
      </c>
      <c r="BM974" s="1" t="s">
        <v>74</v>
      </c>
      <c r="BN974" s="1" t="s">
        <v>74</v>
      </c>
      <c r="BO974" s="1" t="s">
        <v>74</v>
      </c>
      <c r="BP974" s="1" t="s">
        <v>74</v>
      </c>
      <c r="BQ974" s="1" t="s">
        <v>74</v>
      </c>
      <c r="BR974" s="1" t="s">
        <v>74</v>
      </c>
      <c r="BS974" s="1" t="s">
        <v>9014</v>
      </c>
      <c r="BT974" s="1" t="str">
        <f>HYPERLINK("https%3A%2F%2Fwww.webofscience.com%2Fwos%2Fwoscc%2Ffull-record%2FWOS:000621675100026","View Full Record in Web of Science")</f>
        <v>View Full Record in Web of Science</v>
      </c>
    </row>
    <row r="975" ht="12.75" customHeight="1">
      <c r="A975" s="1" t="s">
        <v>72</v>
      </c>
      <c r="B975" s="1" t="s">
        <v>9015</v>
      </c>
      <c r="C975" s="1" t="s">
        <v>74</v>
      </c>
      <c r="D975" s="1" t="s">
        <v>74</v>
      </c>
      <c r="E975" s="1" t="s">
        <v>74</v>
      </c>
      <c r="F975" s="1" t="s">
        <v>9016</v>
      </c>
      <c r="G975" s="1" t="s">
        <v>74</v>
      </c>
      <c r="H975" s="1" t="s">
        <v>74</v>
      </c>
      <c r="I975" s="1" t="s">
        <v>9017</v>
      </c>
      <c r="J975" s="1" t="s">
        <v>2414</v>
      </c>
      <c r="K975" s="1" t="s">
        <v>74</v>
      </c>
      <c r="L975" s="1" t="s">
        <v>74</v>
      </c>
      <c r="M975" s="1" t="s">
        <v>74</v>
      </c>
      <c r="N975" s="1" t="s">
        <v>74</v>
      </c>
      <c r="O975" s="1" t="s">
        <v>74</v>
      </c>
      <c r="P975" s="1" t="s">
        <v>74</v>
      </c>
      <c r="Q975" s="1" t="s">
        <v>74</v>
      </c>
      <c r="R975" s="1" t="s">
        <v>74</v>
      </c>
      <c r="S975" s="1" t="s">
        <v>74</v>
      </c>
      <c r="T975" s="1" t="s">
        <v>74</v>
      </c>
      <c r="U975" s="1" t="s">
        <v>74</v>
      </c>
      <c r="V975" s="1" t="s">
        <v>9018</v>
      </c>
      <c r="W975" s="1" t="s">
        <v>74</v>
      </c>
      <c r="X975" s="1" t="s">
        <v>74</v>
      </c>
      <c r="Y975" s="1" t="s">
        <v>74</v>
      </c>
      <c r="Z975" s="1" t="s">
        <v>74</v>
      </c>
      <c r="AA975" s="1" t="s">
        <v>9019</v>
      </c>
      <c r="AB975" s="1" t="s">
        <v>9020</v>
      </c>
      <c r="AC975" s="1" t="s">
        <v>74</v>
      </c>
      <c r="AD975" s="1" t="s">
        <v>74</v>
      </c>
      <c r="AE975" s="1" t="s">
        <v>74</v>
      </c>
      <c r="AF975" s="1" t="s">
        <v>74</v>
      </c>
      <c r="AG975" s="1" t="s">
        <v>74</v>
      </c>
      <c r="AH975" s="1" t="s">
        <v>74</v>
      </c>
      <c r="AI975" s="1" t="s">
        <v>74</v>
      </c>
      <c r="AJ975" s="1" t="s">
        <v>74</v>
      </c>
      <c r="AK975" s="1" t="s">
        <v>74</v>
      </c>
      <c r="AL975" s="1" t="s">
        <v>74</v>
      </c>
      <c r="AM975" s="1" t="s">
        <v>74</v>
      </c>
      <c r="AN975" s="1" t="s">
        <v>74</v>
      </c>
      <c r="AO975" s="1" t="s">
        <v>2418</v>
      </c>
      <c r="AP975" s="1" t="s">
        <v>2419</v>
      </c>
      <c r="AQ975" s="1" t="s">
        <v>74</v>
      </c>
      <c r="AR975" s="1" t="s">
        <v>74</v>
      </c>
      <c r="AS975" s="1" t="s">
        <v>74</v>
      </c>
      <c r="AT975" s="1" t="s">
        <v>363</v>
      </c>
      <c r="AU975" s="1">
        <v>2020.0</v>
      </c>
      <c r="AV975" s="1">
        <v>136.0</v>
      </c>
      <c r="AW975" s="1" t="s">
        <v>74</v>
      </c>
      <c r="AX975" s="1" t="s">
        <v>74</v>
      </c>
      <c r="AY975" s="1" t="s">
        <v>74</v>
      </c>
      <c r="AZ975" s="1" t="s">
        <v>74</v>
      </c>
      <c r="BA975" s="1" t="s">
        <v>74</v>
      </c>
      <c r="BB975" s="1" t="s">
        <v>74</v>
      </c>
      <c r="BC975" s="1" t="s">
        <v>74</v>
      </c>
      <c r="BD975" s="1">
        <v>109300.0</v>
      </c>
      <c r="BE975" s="1" t="s">
        <v>9021</v>
      </c>
      <c r="BF975" s="2" t="str">
        <f>HYPERLINK("http://dx.doi.org/10.1016/j.foodres.2020.109300","http://dx.doi.org/10.1016/j.foodres.2020.109300")</f>
        <v>http://dx.doi.org/10.1016/j.foodres.2020.109300</v>
      </c>
      <c r="BG975" s="1" t="s">
        <v>74</v>
      </c>
      <c r="BH975" s="1" t="s">
        <v>74</v>
      </c>
      <c r="BI975" s="1" t="s">
        <v>74</v>
      </c>
      <c r="BJ975" s="1" t="s">
        <v>74</v>
      </c>
      <c r="BK975" s="1" t="s">
        <v>74</v>
      </c>
      <c r="BL975" s="1" t="s">
        <v>74</v>
      </c>
      <c r="BM975" s="1" t="s">
        <v>74</v>
      </c>
      <c r="BN975" s="1">
        <v>3.2846512E7</v>
      </c>
      <c r="BO975" s="1" t="s">
        <v>74</v>
      </c>
      <c r="BP975" s="1" t="s">
        <v>74</v>
      </c>
      <c r="BQ975" s="1" t="s">
        <v>74</v>
      </c>
      <c r="BR975" s="1" t="s">
        <v>74</v>
      </c>
      <c r="BS975" s="1" t="s">
        <v>9022</v>
      </c>
      <c r="BT975" s="1" t="str">
        <f>HYPERLINK("https%3A%2F%2Fwww.webofscience.com%2Fwos%2Fwoscc%2Ffull-record%2FWOS:000564552500027","View Full Record in Web of Science")</f>
        <v>View Full Record in Web of Science</v>
      </c>
    </row>
    <row r="976" ht="12.75" customHeight="1">
      <c r="A976" s="1" t="s">
        <v>72</v>
      </c>
      <c r="B976" s="1" t="s">
        <v>9023</v>
      </c>
      <c r="C976" s="1" t="s">
        <v>74</v>
      </c>
      <c r="D976" s="1" t="s">
        <v>74</v>
      </c>
      <c r="E976" s="1" t="s">
        <v>74</v>
      </c>
      <c r="F976" s="1" t="s">
        <v>9024</v>
      </c>
      <c r="G976" s="1" t="s">
        <v>74</v>
      </c>
      <c r="H976" s="1" t="s">
        <v>74</v>
      </c>
      <c r="I976" s="1" t="s">
        <v>9025</v>
      </c>
      <c r="J976" s="1" t="s">
        <v>9026</v>
      </c>
      <c r="K976" s="1" t="s">
        <v>74</v>
      </c>
      <c r="L976" s="1" t="s">
        <v>74</v>
      </c>
      <c r="M976" s="1" t="s">
        <v>74</v>
      </c>
      <c r="N976" s="1" t="s">
        <v>74</v>
      </c>
      <c r="O976" s="1" t="s">
        <v>74</v>
      </c>
      <c r="P976" s="1" t="s">
        <v>74</v>
      </c>
      <c r="Q976" s="1" t="s">
        <v>74</v>
      </c>
      <c r="R976" s="1" t="s">
        <v>74</v>
      </c>
      <c r="S976" s="1" t="s">
        <v>74</v>
      </c>
      <c r="T976" s="1" t="s">
        <v>74</v>
      </c>
      <c r="U976" s="1" t="s">
        <v>74</v>
      </c>
      <c r="V976" s="1" t="s">
        <v>9027</v>
      </c>
      <c r="W976" s="1" t="s">
        <v>74</v>
      </c>
      <c r="X976" s="1" t="s">
        <v>74</v>
      </c>
      <c r="Y976" s="1" t="s">
        <v>74</v>
      </c>
      <c r="Z976" s="1" t="s">
        <v>74</v>
      </c>
      <c r="AA976" s="1" t="s">
        <v>9028</v>
      </c>
      <c r="AB976" s="1" t="s">
        <v>9029</v>
      </c>
      <c r="AC976" s="1" t="s">
        <v>74</v>
      </c>
      <c r="AD976" s="1" t="s">
        <v>74</v>
      </c>
      <c r="AE976" s="1" t="s">
        <v>74</v>
      </c>
      <c r="AF976" s="1" t="s">
        <v>74</v>
      </c>
      <c r="AG976" s="1" t="s">
        <v>74</v>
      </c>
      <c r="AH976" s="1" t="s">
        <v>74</v>
      </c>
      <c r="AI976" s="1" t="s">
        <v>74</v>
      </c>
      <c r="AJ976" s="1" t="s">
        <v>74</v>
      </c>
      <c r="AK976" s="1" t="s">
        <v>74</v>
      </c>
      <c r="AL976" s="1" t="s">
        <v>74</v>
      </c>
      <c r="AM976" s="1" t="s">
        <v>74</v>
      </c>
      <c r="AN976" s="1" t="s">
        <v>74</v>
      </c>
      <c r="AO976" s="1" t="s">
        <v>9030</v>
      </c>
      <c r="AP976" s="1" t="s">
        <v>9031</v>
      </c>
      <c r="AQ976" s="1" t="s">
        <v>74</v>
      </c>
      <c r="AR976" s="1" t="s">
        <v>74</v>
      </c>
      <c r="AS976" s="1" t="s">
        <v>74</v>
      </c>
      <c r="AT976" s="1" t="s">
        <v>9032</v>
      </c>
      <c r="AU976" s="1">
        <v>2020.0</v>
      </c>
      <c r="AV976" s="1">
        <v>25.0</v>
      </c>
      <c r="AW976" s="1">
        <v>2.0</v>
      </c>
      <c r="AX976" s="1" t="s">
        <v>74</v>
      </c>
      <c r="AY976" s="1" t="s">
        <v>74</v>
      </c>
      <c r="AZ976" s="1" t="s">
        <v>74</v>
      </c>
      <c r="BA976" s="1" t="s">
        <v>74</v>
      </c>
      <c r="BB976" s="1">
        <v>204.0</v>
      </c>
      <c r="BC976" s="1">
        <v>220.0</v>
      </c>
      <c r="BD976" s="1" t="s">
        <v>74</v>
      </c>
      <c r="BE976" s="1" t="s">
        <v>9033</v>
      </c>
      <c r="BF976" s="2" t="str">
        <f>HYPERLINK("http://dx.doi.org/10.1108/CDI-09-2018-0226","http://dx.doi.org/10.1108/CDI-09-2018-0226")</f>
        <v>http://dx.doi.org/10.1108/CDI-09-2018-0226</v>
      </c>
      <c r="BG976" s="1" t="s">
        <v>74</v>
      </c>
      <c r="BH976" s="1" t="s">
        <v>9034</v>
      </c>
      <c r="BI976" s="1" t="s">
        <v>74</v>
      </c>
      <c r="BJ976" s="1" t="s">
        <v>74</v>
      </c>
      <c r="BK976" s="1" t="s">
        <v>74</v>
      </c>
      <c r="BL976" s="1" t="s">
        <v>74</v>
      </c>
      <c r="BM976" s="1" t="s">
        <v>74</v>
      </c>
      <c r="BN976" s="1" t="s">
        <v>74</v>
      </c>
      <c r="BO976" s="1" t="s">
        <v>74</v>
      </c>
      <c r="BP976" s="1" t="s">
        <v>74</v>
      </c>
      <c r="BQ976" s="1" t="s">
        <v>74</v>
      </c>
      <c r="BR976" s="1" t="s">
        <v>74</v>
      </c>
      <c r="BS976" s="1" t="s">
        <v>9035</v>
      </c>
      <c r="BT976" s="1" t="str">
        <f>HYPERLINK("https%3A%2F%2Fwww.webofscience.com%2Fwos%2Fwoscc%2Ffull-record%2FWOS:000511425900001","View Full Record in Web of Science")</f>
        <v>View Full Record in Web of Science</v>
      </c>
    </row>
    <row r="977" ht="12.75" customHeight="1">
      <c r="A977" s="1" t="s">
        <v>72</v>
      </c>
      <c r="B977" s="1" t="s">
        <v>9036</v>
      </c>
      <c r="C977" s="1" t="s">
        <v>74</v>
      </c>
      <c r="D977" s="1" t="s">
        <v>74</v>
      </c>
      <c r="E977" s="1" t="s">
        <v>74</v>
      </c>
      <c r="F977" s="1" t="s">
        <v>9037</v>
      </c>
      <c r="G977" s="1" t="s">
        <v>74</v>
      </c>
      <c r="H977" s="1" t="s">
        <v>74</v>
      </c>
      <c r="I977" s="1" t="s">
        <v>9038</v>
      </c>
      <c r="J977" s="1" t="s">
        <v>4312</v>
      </c>
      <c r="K977" s="1" t="s">
        <v>74</v>
      </c>
      <c r="L977" s="1" t="s">
        <v>74</v>
      </c>
      <c r="M977" s="1" t="s">
        <v>74</v>
      </c>
      <c r="N977" s="1" t="s">
        <v>74</v>
      </c>
      <c r="O977" s="1" t="s">
        <v>74</v>
      </c>
      <c r="P977" s="1" t="s">
        <v>74</v>
      </c>
      <c r="Q977" s="1" t="s">
        <v>74</v>
      </c>
      <c r="R977" s="1" t="s">
        <v>74</v>
      </c>
      <c r="S977" s="1" t="s">
        <v>74</v>
      </c>
      <c r="T977" s="1" t="s">
        <v>74</v>
      </c>
      <c r="U977" s="1" t="s">
        <v>74</v>
      </c>
      <c r="V977" s="1" t="s">
        <v>9039</v>
      </c>
      <c r="W977" s="1" t="s">
        <v>74</v>
      </c>
      <c r="X977" s="1" t="s">
        <v>74</v>
      </c>
      <c r="Y977" s="1" t="s">
        <v>74</v>
      </c>
      <c r="Z977" s="1" t="s">
        <v>74</v>
      </c>
      <c r="AA977" s="1" t="s">
        <v>9040</v>
      </c>
      <c r="AB977" s="1" t="s">
        <v>9041</v>
      </c>
      <c r="AC977" s="1" t="s">
        <v>74</v>
      </c>
      <c r="AD977" s="1" t="s">
        <v>74</v>
      </c>
      <c r="AE977" s="1" t="s">
        <v>74</v>
      </c>
      <c r="AF977" s="1" t="s">
        <v>74</v>
      </c>
      <c r="AG977" s="1" t="s">
        <v>74</v>
      </c>
      <c r="AH977" s="1" t="s">
        <v>74</v>
      </c>
      <c r="AI977" s="1" t="s">
        <v>74</v>
      </c>
      <c r="AJ977" s="1" t="s">
        <v>74</v>
      </c>
      <c r="AK977" s="1" t="s">
        <v>74</v>
      </c>
      <c r="AL977" s="1" t="s">
        <v>74</v>
      </c>
      <c r="AM977" s="1" t="s">
        <v>74</v>
      </c>
      <c r="AN977" s="1" t="s">
        <v>74</v>
      </c>
      <c r="AO977" s="1" t="s">
        <v>9042</v>
      </c>
      <c r="AP977" s="1" t="s">
        <v>9043</v>
      </c>
      <c r="AQ977" s="1" t="s">
        <v>74</v>
      </c>
      <c r="AR977" s="1" t="s">
        <v>74</v>
      </c>
      <c r="AS977" s="1" t="s">
        <v>74</v>
      </c>
      <c r="AT977" s="1" t="s">
        <v>9044</v>
      </c>
      <c r="AU977" s="1">
        <v>2019.0</v>
      </c>
      <c r="AV977" s="1">
        <v>100.0</v>
      </c>
      <c r="AW977" s="1">
        <v>6.0</v>
      </c>
      <c r="AX977" s="1" t="s">
        <v>74</v>
      </c>
      <c r="AY977" s="1" t="s">
        <v>74</v>
      </c>
      <c r="AZ977" s="1" t="s">
        <v>74</v>
      </c>
      <c r="BA977" s="1" t="s">
        <v>74</v>
      </c>
      <c r="BB977" s="1" t="s">
        <v>74</v>
      </c>
      <c r="BC977" s="1" t="s">
        <v>74</v>
      </c>
      <c r="BD977" s="1">
        <v>62137.0</v>
      </c>
      <c r="BE977" s="1" t="s">
        <v>9045</v>
      </c>
      <c r="BF977" s="2" t="str">
        <f>HYPERLINK("http://dx.doi.org/10.1103/PhysRevE.100.062137","http://dx.doi.org/10.1103/PhysRevE.100.062137")</f>
        <v>http://dx.doi.org/10.1103/PhysRevE.100.062137</v>
      </c>
      <c r="BG977" s="1" t="s">
        <v>74</v>
      </c>
      <c r="BH977" s="1" t="s">
        <v>74</v>
      </c>
      <c r="BI977" s="1" t="s">
        <v>74</v>
      </c>
      <c r="BJ977" s="1" t="s">
        <v>74</v>
      </c>
      <c r="BK977" s="1" t="s">
        <v>74</v>
      </c>
      <c r="BL977" s="1" t="s">
        <v>74</v>
      </c>
      <c r="BM977" s="1" t="s">
        <v>74</v>
      </c>
      <c r="BN977" s="1">
        <v>3.1962525E7</v>
      </c>
      <c r="BO977" s="1" t="s">
        <v>74</v>
      </c>
      <c r="BP977" s="1" t="s">
        <v>74</v>
      </c>
      <c r="BQ977" s="1" t="s">
        <v>74</v>
      </c>
      <c r="BR977" s="1" t="s">
        <v>74</v>
      </c>
      <c r="BS977" s="1" t="s">
        <v>9046</v>
      </c>
      <c r="BT977" s="1" t="str">
        <f>HYPERLINK("https%3A%2F%2Fwww.webofscience.com%2Fwos%2Fwoscc%2Ffull-record%2FWOS:000504639600004","View Full Record in Web of Science")</f>
        <v>View Full Record in Web of Science</v>
      </c>
    </row>
    <row r="978" ht="12.75" customHeight="1">
      <c r="A978" s="1" t="s">
        <v>72</v>
      </c>
      <c r="B978" s="1" t="s">
        <v>9047</v>
      </c>
      <c r="C978" s="1" t="s">
        <v>74</v>
      </c>
      <c r="D978" s="1" t="s">
        <v>74</v>
      </c>
      <c r="E978" s="1" t="s">
        <v>74</v>
      </c>
      <c r="F978" s="1" t="s">
        <v>9048</v>
      </c>
      <c r="G978" s="1" t="s">
        <v>74</v>
      </c>
      <c r="H978" s="1" t="s">
        <v>74</v>
      </c>
      <c r="I978" s="1" t="s">
        <v>9049</v>
      </c>
      <c r="J978" s="1" t="s">
        <v>4193</v>
      </c>
      <c r="K978" s="1" t="s">
        <v>74</v>
      </c>
      <c r="L978" s="1" t="s">
        <v>74</v>
      </c>
      <c r="M978" s="1" t="s">
        <v>74</v>
      </c>
      <c r="N978" s="1" t="s">
        <v>74</v>
      </c>
      <c r="O978" s="1" t="s">
        <v>74</v>
      </c>
      <c r="P978" s="1" t="s">
        <v>74</v>
      </c>
      <c r="Q978" s="1" t="s">
        <v>74</v>
      </c>
      <c r="R978" s="1" t="s">
        <v>74</v>
      </c>
      <c r="S978" s="1" t="s">
        <v>74</v>
      </c>
      <c r="T978" s="1" t="s">
        <v>74</v>
      </c>
      <c r="U978" s="1" t="s">
        <v>74</v>
      </c>
      <c r="V978" s="1" t="s">
        <v>9050</v>
      </c>
      <c r="W978" s="1" t="s">
        <v>74</v>
      </c>
      <c r="X978" s="1" t="s">
        <v>74</v>
      </c>
      <c r="Y978" s="1" t="s">
        <v>74</v>
      </c>
      <c r="Z978" s="1" t="s">
        <v>74</v>
      </c>
      <c r="AA978" s="1" t="s">
        <v>9051</v>
      </c>
      <c r="AB978" s="1" t="s">
        <v>74</v>
      </c>
      <c r="AC978" s="1" t="s">
        <v>74</v>
      </c>
      <c r="AD978" s="1" t="s">
        <v>74</v>
      </c>
      <c r="AE978" s="1" t="s">
        <v>74</v>
      </c>
      <c r="AF978" s="1" t="s">
        <v>74</v>
      </c>
      <c r="AG978" s="1" t="s">
        <v>74</v>
      </c>
      <c r="AH978" s="1" t="s">
        <v>74</v>
      </c>
      <c r="AI978" s="1" t="s">
        <v>74</v>
      </c>
      <c r="AJ978" s="1" t="s">
        <v>74</v>
      </c>
      <c r="AK978" s="1" t="s">
        <v>74</v>
      </c>
      <c r="AL978" s="1" t="s">
        <v>74</v>
      </c>
      <c r="AM978" s="1" t="s">
        <v>74</v>
      </c>
      <c r="AN978" s="1" t="s">
        <v>74</v>
      </c>
      <c r="AO978" s="1" t="s">
        <v>4197</v>
      </c>
      <c r="AP978" s="1" t="s">
        <v>74</v>
      </c>
      <c r="AQ978" s="1" t="s">
        <v>74</v>
      </c>
      <c r="AR978" s="1" t="s">
        <v>74</v>
      </c>
      <c r="AS978" s="1" t="s">
        <v>74</v>
      </c>
      <c r="AT978" s="1" t="s">
        <v>144</v>
      </c>
      <c r="AU978" s="1">
        <v>2019.0</v>
      </c>
      <c r="AV978" s="1">
        <v>19.0</v>
      </c>
      <c r="AW978" s="1">
        <v>1.0</v>
      </c>
      <c r="AX978" s="1" t="s">
        <v>74</v>
      </c>
      <c r="AY978" s="1" t="s">
        <v>74</v>
      </c>
      <c r="AZ978" s="1" t="s">
        <v>74</v>
      </c>
      <c r="BA978" s="1" t="s">
        <v>74</v>
      </c>
      <c r="BB978" s="1">
        <v>51.0</v>
      </c>
      <c r="BC978" s="1">
        <v>62.0</v>
      </c>
      <c r="BD978" s="1" t="s">
        <v>74</v>
      </c>
      <c r="BE978" s="1" t="s">
        <v>9052</v>
      </c>
      <c r="BF978" s="2" t="str">
        <f>HYPERLINK("http://dx.doi.org/10.1007/s42729-018-0005-5","http://dx.doi.org/10.1007/s42729-018-0005-5")</f>
        <v>http://dx.doi.org/10.1007/s42729-018-0005-5</v>
      </c>
      <c r="BG978" s="1" t="s">
        <v>74</v>
      </c>
      <c r="BH978" s="1" t="s">
        <v>74</v>
      </c>
      <c r="BI978" s="1" t="s">
        <v>74</v>
      </c>
      <c r="BJ978" s="1" t="s">
        <v>74</v>
      </c>
      <c r="BK978" s="1" t="s">
        <v>74</v>
      </c>
      <c r="BL978" s="1" t="s">
        <v>74</v>
      </c>
      <c r="BM978" s="1" t="s">
        <v>74</v>
      </c>
      <c r="BN978" s="1" t="s">
        <v>74</v>
      </c>
      <c r="BO978" s="1" t="s">
        <v>74</v>
      </c>
      <c r="BP978" s="1" t="s">
        <v>74</v>
      </c>
      <c r="BQ978" s="1" t="s">
        <v>74</v>
      </c>
      <c r="BR978" s="1" t="s">
        <v>74</v>
      </c>
      <c r="BS978" s="1" t="s">
        <v>9053</v>
      </c>
      <c r="BT978" s="1" t="str">
        <f>HYPERLINK("https%3A%2F%2Fwww.webofscience.com%2Fwos%2Fwoscc%2Ffull-record%2FWOS:000471078200005","View Full Record in Web of Science")</f>
        <v>View Full Record in Web of Science</v>
      </c>
    </row>
    <row r="979" ht="12.75" customHeight="1">
      <c r="A979" s="1" t="s">
        <v>72</v>
      </c>
      <c r="B979" s="1" t="s">
        <v>9054</v>
      </c>
      <c r="C979" s="1" t="s">
        <v>74</v>
      </c>
      <c r="D979" s="1" t="s">
        <v>74</v>
      </c>
      <c r="E979" s="1" t="s">
        <v>74</v>
      </c>
      <c r="F979" s="1" t="s">
        <v>9055</v>
      </c>
      <c r="G979" s="1" t="s">
        <v>74</v>
      </c>
      <c r="H979" s="1" t="s">
        <v>74</v>
      </c>
      <c r="I979" s="1" t="s">
        <v>9056</v>
      </c>
      <c r="J979" s="1" t="s">
        <v>9057</v>
      </c>
      <c r="K979" s="1" t="s">
        <v>74</v>
      </c>
      <c r="L979" s="1" t="s">
        <v>74</v>
      </c>
      <c r="M979" s="1" t="s">
        <v>74</v>
      </c>
      <c r="N979" s="1" t="s">
        <v>74</v>
      </c>
      <c r="O979" s="1" t="s">
        <v>74</v>
      </c>
      <c r="P979" s="1" t="s">
        <v>74</v>
      </c>
      <c r="Q979" s="1" t="s">
        <v>74</v>
      </c>
      <c r="R979" s="1" t="s">
        <v>74</v>
      </c>
      <c r="S979" s="1" t="s">
        <v>74</v>
      </c>
      <c r="T979" s="1" t="s">
        <v>74</v>
      </c>
      <c r="U979" s="1" t="s">
        <v>74</v>
      </c>
      <c r="V979" s="1" t="s">
        <v>9058</v>
      </c>
      <c r="W979" s="1" t="s">
        <v>74</v>
      </c>
      <c r="X979" s="1" t="s">
        <v>74</v>
      </c>
      <c r="Y979" s="1" t="s">
        <v>74</v>
      </c>
      <c r="Z979" s="1" t="s">
        <v>74</v>
      </c>
      <c r="AA979" s="1" t="s">
        <v>9059</v>
      </c>
      <c r="AB979" s="1" t="s">
        <v>9060</v>
      </c>
      <c r="AC979" s="1" t="s">
        <v>74</v>
      </c>
      <c r="AD979" s="1" t="s">
        <v>74</v>
      </c>
      <c r="AE979" s="1" t="s">
        <v>74</v>
      </c>
      <c r="AF979" s="1" t="s">
        <v>74</v>
      </c>
      <c r="AG979" s="1" t="s">
        <v>74</v>
      </c>
      <c r="AH979" s="1" t="s">
        <v>74</v>
      </c>
      <c r="AI979" s="1" t="s">
        <v>74</v>
      </c>
      <c r="AJ979" s="1" t="s">
        <v>74</v>
      </c>
      <c r="AK979" s="1" t="s">
        <v>74</v>
      </c>
      <c r="AL979" s="1" t="s">
        <v>74</v>
      </c>
      <c r="AM979" s="1" t="s">
        <v>74</v>
      </c>
      <c r="AN979" s="1" t="s">
        <v>74</v>
      </c>
      <c r="AO979" s="1" t="s">
        <v>9061</v>
      </c>
      <c r="AP979" s="1" t="s">
        <v>74</v>
      </c>
      <c r="AQ979" s="1" t="s">
        <v>74</v>
      </c>
      <c r="AR979" s="1" t="s">
        <v>74</v>
      </c>
      <c r="AS979" s="1" t="s">
        <v>74</v>
      </c>
      <c r="AT979" s="1" t="s">
        <v>211</v>
      </c>
      <c r="AU979" s="1">
        <v>2018.0</v>
      </c>
      <c r="AV979" s="1">
        <v>31.0</v>
      </c>
      <c r="AW979" s="1" t="s">
        <v>9062</v>
      </c>
      <c r="AX979" s="1" t="s">
        <v>74</v>
      </c>
      <c r="AY979" s="1" t="s">
        <v>74</v>
      </c>
      <c r="AZ979" s="1" t="s">
        <v>74</v>
      </c>
      <c r="BA979" s="1" t="s">
        <v>74</v>
      </c>
      <c r="BB979" s="1">
        <v>497.0</v>
      </c>
      <c r="BC979" s="1">
        <v>506.0</v>
      </c>
      <c r="BD979" s="1" t="s">
        <v>74</v>
      </c>
      <c r="BE979" s="1" t="s">
        <v>74</v>
      </c>
      <c r="BF979" s="1" t="s">
        <v>74</v>
      </c>
      <c r="BG979" s="1" t="s">
        <v>74</v>
      </c>
      <c r="BH979" s="1" t="s">
        <v>74</v>
      </c>
      <c r="BI979" s="1" t="s">
        <v>74</v>
      </c>
      <c r="BJ979" s="1" t="s">
        <v>74</v>
      </c>
      <c r="BK979" s="1" t="s">
        <v>74</v>
      </c>
      <c r="BL979" s="1" t="s">
        <v>74</v>
      </c>
      <c r="BM979" s="1" t="s">
        <v>74</v>
      </c>
      <c r="BN979" s="1" t="s">
        <v>74</v>
      </c>
      <c r="BO979" s="1" t="s">
        <v>74</v>
      </c>
      <c r="BP979" s="1" t="s">
        <v>74</v>
      </c>
      <c r="BQ979" s="1" t="s">
        <v>74</v>
      </c>
      <c r="BR979" s="1" t="s">
        <v>74</v>
      </c>
      <c r="BS979" s="1" t="s">
        <v>9063</v>
      </c>
      <c r="BT979" s="1" t="str">
        <f>HYPERLINK("https%3A%2F%2Fwww.webofscience.com%2Fwos%2Fwoscc%2Ffull-record%2FWOS:000430759100001","View Full Record in Web of Science")</f>
        <v>View Full Record in Web of Science</v>
      </c>
    </row>
    <row r="980" ht="12.75" customHeight="1">
      <c r="A980" s="1" t="s">
        <v>72</v>
      </c>
      <c r="B980" s="1" t="s">
        <v>9064</v>
      </c>
      <c r="C980" s="1" t="s">
        <v>74</v>
      </c>
      <c r="D980" s="1" t="s">
        <v>74</v>
      </c>
      <c r="E980" s="1" t="s">
        <v>74</v>
      </c>
      <c r="F980" s="1" t="s">
        <v>9065</v>
      </c>
      <c r="G980" s="1" t="s">
        <v>74</v>
      </c>
      <c r="H980" s="1" t="s">
        <v>74</v>
      </c>
      <c r="I980" s="1" t="s">
        <v>9066</v>
      </c>
      <c r="J980" s="1" t="s">
        <v>596</v>
      </c>
      <c r="K980" s="1" t="s">
        <v>74</v>
      </c>
      <c r="L980" s="1" t="s">
        <v>74</v>
      </c>
      <c r="M980" s="1" t="s">
        <v>74</v>
      </c>
      <c r="N980" s="1" t="s">
        <v>74</v>
      </c>
      <c r="O980" s="1" t="s">
        <v>74</v>
      </c>
      <c r="P980" s="1" t="s">
        <v>74</v>
      </c>
      <c r="Q980" s="1" t="s">
        <v>74</v>
      </c>
      <c r="R980" s="1" t="s">
        <v>74</v>
      </c>
      <c r="S980" s="1" t="s">
        <v>74</v>
      </c>
      <c r="T980" s="1" t="s">
        <v>74</v>
      </c>
      <c r="U980" s="1" t="s">
        <v>74</v>
      </c>
      <c r="V980" s="1" t="s">
        <v>9067</v>
      </c>
      <c r="W980" s="1" t="s">
        <v>74</v>
      </c>
      <c r="X980" s="1" t="s">
        <v>74</v>
      </c>
      <c r="Y980" s="1" t="s">
        <v>74</v>
      </c>
      <c r="Z980" s="1" t="s">
        <v>74</v>
      </c>
      <c r="AA980" s="1" t="s">
        <v>74</v>
      </c>
      <c r="AB980" s="1" t="s">
        <v>74</v>
      </c>
      <c r="AC980" s="1" t="s">
        <v>74</v>
      </c>
      <c r="AD980" s="1" t="s">
        <v>74</v>
      </c>
      <c r="AE980" s="1" t="s">
        <v>74</v>
      </c>
      <c r="AF980" s="1" t="s">
        <v>74</v>
      </c>
      <c r="AG980" s="1" t="s">
        <v>74</v>
      </c>
      <c r="AH980" s="1" t="s">
        <v>74</v>
      </c>
      <c r="AI980" s="1" t="s">
        <v>74</v>
      </c>
      <c r="AJ980" s="1" t="s">
        <v>74</v>
      </c>
      <c r="AK980" s="1" t="s">
        <v>74</v>
      </c>
      <c r="AL980" s="1" t="s">
        <v>74</v>
      </c>
      <c r="AM980" s="1" t="s">
        <v>74</v>
      </c>
      <c r="AN980" s="1" t="s">
        <v>74</v>
      </c>
      <c r="AO980" s="1" t="s">
        <v>599</v>
      </c>
      <c r="AP980" s="1" t="s">
        <v>74</v>
      </c>
      <c r="AQ980" s="1" t="s">
        <v>74</v>
      </c>
      <c r="AR980" s="1" t="s">
        <v>74</v>
      </c>
      <c r="AS980" s="1" t="s">
        <v>74</v>
      </c>
      <c r="AT980" s="1" t="s">
        <v>289</v>
      </c>
      <c r="AU980" s="1">
        <v>2018.0</v>
      </c>
      <c r="AV980" s="1" t="s">
        <v>74</v>
      </c>
      <c r="AW980" s="1">
        <v>71.0</v>
      </c>
      <c r="AX980" s="1" t="s">
        <v>74</v>
      </c>
      <c r="AY980" s="1" t="s">
        <v>74</v>
      </c>
      <c r="AZ980" s="1" t="s">
        <v>74</v>
      </c>
      <c r="BA980" s="1" t="s">
        <v>74</v>
      </c>
      <c r="BB980" s="1">
        <v>61.0</v>
      </c>
      <c r="BC980" s="1">
        <v>84.0</v>
      </c>
      <c r="BD980" s="1" t="s">
        <v>74</v>
      </c>
      <c r="BE980" s="1" t="s">
        <v>74</v>
      </c>
      <c r="BF980" s="1" t="s">
        <v>74</v>
      </c>
      <c r="BG980" s="1" t="s">
        <v>74</v>
      </c>
      <c r="BH980" s="1" t="s">
        <v>74</v>
      </c>
      <c r="BI980" s="1" t="s">
        <v>74</v>
      </c>
      <c r="BJ980" s="1" t="s">
        <v>74</v>
      </c>
      <c r="BK980" s="1" t="s">
        <v>74</v>
      </c>
      <c r="BL980" s="1" t="s">
        <v>74</v>
      </c>
      <c r="BM980" s="1" t="s">
        <v>74</v>
      </c>
      <c r="BN980" s="1" t="s">
        <v>74</v>
      </c>
      <c r="BO980" s="1" t="s">
        <v>74</v>
      </c>
      <c r="BP980" s="1" t="s">
        <v>74</v>
      </c>
      <c r="BQ980" s="1" t="s">
        <v>74</v>
      </c>
      <c r="BR980" s="1" t="s">
        <v>74</v>
      </c>
      <c r="BS980" s="1" t="s">
        <v>9068</v>
      </c>
      <c r="BT980" s="1" t="str">
        <f>HYPERLINK("https%3A%2F%2Fwww.webofscience.com%2Fwos%2Fwoscc%2Ffull-record%2FWOS:000455562300002","View Full Record in Web of Science")</f>
        <v>View Full Record in Web of Science</v>
      </c>
    </row>
    <row r="981" ht="12.75" customHeight="1">
      <c r="A981" s="1" t="s">
        <v>147</v>
      </c>
      <c r="B981" s="1" t="s">
        <v>9069</v>
      </c>
      <c r="C981" s="1" t="s">
        <v>74</v>
      </c>
      <c r="D981" s="1" t="s">
        <v>74</v>
      </c>
      <c r="E981" s="1" t="s">
        <v>793</v>
      </c>
      <c r="F981" s="1" t="s">
        <v>9070</v>
      </c>
      <c r="G981" s="1" t="s">
        <v>74</v>
      </c>
      <c r="H981" s="1" t="s">
        <v>74</v>
      </c>
      <c r="I981" s="1" t="s">
        <v>9071</v>
      </c>
      <c r="J981" s="1" t="s">
        <v>9072</v>
      </c>
      <c r="K981" s="1" t="s">
        <v>9073</v>
      </c>
      <c r="L981" s="1" t="s">
        <v>74</v>
      </c>
      <c r="M981" s="1" t="s">
        <v>74</v>
      </c>
      <c r="N981" s="1" t="s">
        <v>74</v>
      </c>
      <c r="O981" s="1" t="s">
        <v>9074</v>
      </c>
      <c r="P981" s="1" t="s">
        <v>9075</v>
      </c>
      <c r="Q981" s="1" t="s">
        <v>9076</v>
      </c>
      <c r="R981" s="1" t="s">
        <v>9077</v>
      </c>
      <c r="S981" s="1" t="s">
        <v>74</v>
      </c>
      <c r="T981" s="1" t="s">
        <v>74</v>
      </c>
      <c r="U981" s="1" t="s">
        <v>74</v>
      </c>
      <c r="V981" s="1" t="s">
        <v>9078</v>
      </c>
      <c r="W981" s="1" t="s">
        <v>74</v>
      </c>
      <c r="X981" s="1" t="s">
        <v>74</v>
      </c>
      <c r="Y981" s="1" t="s">
        <v>74</v>
      </c>
      <c r="Z981" s="1" t="s">
        <v>74</v>
      </c>
      <c r="AA981" s="1" t="s">
        <v>9079</v>
      </c>
      <c r="AB981" s="1" t="s">
        <v>9080</v>
      </c>
      <c r="AC981" s="1" t="s">
        <v>74</v>
      </c>
      <c r="AD981" s="1" t="s">
        <v>74</v>
      </c>
      <c r="AE981" s="1" t="s">
        <v>74</v>
      </c>
      <c r="AF981" s="1" t="s">
        <v>74</v>
      </c>
      <c r="AG981" s="1" t="s">
        <v>74</v>
      </c>
      <c r="AH981" s="1" t="s">
        <v>74</v>
      </c>
      <c r="AI981" s="1" t="s">
        <v>74</v>
      </c>
      <c r="AJ981" s="1" t="s">
        <v>74</v>
      </c>
      <c r="AK981" s="1" t="s">
        <v>74</v>
      </c>
      <c r="AL981" s="1" t="s">
        <v>74</v>
      </c>
      <c r="AM981" s="1" t="s">
        <v>74</v>
      </c>
      <c r="AN981" s="1" t="s">
        <v>74</v>
      </c>
      <c r="AO981" s="1" t="s">
        <v>74</v>
      </c>
      <c r="AP981" s="1" t="s">
        <v>74</v>
      </c>
      <c r="AQ981" s="1" t="s">
        <v>9081</v>
      </c>
      <c r="AR981" s="1" t="s">
        <v>74</v>
      </c>
      <c r="AS981" s="1" t="s">
        <v>74</v>
      </c>
      <c r="AT981" s="1" t="s">
        <v>74</v>
      </c>
      <c r="AU981" s="1">
        <v>2018.0</v>
      </c>
      <c r="AV981" s="1" t="s">
        <v>74</v>
      </c>
      <c r="AW981" s="1" t="s">
        <v>74</v>
      </c>
      <c r="AX981" s="1" t="s">
        <v>74</v>
      </c>
      <c r="AY981" s="1" t="s">
        <v>74</v>
      </c>
      <c r="AZ981" s="1" t="s">
        <v>74</v>
      </c>
      <c r="BA981" s="1" t="s">
        <v>74</v>
      </c>
      <c r="BB981" s="1">
        <v>2661.0</v>
      </c>
      <c r="BC981" s="1">
        <v>2668.0</v>
      </c>
      <c r="BD981" s="1" t="s">
        <v>74</v>
      </c>
      <c r="BE981" s="1" t="s">
        <v>9082</v>
      </c>
      <c r="BF981" s="2" t="str">
        <f>HYPERLINK("http://dx.doi.org/10.1109/CEC.2018.8477666","http://dx.doi.org/10.1109/CEC.2018.8477666")</f>
        <v>http://dx.doi.org/10.1109/CEC.2018.8477666</v>
      </c>
      <c r="BG981" s="1" t="s">
        <v>74</v>
      </c>
      <c r="BH981" s="1" t="s">
        <v>74</v>
      </c>
      <c r="BI981" s="1" t="s">
        <v>74</v>
      </c>
      <c r="BJ981" s="1" t="s">
        <v>74</v>
      </c>
      <c r="BK981" s="1" t="s">
        <v>74</v>
      </c>
      <c r="BL981" s="1" t="s">
        <v>74</v>
      </c>
      <c r="BM981" s="1" t="s">
        <v>74</v>
      </c>
      <c r="BN981" s="1" t="s">
        <v>74</v>
      </c>
      <c r="BO981" s="1" t="s">
        <v>74</v>
      </c>
      <c r="BP981" s="1" t="s">
        <v>74</v>
      </c>
      <c r="BQ981" s="1" t="s">
        <v>74</v>
      </c>
      <c r="BR981" s="1" t="s">
        <v>74</v>
      </c>
      <c r="BS981" s="1" t="s">
        <v>9083</v>
      </c>
      <c r="BT981" s="1" t="str">
        <f>HYPERLINK("https%3A%2F%2Fwww.webofscience.com%2Fwos%2Fwoscc%2Ffull-record%2FWOS:000451175500340","View Full Record in Web of Science")</f>
        <v>View Full Record in Web of Science</v>
      </c>
    </row>
    <row r="982" ht="12.75" customHeight="1">
      <c r="A982" s="1" t="s">
        <v>72</v>
      </c>
      <c r="B982" s="1" t="s">
        <v>9084</v>
      </c>
      <c r="C982" s="1" t="s">
        <v>74</v>
      </c>
      <c r="D982" s="1" t="s">
        <v>74</v>
      </c>
      <c r="E982" s="1" t="s">
        <v>74</v>
      </c>
      <c r="F982" s="1" t="s">
        <v>9085</v>
      </c>
      <c r="G982" s="1" t="s">
        <v>74</v>
      </c>
      <c r="H982" s="1" t="s">
        <v>74</v>
      </c>
      <c r="I982" s="1" t="s">
        <v>9086</v>
      </c>
      <c r="J982" s="1" t="s">
        <v>9087</v>
      </c>
      <c r="K982" s="1" t="s">
        <v>74</v>
      </c>
      <c r="L982" s="1" t="s">
        <v>74</v>
      </c>
      <c r="M982" s="1" t="s">
        <v>74</v>
      </c>
      <c r="N982" s="1" t="s">
        <v>74</v>
      </c>
      <c r="O982" s="1" t="s">
        <v>74</v>
      </c>
      <c r="P982" s="1" t="s">
        <v>74</v>
      </c>
      <c r="Q982" s="1" t="s">
        <v>74</v>
      </c>
      <c r="R982" s="1" t="s">
        <v>74</v>
      </c>
      <c r="S982" s="1" t="s">
        <v>74</v>
      </c>
      <c r="T982" s="1" t="s">
        <v>74</v>
      </c>
      <c r="U982" s="1" t="s">
        <v>74</v>
      </c>
      <c r="V982" s="1" t="s">
        <v>9088</v>
      </c>
      <c r="W982" s="1" t="s">
        <v>74</v>
      </c>
      <c r="X982" s="1" t="s">
        <v>74</v>
      </c>
      <c r="Y982" s="1" t="s">
        <v>74</v>
      </c>
      <c r="Z982" s="1" t="s">
        <v>74</v>
      </c>
      <c r="AA982" s="1" t="s">
        <v>9089</v>
      </c>
      <c r="AB982" s="1" t="s">
        <v>9090</v>
      </c>
      <c r="AC982" s="1" t="s">
        <v>74</v>
      </c>
      <c r="AD982" s="1" t="s">
        <v>74</v>
      </c>
      <c r="AE982" s="1" t="s">
        <v>74</v>
      </c>
      <c r="AF982" s="1" t="s">
        <v>74</v>
      </c>
      <c r="AG982" s="1" t="s">
        <v>74</v>
      </c>
      <c r="AH982" s="1" t="s">
        <v>74</v>
      </c>
      <c r="AI982" s="1" t="s">
        <v>74</v>
      </c>
      <c r="AJ982" s="1" t="s">
        <v>74</v>
      </c>
      <c r="AK982" s="1" t="s">
        <v>74</v>
      </c>
      <c r="AL982" s="1" t="s">
        <v>74</v>
      </c>
      <c r="AM982" s="1" t="s">
        <v>74</v>
      </c>
      <c r="AN982" s="1" t="s">
        <v>74</v>
      </c>
      <c r="AO982" s="1" t="s">
        <v>9091</v>
      </c>
      <c r="AP982" s="1" t="s">
        <v>74</v>
      </c>
      <c r="AQ982" s="1" t="s">
        <v>74</v>
      </c>
      <c r="AR982" s="1" t="s">
        <v>74</v>
      </c>
      <c r="AS982" s="1" t="s">
        <v>74</v>
      </c>
      <c r="AT982" s="1" t="s">
        <v>415</v>
      </c>
      <c r="AU982" s="1">
        <v>2017.0</v>
      </c>
      <c r="AV982" s="1">
        <v>17.0</v>
      </c>
      <c r="AW982" s="1">
        <v>4.0</v>
      </c>
      <c r="AX982" s="1" t="s">
        <v>74</v>
      </c>
      <c r="AY982" s="1" t="s">
        <v>74</v>
      </c>
      <c r="AZ982" s="1" t="s">
        <v>74</v>
      </c>
      <c r="BA982" s="1" t="s">
        <v>74</v>
      </c>
      <c r="BB982" s="1">
        <v>357.0</v>
      </c>
      <c r="BC982" s="1">
        <v>362.0</v>
      </c>
      <c r="BD982" s="1" t="s">
        <v>74</v>
      </c>
      <c r="BE982" s="1" t="s">
        <v>9092</v>
      </c>
      <c r="BF982" s="2" t="str">
        <f>HYPERLINK("http://dx.doi.org/10.1016/j.repbio.2017.10.001","http://dx.doi.org/10.1016/j.repbio.2017.10.001")</f>
        <v>http://dx.doi.org/10.1016/j.repbio.2017.10.001</v>
      </c>
      <c r="BG982" s="1" t="s">
        <v>74</v>
      </c>
      <c r="BH982" s="1" t="s">
        <v>74</v>
      </c>
      <c r="BI982" s="1" t="s">
        <v>74</v>
      </c>
      <c r="BJ982" s="1" t="s">
        <v>74</v>
      </c>
      <c r="BK982" s="1" t="s">
        <v>74</v>
      </c>
      <c r="BL982" s="1" t="s">
        <v>74</v>
      </c>
      <c r="BM982" s="1" t="s">
        <v>74</v>
      </c>
      <c r="BN982" s="1">
        <v>2.9030125E7</v>
      </c>
      <c r="BO982" s="1" t="s">
        <v>74</v>
      </c>
      <c r="BP982" s="1" t="s">
        <v>74</v>
      </c>
      <c r="BQ982" s="1" t="s">
        <v>74</v>
      </c>
      <c r="BR982" s="1" t="s">
        <v>74</v>
      </c>
      <c r="BS982" s="1" t="s">
        <v>9093</v>
      </c>
      <c r="BT982" s="1" t="str">
        <f>HYPERLINK("https%3A%2F%2Fwww.webofscience.com%2Fwos%2Fwoscc%2Ffull-record%2FWOS:000429509800009","View Full Record in Web of Science")</f>
        <v>View Full Record in Web of Science</v>
      </c>
    </row>
    <row r="983" ht="12.75" customHeight="1">
      <c r="A983" s="1" t="s">
        <v>72</v>
      </c>
      <c r="B983" s="1" t="s">
        <v>9094</v>
      </c>
      <c r="C983" s="1" t="s">
        <v>74</v>
      </c>
      <c r="D983" s="1" t="s">
        <v>74</v>
      </c>
      <c r="E983" s="1" t="s">
        <v>74</v>
      </c>
      <c r="F983" s="1" t="s">
        <v>9095</v>
      </c>
      <c r="G983" s="1" t="s">
        <v>74</v>
      </c>
      <c r="H983" s="1" t="s">
        <v>74</v>
      </c>
      <c r="I983" s="1" t="s">
        <v>9096</v>
      </c>
      <c r="J983" s="1" t="s">
        <v>9097</v>
      </c>
      <c r="K983" s="1" t="s">
        <v>74</v>
      </c>
      <c r="L983" s="1" t="s">
        <v>74</v>
      </c>
      <c r="M983" s="1" t="s">
        <v>74</v>
      </c>
      <c r="N983" s="1" t="s">
        <v>74</v>
      </c>
      <c r="O983" s="1" t="s">
        <v>74</v>
      </c>
      <c r="P983" s="1" t="s">
        <v>74</v>
      </c>
      <c r="Q983" s="1" t="s">
        <v>74</v>
      </c>
      <c r="R983" s="1" t="s">
        <v>74</v>
      </c>
      <c r="S983" s="1" t="s">
        <v>74</v>
      </c>
      <c r="T983" s="1" t="s">
        <v>74</v>
      </c>
      <c r="U983" s="1" t="s">
        <v>74</v>
      </c>
      <c r="V983" s="1" t="s">
        <v>74</v>
      </c>
      <c r="W983" s="1" t="s">
        <v>74</v>
      </c>
      <c r="X983" s="1" t="s">
        <v>74</v>
      </c>
      <c r="Y983" s="1" t="s">
        <v>74</v>
      </c>
      <c r="Z983" s="1" t="s">
        <v>74</v>
      </c>
      <c r="AA983" s="1" t="s">
        <v>74</v>
      </c>
      <c r="AB983" s="1" t="s">
        <v>74</v>
      </c>
      <c r="AC983" s="1" t="s">
        <v>74</v>
      </c>
      <c r="AD983" s="1" t="s">
        <v>74</v>
      </c>
      <c r="AE983" s="1" t="s">
        <v>74</v>
      </c>
      <c r="AF983" s="1" t="s">
        <v>74</v>
      </c>
      <c r="AG983" s="1" t="s">
        <v>74</v>
      </c>
      <c r="AH983" s="1" t="s">
        <v>74</v>
      </c>
      <c r="AI983" s="1" t="s">
        <v>74</v>
      </c>
      <c r="AJ983" s="1" t="s">
        <v>74</v>
      </c>
      <c r="AK983" s="1" t="s">
        <v>74</v>
      </c>
      <c r="AL983" s="1" t="s">
        <v>74</v>
      </c>
      <c r="AM983" s="1" t="s">
        <v>74</v>
      </c>
      <c r="AN983" s="1" t="s">
        <v>74</v>
      </c>
      <c r="AO983" s="1" t="s">
        <v>9098</v>
      </c>
      <c r="AP983" s="1" t="s">
        <v>9099</v>
      </c>
      <c r="AQ983" s="1" t="s">
        <v>74</v>
      </c>
      <c r="AR983" s="1" t="s">
        <v>74</v>
      </c>
      <c r="AS983" s="1" t="s">
        <v>74</v>
      </c>
      <c r="AT983" s="1" t="s">
        <v>379</v>
      </c>
      <c r="AU983" s="1">
        <v>2015.0</v>
      </c>
      <c r="AV983" s="1">
        <v>30.0</v>
      </c>
      <c r="AW983" s="1">
        <v>7.0</v>
      </c>
      <c r="AX983" s="1" t="s">
        <v>74</v>
      </c>
      <c r="AY983" s="1" t="s">
        <v>74</v>
      </c>
      <c r="AZ983" s="1" t="s">
        <v>74</v>
      </c>
      <c r="BA983" s="1" t="s">
        <v>74</v>
      </c>
      <c r="BB983" s="1">
        <v>453.0</v>
      </c>
      <c r="BC983" s="1">
        <v>455.0</v>
      </c>
      <c r="BD983" s="1" t="s">
        <v>74</v>
      </c>
      <c r="BE983" s="1" t="s">
        <v>9100</v>
      </c>
      <c r="BF983" s="2" t="str">
        <f>HYPERLINK("http://dx.doi.org/10.1016/j.nrl.2013.09.003","http://dx.doi.org/10.1016/j.nrl.2013.09.003")</f>
        <v>http://dx.doi.org/10.1016/j.nrl.2013.09.003</v>
      </c>
      <c r="BG983" s="1" t="s">
        <v>74</v>
      </c>
      <c r="BH983" s="1" t="s">
        <v>74</v>
      </c>
      <c r="BI983" s="1" t="s">
        <v>74</v>
      </c>
      <c r="BJ983" s="1" t="s">
        <v>74</v>
      </c>
      <c r="BK983" s="1" t="s">
        <v>74</v>
      </c>
      <c r="BL983" s="1" t="s">
        <v>74</v>
      </c>
      <c r="BM983" s="1" t="s">
        <v>74</v>
      </c>
      <c r="BN983" s="1">
        <v>2.4332779E7</v>
      </c>
      <c r="BO983" s="1" t="s">
        <v>74</v>
      </c>
      <c r="BP983" s="1" t="s">
        <v>74</v>
      </c>
      <c r="BQ983" s="1" t="s">
        <v>74</v>
      </c>
      <c r="BR983" s="1" t="s">
        <v>74</v>
      </c>
      <c r="BS983" s="1" t="s">
        <v>9101</v>
      </c>
      <c r="BT983" s="1" t="str">
        <f>HYPERLINK("https%3A%2F%2Fwww.webofscience.com%2Fwos%2Fwoscc%2Ffull-record%2FWOS:000360872700011","View Full Record in Web of Science")</f>
        <v>View Full Record in Web of Science</v>
      </c>
    </row>
    <row r="984" ht="12.75" customHeight="1">
      <c r="A984" s="1" t="s">
        <v>72</v>
      </c>
      <c r="B984" s="1" t="s">
        <v>9102</v>
      </c>
      <c r="C984" s="1" t="s">
        <v>74</v>
      </c>
      <c r="D984" s="1" t="s">
        <v>74</v>
      </c>
      <c r="E984" s="1" t="s">
        <v>74</v>
      </c>
      <c r="F984" s="1" t="s">
        <v>9103</v>
      </c>
      <c r="G984" s="1" t="s">
        <v>74</v>
      </c>
      <c r="H984" s="1" t="s">
        <v>74</v>
      </c>
      <c r="I984" s="1" t="s">
        <v>9104</v>
      </c>
      <c r="J984" s="1" t="s">
        <v>987</v>
      </c>
      <c r="K984" s="1" t="s">
        <v>74</v>
      </c>
      <c r="L984" s="1" t="s">
        <v>74</v>
      </c>
      <c r="M984" s="1" t="s">
        <v>74</v>
      </c>
      <c r="N984" s="1" t="s">
        <v>74</v>
      </c>
      <c r="O984" s="1" t="s">
        <v>74</v>
      </c>
      <c r="P984" s="1" t="s">
        <v>74</v>
      </c>
      <c r="Q984" s="1" t="s">
        <v>74</v>
      </c>
      <c r="R984" s="1" t="s">
        <v>74</v>
      </c>
      <c r="S984" s="1" t="s">
        <v>74</v>
      </c>
      <c r="T984" s="1" t="s">
        <v>74</v>
      </c>
      <c r="U984" s="1" t="s">
        <v>74</v>
      </c>
      <c r="V984" s="1" t="s">
        <v>9105</v>
      </c>
      <c r="W984" s="1" t="s">
        <v>74</v>
      </c>
      <c r="X984" s="1" t="s">
        <v>74</v>
      </c>
      <c r="Y984" s="1" t="s">
        <v>74</v>
      </c>
      <c r="Z984" s="1" t="s">
        <v>74</v>
      </c>
      <c r="AA984" s="1" t="s">
        <v>9106</v>
      </c>
      <c r="AB984" s="1" t="s">
        <v>9107</v>
      </c>
      <c r="AC984" s="1" t="s">
        <v>74</v>
      </c>
      <c r="AD984" s="1" t="s">
        <v>74</v>
      </c>
      <c r="AE984" s="1" t="s">
        <v>74</v>
      </c>
      <c r="AF984" s="1" t="s">
        <v>74</v>
      </c>
      <c r="AG984" s="1" t="s">
        <v>74</v>
      </c>
      <c r="AH984" s="1" t="s">
        <v>74</v>
      </c>
      <c r="AI984" s="1" t="s">
        <v>74</v>
      </c>
      <c r="AJ984" s="1" t="s">
        <v>74</v>
      </c>
      <c r="AK984" s="1" t="s">
        <v>74</v>
      </c>
      <c r="AL984" s="1" t="s">
        <v>74</v>
      </c>
      <c r="AM984" s="1" t="s">
        <v>74</v>
      </c>
      <c r="AN984" s="1" t="s">
        <v>74</v>
      </c>
      <c r="AO984" s="1" t="s">
        <v>991</v>
      </c>
      <c r="AP984" s="1" t="s">
        <v>74</v>
      </c>
      <c r="AQ984" s="1" t="s">
        <v>74</v>
      </c>
      <c r="AR984" s="1" t="s">
        <v>74</v>
      </c>
      <c r="AS984" s="1" t="s">
        <v>74</v>
      </c>
      <c r="AT984" s="1" t="s">
        <v>415</v>
      </c>
      <c r="AU984" s="1">
        <v>2013.0</v>
      </c>
      <c r="AV984" s="1">
        <v>58.0</v>
      </c>
      <c r="AW984" s="1">
        <v>4.0</v>
      </c>
      <c r="AX984" s="1" t="s">
        <v>74</v>
      </c>
      <c r="AY984" s="1" t="s">
        <v>74</v>
      </c>
      <c r="AZ984" s="1" t="s">
        <v>74</v>
      </c>
      <c r="BA984" s="1" t="s">
        <v>74</v>
      </c>
      <c r="BB984" s="1">
        <v>2043.0</v>
      </c>
      <c r="BC984" s="1">
        <v>2047.0</v>
      </c>
      <c r="BD984" s="1" t="s">
        <v>74</v>
      </c>
      <c r="BE984" s="1" t="s">
        <v>9108</v>
      </c>
      <c r="BF984" s="2" t="str">
        <f>HYPERLINK("http://dx.doi.org/10.4067/S0717-97072013000400031","http://dx.doi.org/10.4067/S0717-97072013000400031")</f>
        <v>http://dx.doi.org/10.4067/S0717-97072013000400031</v>
      </c>
      <c r="BG984" s="1" t="s">
        <v>74</v>
      </c>
      <c r="BH984" s="1" t="s">
        <v>74</v>
      </c>
      <c r="BI984" s="1" t="s">
        <v>74</v>
      </c>
      <c r="BJ984" s="1" t="s">
        <v>74</v>
      </c>
      <c r="BK984" s="1" t="s">
        <v>74</v>
      </c>
      <c r="BL984" s="1" t="s">
        <v>74</v>
      </c>
      <c r="BM984" s="1" t="s">
        <v>74</v>
      </c>
      <c r="BN984" s="1" t="s">
        <v>74</v>
      </c>
      <c r="BO984" s="1" t="s">
        <v>74</v>
      </c>
      <c r="BP984" s="1" t="s">
        <v>74</v>
      </c>
      <c r="BQ984" s="1" t="s">
        <v>74</v>
      </c>
      <c r="BR984" s="1" t="s">
        <v>74</v>
      </c>
      <c r="BS984" s="1" t="s">
        <v>9109</v>
      </c>
      <c r="BT984" s="1" t="str">
        <f>HYPERLINK("https%3A%2F%2Fwww.webofscience.com%2Fwos%2Fwoscc%2Ffull-record%2FWOS:000331238800027","View Full Record in Web of Science")</f>
        <v>View Full Record in Web of Science</v>
      </c>
    </row>
    <row r="985" ht="12.75" customHeight="1">
      <c r="A985" s="1" t="s">
        <v>72</v>
      </c>
      <c r="B985" s="1" t="s">
        <v>9110</v>
      </c>
      <c r="C985" s="1" t="s">
        <v>74</v>
      </c>
      <c r="D985" s="1" t="s">
        <v>74</v>
      </c>
      <c r="E985" s="1" t="s">
        <v>74</v>
      </c>
      <c r="F985" s="1" t="s">
        <v>9111</v>
      </c>
      <c r="G985" s="1" t="s">
        <v>74</v>
      </c>
      <c r="H985" s="1" t="s">
        <v>74</v>
      </c>
      <c r="I985" s="1" t="s">
        <v>9112</v>
      </c>
      <c r="J985" s="1" t="s">
        <v>8978</v>
      </c>
      <c r="K985" s="1" t="s">
        <v>74</v>
      </c>
      <c r="L985" s="1" t="s">
        <v>74</v>
      </c>
      <c r="M985" s="1" t="s">
        <v>74</v>
      </c>
      <c r="N985" s="1" t="s">
        <v>74</v>
      </c>
      <c r="O985" s="1" t="s">
        <v>74</v>
      </c>
      <c r="P985" s="1" t="s">
        <v>74</v>
      </c>
      <c r="Q985" s="1" t="s">
        <v>74</v>
      </c>
      <c r="R985" s="1" t="s">
        <v>74</v>
      </c>
      <c r="S985" s="1" t="s">
        <v>74</v>
      </c>
      <c r="T985" s="1" t="s">
        <v>74</v>
      </c>
      <c r="U985" s="1" t="s">
        <v>74</v>
      </c>
      <c r="V985" s="1" t="s">
        <v>9113</v>
      </c>
      <c r="W985" s="1" t="s">
        <v>74</v>
      </c>
      <c r="X985" s="1" t="s">
        <v>74</v>
      </c>
      <c r="Y985" s="1" t="s">
        <v>74</v>
      </c>
      <c r="Z985" s="1" t="s">
        <v>74</v>
      </c>
      <c r="AA985" s="1" t="s">
        <v>9114</v>
      </c>
      <c r="AB985" s="1" t="s">
        <v>9115</v>
      </c>
      <c r="AC985" s="1" t="s">
        <v>74</v>
      </c>
      <c r="AD985" s="1" t="s">
        <v>74</v>
      </c>
      <c r="AE985" s="1" t="s">
        <v>74</v>
      </c>
      <c r="AF985" s="1" t="s">
        <v>74</v>
      </c>
      <c r="AG985" s="1" t="s">
        <v>74</v>
      </c>
      <c r="AH985" s="1" t="s">
        <v>74</v>
      </c>
      <c r="AI985" s="1" t="s">
        <v>74</v>
      </c>
      <c r="AJ985" s="1" t="s">
        <v>74</v>
      </c>
      <c r="AK985" s="1" t="s">
        <v>74</v>
      </c>
      <c r="AL985" s="1" t="s">
        <v>74</v>
      </c>
      <c r="AM985" s="1" t="s">
        <v>74</v>
      </c>
      <c r="AN985" s="1" t="s">
        <v>74</v>
      </c>
      <c r="AO985" s="1" t="s">
        <v>8982</v>
      </c>
      <c r="AP985" s="1" t="s">
        <v>8983</v>
      </c>
      <c r="AQ985" s="1" t="s">
        <v>74</v>
      </c>
      <c r="AR985" s="1" t="s">
        <v>74</v>
      </c>
      <c r="AS985" s="1" t="s">
        <v>74</v>
      </c>
      <c r="AT985" s="1" t="s">
        <v>379</v>
      </c>
      <c r="AU985" s="1">
        <v>2013.0</v>
      </c>
      <c r="AV985" s="1">
        <v>84.0</v>
      </c>
      <c r="AW985" s="1">
        <v>9.0</v>
      </c>
      <c r="AX985" s="1" t="s">
        <v>74</v>
      </c>
      <c r="AY985" s="1" t="s">
        <v>74</v>
      </c>
      <c r="AZ985" s="1" t="s">
        <v>74</v>
      </c>
      <c r="BA985" s="1" t="s">
        <v>74</v>
      </c>
      <c r="BB985" s="1" t="s">
        <v>74</v>
      </c>
      <c r="BC985" s="1" t="s">
        <v>74</v>
      </c>
      <c r="BD985" s="1">
        <v>95001.0</v>
      </c>
      <c r="BE985" s="1" t="s">
        <v>9116</v>
      </c>
      <c r="BF985" s="2" t="str">
        <f>HYPERLINK("http://dx.doi.org/10.1063/1.4819743","http://dx.doi.org/10.1063/1.4819743")</f>
        <v>http://dx.doi.org/10.1063/1.4819743</v>
      </c>
      <c r="BG985" s="1" t="s">
        <v>74</v>
      </c>
      <c r="BH985" s="1" t="s">
        <v>74</v>
      </c>
      <c r="BI985" s="1" t="s">
        <v>74</v>
      </c>
      <c r="BJ985" s="1" t="s">
        <v>74</v>
      </c>
      <c r="BK985" s="1" t="s">
        <v>74</v>
      </c>
      <c r="BL985" s="1" t="s">
        <v>74</v>
      </c>
      <c r="BM985" s="1" t="s">
        <v>74</v>
      </c>
      <c r="BN985" s="1">
        <v>2.4089852E7</v>
      </c>
      <c r="BO985" s="1" t="s">
        <v>74</v>
      </c>
      <c r="BP985" s="1" t="s">
        <v>74</v>
      </c>
      <c r="BQ985" s="1" t="s">
        <v>74</v>
      </c>
      <c r="BR985" s="1" t="s">
        <v>74</v>
      </c>
      <c r="BS985" s="1" t="s">
        <v>9117</v>
      </c>
      <c r="BT985" s="1" t="str">
        <f>HYPERLINK("https%3A%2F%2Fwww.webofscience.com%2Fwos%2Fwoscc%2Ffull-record%2FWOS:000325402000044","View Full Record in Web of Science")</f>
        <v>View Full Record in Web of Science</v>
      </c>
    </row>
    <row r="986" ht="12.75" customHeight="1">
      <c r="A986" s="1" t="s">
        <v>147</v>
      </c>
      <c r="B986" s="1" t="s">
        <v>9118</v>
      </c>
      <c r="C986" s="1" t="s">
        <v>74</v>
      </c>
      <c r="D986" s="1" t="s">
        <v>74</v>
      </c>
      <c r="E986" s="1" t="s">
        <v>793</v>
      </c>
      <c r="F986" s="1" t="s">
        <v>9119</v>
      </c>
      <c r="G986" s="1" t="s">
        <v>74</v>
      </c>
      <c r="H986" s="1" t="s">
        <v>74</v>
      </c>
      <c r="I986" s="1" t="s">
        <v>9120</v>
      </c>
      <c r="J986" s="1" t="s">
        <v>9121</v>
      </c>
      <c r="K986" s="1" t="s">
        <v>9122</v>
      </c>
      <c r="L986" s="1" t="s">
        <v>74</v>
      </c>
      <c r="M986" s="1" t="s">
        <v>74</v>
      </c>
      <c r="N986" s="1" t="s">
        <v>74</v>
      </c>
      <c r="O986" s="1" t="s">
        <v>9123</v>
      </c>
      <c r="P986" s="1" t="s">
        <v>9124</v>
      </c>
      <c r="Q986" s="1" t="s">
        <v>9125</v>
      </c>
      <c r="R986" s="1" t="s">
        <v>9126</v>
      </c>
      <c r="S986" s="1" t="s">
        <v>74</v>
      </c>
      <c r="T986" s="1" t="s">
        <v>74</v>
      </c>
      <c r="U986" s="1" t="s">
        <v>74</v>
      </c>
      <c r="V986" s="1" t="s">
        <v>9127</v>
      </c>
      <c r="W986" s="1" t="s">
        <v>74</v>
      </c>
      <c r="X986" s="1" t="s">
        <v>74</v>
      </c>
      <c r="Y986" s="1" t="s">
        <v>74</v>
      </c>
      <c r="Z986" s="1" t="s">
        <v>74</v>
      </c>
      <c r="AA986" s="1" t="s">
        <v>74</v>
      </c>
      <c r="AB986" s="1" t="s">
        <v>9128</v>
      </c>
      <c r="AC986" s="1" t="s">
        <v>74</v>
      </c>
      <c r="AD986" s="1" t="s">
        <v>74</v>
      </c>
      <c r="AE986" s="1" t="s">
        <v>74</v>
      </c>
      <c r="AF986" s="1" t="s">
        <v>74</v>
      </c>
      <c r="AG986" s="1" t="s">
        <v>74</v>
      </c>
      <c r="AH986" s="1" t="s">
        <v>74</v>
      </c>
      <c r="AI986" s="1" t="s">
        <v>74</v>
      </c>
      <c r="AJ986" s="1" t="s">
        <v>74</v>
      </c>
      <c r="AK986" s="1" t="s">
        <v>74</v>
      </c>
      <c r="AL986" s="1" t="s">
        <v>74</v>
      </c>
      <c r="AM986" s="1" t="s">
        <v>74</v>
      </c>
      <c r="AN986" s="1" t="s">
        <v>74</v>
      </c>
      <c r="AO986" s="1" t="s">
        <v>9129</v>
      </c>
      <c r="AP986" s="1" t="s">
        <v>74</v>
      </c>
      <c r="AQ986" s="1" t="s">
        <v>9130</v>
      </c>
      <c r="AR986" s="1" t="s">
        <v>74</v>
      </c>
      <c r="AS986" s="1" t="s">
        <v>74</v>
      </c>
      <c r="AT986" s="1" t="s">
        <v>74</v>
      </c>
      <c r="AU986" s="1">
        <v>2013.0</v>
      </c>
      <c r="AV986" s="1" t="s">
        <v>74</v>
      </c>
      <c r="AW986" s="1" t="s">
        <v>74</v>
      </c>
      <c r="AX986" s="1" t="s">
        <v>74</v>
      </c>
      <c r="AY986" s="1" t="s">
        <v>74</v>
      </c>
      <c r="AZ986" s="1" t="s">
        <v>74</v>
      </c>
      <c r="BA986" s="1" t="s">
        <v>74</v>
      </c>
      <c r="BB986" s="1">
        <v>3318.0</v>
      </c>
      <c r="BC986" s="1">
        <v>3325.0</v>
      </c>
      <c r="BD986" s="1" t="s">
        <v>74</v>
      </c>
      <c r="BE986" s="1" t="s">
        <v>9131</v>
      </c>
      <c r="BF986" s="2" t="str">
        <f>HYPERLINK("http://dx.doi.org/10.1109/CVPR.2013.426","http://dx.doi.org/10.1109/CVPR.2013.426")</f>
        <v>http://dx.doi.org/10.1109/CVPR.2013.426</v>
      </c>
      <c r="BG986" s="1" t="s">
        <v>74</v>
      </c>
      <c r="BH986" s="1" t="s">
        <v>74</v>
      </c>
      <c r="BI986" s="1" t="s">
        <v>74</v>
      </c>
      <c r="BJ986" s="1" t="s">
        <v>74</v>
      </c>
      <c r="BK986" s="1" t="s">
        <v>74</v>
      </c>
      <c r="BL986" s="1" t="s">
        <v>74</v>
      </c>
      <c r="BM986" s="1" t="s">
        <v>74</v>
      </c>
      <c r="BN986" s="1" t="s">
        <v>74</v>
      </c>
      <c r="BO986" s="1" t="s">
        <v>74</v>
      </c>
      <c r="BP986" s="1" t="s">
        <v>74</v>
      </c>
      <c r="BQ986" s="1" t="s">
        <v>74</v>
      </c>
      <c r="BR986" s="1" t="s">
        <v>74</v>
      </c>
      <c r="BS986" s="1" t="s">
        <v>9132</v>
      </c>
      <c r="BT986" s="1" t="str">
        <f>HYPERLINK("https%3A%2F%2Fwww.webofscience.com%2Fwos%2Fwoscc%2Ffull-record%2FWOS:000331094303050","View Full Record in Web of Science")</f>
        <v>View Full Record in Web of Science</v>
      </c>
    </row>
    <row r="987" ht="12.75" customHeight="1">
      <c r="A987" s="1" t="s">
        <v>72</v>
      </c>
      <c r="B987" s="1" t="s">
        <v>7276</v>
      </c>
      <c r="C987" s="1" t="s">
        <v>74</v>
      </c>
      <c r="D987" s="1" t="s">
        <v>74</v>
      </c>
      <c r="E987" s="1" t="s">
        <v>74</v>
      </c>
      <c r="F987" s="1" t="s">
        <v>9133</v>
      </c>
      <c r="G987" s="1" t="s">
        <v>74</v>
      </c>
      <c r="H987" s="1" t="s">
        <v>74</v>
      </c>
      <c r="I987" s="1" t="s">
        <v>9134</v>
      </c>
      <c r="J987" s="1" t="s">
        <v>9135</v>
      </c>
      <c r="K987" s="1" t="s">
        <v>74</v>
      </c>
      <c r="L987" s="1" t="s">
        <v>74</v>
      </c>
      <c r="M987" s="1" t="s">
        <v>74</v>
      </c>
      <c r="N987" s="1" t="s">
        <v>74</v>
      </c>
      <c r="O987" s="1" t="s">
        <v>74</v>
      </c>
      <c r="P987" s="1" t="s">
        <v>74</v>
      </c>
      <c r="Q987" s="1" t="s">
        <v>74</v>
      </c>
      <c r="R987" s="1" t="s">
        <v>74</v>
      </c>
      <c r="S987" s="1" t="s">
        <v>74</v>
      </c>
      <c r="T987" s="1" t="s">
        <v>74</v>
      </c>
      <c r="U987" s="1" t="s">
        <v>74</v>
      </c>
      <c r="V987" s="1" t="s">
        <v>9136</v>
      </c>
      <c r="W987" s="1" t="s">
        <v>74</v>
      </c>
      <c r="X987" s="1" t="s">
        <v>74</v>
      </c>
      <c r="Y987" s="1" t="s">
        <v>74</v>
      </c>
      <c r="Z987" s="1" t="s">
        <v>74</v>
      </c>
      <c r="AA987" s="1" t="s">
        <v>498</v>
      </c>
      <c r="AB987" s="1" t="s">
        <v>197</v>
      </c>
      <c r="AC987" s="1" t="s">
        <v>74</v>
      </c>
      <c r="AD987" s="1" t="s">
        <v>74</v>
      </c>
      <c r="AE987" s="1" t="s">
        <v>74</v>
      </c>
      <c r="AF987" s="1" t="s">
        <v>74</v>
      </c>
      <c r="AG987" s="1" t="s">
        <v>74</v>
      </c>
      <c r="AH987" s="1" t="s">
        <v>74</v>
      </c>
      <c r="AI987" s="1" t="s">
        <v>74</v>
      </c>
      <c r="AJ987" s="1" t="s">
        <v>74</v>
      </c>
      <c r="AK987" s="1" t="s">
        <v>74</v>
      </c>
      <c r="AL987" s="1" t="s">
        <v>74</v>
      </c>
      <c r="AM987" s="1" t="s">
        <v>74</v>
      </c>
      <c r="AN987" s="1" t="s">
        <v>74</v>
      </c>
      <c r="AO987" s="1" t="s">
        <v>9137</v>
      </c>
      <c r="AP987" s="1" t="s">
        <v>9138</v>
      </c>
      <c r="AQ987" s="1" t="s">
        <v>74</v>
      </c>
      <c r="AR987" s="1" t="s">
        <v>74</v>
      </c>
      <c r="AS987" s="1" t="s">
        <v>74</v>
      </c>
      <c r="AT987" s="1" t="s">
        <v>289</v>
      </c>
      <c r="AU987" s="1">
        <v>2012.0</v>
      </c>
      <c r="AV987" s="1">
        <v>12.0</v>
      </c>
      <c r="AW987" s="1">
        <v>2.0</v>
      </c>
      <c r="AX987" s="1" t="s">
        <v>74</v>
      </c>
      <c r="AY987" s="1" t="s">
        <v>74</v>
      </c>
      <c r="AZ987" s="1" t="s">
        <v>74</v>
      </c>
      <c r="BA987" s="1" t="s">
        <v>74</v>
      </c>
      <c r="BB987" s="1">
        <v>245.0</v>
      </c>
      <c r="BC987" s="1">
        <v>265.0</v>
      </c>
      <c r="BD987" s="1" t="s">
        <v>74</v>
      </c>
      <c r="BE987" s="1" t="s">
        <v>9139</v>
      </c>
      <c r="BF987" s="2" t="str">
        <f>HYPERLINK("http://dx.doi.org/10.1007/s00028-011-0131-1","http://dx.doi.org/10.1007/s00028-011-0131-1")</f>
        <v>http://dx.doi.org/10.1007/s00028-011-0131-1</v>
      </c>
      <c r="BG987" s="1" t="s">
        <v>74</v>
      </c>
      <c r="BH987" s="1" t="s">
        <v>74</v>
      </c>
      <c r="BI987" s="1" t="s">
        <v>74</v>
      </c>
      <c r="BJ987" s="1" t="s">
        <v>74</v>
      </c>
      <c r="BK987" s="1" t="s">
        <v>74</v>
      </c>
      <c r="BL987" s="1" t="s">
        <v>74</v>
      </c>
      <c r="BM987" s="1" t="s">
        <v>74</v>
      </c>
      <c r="BN987" s="1" t="s">
        <v>74</v>
      </c>
      <c r="BO987" s="1" t="s">
        <v>74</v>
      </c>
      <c r="BP987" s="1" t="s">
        <v>74</v>
      </c>
      <c r="BQ987" s="1" t="s">
        <v>74</v>
      </c>
      <c r="BR987" s="1" t="s">
        <v>74</v>
      </c>
      <c r="BS987" s="1" t="s">
        <v>9140</v>
      </c>
      <c r="BT987" s="1" t="str">
        <f>HYPERLINK("https%3A%2F%2Fwww.webofscience.com%2Fwos%2Fwoscc%2Ffull-record%2FWOS:000304403200001","View Full Record in Web of Science")</f>
        <v>View Full Record in Web of Science</v>
      </c>
    </row>
    <row r="988" ht="12.75" customHeight="1">
      <c r="A988" s="1" t="s">
        <v>72</v>
      </c>
      <c r="B988" s="1" t="s">
        <v>9141</v>
      </c>
      <c r="C988" s="1" t="s">
        <v>74</v>
      </c>
      <c r="D988" s="1" t="s">
        <v>74</v>
      </c>
      <c r="E988" s="1" t="s">
        <v>74</v>
      </c>
      <c r="F988" s="1" t="s">
        <v>9142</v>
      </c>
      <c r="G988" s="1" t="s">
        <v>74</v>
      </c>
      <c r="H988" s="1" t="s">
        <v>74</v>
      </c>
      <c r="I988" s="1" t="s">
        <v>9143</v>
      </c>
      <c r="J988" s="1" t="s">
        <v>9144</v>
      </c>
      <c r="K988" s="1" t="s">
        <v>74</v>
      </c>
      <c r="L988" s="1" t="s">
        <v>74</v>
      </c>
      <c r="M988" s="1" t="s">
        <v>74</v>
      </c>
      <c r="N988" s="1" t="s">
        <v>74</v>
      </c>
      <c r="O988" s="1" t="s">
        <v>74</v>
      </c>
      <c r="P988" s="1" t="s">
        <v>74</v>
      </c>
      <c r="Q988" s="1" t="s">
        <v>74</v>
      </c>
      <c r="R988" s="1" t="s">
        <v>74</v>
      </c>
      <c r="S988" s="1" t="s">
        <v>74</v>
      </c>
      <c r="T988" s="1" t="s">
        <v>74</v>
      </c>
      <c r="U988" s="1" t="s">
        <v>74</v>
      </c>
      <c r="V988" s="1" t="s">
        <v>74</v>
      </c>
      <c r="W988" s="1" t="s">
        <v>74</v>
      </c>
      <c r="X988" s="1" t="s">
        <v>74</v>
      </c>
      <c r="Y988" s="1" t="s">
        <v>74</v>
      </c>
      <c r="Z988" s="1" t="s">
        <v>74</v>
      </c>
      <c r="AA988" s="1" t="s">
        <v>9145</v>
      </c>
      <c r="AB988" s="1" t="s">
        <v>74</v>
      </c>
      <c r="AC988" s="1" t="s">
        <v>74</v>
      </c>
      <c r="AD988" s="1" t="s">
        <v>74</v>
      </c>
      <c r="AE988" s="1" t="s">
        <v>74</v>
      </c>
      <c r="AF988" s="1" t="s">
        <v>74</v>
      </c>
      <c r="AG988" s="1" t="s">
        <v>74</v>
      </c>
      <c r="AH988" s="1" t="s">
        <v>74</v>
      </c>
      <c r="AI988" s="1" t="s">
        <v>74</v>
      </c>
      <c r="AJ988" s="1" t="s">
        <v>74</v>
      </c>
      <c r="AK988" s="1" t="s">
        <v>74</v>
      </c>
      <c r="AL988" s="1" t="s">
        <v>74</v>
      </c>
      <c r="AM988" s="1" t="s">
        <v>74</v>
      </c>
      <c r="AN988" s="1" t="s">
        <v>74</v>
      </c>
      <c r="AO988" s="1" t="s">
        <v>9146</v>
      </c>
      <c r="AP988" s="1" t="s">
        <v>9147</v>
      </c>
      <c r="AQ988" s="1" t="s">
        <v>74</v>
      </c>
      <c r="AR988" s="1" t="s">
        <v>74</v>
      </c>
      <c r="AS988" s="1" t="s">
        <v>74</v>
      </c>
      <c r="AT988" s="1" t="s">
        <v>9148</v>
      </c>
      <c r="AU988" s="1">
        <v>2011.0</v>
      </c>
      <c r="AV988" s="1">
        <v>25.0</v>
      </c>
      <c r="AW988" s="1">
        <v>6.0</v>
      </c>
      <c r="AX988" s="1" t="s">
        <v>74</v>
      </c>
      <c r="AY988" s="1" t="s">
        <v>74</v>
      </c>
      <c r="AZ988" s="1" t="s">
        <v>74</v>
      </c>
      <c r="BA988" s="1" t="s">
        <v>74</v>
      </c>
      <c r="BB988" s="1">
        <v>826.0</v>
      </c>
      <c r="BC988" s="1">
        <v>826.0</v>
      </c>
      <c r="BD988" s="1" t="s">
        <v>74</v>
      </c>
      <c r="BE988" s="1" t="s">
        <v>9149</v>
      </c>
      <c r="BF988" s="2" t="str">
        <f>HYPERLINK("http://dx.doi.org/10.1002/rcm.4929","http://dx.doi.org/10.1002/rcm.4929")</f>
        <v>http://dx.doi.org/10.1002/rcm.4929</v>
      </c>
      <c r="BG988" s="1" t="s">
        <v>74</v>
      </c>
      <c r="BH988" s="1" t="s">
        <v>74</v>
      </c>
      <c r="BI988" s="1" t="s">
        <v>74</v>
      </c>
      <c r="BJ988" s="1" t="s">
        <v>74</v>
      </c>
      <c r="BK988" s="1" t="s">
        <v>74</v>
      </c>
      <c r="BL988" s="1" t="s">
        <v>74</v>
      </c>
      <c r="BM988" s="1" t="s">
        <v>74</v>
      </c>
      <c r="BN988" s="1" t="s">
        <v>74</v>
      </c>
      <c r="BO988" s="1" t="s">
        <v>74</v>
      </c>
      <c r="BP988" s="1" t="s">
        <v>74</v>
      </c>
      <c r="BQ988" s="1" t="s">
        <v>74</v>
      </c>
      <c r="BR988" s="1" t="s">
        <v>74</v>
      </c>
      <c r="BS988" s="1" t="s">
        <v>9150</v>
      </c>
      <c r="BT988" s="1" t="str">
        <f>HYPERLINK("https%3A%2F%2Fwww.webofscience.com%2Fwos%2Fwoscc%2Ffull-record%2FWOS:000287596300019","View Full Record in Web of Science")</f>
        <v>View Full Record in Web of Science</v>
      </c>
    </row>
    <row r="989" ht="12.75" customHeight="1">
      <c r="A989" s="1" t="s">
        <v>72</v>
      </c>
      <c r="B989" s="1" t="s">
        <v>9151</v>
      </c>
      <c r="C989" s="1" t="s">
        <v>74</v>
      </c>
      <c r="D989" s="1" t="s">
        <v>74</v>
      </c>
      <c r="E989" s="1" t="s">
        <v>74</v>
      </c>
      <c r="F989" s="1" t="s">
        <v>9152</v>
      </c>
      <c r="G989" s="1" t="s">
        <v>74</v>
      </c>
      <c r="H989" s="1" t="s">
        <v>74</v>
      </c>
      <c r="I989" s="1" t="s">
        <v>9153</v>
      </c>
      <c r="J989" s="1" t="s">
        <v>527</v>
      </c>
      <c r="K989" s="1" t="s">
        <v>74</v>
      </c>
      <c r="L989" s="1" t="s">
        <v>74</v>
      </c>
      <c r="M989" s="1" t="s">
        <v>74</v>
      </c>
      <c r="N989" s="1" t="s">
        <v>74</v>
      </c>
      <c r="O989" s="1" t="s">
        <v>74</v>
      </c>
      <c r="P989" s="1" t="s">
        <v>74</v>
      </c>
      <c r="Q989" s="1" t="s">
        <v>74</v>
      </c>
      <c r="R989" s="1" t="s">
        <v>74</v>
      </c>
      <c r="S989" s="1" t="s">
        <v>74</v>
      </c>
      <c r="T989" s="1" t="s">
        <v>74</v>
      </c>
      <c r="U989" s="1" t="s">
        <v>74</v>
      </c>
      <c r="V989" s="1" t="s">
        <v>9154</v>
      </c>
      <c r="W989" s="1" t="s">
        <v>74</v>
      </c>
      <c r="X989" s="1" t="s">
        <v>74</v>
      </c>
      <c r="Y989" s="1" t="s">
        <v>74</v>
      </c>
      <c r="Z989" s="1" t="s">
        <v>74</v>
      </c>
      <c r="AA989" s="1" t="s">
        <v>9155</v>
      </c>
      <c r="AB989" s="1" t="s">
        <v>9156</v>
      </c>
      <c r="AC989" s="1" t="s">
        <v>74</v>
      </c>
      <c r="AD989" s="1" t="s">
        <v>74</v>
      </c>
      <c r="AE989" s="1" t="s">
        <v>74</v>
      </c>
      <c r="AF989" s="1" t="s">
        <v>74</v>
      </c>
      <c r="AG989" s="1" t="s">
        <v>74</v>
      </c>
      <c r="AH989" s="1" t="s">
        <v>74</v>
      </c>
      <c r="AI989" s="1" t="s">
        <v>74</v>
      </c>
      <c r="AJ989" s="1" t="s">
        <v>74</v>
      </c>
      <c r="AK989" s="1" t="s">
        <v>74</v>
      </c>
      <c r="AL989" s="1" t="s">
        <v>74</v>
      </c>
      <c r="AM989" s="1" t="s">
        <v>74</v>
      </c>
      <c r="AN989" s="1" t="s">
        <v>74</v>
      </c>
      <c r="AO989" s="1" t="s">
        <v>531</v>
      </c>
      <c r="AP989" s="1" t="s">
        <v>532</v>
      </c>
      <c r="AQ989" s="1" t="s">
        <v>74</v>
      </c>
      <c r="AR989" s="1" t="s">
        <v>74</v>
      </c>
      <c r="AS989" s="1" t="s">
        <v>74</v>
      </c>
      <c r="AT989" s="1" t="s">
        <v>9157</v>
      </c>
      <c r="AU989" s="1">
        <v>2010.0</v>
      </c>
      <c r="AV989" s="1">
        <v>56.0</v>
      </c>
      <c r="AW989" s="1">
        <v>2.0</v>
      </c>
      <c r="AX989" s="1" t="s">
        <v>74</v>
      </c>
      <c r="AY989" s="1" t="s">
        <v>74</v>
      </c>
      <c r="AZ989" s="1" t="s">
        <v>74</v>
      </c>
      <c r="BA989" s="1" t="s">
        <v>74</v>
      </c>
      <c r="BB989" s="1">
        <v>841.0</v>
      </c>
      <c r="BC989" s="1">
        <v>852.0</v>
      </c>
      <c r="BD989" s="1" t="s">
        <v>74</v>
      </c>
      <c r="BE989" s="1" t="s">
        <v>9158</v>
      </c>
      <c r="BF989" s="2" t="str">
        <f>HYPERLINK("http://dx.doi.org/10.1016/j.electacta.2010.09.063","http://dx.doi.org/10.1016/j.electacta.2010.09.063")</f>
        <v>http://dx.doi.org/10.1016/j.electacta.2010.09.063</v>
      </c>
      <c r="BG989" s="1" t="s">
        <v>74</v>
      </c>
      <c r="BH989" s="1" t="s">
        <v>74</v>
      </c>
      <c r="BI989" s="1" t="s">
        <v>74</v>
      </c>
      <c r="BJ989" s="1" t="s">
        <v>74</v>
      </c>
      <c r="BK989" s="1" t="s">
        <v>74</v>
      </c>
      <c r="BL989" s="1" t="s">
        <v>74</v>
      </c>
      <c r="BM989" s="1" t="s">
        <v>74</v>
      </c>
      <c r="BN989" s="1" t="s">
        <v>74</v>
      </c>
      <c r="BO989" s="1" t="s">
        <v>74</v>
      </c>
      <c r="BP989" s="1" t="s">
        <v>74</v>
      </c>
      <c r="BQ989" s="1" t="s">
        <v>74</v>
      </c>
      <c r="BR989" s="1" t="s">
        <v>74</v>
      </c>
      <c r="BS989" s="1" t="s">
        <v>9159</v>
      </c>
      <c r="BT989" s="1" t="str">
        <f>HYPERLINK("https%3A%2F%2Fwww.webofscience.com%2Fwos%2Fwoscc%2Ffull-record%2FWOS:000285177900030","View Full Record in Web of Science")</f>
        <v>View Full Record in Web of Science</v>
      </c>
    </row>
    <row r="990" ht="12.75" customHeight="1">
      <c r="A990" s="1" t="s">
        <v>72</v>
      </c>
      <c r="B990" s="1" t="s">
        <v>9160</v>
      </c>
      <c r="C990" s="1" t="s">
        <v>74</v>
      </c>
      <c r="D990" s="1" t="s">
        <v>74</v>
      </c>
      <c r="E990" s="1" t="s">
        <v>74</v>
      </c>
      <c r="F990" s="1" t="s">
        <v>9161</v>
      </c>
      <c r="G990" s="1" t="s">
        <v>74</v>
      </c>
      <c r="H990" s="1" t="s">
        <v>74</v>
      </c>
      <c r="I990" s="1" t="s">
        <v>9162</v>
      </c>
      <c r="J990" s="1" t="s">
        <v>987</v>
      </c>
      <c r="K990" s="1" t="s">
        <v>74</v>
      </c>
      <c r="L990" s="1" t="s">
        <v>74</v>
      </c>
      <c r="M990" s="1" t="s">
        <v>74</v>
      </c>
      <c r="N990" s="1" t="s">
        <v>74</v>
      </c>
      <c r="O990" s="1" t="s">
        <v>74</v>
      </c>
      <c r="P990" s="1" t="s">
        <v>74</v>
      </c>
      <c r="Q990" s="1" t="s">
        <v>74</v>
      </c>
      <c r="R990" s="1" t="s">
        <v>74</v>
      </c>
      <c r="S990" s="1" t="s">
        <v>74</v>
      </c>
      <c r="T990" s="1" t="s">
        <v>74</v>
      </c>
      <c r="U990" s="1" t="s">
        <v>74</v>
      </c>
      <c r="V990" s="1" t="s">
        <v>9163</v>
      </c>
      <c r="W990" s="1" t="s">
        <v>74</v>
      </c>
      <c r="X990" s="1" t="s">
        <v>74</v>
      </c>
      <c r="Y990" s="1" t="s">
        <v>74</v>
      </c>
      <c r="Z990" s="1" t="s">
        <v>74</v>
      </c>
      <c r="AA990" s="1" t="s">
        <v>74</v>
      </c>
      <c r="AB990" s="1" t="s">
        <v>9164</v>
      </c>
      <c r="AC990" s="1" t="s">
        <v>74</v>
      </c>
      <c r="AD990" s="1" t="s">
        <v>74</v>
      </c>
      <c r="AE990" s="1" t="s">
        <v>74</v>
      </c>
      <c r="AF990" s="1" t="s">
        <v>74</v>
      </c>
      <c r="AG990" s="1" t="s">
        <v>74</v>
      </c>
      <c r="AH990" s="1" t="s">
        <v>74</v>
      </c>
      <c r="AI990" s="1" t="s">
        <v>74</v>
      </c>
      <c r="AJ990" s="1" t="s">
        <v>74</v>
      </c>
      <c r="AK990" s="1" t="s">
        <v>74</v>
      </c>
      <c r="AL990" s="1" t="s">
        <v>74</v>
      </c>
      <c r="AM990" s="1" t="s">
        <v>74</v>
      </c>
      <c r="AN990" s="1" t="s">
        <v>74</v>
      </c>
      <c r="AO990" s="1" t="s">
        <v>9165</v>
      </c>
      <c r="AP990" s="1" t="s">
        <v>74</v>
      </c>
      <c r="AQ990" s="1" t="s">
        <v>74</v>
      </c>
      <c r="AR990" s="1" t="s">
        <v>74</v>
      </c>
      <c r="AS990" s="1" t="s">
        <v>74</v>
      </c>
      <c r="AT990" s="1" t="s">
        <v>415</v>
      </c>
      <c r="AU990" s="1">
        <v>2010.0</v>
      </c>
      <c r="AV990" s="1">
        <v>55.0</v>
      </c>
      <c r="AW990" s="1">
        <v>4.0</v>
      </c>
      <c r="AX990" s="1" t="s">
        <v>74</v>
      </c>
      <c r="AY990" s="1" t="s">
        <v>74</v>
      </c>
      <c r="AZ990" s="1" t="s">
        <v>74</v>
      </c>
      <c r="BA990" s="1" t="s">
        <v>74</v>
      </c>
      <c r="BB990" s="1">
        <v>465.0</v>
      </c>
      <c r="BC990" s="1">
        <v>466.0</v>
      </c>
      <c r="BD990" s="1" t="s">
        <v>74</v>
      </c>
      <c r="BE990" s="1" t="s">
        <v>9166</v>
      </c>
      <c r="BF990" s="2" t="str">
        <f>HYPERLINK("http://dx.doi.org/10.4067/S0717-97072010000400012","http://dx.doi.org/10.4067/S0717-97072010000400012")</f>
        <v>http://dx.doi.org/10.4067/S0717-97072010000400012</v>
      </c>
      <c r="BG990" s="1" t="s">
        <v>74</v>
      </c>
      <c r="BH990" s="1" t="s">
        <v>74</v>
      </c>
      <c r="BI990" s="1" t="s">
        <v>74</v>
      </c>
      <c r="BJ990" s="1" t="s">
        <v>74</v>
      </c>
      <c r="BK990" s="1" t="s">
        <v>74</v>
      </c>
      <c r="BL990" s="1" t="s">
        <v>74</v>
      </c>
      <c r="BM990" s="1" t="s">
        <v>74</v>
      </c>
      <c r="BN990" s="1" t="s">
        <v>74</v>
      </c>
      <c r="BO990" s="1" t="s">
        <v>74</v>
      </c>
      <c r="BP990" s="1" t="s">
        <v>74</v>
      </c>
      <c r="BQ990" s="1" t="s">
        <v>74</v>
      </c>
      <c r="BR990" s="1" t="s">
        <v>74</v>
      </c>
      <c r="BS990" s="1" t="s">
        <v>9167</v>
      </c>
      <c r="BT990" s="1" t="str">
        <f>HYPERLINK("https%3A%2F%2Fwww.webofscience.com%2Fwos%2Fwoscc%2Ffull-record%2FWOS:000288584300015","View Full Record in Web of Science")</f>
        <v>View Full Record in Web of Science</v>
      </c>
    </row>
    <row r="991" ht="12.75" customHeight="1">
      <c r="A991" s="1" t="s">
        <v>72</v>
      </c>
      <c r="B991" s="1" t="s">
        <v>9168</v>
      </c>
      <c r="C991" s="1" t="s">
        <v>74</v>
      </c>
      <c r="D991" s="1" t="s">
        <v>74</v>
      </c>
      <c r="E991" s="1" t="s">
        <v>74</v>
      </c>
      <c r="F991" s="1" t="s">
        <v>9169</v>
      </c>
      <c r="G991" s="1" t="s">
        <v>74</v>
      </c>
      <c r="H991" s="1" t="s">
        <v>74</v>
      </c>
      <c r="I991" s="1" t="s">
        <v>9170</v>
      </c>
      <c r="J991" s="1" t="s">
        <v>9171</v>
      </c>
      <c r="K991" s="1" t="s">
        <v>74</v>
      </c>
      <c r="L991" s="1" t="s">
        <v>74</v>
      </c>
      <c r="M991" s="1" t="s">
        <v>74</v>
      </c>
      <c r="N991" s="1" t="s">
        <v>74</v>
      </c>
      <c r="O991" s="1" t="s">
        <v>74</v>
      </c>
      <c r="P991" s="1" t="s">
        <v>74</v>
      </c>
      <c r="Q991" s="1" t="s">
        <v>74</v>
      </c>
      <c r="R991" s="1" t="s">
        <v>74</v>
      </c>
      <c r="S991" s="1" t="s">
        <v>74</v>
      </c>
      <c r="T991" s="1" t="s">
        <v>74</v>
      </c>
      <c r="U991" s="1" t="s">
        <v>74</v>
      </c>
      <c r="V991" s="1" t="s">
        <v>9172</v>
      </c>
      <c r="W991" s="1" t="s">
        <v>74</v>
      </c>
      <c r="X991" s="1" t="s">
        <v>74</v>
      </c>
      <c r="Y991" s="1" t="s">
        <v>74</v>
      </c>
      <c r="Z991" s="1" t="s">
        <v>74</v>
      </c>
      <c r="AA991" s="1" t="s">
        <v>9173</v>
      </c>
      <c r="AB991" s="1" t="s">
        <v>9174</v>
      </c>
      <c r="AC991" s="1" t="s">
        <v>74</v>
      </c>
      <c r="AD991" s="1" t="s">
        <v>74</v>
      </c>
      <c r="AE991" s="1" t="s">
        <v>74</v>
      </c>
      <c r="AF991" s="1" t="s">
        <v>74</v>
      </c>
      <c r="AG991" s="1" t="s">
        <v>74</v>
      </c>
      <c r="AH991" s="1" t="s">
        <v>74</v>
      </c>
      <c r="AI991" s="1" t="s">
        <v>74</v>
      </c>
      <c r="AJ991" s="1" t="s">
        <v>74</v>
      </c>
      <c r="AK991" s="1" t="s">
        <v>74</v>
      </c>
      <c r="AL991" s="1" t="s">
        <v>74</v>
      </c>
      <c r="AM991" s="1" t="s">
        <v>74</v>
      </c>
      <c r="AN991" s="1" t="s">
        <v>74</v>
      </c>
      <c r="AO991" s="1" t="s">
        <v>9175</v>
      </c>
      <c r="AP991" s="1" t="s">
        <v>74</v>
      </c>
      <c r="AQ991" s="1" t="s">
        <v>74</v>
      </c>
      <c r="AR991" s="1" t="s">
        <v>74</v>
      </c>
      <c r="AS991" s="1" t="s">
        <v>74</v>
      </c>
      <c r="AT991" s="1" t="s">
        <v>9176</v>
      </c>
      <c r="AU991" s="1">
        <v>2010.0</v>
      </c>
      <c r="AV991" s="1">
        <v>98.0</v>
      </c>
      <c r="AW991" s="1">
        <v>4.0</v>
      </c>
      <c r="AX991" s="1" t="s">
        <v>74</v>
      </c>
      <c r="AY991" s="1" t="s">
        <v>74</v>
      </c>
      <c r="AZ991" s="1" t="s">
        <v>74</v>
      </c>
      <c r="BA991" s="1" t="s">
        <v>74</v>
      </c>
      <c r="BB991" s="1">
        <v>515.0</v>
      </c>
      <c r="BC991" s="1">
        <v>523.0</v>
      </c>
      <c r="BD991" s="1" t="s">
        <v>74</v>
      </c>
      <c r="BE991" s="1" t="s">
        <v>9177</v>
      </c>
      <c r="BF991" s="2" t="str">
        <f>HYPERLINK("http://dx.doi.org/10.1016/j.bpj.2009.10.024","http://dx.doi.org/10.1016/j.bpj.2009.10.024")</f>
        <v>http://dx.doi.org/10.1016/j.bpj.2009.10.024</v>
      </c>
      <c r="BG991" s="1" t="s">
        <v>74</v>
      </c>
      <c r="BH991" s="1" t="s">
        <v>74</v>
      </c>
      <c r="BI991" s="1" t="s">
        <v>74</v>
      </c>
      <c r="BJ991" s="1" t="s">
        <v>74</v>
      </c>
      <c r="BK991" s="1" t="s">
        <v>74</v>
      </c>
      <c r="BL991" s="1" t="s">
        <v>74</v>
      </c>
      <c r="BM991" s="1" t="s">
        <v>74</v>
      </c>
      <c r="BN991" s="1">
        <v>2.0159147E7</v>
      </c>
      <c r="BO991" s="1" t="s">
        <v>74</v>
      </c>
      <c r="BP991" s="1" t="s">
        <v>74</v>
      </c>
      <c r="BQ991" s="1" t="s">
        <v>74</v>
      </c>
      <c r="BR991" s="1" t="s">
        <v>74</v>
      </c>
      <c r="BS991" s="1" t="s">
        <v>9178</v>
      </c>
      <c r="BT991" s="1" t="str">
        <f>HYPERLINK("https%3A%2F%2Fwww.webofscience.com%2Fwos%2Fwoscc%2Ffull-record%2FWOS:000275348200003","View Full Record in Web of Science")</f>
        <v>View Full Record in Web of Science</v>
      </c>
    </row>
    <row r="992" ht="12.75" customHeight="1">
      <c r="A992" s="1" t="s">
        <v>72</v>
      </c>
      <c r="B992" s="1" t="s">
        <v>9179</v>
      </c>
      <c r="C992" s="1" t="s">
        <v>74</v>
      </c>
      <c r="D992" s="1" t="s">
        <v>74</v>
      </c>
      <c r="E992" s="1" t="s">
        <v>74</v>
      </c>
      <c r="F992" s="1" t="s">
        <v>9180</v>
      </c>
      <c r="G992" s="1" t="s">
        <v>74</v>
      </c>
      <c r="H992" s="1" t="s">
        <v>74</v>
      </c>
      <c r="I992" s="1" t="s">
        <v>9181</v>
      </c>
      <c r="J992" s="1" t="s">
        <v>2028</v>
      </c>
      <c r="K992" s="1" t="s">
        <v>74</v>
      </c>
      <c r="L992" s="1" t="s">
        <v>74</v>
      </c>
      <c r="M992" s="1" t="s">
        <v>74</v>
      </c>
      <c r="N992" s="1" t="s">
        <v>74</v>
      </c>
      <c r="O992" s="1" t="s">
        <v>74</v>
      </c>
      <c r="P992" s="1" t="s">
        <v>74</v>
      </c>
      <c r="Q992" s="1" t="s">
        <v>74</v>
      </c>
      <c r="R992" s="1" t="s">
        <v>74</v>
      </c>
      <c r="S992" s="1" t="s">
        <v>74</v>
      </c>
      <c r="T992" s="1" t="s">
        <v>74</v>
      </c>
      <c r="U992" s="1" t="s">
        <v>74</v>
      </c>
      <c r="V992" s="1" t="s">
        <v>9182</v>
      </c>
      <c r="W992" s="1" t="s">
        <v>74</v>
      </c>
      <c r="X992" s="1" t="s">
        <v>74</v>
      </c>
      <c r="Y992" s="1" t="s">
        <v>74</v>
      </c>
      <c r="Z992" s="1" t="s">
        <v>74</v>
      </c>
      <c r="AA992" s="1" t="s">
        <v>9183</v>
      </c>
      <c r="AB992" s="1" t="s">
        <v>74</v>
      </c>
      <c r="AC992" s="1" t="s">
        <v>74</v>
      </c>
      <c r="AD992" s="1" t="s">
        <v>74</v>
      </c>
      <c r="AE992" s="1" t="s">
        <v>74</v>
      </c>
      <c r="AF992" s="1" t="s">
        <v>74</v>
      </c>
      <c r="AG992" s="1" t="s">
        <v>74</v>
      </c>
      <c r="AH992" s="1" t="s">
        <v>74</v>
      </c>
      <c r="AI992" s="1" t="s">
        <v>74</v>
      </c>
      <c r="AJ992" s="1" t="s">
        <v>74</v>
      </c>
      <c r="AK992" s="1" t="s">
        <v>74</v>
      </c>
      <c r="AL992" s="1" t="s">
        <v>74</v>
      </c>
      <c r="AM992" s="1" t="s">
        <v>74</v>
      </c>
      <c r="AN992" s="1" t="s">
        <v>74</v>
      </c>
      <c r="AO992" s="1" t="s">
        <v>2030</v>
      </c>
      <c r="AP992" s="1" t="s">
        <v>9184</v>
      </c>
      <c r="AQ992" s="1" t="s">
        <v>74</v>
      </c>
      <c r="AR992" s="1" t="s">
        <v>74</v>
      </c>
      <c r="AS992" s="1" t="s">
        <v>74</v>
      </c>
      <c r="AT992" s="1" t="s">
        <v>1989</v>
      </c>
      <c r="AU992" s="1">
        <v>2009.0</v>
      </c>
      <c r="AV992" s="1">
        <v>362.0</v>
      </c>
      <c r="AW992" s="1">
        <v>7.0</v>
      </c>
      <c r="AX992" s="1" t="s">
        <v>74</v>
      </c>
      <c r="AY992" s="1" t="s">
        <v>74</v>
      </c>
      <c r="AZ992" s="1" t="s">
        <v>74</v>
      </c>
      <c r="BA992" s="1" t="s">
        <v>74</v>
      </c>
      <c r="BB992" s="1">
        <v>2177.0</v>
      </c>
      <c r="BC992" s="1">
        <v>2182.0</v>
      </c>
      <c r="BD992" s="1" t="s">
        <v>74</v>
      </c>
      <c r="BE992" s="1" t="s">
        <v>9185</v>
      </c>
      <c r="BF992" s="2" t="str">
        <f>HYPERLINK("http://dx.doi.org/10.1016/j.ica.2008.09.051","http://dx.doi.org/10.1016/j.ica.2008.09.051")</f>
        <v>http://dx.doi.org/10.1016/j.ica.2008.09.051</v>
      </c>
      <c r="BG992" s="1" t="s">
        <v>74</v>
      </c>
      <c r="BH992" s="1" t="s">
        <v>74</v>
      </c>
      <c r="BI992" s="1" t="s">
        <v>74</v>
      </c>
      <c r="BJ992" s="1" t="s">
        <v>74</v>
      </c>
      <c r="BK992" s="1" t="s">
        <v>74</v>
      </c>
      <c r="BL992" s="1" t="s">
        <v>74</v>
      </c>
      <c r="BM992" s="1" t="s">
        <v>74</v>
      </c>
      <c r="BN992" s="1" t="s">
        <v>74</v>
      </c>
      <c r="BO992" s="1" t="s">
        <v>74</v>
      </c>
      <c r="BP992" s="1" t="s">
        <v>74</v>
      </c>
      <c r="BQ992" s="1" t="s">
        <v>74</v>
      </c>
      <c r="BR992" s="1" t="s">
        <v>74</v>
      </c>
      <c r="BS992" s="1" t="s">
        <v>9186</v>
      </c>
      <c r="BT992" s="1" t="str">
        <f>HYPERLINK("https%3A%2F%2Fwww.webofscience.com%2Fwos%2Fwoscc%2Ffull-record%2FWOS:000265467300011","View Full Record in Web of Science")</f>
        <v>View Full Record in Web of Science</v>
      </c>
    </row>
    <row r="993" ht="12.75" customHeight="1">
      <c r="A993" s="1" t="s">
        <v>72</v>
      </c>
      <c r="B993" s="1" t="s">
        <v>9187</v>
      </c>
      <c r="C993" s="1" t="s">
        <v>74</v>
      </c>
      <c r="D993" s="1" t="s">
        <v>74</v>
      </c>
      <c r="E993" s="1" t="s">
        <v>74</v>
      </c>
      <c r="F993" s="1" t="s">
        <v>9188</v>
      </c>
      <c r="G993" s="1" t="s">
        <v>74</v>
      </c>
      <c r="H993" s="1" t="s">
        <v>74</v>
      </c>
      <c r="I993" s="1" t="s">
        <v>9189</v>
      </c>
      <c r="J993" s="1" t="s">
        <v>9190</v>
      </c>
      <c r="K993" s="1" t="s">
        <v>74</v>
      </c>
      <c r="L993" s="1" t="s">
        <v>74</v>
      </c>
      <c r="M993" s="1" t="s">
        <v>74</v>
      </c>
      <c r="N993" s="1" t="s">
        <v>74</v>
      </c>
      <c r="O993" s="1" t="s">
        <v>74</v>
      </c>
      <c r="P993" s="1" t="s">
        <v>74</v>
      </c>
      <c r="Q993" s="1" t="s">
        <v>74</v>
      </c>
      <c r="R993" s="1" t="s">
        <v>74</v>
      </c>
      <c r="S993" s="1" t="s">
        <v>74</v>
      </c>
      <c r="T993" s="1" t="s">
        <v>74</v>
      </c>
      <c r="U993" s="1" t="s">
        <v>74</v>
      </c>
      <c r="V993" s="1" t="s">
        <v>9191</v>
      </c>
      <c r="W993" s="1" t="s">
        <v>74</v>
      </c>
      <c r="X993" s="1" t="s">
        <v>74</v>
      </c>
      <c r="Y993" s="1" t="s">
        <v>74</v>
      </c>
      <c r="Z993" s="1" t="s">
        <v>74</v>
      </c>
      <c r="AA993" s="1" t="s">
        <v>9192</v>
      </c>
      <c r="AB993" s="1" t="s">
        <v>9193</v>
      </c>
      <c r="AC993" s="1" t="s">
        <v>74</v>
      </c>
      <c r="AD993" s="1" t="s">
        <v>74</v>
      </c>
      <c r="AE993" s="1" t="s">
        <v>74</v>
      </c>
      <c r="AF993" s="1" t="s">
        <v>74</v>
      </c>
      <c r="AG993" s="1" t="s">
        <v>74</v>
      </c>
      <c r="AH993" s="1" t="s">
        <v>74</v>
      </c>
      <c r="AI993" s="1" t="s">
        <v>74</v>
      </c>
      <c r="AJ993" s="1" t="s">
        <v>74</v>
      </c>
      <c r="AK993" s="1" t="s">
        <v>74</v>
      </c>
      <c r="AL993" s="1" t="s">
        <v>74</v>
      </c>
      <c r="AM993" s="1" t="s">
        <v>74</v>
      </c>
      <c r="AN993" s="1" t="s">
        <v>74</v>
      </c>
      <c r="AO993" s="1" t="s">
        <v>9194</v>
      </c>
      <c r="AP993" s="1" t="s">
        <v>9195</v>
      </c>
      <c r="AQ993" s="1" t="s">
        <v>74</v>
      </c>
      <c r="AR993" s="1" t="s">
        <v>74</v>
      </c>
      <c r="AS993" s="1" t="s">
        <v>74</v>
      </c>
      <c r="AT993" s="1" t="s">
        <v>144</v>
      </c>
      <c r="AU993" s="1">
        <v>2009.0</v>
      </c>
      <c r="AV993" s="1">
        <v>49.0</v>
      </c>
      <c r="AW993" s="1" t="s">
        <v>222</v>
      </c>
      <c r="AX993" s="1" t="s">
        <v>74</v>
      </c>
      <c r="AY993" s="1" t="s">
        <v>74</v>
      </c>
      <c r="AZ993" s="1" t="s">
        <v>74</v>
      </c>
      <c r="BA993" s="1" t="s">
        <v>74</v>
      </c>
      <c r="BB993" s="1">
        <v>1260.0</v>
      </c>
      <c r="BC993" s="1">
        <v>1267.0</v>
      </c>
      <c r="BD993" s="1" t="s">
        <v>74</v>
      </c>
      <c r="BE993" s="1" t="s">
        <v>9196</v>
      </c>
      <c r="BF993" s="2" t="str">
        <f>HYPERLINK("http://dx.doi.org/10.1016/j.mcm.2008.07.011","http://dx.doi.org/10.1016/j.mcm.2008.07.011")</f>
        <v>http://dx.doi.org/10.1016/j.mcm.2008.07.011</v>
      </c>
      <c r="BG993" s="1" t="s">
        <v>74</v>
      </c>
      <c r="BH993" s="1" t="s">
        <v>74</v>
      </c>
      <c r="BI993" s="1" t="s">
        <v>74</v>
      </c>
      <c r="BJ993" s="1" t="s">
        <v>74</v>
      </c>
      <c r="BK993" s="1" t="s">
        <v>74</v>
      </c>
      <c r="BL993" s="1" t="s">
        <v>74</v>
      </c>
      <c r="BM993" s="1" t="s">
        <v>74</v>
      </c>
      <c r="BN993" s="1" t="s">
        <v>74</v>
      </c>
      <c r="BO993" s="1" t="s">
        <v>74</v>
      </c>
      <c r="BP993" s="1" t="s">
        <v>74</v>
      </c>
      <c r="BQ993" s="1" t="s">
        <v>74</v>
      </c>
      <c r="BR993" s="1" t="s">
        <v>74</v>
      </c>
      <c r="BS993" s="1" t="s">
        <v>9197</v>
      </c>
      <c r="BT993" s="1" t="str">
        <f>HYPERLINK("https%3A%2F%2Fwww.webofscience.com%2Fwos%2Fwoscc%2Ffull-record%2FWOS:000263151100038","View Full Record in Web of Science")</f>
        <v>View Full Record in Web of Science</v>
      </c>
    </row>
    <row r="994" ht="12.75" customHeight="1">
      <c r="A994" s="1" t="s">
        <v>72</v>
      </c>
      <c r="B994" s="1" t="s">
        <v>9198</v>
      </c>
      <c r="C994" s="1" t="s">
        <v>74</v>
      </c>
      <c r="D994" s="1" t="s">
        <v>74</v>
      </c>
      <c r="E994" s="1" t="s">
        <v>74</v>
      </c>
      <c r="F994" s="1" t="s">
        <v>9199</v>
      </c>
      <c r="G994" s="1" t="s">
        <v>74</v>
      </c>
      <c r="H994" s="1" t="s">
        <v>74</v>
      </c>
      <c r="I994" s="1" t="s">
        <v>9200</v>
      </c>
      <c r="J994" s="1" t="s">
        <v>527</v>
      </c>
      <c r="K994" s="1" t="s">
        <v>74</v>
      </c>
      <c r="L994" s="1" t="s">
        <v>74</v>
      </c>
      <c r="M994" s="1" t="s">
        <v>74</v>
      </c>
      <c r="N994" s="1" t="s">
        <v>74</v>
      </c>
      <c r="O994" s="1" t="s">
        <v>74</v>
      </c>
      <c r="P994" s="1" t="s">
        <v>74</v>
      </c>
      <c r="Q994" s="1" t="s">
        <v>74</v>
      </c>
      <c r="R994" s="1" t="s">
        <v>74</v>
      </c>
      <c r="S994" s="1" t="s">
        <v>74</v>
      </c>
      <c r="T994" s="1" t="s">
        <v>74</v>
      </c>
      <c r="U994" s="1" t="s">
        <v>74</v>
      </c>
      <c r="V994" s="1" t="s">
        <v>9201</v>
      </c>
      <c r="W994" s="1" t="s">
        <v>74</v>
      </c>
      <c r="X994" s="1" t="s">
        <v>74</v>
      </c>
      <c r="Y994" s="1" t="s">
        <v>74</v>
      </c>
      <c r="Z994" s="1" t="s">
        <v>74</v>
      </c>
      <c r="AA994" s="1" t="s">
        <v>7762</v>
      </c>
      <c r="AB994" s="1" t="s">
        <v>74</v>
      </c>
      <c r="AC994" s="1" t="s">
        <v>74</v>
      </c>
      <c r="AD994" s="1" t="s">
        <v>74</v>
      </c>
      <c r="AE994" s="1" t="s">
        <v>74</v>
      </c>
      <c r="AF994" s="1" t="s">
        <v>74</v>
      </c>
      <c r="AG994" s="1" t="s">
        <v>74</v>
      </c>
      <c r="AH994" s="1" t="s">
        <v>74</v>
      </c>
      <c r="AI994" s="1" t="s">
        <v>74</v>
      </c>
      <c r="AJ994" s="1" t="s">
        <v>74</v>
      </c>
      <c r="AK994" s="1" t="s">
        <v>74</v>
      </c>
      <c r="AL994" s="1" t="s">
        <v>74</v>
      </c>
      <c r="AM994" s="1" t="s">
        <v>74</v>
      </c>
      <c r="AN994" s="1" t="s">
        <v>74</v>
      </c>
      <c r="AO994" s="1" t="s">
        <v>531</v>
      </c>
      <c r="AP994" s="1" t="s">
        <v>532</v>
      </c>
      <c r="AQ994" s="1" t="s">
        <v>74</v>
      </c>
      <c r="AR994" s="1" t="s">
        <v>74</v>
      </c>
      <c r="AS994" s="1" t="s">
        <v>74</v>
      </c>
      <c r="AT994" s="1" t="s">
        <v>2571</v>
      </c>
      <c r="AU994" s="1">
        <v>2007.0</v>
      </c>
      <c r="AV994" s="1">
        <v>53.0</v>
      </c>
      <c r="AW994" s="1">
        <v>2.0</v>
      </c>
      <c r="AX994" s="1" t="s">
        <v>74</v>
      </c>
      <c r="AY994" s="1" t="s">
        <v>74</v>
      </c>
      <c r="AZ994" s="1" t="s">
        <v>74</v>
      </c>
      <c r="BA994" s="1" t="s">
        <v>74</v>
      </c>
      <c r="BB994" s="1">
        <v>792.0</v>
      </c>
      <c r="BC994" s="1">
        <v>802.0</v>
      </c>
      <c r="BD994" s="1" t="s">
        <v>74</v>
      </c>
      <c r="BE994" s="1" t="s">
        <v>9202</v>
      </c>
      <c r="BF994" s="2" t="str">
        <f>HYPERLINK("http://dx.doi.org/10.1016/j.electacta.2007.07.064","http://dx.doi.org/10.1016/j.electacta.2007.07.064")</f>
        <v>http://dx.doi.org/10.1016/j.electacta.2007.07.064</v>
      </c>
      <c r="BG994" s="1" t="s">
        <v>74</v>
      </c>
      <c r="BH994" s="1" t="s">
        <v>74</v>
      </c>
      <c r="BI994" s="1" t="s">
        <v>74</v>
      </c>
      <c r="BJ994" s="1" t="s">
        <v>74</v>
      </c>
      <c r="BK994" s="1" t="s">
        <v>74</v>
      </c>
      <c r="BL994" s="1" t="s">
        <v>74</v>
      </c>
      <c r="BM994" s="1" t="s">
        <v>74</v>
      </c>
      <c r="BN994" s="1" t="s">
        <v>74</v>
      </c>
      <c r="BO994" s="1" t="s">
        <v>74</v>
      </c>
      <c r="BP994" s="1" t="s">
        <v>74</v>
      </c>
      <c r="BQ994" s="1" t="s">
        <v>74</v>
      </c>
      <c r="BR994" s="1" t="s">
        <v>74</v>
      </c>
      <c r="BS994" s="1" t="s">
        <v>9203</v>
      </c>
      <c r="BT994" s="1" t="str">
        <f>HYPERLINK("https%3A%2F%2Fwww.webofscience.com%2Fwos%2Fwoscc%2Ffull-record%2FWOS:000251480900070","View Full Record in Web of Science")</f>
        <v>View Full Record in Web of Science</v>
      </c>
    </row>
    <row r="995" ht="12.75" customHeight="1">
      <c r="A995" s="1" t="s">
        <v>72</v>
      </c>
      <c r="B995" s="1" t="s">
        <v>9204</v>
      </c>
      <c r="C995" s="1" t="s">
        <v>74</v>
      </c>
      <c r="D995" s="1" t="s">
        <v>74</v>
      </c>
      <c r="E995" s="1" t="s">
        <v>74</v>
      </c>
      <c r="F995" s="1" t="s">
        <v>9204</v>
      </c>
      <c r="G995" s="1" t="s">
        <v>74</v>
      </c>
      <c r="H995" s="1" t="s">
        <v>74</v>
      </c>
      <c r="I995" s="1" t="s">
        <v>9205</v>
      </c>
      <c r="J995" s="1" t="s">
        <v>9206</v>
      </c>
      <c r="K995" s="1" t="s">
        <v>74</v>
      </c>
      <c r="L995" s="1" t="s">
        <v>74</v>
      </c>
      <c r="M995" s="1" t="s">
        <v>74</v>
      </c>
      <c r="N995" s="1" t="s">
        <v>74</v>
      </c>
      <c r="O995" s="1" t="s">
        <v>74</v>
      </c>
      <c r="P995" s="1" t="s">
        <v>74</v>
      </c>
      <c r="Q995" s="1" t="s">
        <v>74</v>
      </c>
      <c r="R995" s="1" t="s">
        <v>74</v>
      </c>
      <c r="S995" s="1" t="s">
        <v>74</v>
      </c>
      <c r="T995" s="1" t="s">
        <v>74</v>
      </c>
      <c r="U995" s="1" t="s">
        <v>74</v>
      </c>
      <c r="V995" s="1" t="s">
        <v>9207</v>
      </c>
      <c r="W995" s="1" t="s">
        <v>74</v>
      </c>
      <c r="X995" s="1" t="s">
        <v>74</v>
      </c>
      <c r="Y995" s="1" t="s">
        <v>74</v>
      </c>
      <c r="Z995" s="1" t="s">
        <v>74</v>
      </c>
      <c r="AA995" s="1" t="s">
        <v>9208</v>
      </c>
      <c r="AB995" s="1" t="s">
        <v>9209</v>
      </c>
      <c r="AC995" s="1" t="s">
        <v>74</v>
      </c>
      <c r="AD995" s="1" t="s">
        <v>74</v>
      </c>
      <c r="AE995" s="1" t="s">
        <v>74</v>
      </c>
      <c r="AF995" s="1" t="s">
        <v>74</v>
      </c>
      <c r="AG995" s="1" t="s">
        <v>74</v>
      </c>
      <c r="AH995" s="1" t="s">
        <v>74</v>
      </c>
      <c r="AI995" s="1" t="s">
        <v>74</v>
      </c>
      <c r="AJ995" s="1" t="s">
        <v>74</v>
      </c>
      <c r="AK995" s="1" t="s">
        <v>74</v>
      </c>
      <c r="AL995" s="1" t="s">
        <v>74</v>
      </c>
      <c r="AM995" s="1" t="s">
        <v>74</v>
      </c>
      <c r="AN995" s="1" t="s">
        <v>74</v>
      </c>
      <c r="AO995" s="1" t="s">
        <v>9210</v>
      </c>
      <c r="AP995" s="1" t="s">
        <v>74</v>
      </c>
      <c r="AQ995" s="1" t="s">
        <v>74</v>
      </c>
      <c r="AR995" s="1" t="s">
        <v>74</v>
      </c>
      <c r="AS995" s="1" t="s">
        <v>74</v>
      </c>
      <c r="AT995" s="1" t="s">
        <v>74</v>
      </c>
      <c r="AU995" s="1">
        <v>2006.0</v>
      </c>
      <c r="AV995" s="1">
        <v>16.0</v>
      </c>
      <c r="AW995" s="1">
        <v>4.0</v>
      </c>
      <c r="AX995" s="1" t="s">
        <v>74</v>
      </c>
      <c r="AY995" s="1" t="s">
        <v>74</v>
      </c>
      <c r="AZ995" s="1" t="s">
        <v>74</v>
      </c>
      <c r="BA995" s="1" t="s">
        <v>74</v>
      </c>
      <c r="BB995" s="1">
        <v>965.0</v>
      </c>
      <c r="BC995" s="1">
        <v>985.0</v>
      </c>
      <c r="BD995" s="1" t="s">
        <v>74</v>
      </c>
      <c r="BE995" s="1" t="s">
        <v>9211</v>
      </c>
      <c r="BF995" s="2" t="str">
        <f>HYPERLINK("http://dx.doi.org/10.1137/040609264","http://dx.doi.org/10.1137/040609264")</f>
        <v>http://dx.doi.org/10.1137/040609264</v>
      </c>
      <c r="BG995" s="1" t="s">
        <v>74</v>
      </c>
      <c r="BH995" s="1" t="s">
        <v>74</v>
      </c>
      <c r="BI995" s="1" t="s">
        <v>74</v>
      </c>
      <c r="BJ995" s="1" t="s">
        <v>74</v>
      </c>
      <c r="BK995" s="1" t="s">
        <v>74</v>
      </c>
      <c r="BL995" s="1" t="s">
        <v>74</v>
      </c>
      <c r="BM995" s="1" t="s">
        <v>74</v>
      </c>
      <c r="BN995" s="1" t="s">
        <v>74</v>
      </c>
      <c r="BO995" s="1" t="s">
        <v>74</v>
      </c>
      <c r="BP995" s="1" t="s">
        <v>74</v>
      </c>
      <c r="BQ995" s="1" t="s">
        <v>74</v>
      </c>
      <c r="BR995" s="1" t="s">
        <v>74</v>
      </c>
      <c r="BS995" s="1" t="s">
        <v>9212</v>
      </c>
      <c r="BT995" s="1" t="str">
        <f>HYPERLINK("https%3A%2F%2Fwww.webofscience.com%2Fwos%2Fwoscc%2Ffull-record%2FWOS:000237146200002","View Full Record in Web of Science")</f>
        <v>View Full Record in Web of Science</v>
      </c>
    </row>
    <row r="996" ht="12.75" customHeight="1">
      <c r="A996" s="1" t="s">
        <v>72</v>
      </c>
      <c r="B996" s="1" t="s">
        <v>9213</v>
      </c>
      <c r="C996" s="1" t="s">
        <v>74</v>
      </c>
      <c r="D996" s="1" t="s">
        <v>74</v>
      </c>
      <c r="E996" s="1" t="s">
        <v>74</v>
      </c>
      <c r="F996" s="1" t="s">
        <v>9213</v>
      </c>
      <c r="G996" s="1" t="s">
        <v>74</v>
      </c>
      <c r="H996" s="1" t="s">
        <v>74</v>
      </c>
      <c r="I996" s="1" t="s">
        <v>9214</v>
      </c>
      <c r="J996" s="1" t="s">
        <v>3358</v>
      </c>
      <c r="K996" s="1" t="s">
        <v>74</v>
      </c>
      <c r="L996" s="1" t="s">
        <v>74</v>
      </c>
      <c r="M996" s="1" t="s">
        <v>74</v>
      </c>
      <c r="N996" s="1" t="s">
        <v>74</v>
      </c>
      <c r="O996" s="1" t="s">
        <v>74</v>
      </c>
      <c r="P996" s="1" t="s">
        <v>74</v>
      </c>
      <c r="Q996" s="1" t="s">
        <v>74</v>
      </c>
      <c r="R996" s="1" t="s">
        <v>74</v>
      </c>
      <c r="S996" s="1" t="s">
        <v>74</v>
      </c>
      <c r="T996" s="1" t="s">
        <v>74</v>
      </c>
      <c r="U996" s="1" t="s">
        <v>74</v>
      </c>
      <c r="V996" s="1" t="s">
        <v>9215</v>
      </c>
      <c r="W996" s="1" t="s">
        <v>74</v>
      </c>
      <c r="X996" s="1" t="s">
        <v>74</v>
      </c>
      <c r="Y996" s="1" t="s">
        <v>74</v>
      </c>
      <c r="Z996" s="1" t="s">
        <v>74</v>
      </c>
      <c r="AA996" s="1" t="s">
        <v>74</v>
      </c>
      <c r="AB996" s="1" t="s">
        <v>6606</v>
      </c>
      <c r="AC996" s="1" t="s">
        <v>74</v>
      </c>
      <c r="AD996" s="1" t="s">
        <v>74</v>
      </c>
      <c r="AE996" s="1" t="s">
        <v>74</v>
      </c>
      <c r="AF996" s="1" t="s">
        <v>74</v>
      </c>
      <c r="AG996" s="1" t="s">
        <v>74</v>
      </c>
      <c r="AH996" s="1" t="s">
        <v>74</v>
      </c>
      <c r="AI996" s="1" t="s">
        <v>74</v>
      </c>
      <c r="AJ996" s="1" t="s">
        <v>74</v>
      </c>
      <c r="AK996" s="1" t="s">
        <v>74</v>
      </c>
      <c r="AL996" s="1" t="s">
        <v>74</v>
      </c>
      <c r="AM996" s="1" t="s">
        <v>74</v>
      </c>
      <c r="AN996" s="1" t="s">
        <v>74</v>
      </c>
      <c r="AO996" s="1" t="s">
        <v>3362</v>
      </c>
      <c r="AP996" s="1" t="s">
        <v>9216</v>
      </c>
      <c r="AQ996" s="1" t="s">
        <v>74</v>
      </c>
      <c r="AR996" s="1" t="s">
        <v>74</v>
      </c>
      <c r="AS996" s="1" t="s">
        <v>74</v>
      </c>
      <c r="AT996" s="1" t="s">
        <v>1214</v>
      </c>
      <c r="AU996" s="1">
        <v>2005.0</v>
      </c>
      <c r="AV996" s="1">
        <v>41.0</v>
      </c>
      <c r="AW996" s="1">
        <v>2.0</v>
      </c>
      <c r="AX996" s="1" t="s">
        <v>74</v>
      </c>
      <c r="AY996" s="1" t="s">
        <v>74</v>
      </c>
      <c r="AZ996" s="1" t="s">
        <v>74</v>
      </c>
      <c r="BA996" s="1" t="s">
        <v>74</v>
      </c>
      <c r="BB996" s="1">
        <v>107.0</v>
      </c>
      <c r="BC996" s="1">
        <v>110.0</v>
      </c>
      <c r="BD996" s="1" t="s">
        <v>74</v>
      </c>
      <c r="BE996" s="1" t="s">
        <v>74</v>
      </c>
      <c r="BF996" s="1" t="s">
        <v>74</v>
      </c>
      <c r="BG996" s="1" t="s">
        <v>74</v>
      </c>
      <c r="BH996" s="1" t="s">
        <v>74</v>
      </c>
      <c r="BI996" s="1" t="s">
        <v>74</v>
      </c>
      <c r="BJ996" s="1" t="s">
        <v>74</v>
      </c>
      <c r="BK996" s="1" t="s">
        <v>74</v>
      </c>
      <c r="BL996" s="1" t="s">
        <v>74</v>
      </c>
      <c r="BM996" s="1" t="s">
        <v>74</v>
      </c>
      <c r="BN996" s="1" t="s">
        <v>74</v>
      </c>
      <c r="BO996" s="1" t="s">
        <v>74</v>
      </c>
      <c r="BP996" s="1" t="s">
        <v>74</v>
      </c>
      <c r="BQ996" s="1" t="s">
        <v>74</v>
      </c>
      <c r="BR996" s="1" t="s">
        <v>74</v>
      </c>
      <c r="BS996" s="1" t="s">
        <v>9217</v>
      </c>
      <c r="BT996" s="1" t="str">
        <f>HYPERLINK("https%3A%2F%2Fwww.webofscience.com%2Fwos%2Fwoscc%2Ffull-record%2FWOS:000230941000004","View Full Record in Web of Science")</f>
        <v>View Full Record in Web of Science</v>
      </c>
    </row>
    <row r="997" ht="12.75" customHeight="1">
      <c r="A997" s="1" t="s">
        <v>72</v>
      </c>
      <c r="B997" s="1" t="s">
        <v>9218</v>
      </c>
      <c r="C997" s="1" t="s">
        <v>74</v>
      </c>
      <c r="D997" s="1" t="s">
        <v>74</v>
      </c>
      <c r="E997" s="1" t="s">
        <v>74</v>
      </c>
      <c r="F997" s="1" t="s">
        <v>9218</v>
      </c>
      <c r="G997" s="1" t="s">
        <v>74</v>
      </c>
      <c r="H997" s="1" t="s">
        <v>74</v>
      </c>
      <c r="I997" s="1" t="s">
        <v>9219</v>
      </c>
      <c r="J997" s="1" t="s">
        <v>4084</v>
      </c>
      <c r="K997" s="1" t="s">
        <v>74</v>
      </c>
      <c r="L997" s="1" t="s">
        <v>74</v>
      </c>
      <c r="M997" s="1" t="s">
        <v>74</v>
      </c>
      <c r="N997" s="1" t="s">
        <v>74</v>
      </c>
      <c r="O997" s="1" t="s">
        <v>1167</v>
      </c>
      <c r="P997" s="1" t="s">
        <v>1168</v>
      </c>
      <c r="Q997" s="1" t="s">
        <v>1169</v>
      </c>
      <c r="R997" s="1" t="s">
        <v>74</v>
      </c>
      <c r="S997" s="1" t="s">
        <v>74</v>
      </c>
      <c r="T997" s="1" t="s">
        <v>74</v>
      </c>
      <c r="U997" s="1" t="s">
        <v>74</v>
      </c>
      <c r="V997" s="1" t="s">
        <v>9220</v>
      </c>
      <c r="W997" s="1" t="s">
        <v>74</v>
      </c>
      <c r="X997" s="1" t="s">
        <v>74</v>
      </c>
      <c r="Y997" s="1" t="s">
        <v>74</v>
      </c>
      <c r="Z997" s="1" t="s">
        <v>74</v>
      </c>
      <c r="AA997" s="1" t="s">
        <v>2101</v>
      </c>
      <c r="AB997" s="1" t="s">
        <v>2102</v>
      </c>
      <c r="AC997" s="1" t="s">
        <v>74</v>
      </c>
      <c r="AD997" s="1" t="s">
        <v>74</v>
      </c>
      <c r="AE997" s="1" t="s">
        <v>74</v>
      </c>
      <c r="AF997" s="1" t="s">
        <v>74</v>
      </c>
      <c r="AG997" s="1" t="s">
        <v>74</v>
      </c>
      <c r="AH997" s="1" t="s">
        <v>74</v>
      </c>
      <c r="AI997" s="1" t="s">
        <v>74</v>
      </c>
      <c r="AJ997" s="1" t="s">
        <v>74</v>
      </c>
      <c r="AK997" s="1" t="s">
        <v>74</v>
      </c>
      <c r="AL997" s="1" t="s">
        <v>74</v>
      </c>
      <c r="AM997" s="1" t="s">
        <v>74</v>
      </c>
      <c r="AN997" s="1" t="s">
        <v>74</v>
      </c>
      <c r="AO997" s="1" t="s">
        <v>4088</v>
      </c>
      <c r="AP997" s="1" t="s">
        <v>4089</v>
      </c>
      <c r="AQ997" s="1" t="s">
        <v>74</v>
      </c>
      <c r="AR997" s="1" t="s">
        <v>74</v>
      </c>
      <c r="AS997" s="1" t="s">
        <v>74</v>
      </c>
      <c r="AT997" s="1" t="s">
        <v>74</v>
      </c>
      <c r="AU997" s="1">
        <v>2004.0</v>
      </c>
      <c r="AV997" s="1">
        <v>14.0</v>
      </c>
      <c r="AW997" s="1">
        <v>2.0</v>
      </c>
      <c r="AX997" s="1" t="s">
        <v>74</v>
      </c>
      <c r="AY997" s="1" t="s">
        <v>74</v>
      </c>
      <c r="AZ997" s="1" t="s">
        <v>74</v>
      </c>
      <c r="BA997" s="1" t="s">
        <v>74</v>
      </c>
      <c r="BB997" s="1">
        <v>167.0</v>
      </c>
      <c r="BC997" s="1">
        <v>186.0</v>
      </c>
      <c r="BD997" s="1" t="s">
        <v>74</v>
      </c>
      <c r="BE997" s="1" t="s">
        <v>9221</v>
      </c>
      <c r="BF997" s="2" t="str">
        <f>HYPERLINK("http://dx.doi.org/10.1108/09615530410513791","http://dx.doi.org/10.1108/09615530410513791")</f>
        <v>http://dx.doi.org/10.1108/09615530410513791</v>
      </c>
      <c r="BG997" s="1" t="s">
        <v>74</v>
      </c>
      <c r="BH997" s="1" t="s">
        <v>74</v>
      </c>
      <c r="BI997" s="1" t="s">
        <v>74</v>
      </c>
      <c r="BJ997" s="1" t="s">
        <v>74</v>
      </c>
      <c r="BK997" s="1" t="s">
        <v>74</v>
      </c>
      <c r="BL997" s="1" t="s">
        <v>74</v>
      </c>
      <c r="BM997" s="1" t="s">
        <v>74</v>
      </c>
      <c r="BN997" s="1" t="s">
        <v>74</v>
      </c>
      <c r="BO997" s="1" t="s">
        <v>74</v>
      </c>
      <c r="BP997" s="1" t="s">
        <v>74</v>
      </c>
      <c r="BQ997" s="1" t="s">
        <v>74</v>
      </c>
      <c r="BR997" s="1" t="s">
        <v>74</v>
      </c>
      <c r="BS997" s="1" t="s">
        <v>9222</v>
      </c>
      <c r="BT997" s="1" t="str">
        <f>HYPERLINK("https%3A%2F%2Fwww.webofscience.com%2Fwos%2Fwoscc%2Ffull-record%2FWOS:000223932500003","View Full Record in Web of Science")</f>
        <v>View Full Record in Web of Science</v>
      </c>
    </row>
    <row r="998" ht="12.75" customHeight="1">
      <c r="A998" s="1" t="s">
        <v>72</v>
      </c>
      <c r="B998" s="1" t="s">
        <v>7312</v>
      </c>
      <c r="C998" s="1" t="s">
        <v>74</v>
      </c>
      <c r="D998" s="1" t="s">
        <v>74</v>
      </c>
      <c r="E998" s="1" t="s">
        <v>74</v>
      </c>
      <c r="F998" s="1" t="s">
        <v>7312</v>
      </c>
      <c r="G998" s="1" t="s">
        <v>74</v>
      </c>
      <c r="H998" s="1" t="s">
        <v>74</v>
      </c>
      <c r="I998" s="1" t="s">
        <v>9223</v>
      </c>
      <c r="J998" s="1" t="s">
        <v>2811</v>
      </c>
      <c r="K998" s="1" t="s">
        <v>74</v>
      </c>
      <c r="L998" s="1" t="s">
        <v>74</v>
      </c>
      <c r="M998" s="1" t="s">
        <v>74</v>
      </c>
      <c r="N998" s="1" t="s">
        <v>74</v>
      </c>
      <c r="O998" s="1" t="s">
        <v>74</v>
      </c>
      <c r="P998" s="1" t="s">
        <v>74</v>
      </c>
      <c r="Q998" s="1" t="s">
        <v>74</v>
      </c>
      <c r="R998" s="1" t="s">
        <v>74</v>
      </c>
      <c r="S998" s="1" t="s">
        <v>74</v>
      </c>
      <c r="T998" s="1" t="s">
        <v>74</v>
      </c>
      <c r="U998" s="1" t="s">
        <v>74</v>
      </c>
      <c r="V998" s="1" t="s">
        <v>9224</v>
      </c>
      <c r="W998" s="1" t="s">
        <v>74</v>
      </c>
      <c r="X998" s="1" t="s">
        <v>74</v>
      </c>
      <c r="Y998" s="1" t="s">
        <v>74</v>
      </c>
      <c r="Z998" s="1" t="s">
        <v>74</v>
      </c>
      <c r="AA998" s="1" t="s">
        <v>74</v>
      </c>
      <c r="AB998" s="1" t="s">
        <v>74</v>
      </c>
      <c r="AC998" s="1" t="s">
        <v>74</v>
      </c>
      <c r="AD998" s="1" t="s">
        <v>74</v>
      </c>
      <c r="AE998" s="1" t="s">
        <v>74</v>
      </c>
      <c r="AF998" s="1" t="s">
        <v>74</v>
      </c>
      <c r="AG998" s="1" t="s">
        <v>74</v>
      </c>
      <c r="AH998" s="1" t="s">
        <v>74</v>
      </c>
      <c r="AI998" s="1" t="s">
        <v>74</v>
      </c>
      <c r="AJ998" s="1" t="s">
        <v>74</v>
      </c>
      <c r="AK998" s="1" t="s">
        <v>74</v>
      </c>
      <c r="AL998" s="1" t="s">
        <v>74</v>
      </c>
      <c r="AM998" s="1" t="s">
        <v>74</v>
      </c>
      <c r="AN998" s="1" t="s">
        <v>74</v>
      </c>
      <c r="AO998" s="1" t="s">
        <v>2813</v>
      </c>
      <c r="AP998" s="1" t="s">
        <v>74</v>
      </c>
      <c r="AQ998" s="1" t="s">
        <v>74</v>
      </c>
      <c r="AR998" s="1" t="s">
        <v>74</v>
      </c>
      <c r="AS998" s="1" t="s">
        <v>74</v>
      </c>
      <c r="AT998" s="1" t="s">
        <v>7424</v>
      </c>
      <c r="AU998" s="1">
        <v>2002.0</v>
      </c>
      <c r="AV998" s="1">
        <v>640.0</v>
      </c>
      <c r="AW998" s="1">
        <v>3.0</v>
      </c>
      <c r="AX998" s="1" t="s">
        <v>74</v>
      </c>
      <c r="AY998" s="1" t="s">
        <v>74</v>
      </c>
      <c r="AZ998" s="1" t="s">
        <v>74</v>
      </c>
      <c r="BA998" s="1" t="s">
        <v>74</v>
      </c>
      <c r="BB998" s="1">
        <v>481.0</v>
      </c>
      <c r="BC998" s="1">
        <v>503.0</v>
      </c>
      <c r="BD998" s="1" t="s">
        <v>9225</v>
      </c>
      <c r="BE998" s="1" t="s">
        <v>9226</v>
      </c>
      <c r="BF998" s="2" t="str">
        <f>HYPERLINK("http://dx.doi.org/10.1016/S0550-3213(02)00580-1","http://dx.doi.org/10.1016/S0550-3213(02)00580-1")</f>
        <v>http://dx.doi.org/10.1016/S0550-3213(02)00580-1</v>
      </c>
      <c r="BG998" s="1" t="s">
        <v>74</v>
      </c>
      <c r="BH998" s="1" t="s">
        <v>74</v>
      </c>
      <c r="BI998" s="1" t="s">
        <v>74</v>
      </c>
      <c r="BJ998" s="1" t="s">
        <v>74</v>
      </c>
      <c r="BK998" s="1" t="s">
        <v>74</v>
      </c>
      <c r="BL998" s="1" t="s">
        <v>74</v>
      </c>
      <c r="BM998" s="1" t="s">
        <v>74</v>
      </c>
      <c r="BN998" s="1" t="s">
        <v>74</v>
      </c>
      <c r="BO998" s="1" t="s">
        <v>74</v>
      </c>
      <c r="BP998" s="1" t="s">
        <v>74</v>
      </c>
      <c r="BQ998" s="1" t="s">
        <v>74</v>
      </c>
      <c r="BR998" s="1" t="s">
        <v>74</v>
      </c>
      <c r="BS998" s="1" t="s">
        <v>9227</v>
      </c>
      <c r="BT998" s="1" t="str">
        <f>HYPERLINK("https%3A%2F%2Fwww.webofscience.com%2Fwos%2Fwoscc%2Ffull-record%2FWOS:000178340100005","View Full Record in Web of Science")</f>
        <v>View Full Record in Web of Science</v>
      </c>
    </row>
    <row r="999" ht="12.75" customHeight="1">
      <c r="A999" s="1" t="s">
        <v>72</v>
      </c>
      <c r="B999" s="1" t="s">
        <v>9228</v>
      </c>
      <c r="C999" s="1" t="s">
        <v>74</v>
      </c>
      <c r="D999" s="1" t="s">
        <v>74</v>
      </c>
      <c r="E999" s="1" t="s">
        <v>74</v>
      </c>
      <c r="F999" s="1" t="s">
        <v>9228</v>
      </c>
      <c r="G999" s="1" t="s">
        <v>74</v>
      </c>
      <c r="H999" s="1" t="s">
        <v>74</v>
      </c>
      <c r="I999" s="1" t="s">
        <v>9229</v>
      </c>
      <c r="J999" s="1" t="s">
        <v>3822</v>
      </c>
      <c r="K999" s="1" t="s">
        <v>74</v>
      </c>
      <c r="L999" s="1" t="s">
        <v>74</v>
      </c>
      <c r="M999" s="1" t="s">
        <v>74</v>
      </c>
      <c r="N999" s="1" t="s">
        <v>74</v>
      </c>
      <c r="O999" s="1" t="s">
        <v>74</v>
      </c>
      <c r="P999" s="1" t="s">
        <v>74</v>
      </c>
      <c r="Q999" s="1" t="s">
        <v>74</v>
      </c>
      <c r="R999" s="1" t="s">
        <v>74</v>
      </c>
      <c r="S999" s="1" t="s">
        <v>74</v>
      </c>
      <c r="T999" s="1" t="s">
        <v>74</v>
      </c>
      <c r="U999" s="1" t="s">
        <v>74</v>
      </c>
      <c r="V999" s="1" t="s">
        <v>9230</v>
      </c>
      <c r="W999" s="1" t="s">
        <v>74</v>
      </c>
      <c r="X999" s="1" t="s">
        <v>74</v>
      </c>
      <c r="Y999" s="1" t="s">
        <v>74</v>
      </c>
      <c r="Z999" s="1" t="s">
        <v>74</v>
      </c>
      <c r="AA999" s="1" t="s">
        <v>74</v>
      </c>
      <c r="AB999" s="1" t="s">
        <v>6944</v>
      </c>
      <c r="AC999" s="1" t="s">
        <v>74</v>
      </c>
      <c r="AD999" s="1" t="s">
        <v>74</v>
      </c>
      <c r="AE999" s="1" t="s">
        <v>74</v>
      </c>
      <c r="AF999" s="1" t="s">
        <v>74</v>
      </c>
      <c r="AG999" s="1" t="s">
        <v>74</v>
      </c>
      <c r="AH999" s="1" t="s">
        <v>74</v>
      </c>
      <c r="AI999" s="1" t="s">
        <v>74</v>
      </c>
      <c r="AJ999" s="1" t="s">
        <v>74</v>
      </c>
      <c r="AK999" s="1" t="s">
        <v>74</v>
      </c>
      <c r="AL999" s="1" t="s">
        <v>74</v>
      </c>
      <c r="AM999" s="1" t="s">
        <v>74</v>
      </c>
      <c r="AN999" s="1" t="s">
        <v>74</v>
      </c>
      <c r="AO999" s="1" t="s">
        <v>3825</v>
      </c>
      <c r="AP999" s="1" t="s">
        <v>3826</v>
      </c>
      <c r="AQ999" s="1" t="s">
        <v>74</v>
      </c>
      <c r="AR999" s="1" t="s">
        <v>74</v>
      </c>
      <c r="AS999" s="1" t="s">
        <v>74</v>
      </c>
      <c r="AT999" s="1" t="s">
        <v>621</v>
      </c>
      <c r="AU999" s="1">
        <v>2002.0</v>
      </c>
      <c r="AV999" s="1">
        <v>65.0</v>
      </c>
      <c r="AW999" s="1">
        <v>1.0</v>
      </c>
      <c r="AX999" s="1" t="s">
        <v>74</v>
      </c>
      <c r="AY999" s="1" t="s">
        <v>74</v>
      </c>
      <c r="AZ999" s="1" t="s">
        <v>74</v>
      </c>
      <c r="BA999" s="1" t="s">
        <v>74</v>
      </c>
      <c r="BB999" s="1">
        <v>77.0</v>
      </c>
      <c r="BC999" s="1">
        <v>82.0</v>
      </c>
      <c r="BD999" s="1" t="s">
        <v>9231</v>
      </c>
      <c r="BE999" s="1" t="s">
        <v>9232</v>
      </c>
      <c r="BF999" s="2" t="str">
        <f>HYPERLINK("http://dx.doi.org/10.1016/S0304-386X(02)00093-2","http://dx.doi.org/10.1016/S0304-386X(02)00093-2")</f>
        <v>http://dx.doi.org/10.1016/S0304-386X(02)00093-2</v>
      </c>
      <c r="BG999" s="1" t="s">
        <v>74</v>
      </c>
      <c r="BH999" s="1" t="s">
        <v>74</v>
      </c>
      <c r="BI999" s="1" t="s">
        <v>74</v>
      </c>
      <c r="BJ999" s="1" t="s">
        <v>74</v>
      </c>
      <c r="BK999" s="1" t="s">
        <v>74</v>
      </c>
      <c r="BL999" s="1" t="s">
        <v>74</v>
      </c>
      <c r="BM999" s="1" t="s">
        <v>74</v>
      </c>
      <c r="BN999" s="1" t="s">
        <v>74</v>
      </c>
      <c r="BO999" s="1" t="s">
        <v>74</v>
      </c>
      <c r="BP999" s="1" t="s">
        <v>74</v>
      </c>
      <c r="BQ999" s="1" t="s">
        <v>74</v>
      </c>
      <c r="BR999" s="1" t="s">
        <v>74</v>
      </c>
      <c r="BS999" s="1" t="s">
        <v>9233</v>
      </c>
      <c r="BT999" s="1" t="str">
        <f>HYPERLINK("https%3A%2F%2Fwww.webofscience.com%2Fwos%2Fwoscc%2Ffull-record%2FWOS:000177708100010","View Full Record in Web of Science")</f>
        <v>View Full Record in Web of Science</v>
      </c>
    </row>
    <row r="1000" ht="12.75" customHeight="1">
      <c r="A1000" s="1" t="s">
        <v>72</v>
      </c>
      <c r="B1000" s="1" t="s">
        <v>9234</v>
      </c>
      <c r="C1000" s="1" t="s">
        <v>74</v>
      </c>
      <c r="D1000" s="1" t="s">
        <v>74</v>
      </c>
      <c r="E1000" s="1" t="s">
        <v>74</v>
      </c>
      <c r="F1000" s="1" t="s">
        <v>9234</v>
      </c>
      <c r="G1000" s="1" t="s">
        <v>74</v>
      </c>
      <c r="H1000" s="1" t="s">
        <v>74</v>
      </c>
      <c r="I1000" s="1" t="s">
        <v>9235</v>
      </c>
      <c r="J1000" s="1" t="s">
        <v>9236</v>
      </c>
      <c r="K1000" s="1" t="s">
        <v>74</v>
      </c>
      <c r="L1000" s="1" t="s">
        <v>74</v>
      </c>
      <c r="M1000" s="1" t="s">
        <v>74</v>
      </c>
      <c r="N1000" s="1" t="s">
        <v>74</v>
      </c>
      <c r="O1000" s="1" t="s">
        <v>9237</v>
      </c>
      <c r="P1000" s="1" t="s">
        <v>9238</v>
      </c>
      <c r="Q1000" s="1" t="s">
        <v>9239</v>
      </c>
      <c r="R1000" s="1" t="s">
        <v>9240</v>
      </c>
      <c r="S1000" s="1" t="s">
        <v>74</v>
      </c>
      <c r="T1000" s="1" t="s">
        <v>74</v>
      </c>
      <c r="U1000" s="1" t="s">
        <v>74</v>
      </c>
      <c r="V1000" s="1" t="s">
        <v>9241</v>
      </c>
      <c r="W1000" s="1" t="s">
        <v>74</v>
      </c>
      <c r="X1000" s="1" t="s">
        <v>74</v>
      </c>
      <c r="Y1000" s="1" t="s">
        <v>74</v>
      </c>
      <c r="Z1000" s="1" t="s">
        <v>74</v>
      </c>
      <c r="AA1000" s="1" t="s">
        <v>74</v>
      </c>
      <c r="AB1000" s="1" t="s">
        <v>74</v>
      </c>
      <c r="AC1000" s="1" t="s">
        <v>74</v>
      </c>
      <c r="AD1000" s="1" t="s">
        <v>74</v>
      </c>
      <c r="AE1000" s="1" t="s">
        <v>74</v>
      </c>
      <c r="AF1000" s="1" t="s">
        <v>74</v>
      </c>
      <c r="AG1000" s="1" t="s">
        <v>74</v>
      </c>
      <c r="AH1000" s="1" t="s">
        <v>74</v>
      </c>
      <c r="AI1000" s="1" t="s">
        <v>74</v>
      </c>
      <c r="AJ1000" s="1" t="s">
        <v>74</v>
      </c>
      <c r="AK1000" s="1" t="s">
        <v>74</v>
      </c>
      <c r="AL1000" s="1" t="s">
        <v>74</v>
      </c>
      <c r="AM1000" s="1" t="s">
        <v>74</v>
      </c>
      <c r="AN1000" s="1" t="s">
        <v>74</v>
      </c>
      <c r="AO1000" s="1" t="s">
        <v>9242</v>
      </c>
      <c r="AP1000" s="1" t="s">
        <v>74</v>
      </c>
      <c r="AQ1000" s="1" t="s">
        <v>74</v>
      </c>
      <c r="AR1000" s="1" t="s">
        <v>74</v>
      </c>
      <c r="AS1000" s="1" t="s">
        <v>74</v>
      </c>
      <c r="AT1000" s="1" t="s">
        <v>379</v>
      </c>
      <c r="AU1000" s="1">
        <v>2001.0</v>
      </c>
      <c r="AV1000" s="1">
        <v>102.0</v>
      </c>
      <c r="AW1000" s="1" t="s">
        <v>74</v>
      </c>
      <c r="AX1000" s="1" t="s">
        <v>74</v>
      </c>
      <c r="AY1000" s="1" t="s">
        <v>74</v>
      </c>
      <c r="AZ1000" s="1" t="s">
        <v>74</v>
      </c>
      <c r="BA1000" s="1" t="s">
        <v>74</v>
      </c>
      <c r="BB1000" s="1">
        <v>248.0</v>
      </c>
      <c r="BC1000" s="1">
        <v>255.0</v>
      </c>
      <c r="BD1000" s="1" t="s">
        <v>74</v>
      </c>
      <c r="BE1000" s="1" t="s">
        <v>9243</v>
      </c>
      <c r="BF1000" s="2" t="str">
        <f>HYPERLINK("http://dx.doi.org/10.1016/S0920-5632(01)01563-8","http://dx.doi.org/10.1016/S0920-5632(01)01563-8")</f>
        <v>http://dx.doi.org/10.1016/S0920-5632(01)01563-8</v>
      </c>
      <c r="BG1000" s="1" t="s">
        <v>74</v>
      </c>
      <c r="BH1000" s="1" t="s">
        <v>74</v>
      </c>
      <c r="BI1000" s="1" t="s">
        <v>74</v>
      </c>
      <c r="BJ1000" s="1" t="s">
        <v>74</v>
      </c>
      <c r="BK1000" s="1" t="s">
        <v>74</v>
      </c>
      <c r="BL1000" s="1" t="s">
        <v>74</v>
      </c>
      <c r="BM1000" s="1" t="s">
        <v>74</v>
      </c>
      <c r="BN1000" s="1" t="s">
        <v>74</v>
      </c>
      <c r="BO1000" s="1" t="s">
        <v>74</v>
      </c>
      <c r="BP1000" s="1" t="s">
        <v>74</v>
      </c>
      <c r="BQ1000" s="1" t="s">
        <v>74</v>
      </c>
      <c r="BR1000" s="1" t="s">
        <v>74</v>
      </c>
      <c r="BS1000" s="1" t="s">
        <v>9244</v>
      </c>
      <c r="BT1000" s="1" t="str">
        <f>HYPERLINK("https%3A%2F%2Fwww.webofscience.com%2Fwos%2Fwoscc%2Ffull-record%2FWOS:000171279400035","View Full Record in Web of Science")</f>
        <v>View Full Record in Web of Science</v>
      </c>
    </row>
    <row r="1001" ht="12.75" customHeight="1">
      <c r="A1001" s="1" t="s">
        <v>72</v>
      </c>
      <c r="B1001" s="1" t="s">
        <v>9245</v>
      </c>
      <c r="C1001" s="1" t="s">
        <v>74</v>
      </c>
      <c r="D1001" s="1" t="s">
        <v>74</v>
      </c>
      <c r="E1001" s="1" t="s">
        <v>74</v>
      </c>
      <c r="F1001" s="1" t="s">
        <v>9245</v>
      </c>
      <c r="G1001" s="1" t="s">
        <v>74</v>
      </c>
      <c r="H1001" s="1" t="s">
        <v>74</v>
      </c>
      <c r="I1001" s="1" t="s">
        <v>9246</v>
      </c>
      <c r="J1001" s="1" t="s">
        <v>2065</v>
      </c>
      <c r="K1001" s="1" t="s">
        <v>74</v>
      </c>
      <c r="L1001" s="1" t="s">
        <v>74</v>
      </c>
      <c r="M1001" s="1" t="s">
        <v>74</v>
      </c>
      <c r="N1001" s="1" t="s">
        <v>74</v>
      </c>
      <c r="O1001" s="1" t="s">
        <v>74</v>
      </c>
      <c r="P1001" s="1" t="s">
        <v>74</v>
      </c>
      <c r="Q1001" s="1" t="s">
        <v>74</v>
      </c>
      <c r="R1001" s="1" t="s">
        <v>74</v>
      </c>
      <c r="S1001" s="1" t="s">
        <v>74</v>
      </c>
      <c r="T1001" s="1" t="s">
        <v>74</v>
      </c>
      <c r="U1001" s="1" t="s">
        <v>74</v>
      </c>
      <c r="V1001" s="1" t="s">
        <v>9247</v>
      </c>
      <c r="W1001" s="1" t="s">
        <v>74</v>
      </c>
      <c r="X1001" s="1" t="s">
        <v>74</v>
      </c>
      <c r="Y1001" s="1" t="s">
        <v>74</v>
      </c>
      <c r="Z1001" s="1" t="s">
        <v>74</v>
      </c>
      <c r="AA1001" s="1" t="s">
        <v>7339</v>
      </c>
      <c r="AB1001" s="1" t="s">
        <v>9248</v>
      </c>
      <c r="AC1001" s="1" t="s">
        <v>74</v>
      </c>
      <c r="AD1001" s="1" t="s">
        <v>74</v>
      </c>
      <c r="AE1001" s="1" t="s">
        <v>74</v>
      </c>
      <c r="AF1001" s="1" t="s">
        <v>74</v>
      </c>
      <c r="AG1001" s="1" t="s">
        <v>74</v>
      </c>
      <c r="AH1001" s="1" t="s">
        <v>74</v>
      </c>
      <c r="AI1001" s="1" t="s">
        <v>74</v>
      </c>
      <c r="AJ1001" s="1" t="s">
        <v>74</v>
      </c>
      <c r="AK1001" s="1" t="s">
        <v>74</v>
      </c>
      <c r="AL1001" s="1" t="s">
        <v>74</v>
      </c>
      <c r="AM1001" s="1" t="s">
        <v>74</v>
      </c>
      <c r="AN1001" s="1" t="s">
        <v>74</v>
      </c>
      <c r="AO1001" s="1" t="s">
        <v>2780</v>
      </c>
      <c r="AP1001" s="1" t="s">
        <v>7341</v>
      </c>
      <c r="AQ1001" s="1" t="s">
        <v>74</v>
      </c>
      <c r="AR1001" s="1" t="s">
        <v>74</v>
      </c>
      <c r="AS1001" s="1" t="s">
        <v>74</v>
      </c>
      <c r="AT1001" s="1" t="s">
        <v>7342</v>
      </c>
      <c r="AU1001" s="1">
        <v>2000.0</v>
      </c>
      <c r="AV1001" s="1">
        <v>62.0</v>
      </c>
      <c r="AW1001" s="1">
        <v>10.0</v>
      </c>
      <c r="AX1001" s="1" t="s">
        <v>74</v>
      </c>
      <c r="AY1001" s="1" t="s">
        <v>74</v>
      </c>
      <c r="AZ1001" s="1" t="s">
        <v>74</v>
      </c>
      <c r="BA1001" s="1" t="s">
        <v>74</v>
      </c>
      <c r="BB1001" s="1">
        <v>6337.0</v>
      </c>
      <c r="BC1001" s="1">
        <v>6342.0</v>
      </c>
      <c r="BD1001" s="1" t="s">
        <v>74</v>
      </c>
      <c r="BE1001" s="1" t="s">
        <v>9249</v>
      </c>
      <c r="BF1001" s="2" t="str">
        <f>HYPERLINK("http://dx.doi.org/10.1103/PhysRevB.62.6337","http://dx.doi.org/10.1103/PhysRevB.62.6337")</f>
        <v>http://dx.doi.org/10.1103/PhysRevB.62.6337</v>
      </c>
      <c r="BG1001" s="1" t="s">
        <v>74</v>
      </c>
      <c r="BH1001" s="1" t="s">
        <v>74</v>
      </c>
      <c r="BI1001" s="1" t="s">
        <v>74</v>
      </c>
      <c r="BJ1001" s="1" t="s">
        <v>74</v>
      </c>
      <c r="BK1001" s="1" t="s">
        <v>74</v>
      </c>
      <c r="BL1001" s="1" t="s">
        <v>74</v>
      </c>
      <c r="BM1001" s="1" t="s">
        <v>74</v>
      </c>
      <c r="BN1001" s="1" t="s">
        <v>74</v>
      </c>
      <c r="BO1001" s="1" t="s">
        <v>74</v>
      </c>
      <c r="BP1001" s="1" t="s">
        <v>74</v>
      </c>
      <c r="BQ1001" s="1" t="s">
        <v>74</v>
      </c>
      <c r="BR1001" s="1" t="s">
        <v>74</v>
      </c>
      <c r="BS1001" s="1" t="s">
        <v>9250</v>
      </c>
      <c r="BT1001" s="1" t="str">
        <f>HYPERLINK("https%3A%2F%2Fwww.webofscience.com%2Fwos%2Fwoscc%2Ffull-record%2FWOS:000089304400038","View Full Record in Web of Science")</f>
        <v>View Full Record in Web of Science</v>
      </c>
    </row>
  </sheetData>
  <printOptions/>
  <pageMargins bottom="0.75" footer="0.0" header="0.0" left="0.7" right="0.7" top="0.75"/>
  <pageSetup orientation="landscape"/>
  <drawing r:id="rId1"/>
</worksheet>
</file>